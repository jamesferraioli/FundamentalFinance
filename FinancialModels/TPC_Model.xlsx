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515\Desktop\Professional Docs\"/>
    </mc:Choice>
  </mc:AlternateContent>
  <xr:revisionPtr revIDLastSave="0" documentId="13_ncr:1_{059012CD-C63A-4822-A721-CA7CFF04C5EC}" xr6:coauthVersionLast="43" xr6:coauthVersionMax="43" xr10:uidLastSave="{00000000-0000-0000-0000-000000000000}"/>
  <bookViews>
    <workbookView xWindow="-110" yWindow="-110" windowWidth="19420" windowHeight="10420" tabRatio="688" firstSheet="1" activeTab="1" xr2:uid="{00000000-000D-0000-FFFF-FFFF00000000}"/>
  </bookViews>
  <sheets>
    <sheet name="__FDSCACHE__" sheetId="30" state="veryHidden" r:id="rId1"/>
    <sheet name="IS" sheetId="25" r:id="rId2"/>
    <sheet name="BS" sheetId="27" r:id="rId3"/>
    <sheet name="CF" sheetId="29" r:id="rId4"/>
    <sheet name="Backlog" sheetId="3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123Graph_A" hidden="1">[1]main!#REF!</definedName>
    <definedName name="__123Graph_B" hidden="1">[1]main!#REF!</definedName>
    <definedName name="__123Graph_C" hidden="1">[1]main!#REF!</definedName>
    <definedName name="__123Graph_D" hidden="1">[1]main!#REF!</definedName>
    <definedName name="__123Graph_E" hidden="1">[1]main!#REF!</definedName>
    <definedName name="__123Graph_X" hidden="1">[1]main!#REF!</definedName>
    <definedName name="__FDS_HYPERLINK_TOGGLE_STATE__" hidden="1">"ON"</definedName>
    <definedName name="_Box1">#REF!</definedName>
    <definedName name="_Box10">#REF!</definedName>
    <definedName name="_Box11">#REF!</definedName>
    <definedName name="_Box12">#REF!</definedName>
    <definedName name="_Box13">#REF!</definedName>
    <definedName name="_Box2">#REF!</definedName>
    <definedName name="_Box3">#REF!</definedName>
    <definedName name="_Box4">#REF!</definedName>
    <definedName name="_Box5">#REF!</definedName>
    <definedName name="_Box6">#REF!</definedName>
    <definedName name="_Box7">#REF!</definedName>
    <definedName name="_Box8">#REF!</definedName>
    <definedName name="_Box9">#REF!</definedName>
    <definedName name="_dep01">[2]Sheet1!$M$126</definedName>
    <definedName name="_dep93">[2]Sheet1!$E$166</definedName>
    <definedName name="_dep94">[2]Sheet1!$F$166</definedName>
    <definedName name="_dep95">[2]Sheet1!$G$166</definedName>
    <definedName name="_dep96">[2]Sheet1!$H$166</definedName>
    <definedName name="_dep97">[2]Sheet1!$I$166</definedName>
    <definedName name="_dep98">[2]Sheet1!$J$166</definedName>
    <definedName name="_dep99">[2]Sheet1!$K$126</definedName>
    <definedName name="_dps01">[2]Sheet1!$M$14</definedName>
    <definedName name="_dps93">[2]Sheet1!$E$14</definedName>
    <definedName name="_dps94">[2]Sheet1!$F$14</definedName>
    <definedName name="_dps95">[2]Sheet1!$G$14</definedName>
    <definedName name="_dps96">[2]Sheet1!$H$14</definedName>
    <definedName name="_dps97">[2]Sheet1!$I$14</definedName>
    <definedName name="_dps98">[2]Sheet1!$J$14</definedName>
    <definedName name="_dps99">[2]Sheet1!$K$14</definedName>
    <definedName name="_dpu99">#REF!</definedName>
    <definedName name="_gcf99">#REF!</definedName>
    <definedName name="_int01">[2]Sheet1!$M$44</definedName>
    <definedName name="_int93">[2]Sheet1!$E$44</definedName>
    <definedName name="_int94">[2]Sheet1!$F$44</definedName>
    <definedName name="_int95">[2]Sheet1!$G$44</definedName>
    <definedName name="_int96">[2]Sheet1!$H$44</definedName>
    <definedName name="_int97">[2]Sheet1!$I$44</definedName>
    <definedName name="_int98">[2]Sheet1!$J$44</definedName>
    <definedName name="_int99">[2]Sheet1!$K$44</definedName>
    <definedName name="_nde01">[2]Sheet1!$M$150</definedName>
    <definedName name="_nde93">[2]Sheet1!$E$150</definedName>
    <definedName name="_nde94">[2]Sheet1!$F$150</definedName>
    <definedName name="_nde95">[2]Sheet1!$G$150</definedName>
    <definedName name="_nde96">[2]Sheet1!$H$150</definedName>
    <definedName name="_nde97">[2]Sheet1!$I$150</definedName>
    <definedName name="_nde98">[2]Sheet1!$J$150</definedName>
    <definedName name="_nde99">[2]Sheet1!$K$150</definedName>
    <definedName name="_nta01">[2]Sheet1!$M$16</definedName>
    <definedName name="_nta93">[2]Sheet1!$E$16</definedName>
    <definedName name="_nta94">[2]Sheet1!$F$16</definedName>
    <definedName name="_nta95">[2]Sheet1!$G$16</definedName>
    <definedName name="_nta96">[2]Sheet1!$H$16</definedName>
    <definedName name="_nta97">[2]Sheet1!$I$16</definedName>
    <definedName name="_nta98">[2]Sheet1!$J$16</definedName>
    <definedName name="_nta99">[2]Sheet1!$K$16</definedName>
    <definedName name="_Order1" hidden="1">255</definedName>
    <definedName name="_Order2" hidden="1">255</definedName>
    <definedName name="_Regression_Int" hidden="1">1</definedName>
    <definedName name="_roa01">[2]Sheet1!$M$155</definedName>
    <definedName name="_roa93">[2]Sheet1!$E$155</definedName>
    <definedName name="_roa94">[2]Sheet1!$F$155</definedName>
    <definedName name="_roa95">[2]Sheet1!$G$155</definedName>
    <definedName name="_roa96">[2]Sheet1!$H$155</definedName>
    <definedName name="_roa97">[2]Sheet1!$I$155</definedName>
    <definedName name="_roa98">[2]Sheet1!$J$155</definedName>
    <definedName name="_roa99">[2]Sheet1!$K$155</definedName>
    <definedName name="_roe01">[2]Sheet1!$M$154</definedName>
    <definedName name="_roe93">[2]Sheet1!$E$154</definedName>
    <definedName name="_roe94">[2]Sheet1!$F$154</definedName>
    <definedName name="_roe95">[2]Sheet1!$G$154</definedName>
    <definedName name="_roe96">[2]Sheet1!$H$154</definedName>
    <definedName name="_roe97">[2]Sheet1!$I$154</definedName>
    <definedName name="_roe98">[2]Sheet1!$J$154</definedName>
    <definedName name="_roe99">[2]Sheet1!$K$154</definedName>
    <definedName name="_T_PLN_EBIT_SEG9_Y92">#REF!</definedName>
    <definedName name="_T_PLN_EBIT_SEG9_Y93">#REF!</definedName>
    <definedName name="_T_PLN_EBIT_SEG9_Y94">#REF!</definedName>
    <definedName name="_T_PLN_EBIT_SEG9_Y95">#REF!</definedName>
    <definedName name="_T_PLN_EBIT_SEG9_Y96">#REF!</definedName>
    <definedName name="_T_PLN_EBIT_SEG9_Y97">#REF!</definedName>
    <definedName name="_T_PLN_EBIT_SEG9_Y98">#REF!</definedName>
    <definedName name="_T_PLN_EBIT_SEG9_Y99">#REF!</definedName>
    <definedName name="_T_PLN_EBIT_Y10">#REF!</definedName>
    <definedName name="_T_PLN_EQUITYACC_BT_Y00">#REF!</definedName>
    <definedName name="_T_PLN_EQUITYACC_BT_Y01">#REF!</definedName>
    <definedName name="_T_PLN_EQUITYACC_BT_Y02">#REF!</definedName>
    <definedName name="_T_PLN_EQUITYACC_BT_Y03">#REF!</definedName>
    <definedName name="_T_PLN_EQUITYACC_BT_Y04">#REF!</definedName>
    <definedName name="_T_PLN_EQUITYACC_BT_Y05">#REF!</definedName>
    <definedName name="_T_PLN_EQUITYACC_BT_Y06">#REF!</definedName>
    <definedName name="_T_PLN_EQUITYACC_BT_Y07">#REF!</definedName>
    <definedName name="_T_PLN_EQUITYACC_BT_Y08">#REF!</definedName>
    <definedName name="_T_PLN_EQUITYACC_BT_Y09">#REF!</definedName>
    <definedName name="_T_PLN_EQUITYACC_BT_Y10">#REF!</definedName>
    <definedName name="_T_PLN_EQUITYACC_BT_Y90">#REF!</definedName>
    <definedName name="_T_PLN_EQUITYACC_BT_Y91">#REF!</definedName>
    <definedName name="_T_PLN_EQUITYACC_BT_Y92">#REF!</definedName>
    <definedName name="_T_PLN_EQUITYACC_BT_Y93">#REF!</definedName>
    <definedName name="_T_PLN_EQUITYACC_BT_Y94">#REF!</definedName>
    <definedName name="_T_PLN_EQUITYACC_BT_Y95">#REF!</definedName>
    <definedName name="_T_PLN_EQUITYACC_BT_Y96">#REF!</definedName>
    <definedName name="_T_PLN_EQUITYACC_BT_Y97">#REF!</definedName>
    <definedName name="_T_PLN_EQUITYACC_BT_Y98">#REF!</definedName>
    <definedName name="_T_PLN_EQUITYACC_BT_Y99">#REF!</definedName>
    <definedName name="_T_PLN_EQUITYACC_NET_Y00">#REF!</definedName>
    <definedName name="_T_PLN_EQUITYACC_NET_Y01">#REF!</definedName>
    <definedName name="_T_PLN_EQUITYACC_NET_Y02">#REF!</definedName>
    <definedName name="_T_PLN_EQUITYACC_NET_Y03">#REF!</definedName>
    <definedName name="_T_PLN_EQUITYACC_NET_Y04">#REF!</definedName>
    <definedName name="_T_PLN_EQUITYACC_NET_Y05">#REF!</definedName>
    <definedName name="_T_PLN_EQUITYACC_NET_Y06">#REF!</definedName>
    <definedName name="_T_PLN_EQUITYACC_NET_Y07">#REF!</definedName>
    <definedName name="_T_PLN_EQUITYACC_NET_Y08">#REF!</definedName>
    <definedName name="_T_PLN_EQUITYACC_NET_Y09">#REF!</definedName>
    <definedName name="_T_PLN_EQUITYACC_NET_Y10">#REF!</definedName>
    <definedName name="_T_PLN_EQUITYACC_NET_Y90">#REF!</definedName>
    <definedName name="_T_PLN_EQUITYACC_NET_Y91">#REF!</definedName>
    <definedName name="_T_PLN_EQUITYACC_NET_Y92">#REF!</definedName>
    <definedName name="_T_PLN_EQUITYACC_NET_Y93">#REF!</definedName>
    <definedName name="_T_PLN_EQUITYACC_NET_Y94">#REF!</definedName>
    <definedName name="_T_PLN_EQUITYACC_NET_Y95">#REF!</definedName>
    <definedName name="_T_PLN_EQUITYACC_NET_Y96">#REF!</definedName>
    <definedName name="_T_PLN_EQUITYACC_NET_Y97">#REF!</definedName>
    <definedName name="_T_PLN_EQUITYACC_NET_Y98">#REF!</definedName>
    <definedName name="_T_PLN_EQUITYACC_NET_Y99">#REF!</definedName>
    <definedName name="_T_PLN_EQUITYACC_TAX_Y00">#REF!</definedName>
    <definedName name="_T_PLN_EQUITYACC_TAX_Y01">#REF!</definedName>
    <definedName name="_T_PLN_EQUITYACC_TAX_Y02">#REF!</definedName>
    <definedName name="_T_PLN_EQUITYACC_TAX_Y03">#REF!</definedName>
    <definedName name="_T_PLN_EQUITYACC_TAX_Y04">#REF!</definedName>
    <definedName name="_T_PLN_EQUITYACC_TAX_Y05">#REF!</definedName>
    <definedName name="_T_PLN_EQUITYACC_TAX_Y06">#REF!</definedName>
    <definedName name="_T_PLN_EQUITYACC_TAX_Y07">#REF!</definedName>
    <definedName name="_T_PLN_EQUITYACC_TAX_Y08">#REF!</definedName>
    <definedName name="_T_PLN_EQUITYACC_TAX_Y09">#REF!</definedName>
    <definedName name="_T_PLN_EQUITYACC_TAX_Y10">#REF!</definedName>
    <definedName name="_T_PLN_EQUITYACC_TAX_Y90">#REF!</definedName>
    <definedName name="_T_PLN_EQUITYACC_TAX_Y91">#REF!</definedName>
    <definedName name="_T_PLN_EQUITYACC_TAX_Y92">#REF!</definedName>
    <definedName name="_T_PLN_EQUITYACC_TAX_Y93">#REF!</definedName>
    <definedName name="_T_PLN_EQUITYACC_TAX_Y94">#REF!</definedName>
    <definedName name="_T_PLN_EQUITYACC_TAX_Y95">#REF!</definedName>
    <definedName name="_T_PLN_EQUITYACC_TAX_Y96">#REF!</definedName>
    <definedName name="_T_PLN_EQUITYACC_TAX_Y97">#REF!</definedName>
    <definedName name="_T_PLN_EQUITYACC_TAX_Y98">#REF!</definedName>
    <definedName name="_T_PLN_EQUITYACC_TAX_Y99">#REF!</definedName>
    <definedName name="_T_PLN_EQUITYACC_Y10">#REF!</definedName>
    <definedName name="_T_PLN_EXP_CORE_OTHER_Y10">#REF!</definedName>
    <definedName name="_T_PLN_EXP_OTHER_Y10">#REF!</definedName>
    <definedName name="_T_PLN_EXP_SUM_Y10">#REF!</definedName>
    <definedName name="_T_PLN_FIXEDASSETS_Y10">#REF!</definedName>
    <definedName name="_T_PLN_FOREX_Y10">#REF!</definedName>
    <definedName name="_T_PLN_FPSPROFIT_Y10">#REF!</definedName>
    <definedName name="_T_PLN_GOODS_SOLD_Y10">#REF!</definedName>
    <definedName name="_T_PLN_GWAT_Y00">#REF!</definedName>
    <definedName name="_T_PLN_GWAT_Y01">#REF!</definedName>
    <definedName name="_T_PLN_GWAT_Y02">#REF!</definedName>
    <definedName name="_T_PLN_GWAT_Y03">#REF!</definedName>
    <definedName name="_T_PLN_GWAT_Y04">#REF!</definedName>
    <definedName name="_T_PLN_GWAT_Y05">#REF!</definedName>
    <definedName name="_T_PLN_GWAT_Y06">#REF!</definedName>
    <definedName name="_T_PLN_GWAT_Y07">#REF!</definedName>
    <definedName name="_T_PLN_GWAT_Y08">#REF!</definedName>
    <definedName name="_T_PLN_GWAT_Y09">#REF!</definedName>
    <definedName name="_T_PLN_GWAT_Y10">#REF!</definedName>
    <definedName name="_T_PLN_GWAT_Y90">#REF!</definedName>
    <definedName name="_T_PLN_GWAT_Y91">#REF!</definedName>
    <definedName name="_T_PLN_GWAT_Y92">#REF!</definedName>
    <definedName name="_T_PLN_GWAT_Y93">#REF!</definedName>
    <definedName name="_T_PLN_GWAT_Y94">#REF!</definedName>
    <definedName name="_T_PLN_GWAT_Y95">#REF!</definedName>
    <definedName name="_T_PLN_GWAT_Y96">#REF!</definedName>
    <definedName name="_T_PLN_GWAT_Y97">#REF!</definedName>
    <definedName name="_T_PLN_GWAT_Y98">#REF!</definedName>
    <definedName name="_T_PLN_GWAT_Y99">#REF!</definedName>
    <definedName name="_T_PLN_INT_CAPIT_LEASES_Y10">#REF!</definedName>
    <definedName name="_T_PLN_INT_CONVERT_Y10">#REF!</definedName>
    <definedName name="_T_PLN_INT_OTHER_Y10">#REF!</definedName>
    <definedName name="_T_PLN_INT_PAID_Y10">#REF!</definedName>
    <definedName name="_T_PLN_INT_PLNET_Y10">#REF!</definedName>
    <definedName name="_T_PLN_INT_RCVD_Y10">#REF!</definedName>
    <definedName name="_T_PLN_MINOR_Y10">#REF!</definedName>
    <definedName name="_T_PLN_NPAT_Y10">#REF!</definedName>
    <definedName name="_T_PLN_NPATTRIB_Y10">#REF!</definedName>
    <definedName name="_T_PLN_OTHER_PAT_Y00">#REF!</definedName>
    <definedName name="_T_PLN_OTHER_PAT_Y01">#REF!</definedName>
    <definedName name="_T_PLN_OTHER_PAT_Y02">#REF!</definedName>
    <definedName name="_T_PLN_OTHER_PAT_Y03">#REF!</definedName>
    <definedName name="_T_PLN_OTHER_PAT_Y04">#REF!</definedName>
    <definedName name="_T_PLN_OTHER_PAT_Y05">#REF!</definedName>
    <definedName name="_T_PLN_OTHER_PAT_Y06">#REF!</definedName>
    <definedName name="_T_PLN_OTHER_PAT_Y07">#REF!</definedName>
    <definedName name="_T_PLN_OTHER_PAT_Y08">#REF!</definedName>
    <definedName name="_T_PLN_OTHER_PAT_Y09">#REF!</definedName>
    <definedName name="_T_PLN_OTHER_PAT_Y10">#REF!</definedName>
    <definedName name="_T_PLN_OTHER_PAT_Y90">#REF!</definedName>
    <definedName name="_T_PLN_OTHER_PAT_Y91">#REF!</definedName>
    <definedName name="_T_PLN_OTHER_PAT_Y92">#REF!</definedName>
    <definedName name="_T_PLN_OTHER_PAT_Y93">#REF!</definedName>
    <definedName name="_T_PLN_OTHER_PAT_Y94">#REF!</definedName>
    <definedName name="_T_PLN_OTHER_PAT_Y95">#REF!</definedName>
    <definedName name="_T_PLN_OTHER_PAT_Y96">#REF!</definedName>
    <definedName name="_T_PLN_OTHER_PAT_Y97">#REF!</definedName>
    <definedName name="_T_PLN_OTHER_PAT_Y98">#REF!</definedName>
    <definedName name="_T_PLN_OTHER_PAT_Y99">#REF!</definedName>
    <definedName name="_T_PLN_OTHER_PBT_Y00">#REF!</definedName>
    <definedName name="_T_PLN_OTHER_PBT_Y01">#REF!</definedName>
    <definedName name="_T_PLN_OTHER_PBT_Y02">#REF!</definedName>
    <definedName name="_T_PLN_OTHER_PBT_Y03">#REF!</definedName>
    <definedName name="_T_PLN_OTHER_PBT_Y04">#REF!</definedName>
    <definedName name="_T_PLN_OTHER_PBT_Y05">#REF!</definedName>
    <definedName name="_T_PLN_OTHER_PBT_Y06">#REF!</definedName>
    <definedName name="_T_PLN_OTHER_PBT_Y07">#REF!</definedName>
    <definedName name="_T_PLN_OTHER_PBT_Y08">#REF!</definedName>
    <definedName name="_T_PLN_OTHER_PBT_Y09">#REF!</definedName>
    <definedName name="_T_PLN_OTHER_PBT_Y10">#REF!</definedName>
    <definedName name="_T_PLN_OTHER_PBT_Y90">#REF!</definedName>
    <definedName name="_T_PLN_OTHER_PBT_Y91">#REF!</definedName>
    <definedName name="_T_PLN_OTHER_PBT_Y92">#REF!</definedName>
    <definedName name="_T_PLN_OTHER_PBT_Y93">#REF!</definedName>
    <definedName name="_T_PLN_OTHER_PBT_Y94">#REF!</definedName>
    <definedName name="_T_PLN_OTHER_PBT_Y95">#REF!</definedName>
    <definedName name="_T_PLN_OTHER_PBT_Y96">#REF!</definedName>
    <definedName name="_T_PLN_OTHER_PBT_Y97">#REF!</definedName>
    <definedName name="_T_PLN_OTHER_PBT_Y98">#REF!</definedName>
    <definedName name="_T_PLN_OTHER_PBT_Y99">#REF!</definedName>
    <definedName name="_T_PLN_PAT_Y10">#REF!</definedName>
    <definedName name="_T_PLN_PBT_Y10">#REF!</definedName>
    <definedName name="_T_PLN_PREF_SUM_Y10">#REF!</definedName>
    <definedName name="_T_PLN_PROFITDISTR_Y10">#REF!</definedName>
    <definedName name="_T_PLN_PROV_Y10">#REF!</definedName>
    <definedName name="_T_PLN_RD_Y10">#REF!</definedName>
    <definedName name="_T_PLN_REPPROFIT_Y10">#REF!</definedName>
    <definedName name="_T_PLN_REV_OTHER_Y10">#REF!</definedName>
    <definedName name="_T_PLN_REV_SUM_Y10">#REF!</definedName>
    <definedName name="_T_PLN_ROYAL_Y10">#REF!</definedName>
    <definedName name="_T_PLN_RTRANS_Y10">#REF!</definedName>
    <definedName name="_T_PLN_SALES_SEG_OTHER_Y00">#REF!</definedName>
    <definedName name="_T_PLN_SALES_SEG_OTHER_Y01">#REF!</definedName>
    <definedName name="_T_PLN_SALES_SEG_OTHER_Y03">#REF!</definedName>
    <definedName name="_T_PLN_SALES_SEG_OTHER_Y04">#REF!</definedName>
    <definedName name="_T_PLN_SALES_SEG_OTHER_Y05">#REF!</definedName>
    <definedName name="_T_PLN_SALES_SEG_OTHER_Y06">#REF!</definedName>
    <definedName name="_T_PLN_SALES_SEG_OTHER_Y07">#REF!</definedName>
    <definedName name="_T_PLN_SALES_SEG_OTHER_Y08">#REF!</definedName>
    <definedName name="_T_PLN_SALES_SEG_OTHER_Y09">#REF!</definedName>
    <definedName name="_T_PLN_SALES_SEG_OTHER_Y10">#REF!</definedName>
    <definedName name="_T_PLN_SALES_SEG_OTHER_Y90">#REF!</definedName>
    <definedName name="_T_PLN_SALES_SEG_OTHER_Y91">#REF!</definedName>
    <definedName name="_T_PLN_SALES_SEG_OTHER_Y92">#REF!</definedName>
    <definedName name="_T_PLN_SALES_SEG_OTHER_Y93">#REF!</definedName>
    <definedName name="_T_PLN_SALES_SEG_OTHER_Y94">#REF!</definedName>
    <definedName name="_T_PLN_SALES_SEG_OTHER_Y95">#REF!</definedName>
    <definedName name="_T_PLN_SALES_SEG_OTHER_Y96">#REF!</definedName>
    <definedName name="_T_PLN_SALES_SEG_OTHER_Y97">#REF!</definedName>
    <definedName name="_T_PLN_SALES_SEG_OTHER_Y98">#REF!</definedName>
    <definedName name="_T_PLN_SALES_SEG_OTHER_Y99">#REF!</definedName>
    <definedName name="_T_PLN_SALES_SEG_SUM_Y00">#REF!</definedName>
    <definedName name="_T_PLN_SALES_SEG_SUM_Y01">#REF!</definedName>
    <definedName name="_T_PLN_SALES_SEG_SUM_Y02">#REF!</definedName>
    <definedName name="_T_PLN_SALES_SEG_SUM_Y03">#REF!</definedName>
    <definedName name="_T_PLN_SALES_SEG_SUM_Y04">#REF!</definedName>
    <definedName name="_T_PLN_SALES_SEG_SUM_Y05">#REF!</definedName>
    <definedName name="_T_PLN_SALES_SEG_SUM_Y06">#REF!</definedName>
    <definedName name="_T_PLN_SALES_SEG_SUM_Y07">#REF!</definedName>
    <definedName name="_T_PLN_SALES_SEG_SUM_Y08">#REF!</definedName>
    <definedName name="_T_PLN_SALES_SEG_SUM_Y09">#REF!</definedName>
    <definedName name="_T_PLN_SALES_SEG_SUM_Y10">#REF!</definedName>
    <definedName name="_T_PLN_SALES_SEG_SUM_Y90">#REF!</definedName>
    <definedName name="_T_PLN_SALES_SEG_SUM_Y91">#REF!</definedName>
    <definedName name="_T_PLN_SALES_SEG_SUM_Y92">#REF!</definedName>
    <definedName name="_T_PLN_SALES_SEG_SUM_Y93">#REF!</definedName>
    <definedName name="_T_PLN_SALES_SEG_SUM_Y94">#REF!</definedName>
    <definedName name="_T_PLN_SALES_SEG_SUM_Y95">#REF!</definedName>
    <definedName name="_T_PLN_SALES_SEG_SUM_Y96">#REF!</definedName>
    <definedName name="_T_PLN_SALES_SEG_SUM_Y97">#REF!</definedName>
    <definedName name="_T_PLN_SALES_SEG_SUM_Y98">#REF!</definedName>
    <definedName name="_T_PLN_SALES_SEG_SUM_Y99">#REF!</definedName>
    <definedName name="_T_PLN_SALES_SEG1_Y90">#REF!</definedName>
    <definedName name="_T_PLN_SALES_SEG10_Y00">#REF!</definedName>
    <definedName name="_T_PLN_SALES_SEG10_Y01">#REF!</definedName>
    <definedName name="_T_PLN_SALES_SEG10_Y02">#REF!</definedName>
    <definedName name="_T_PLN_SALES_SEG10_Y03">#REF!</definedName>
    <definedName name="_T_PLN_SALES_SEG10_Y04">#REF!</definedName>
    <definedName name="_T_PLN_SALES_SEG10_Y05">#REF!</definedName>
    <definedName name="_T_PLN_SALES_SEG10_Y06">#REF!</definedName>
    <definedName name="_T_PLN_SALES_SEG10_Y07">#REF!</definedName>
    <definedName name="_T_PLN_SALES_SEG10_Y08">#REF!</definedName>
    <definedName name="_T_PLN_SALES_SEG10_Y09">#REF!</definedName>
    <definedName name="_T_PLN_SALES_SEG10_Y10">#REF!</definedName>
    <definedName name="_T_PLN_SALES_SEG10_Y90">#REF!</definedName>
    <definedName name="_T_PLN_SALES_SEG10_Y91">#REF!</definedName>
    <definedName name="_T_PLN_SALES_SEG10_Y92">#REF!</definedName>
    <definedName name="_T_PLN_SALES_SEG10_Y93">#REF!</definedName>
    <definedName name="_T_PLN_SALES_SEG10_Y94">#REF!</definedName>
    <definedName name="_T_PLN_SALES_SEG10_Y95">#REF!</definedName>
    <definedName name="_T_PLN_SALES_SEG10_Y96">#REF!</definedName>
    <definedName name="_T_PLN_SALES_SEG10_Y97">#REF!</definedName>
    <definedName name="_T_PLN_SALES_SEG10_Y98">#REF!</definedName>
    <definedName name="_T_PLN_SALES_SEG10_Y99">#REF!</definedName>
    <definedName name="_T_PLN_SALES_SEG11_Y00">#REF!</definedName>
    <definedName name="_T_PLN_SALES_SEG11_Y01">#REF!</definedName>
    <definedName name="_T_PLN_SALES_SEG11_Y02">#REF!</definedName>
    <definedName name="_T_PLN_SALES_SEG11_Y03">#REF!</definedName>
    <definedName name="_T_PLN_SALES_SEG11_Y04">#REF!</definedName>
    <definedName name="_T_PLN_SALES_SEG11_Y05">#REF!</definedName>
    <definedName name="_T_PLN_SALES_SEG11_Y06">#REF!</definedName>
    <definedName name="_T_PLN_SALES_SEG11_Y07">#REF!</definedName>
    <definedName name="_T_PLN_SALES_SEG11_Y08">#REF!</definedName>
    <definedName name="_T_PLN_SALES_SEG11_Y09">#REF!</definedName>
    <definedName name="_T_PLN_SALES_SEG11_Y10">#REF!</definedName>
    <definedName name="_T_PLN_SALES_SEG11_Y90">#REF!</definedName>
    <definedName name="_T_PLN_SALES_SEG11_Y91">#REF!</definedName>
    <definedName name="_T_PLN_SALES_SEG11_Y92">#REF!</definedName>
    <definedName name="_T_PLN_SALES_SEG11_Y93">#REF!</definedName>
    <definedName name="_T_PLN_SALES_SEG11_Y94">#REF!</definedName>
    <definedName name="_T_PLN_SALES_SEG11_Y95">#REF!</definedName>
    <definedName name="_T_PLN_SALES_SEG11_Y96">#REF!</definedName>
    <definedName name="_T_PLN_SALES_SEG11_Y97">#REF!</definedName>
    <definedName name="_T_PLN_SALES_SEG11_Y98">#REF!</definedName>
    <definedName name="_T_PLN_SALES_SEG11_Y99">#REF!</definedName>
    <definedName name="_T_PLN_SALES_SEG12_Y00">#REF!</definedName>
    <definedName name="_T_PLN_SALES_SEG12_Y01">#REF!</definedName>
    <definedName name="_T_PLN_SALES_SEG12_Y02">#REF!</definedName>
    <definedName name="_T_PLN_SALES_SEG12_Y03">#REF!</definedName>
    <definedName name="_T_PLN_SALES_SEG12_Y04">#REF!</definedName>
    <definedName name="_T_PLN_SALES_SEG12_Y05">#REF!</definedName>
    <definedName name="_T_PLN_SALES_SEG12_Y06">#REF!</definedName>
    <definedName name="_T_PLN_SALES_SEG12_Y07">#REF!</definedName>
    <definedName name="_T_PLN_SALES_SEG12_Y08">#REF!</definedName>
    <definedName name="_T_PLN_SALES_SEG12_Y09">#REF!</definedName>
    <definedName name="_T_PLN_SALES_SEG12_Y10">#REF!</definedName>
    <definedName name="_T_PLN_SALES_SEG12_Y90">#REF!</definedName>
    <definedName name="_T_PLN_SALES_SEG12_Y91">#REF!</definedName>
    <definedName name="_T_PLN_SALES_SEG12_Y92">#REF!</definedName>
    <definedName name="_T_PLN_SALES_SEG12_Y93">#REF!</definedName>
    <definedName name="_T_PLN_SALES_SEG12_Y94">#REF!</definedName>
    <definedName name="_T_PLN_SALES_SEG12_Y95">#REF!</definedName>
    <definedName name="_T_PLN_SALES_SEG12_Y96">#REF!</definedName>
    <definedName name="_T_PLN_SALES_SEG12_Y97">#REF!</definedName>
    <definedName name="_T_PLN_SALES_SEG12_Y98">#REF!</definedName>
    <definedName name="_T_PLN_SALES_SEG12_Y99">#REF!</definedName>
    <definedName name="_T_PLN_SALES_SEG13_Y00">#REF!</definedName>
    <definedName name="_T_PLN_SALES_SEG13_Y01">#REF!</definedName>
    <definedName name="_T_PLN_SALES_SEG13_Y02">#REF!</definedName>
    <definedName name="_T_PLN_SALES_SEG13_Y03">#REF!</definedName>
    <definedName name="_T_PLN_SALES_SEG13_Y04">#REF!</definedName>
    <definedName name="_T_PLN_SALES_SEG13_Y05">#REF!</definedName>
    <definedName name="_T_PLN_SALES_SEG13_Y06">#REF!</definedName>
    <definedName name="_T_PLN_SALES_SEG13_Y07">#REF!</definedName>
    <definedName name="_T_PLN_SALES_SEG13_Y08">#REF!</definedName>
    <definedName name="_T_PLN_SALES_SEG13_Y09">#REF!</definedName>
    <definedName name="_T_PLN_SALES_SEG13_Y10">#REF!</definedName>
    <definedName name="_T_PLN_SALES_SEG13_Y90">#REF!</definedName>
    <definedName name="_T_PLN_SALES_SEG13_Y91">#REF!</definedName>
    <definedName name="_T_PLN_SALES_SEG13_Y92">#REF!</definedName>
    <definedName name="_T_PLN_SALES_SEG13_Y93">#REF!</definedName>
    <definedName name="_T_PLN_SALES_SEG13_Y94">#REF!</definedName>
    <definedName name="_T_PLN_SALES_SEG13_Y95">#REF!</definedName>
    <definedName name="_T_PLN_SALES_SEG13_Y96">#REF!</definedName>
    <definedName name="_T_PLN_SALES_SEG13_Y97">#REF!</definedName>
    <definedName name="_T_PLN_SALES_SEG13_Y98">#REF!</definedName>
    <definedName name="_T_PLN_SALES_SEG13_Y99">#REF!</definedName>
    <definedName name="_T_PLN_SALES_SEG14_Y00">#REF!</definedName>
    <definedName name="_T_PLN_SALES_SEG14_Y01">#REF!</definedName>
    <definedName name="_T_PLN_SALES_SEG14_Y02">#REF!</definedName>
    <definedName name="_T_PLN_SALES_SEG14_Y03">#REF!</definedName>
    <definedName name="_T_PLN_SALES_SEG14_Y04">#REF!</definedName>
    <definedName name="_T_PLN_SALES_SEG14_Y05">#REF!</definedName>
    <definedName name="_T_PLN_SALES_SEG14_Y06">#REF!</definedName>
    <definedName name="_T_PLN_SALES_SEG14_Y07">#REF!</definedName>
    <definedName name="_T_PLN_SALES_SEG14_Y08">#REF!</definedName>
    <definedName name="_T_PLN_SALES_SEG14_Y09">#REF!</definedName>
    <definedName name="_T_PLN_SALES_SEG14_Y10">#REF!</definedName>
    <definedName name="_T_PLN_SALES_SEG14_Y90">#REF!</definedName>
    <definedName name="_T_PLN_SALES_SEG14_Y91">#REF!</definedName>
    <definedName name="_T_PLN_SALES_SEG14_Y92">#REF!</definedName>
    <definedName name="_T_PLN_SALES_SEG14_Y93">#REF!</definedName>
    <definedName name="_T_PLN_SALES_SEG14_Y94">#REF!</definedName>
    <definedName name="_T_PLN_SALES_SEG14_Y95">#REF!</definedName>
    <definedName name="_T_PLN_SALES_SEG14_Y96">#REF!</definedName>
    <definedName name="_T_PLN_SALES_SEG14_Y97">#REF!</definedName>
    <definedName name="_T_PLN_SALES_SEG14_Y98">#REF!</definedName>
    <definedName name="_T_PLN_SALES_SEG14_Y99">#REF!</definedName>
    <definedName name="_T_PLN_SALES_SEG15_Y00">#REF!</definedName>
    <definedName name="_T_PLN_SALES_SEG15_Y01">#REF!</definedName>
    <definedName name="_T_PLN_SALES_SEG15_Y02">#REF!</definedName>
    <definedName name="_T_PLN_SALES_SEG15_Y03">#REF!</definedName>
    <definedName name="_T_PLN_SALES_SEG15_Y04">#REF!</definedName>
    <definedName name="_T_PLN_SALES_SEG15_Y05">#REF!</definedName>
    <definedName name="_T_PLN_SALES_SEG15_Y06">#REF!</definedName>
    <definedName name="_T_PLN_SALES_SEG15_Y07">#REF!</definedName>
    <definedName name="_T_PLN_SALES_SEG15_Y08">#REF!</definedName>
    <definedName name="_T_PLN_SALES_SEG15_Y09">#REF!</definedName>
    <definedName name="_T_PLN_SALES_SEG15_Y10">#REF!</definedName>
    <definedName name="_T_PLN_SALES_SEG15_Y90">#REF!</definedName>
    <definedName name="_T_PLN_SALES_SEG15_Y91">#REF!</definedName>
    <definedName name="_T_PLN_SALES_SEG15_Y92">#REF!</definedName>
    <definedName name="_T_PLN_SALES_SEG15_Y93">#REF!</definedName>
    <definedName name="_T_PLN_SALES_SEG15_Y94">#REF!</definedName>
    <definedName name="_T_PLN_SALES_SEG15_Y95">#REF!</definedName>
    <definedName name="_T_PLN_SALES_SEG15_Y96">#REF!</definedName>
    <definedName name="_T_PLN_SALES_SEG15_Y97">#REF!</definedName>
    <definedName name="_T_PLN_SALES_SEG15_Y98">#REF!</definedName>
    <definedName name="_T_PLN_SALES_SEG15_Y99">#REF!</definedName>
    <definedName name="_T_PLN_SALES_SEG2_Y90">#REF!</definedName>
    <definedName name="_T_PLN_SALES_SEG3_Y90">#REF!</definedName>
    <definedName name="_T_PLN_SALES_SEG4_Y90">#REF!</definedName>
    <definedName name="_T_PLN_SALES_SEG5_Y90">#REF!</definedName>
    <definedName name="_T_PLN_SALES_SEG6_Y90">#REF!</definedName>
    <definedName name="_T_PLN_SALES_SEG7_Y90">#REF!</definedName>
    <definedName name="_T_PLN_SALES_SEG8_Y00">#REF!</definedName>
    <definedName name="_T_PLN_SALES_SEG8_Y01">#REF!</definedName>
    <definedName name="_T_PLN_SALES_SEG8_Y02">#REF!</definedName>
    <definedName name="_T_PLN_SALES_SEG8_Y03">#REF!</definedName>
    <definedName name="_T_PLN_SALES_SEG8_Y04">#REF!</definedName>
    <definedName name="_T_PLN_SALES_SEG8_Y05">#REF!</definedName>
    <definedName name="_T_PLN_SALES_SEG8_Y06">#REF!</definedName>
    <definedName name="_T_PLN_SALES_SEG8_Y07">#REF!</definedName>
    <definedName name="_T_PLN_SALES_SEG8_Y08">#REF!</definedName>
    <definedName name="_T_PLN_SALES_SEG8_Y09">#REF!</definedName>
    <definedName name="_T_PLN_SALES_SEG8_Y10">#REF!</definedName>
    <definedName name="_T_PLN_SALES_SEG8_Y90">#REF!</definedName>
    <definedName name="_T_PLN_SALES_SEG8_Y91">#REF!</definedName>
    <definedName name="_T_PLN_SALES_SEG8_Y92">#REF!</definedName>
    <definedName name="_T_PLN_SALES_SEG8_Y93">#REF!</definedName>
    <definedName name="_T_PLN_SALES_SEG8_Y94">#REF!</definedName>
    <definedName name="_T_PLN_SALES_SEG8_Y95">#REF!</definedName>
    <definedName name="_T_PLN_SALES_SEG8_Y96">#REF!</definedName>
    <definedName name="_T_PLN_SALES_SEG8_Y97">#REF!</definedName>
    <definedName name="_T_PLN_SALES_SEG8_Y98">#REF!</definedName>
    <definedName name="_T_PLN_SALES_SEG8_Y99">#REF!</definedName>
    <definedName name="_T_PLN_SALES_SEG9_Y00">#REF!</definedName>
    <definedName name="_T_PLN_SALES_SEG9_Y01">#REF!</definedName>
    <definedName name="_T_PLN_SALES_SEG9_Y02">#REF!</definedName>
    <definedName name="_T_PLN_SALES_SEG9_Y03">#REF!</definedName>
    <definedName name="_T_PLN_SALES_SEG9_Y04">#REF!</definedName>
    <definedName name="_T_PLN_SALES_SEG9_Y05">#REF!</definedName>
    <definedName name="_T_PLN_SALES_SEG9_Y06">#REF!</definedName>
    <definedName name="_T_PLN_SALES_SEG9_Y07">#REF!</definedName>
    <definedName name="_T_PLN_SALES_SEG9_Y08">#REF!</definedName>
    <definedName name="_T_PLN_SALES_SEG9_Y09">#REF!</definedName>
    <definedName name="_T_PLN_SALES_SEG9_Y10">#REF!</definedName>
    <definedName name="_T_PLN_SALES_SEG9_Y90">#REF!</definedName>
    <definedName name="_T_PLN_SALES_SEG9_Y91">#REF!</definedName>
    <definedName name="_T_PLN_SALES_SEG9_Y92">#REF!</definedName>
    <definedName name="_T_PLN_SALES_SEG9_Y93">#REF!</definedName>
    <definedName name="_T_PLN_SALES_SEG9_Y94">#REF!</definedName>
    <definedName name="_T_PLN_SALES_SEG9_Y95">#REF!</definedName>
    <definedName name="_T_PLN_SALES_SEG9_Y96">#REF!</definedName>
    <definedName name="_T_PLN_SALES_SEG9_Y97">#REF!</definedName>
    <definedName name="_T_PLN_SALES_SEG9_Y98">#REF!</definedName>
    <definedName name="_T_PLN_SALES_SEG9_Y99">#REF!</definedName>
    <definedName name="_T_PLN_SALES_Y10">#REF!</definedName>
    <definedName name="_T_PLN_SGA_Y00">#REF!</definedName>
    <definedName name="_T_PLN_SGA_Y01">#REF!</definedName>
    <definedName name="_T_PLN_SGA_Y02">#REF!</definedName>
    <definedName name="_T_PLN_SGA_Y03">#REF!</definedName>
    <definedName name="_T_PLN_SGA_Y04">#REF!</definedName>
    <definedName name="_T_PLN_SGA_Y05">#REF!</definedName>
    <definedName name="_T_PLN_SGA_Y06">#REF!</definedName>
    <definedName name="_T_PLN_SGA_Y07">#REF!</definedName>
    <definedName name="_T_PLN_SGA_Y08">#REF!</definedName>
    <definedName name="_T_PLN_SGA_Y09">#REF!</definedName>
    <definedName name="_T_PLN_SGA_Y10">#REF!</definedName>
    <definedName name="_T_PLN_SGA_Y90">#REF!</definedName>
    <definedName name="_T_PLN_SGA_Y91">#REF!</definedName>
    <definedName name="_T_PLN_SGA_Y92">#REF!</definedName>
    <definedName name="_T_PLN_SGA_Y93">#REF!</definedName>
    <definedName name="_T_PLN_SGA_Y94">#REF!</definedName>
    <definedName name="_T_PLN_SGA_Y95">#REF!</definedName>
    <definedName name="_T_PLN_SGA_Y96">#REF!</definedName>
    <definedName name="_T_PLN_SGA_Y97">#REF!</definedName>
    <definedName name="_T_PLN_SGA_Y98">#REF!</definedName>
    <definedName name="_T_PLN_SGA_Y99">#REF!</definedName>
    <definedName name="_T_PLN_TAX_Y10">#REF!</definedName>
    <definedName name="_T_PROJECT_PER_12">#REF!</definedName>
    <definedName name="_T_PROP_HOTEL_Y00">#REF!</definedName>
    <definedName name="_T_PROP_HOTEL_Y01">#REF!</definedName>
    <definedName name="_T_PROP_HOTEL_Y02">#REF!</definedName>
    <definedName name="_T_PROP_HOTEL_Y03">#REF!</definedName>
    <definedName name="_T_PROP_HOTEL_Y04">#REF!</definedName>
    <definedName name="_T_PROP_HOTEL_Y05">#REF!</definedName>
    <definedName name="_T_PROP_HOTEL_Y06">#REF!</definedName>
    <definedName name="_T_PROP_HOTEL_Y07">#REF!</definedName>
    <definedName name="_T_PROP_HOTEL_Y08">#REF!</definedName>
    <definedName name="_T_PROP_HOTEL_Y09">#REF!</definedName>
    <definedName name="_T_PROP_HOTEL_Y10">#REF!</definedName>
    <definedName name="_T_PROP_HOTEL_Y90">#REF!</definedName>
    <definedName name="_T_PROP_HOTEL_Y91">#REF!</definedName>
    <definedName name="_T_PROP_HOTEL_Y92">#REF!</definedName>
    <definedName name="_T_PROP_HOTEL_Y93">#REF!</definedName>
    <definedName name="_T_PROP_HOTEL_Y94">#REF!</definedName>
    <definedName name="_T_PROP_HOTEL_Y95">#REF!</definedName>
    <definedName name="_T_PROP_HOTEL_Y96">#REF!</definedName>
    <definedName name="_T_PROP_HOTEL_Y97">#REF!</definedName>
    <definedName name="_T_PROP_HOTEL_Y98">#REF!</definedName>
    <definedName name="_T_PROP_HOTEL_Y99">#REF!</definedName>
    <definedName name="_T_PROP_INDUSTRIAL_Y00">#REF!</definedName>
    <definedName name="_T_PROP_INDUSTRIAL_Y01">#REF!</definedName>
    <definedName name="_T_PROP_INDUSTRIAL_Y02">#REF!</definedName>
    <definedName name="_T_PROP_INDUSTRIAL_Y03">#REF!</definedName>
    <definedName name="_T_PROP_INDUSTRIAL_Y04">#REF!</definedName>
    <definedName name="_T_PROP_INDUSTRIAL_Y05">#REF!</definedName>
    <definedName name="_T_PROP_INDUSTRIAL_Y06">#REF!</definedName>
    <definedName name="_T_PROP_INDUSTRIAL_Y07">#REF!</definedName>
    <definedName name="_T_PROP_INDUSTRIAL_Y08">#REF!</definedName>
    <definedName name="_T_PROP_INDUSTRIAL_Y09">#REF!</definedName>
    <definedName name="_T_PROP_INDUSTRIAL_Y10">#REF!</definedName>
    <definedName name="_T_PROP_INDUSTRIAL_Y90">#REF!</definedName>
    <definedName name="_T_PROP_INDUSTRIAL_Y91">#REF!</definedName>
    <definedName name="_T_PROP_INDUSTRIAL_Y92">#REF!</definedName>
    <definedName name="_T_PROP_INDUSTRIAL_Y93">#REF!</definedName>
    <definedName name="_T_PROP_INDUSTRIAL_Y94">#REF!</definedName>
    <definedName name="_T_PROP_INDUSTRIAL_Y95">#REF!</definedName>
    <definedName name="_T_PROP_INDUSTRIAL_Y96">#REF!</definedName>
    <definedName name="_T_PROP_INDUSTRIAL_Y97">#REF!</definedName>
    <definedName name="_T_PROP_INDUSTRIAL_Y98">#REF!</definedName>
    <definedName name="_T_PROP_INDUSTRIAL_Y99">#REF!</definedName>
    <definedName name="_T_PROP_RETAIL_Y00">#REF!</definedName>
    <definedName name="_T_PROP_RETAIL_Y01">#REF!</definedName>
    <definedName name="_T_PROP_RETAIL_Y02">#REF!</definedName>
    <definedName name="_T_PROP_RETAIL_Y03">#REF!</definedName>
    <definedName name="_T_PROP_RETAIL_Y04">#REF!</definedName>
    <definedName name="_T_PROP_RETAIL_Y05">#REF!</definedName>
    <definedName name="_T_PROP_RETAIL_Y06">#REF!</definedName>
    <definedName name="_T_PROP_RETAIL_Y07">#REF!</definedName>
    <definedName name="_T_PROP_RETAIL_Y08">#REF!</definedName>
    <definedName name="_T_PROP_RETAIL_Y09">#REF!</definedName>
    <definedName name="_T_PROP_RETAIL_Y10">#REF!</definedName>
    <definedName name="_T_PROP_RETAIL_Y90">#REF!</definedName>
    <definedName name="_T_PROP_RETAIL_Y91">#REF!</definedName>
    <definedName name="_T_PROP_RETAIL_Y92">#REF!</definedName>
    <definedName name="_T_PROP_RETAIL_Y93">#REF!</definedName>
    <definedName name="_T_PROP_RETAIL_Y94">#REF!</definedName>
    <definedName name="_T_PROP_RETAIL_Y95">#REF!</definedName>
    <definedName name="_T_PROP_RETAIL_Y96">#REF!</definedName>
    <definedName name="_T_PROP_RETAIL_Y97">#REF!</definedName>
    <definedName name="_T_PROP_RETAIL_Y98">#REF!</definedName>
    <definedName name="_T_PROP_RETAIL_Y99">#REF!</definedName>
    <definedName name="_T_RES_ALUMINA_Y00">#REF!</definedName>
    <definedName name="_T_RES_ALUMINA_Y01">#REF!</definedName>
    <definedName name="_T_RES_ALUMINA_Y02">#REF!</definedName>
    <definedName name="_T_RES_ALUMINA_Y03">#REF!</definedName>
    <definedName name="_T_RES_ALUMINA_Y04">#REF!</definedName>
    <definedName name="_T_RES_ALUMINA_Y05">#REF!</definedName>
    <definedName name="_T_RES_ALUMINA_Y06">#REF!</definedName>
    <definedName name="_T_RES_ALUMINA_Y07">#REF!</definedName>
    <definedName name="_T_RES_ALUMINA_Y08">#REF!</definedName>
    <definedName name="_T_RES_ALUMINA_Y09">#REF!</definedName>
    <definedName name="_T_RES_ALUMINA_Y10">#REF!</definedName>
    <definedName name="_T_RES_ALUMINA_Y90">#REF!</definedName>
    <definedName name="_T_RES_ALUMINA_Y91">#REF!</definedName>
    <definedName name="_T_RES_ALUMINA_Y92">#REF!</definedName>
    <definedName name="_T_RES_ALUMINA_Y93">#REF!</definedName>
    <definedName name="_T_RES_ALUMINA_Y94">#REF!</definedName>
    <definedName name="_T_RES_ALUMINA_Y95">#REF!</definedName>
    <definedName name="_T_RES_ALUMINA_Y96">#REF!</definedName>
    <definedName name="_T_RES_ALUMINA_Y97">#REF!</definedName>
    <definedName name="_T_RES_ALUMINA_Y98">#REF!</definedName>
    <definedName name="_T_RES_ALUMINA_Y99">#REF!</definedName>
    <definedName name="_T_RES_ALUMINIUM_Y00">#REF!</definedName>
    <definedName name="_T_RES_ALUMINIUM_Y01">#REF!</definedName>
    <definedName name="_T_RES_ALUMINIUM_Y02">#REF!</definedName>
    <definedName name="_T_RES_ALUMINIUM_Y03">#REF!</definedName>
    <definedName name="_T_RES_ALUMINIUM_Y04">#REF!</definedName>
    <definedName name="_T_RES_ALUMINIUM_Y05">#REF!</definedName>
    <definedName name="_T_RES_ALUMINIUM_Y06">#REF!</definedName>
    <definedName name="_T_RES_ALUMINIUM_Y07">#REF!</definedName>
    <definedName name="_T_RES_ALUMINIUM_Y08">#REF!</definedName>
    <definedName name="_T_RES_ALUMINIUM_Y09">#REF!</definedName>
    <definedName name="_T_RES_ALUMINIUM_Y10">#REF!</definedName>
    <definedName name="_T_RES_ALUMINIUM_Y90">#REF!</definedName>
    <definedName name="_T_RES_ALUMINIUM_Y91">#REF!</definedName>
    <definedName name="_T_RES_ALUMINIUM_Y92">#REF!</definedName>
    <definedName name="_T_RES_ALUMINIUM_Y93">#REF!</definedName>
    <definedName name="_T_RES_ALUMINIUM_Y94">#REF!</definedName>
    <definedName name="_T_RES_ALUMINIUM_Y95">#REF!</definedName>
    <definedName name="_T_RES_ALUMINIUM_Y96">#REF!</definedName>
    <definedName name="_T_RES_ALUMINIUM_Y97">#REF!</definedName>
    <definedName name="_T_RES_ALUMINIUM_Y98">#REF!</definedName>
    <definedName name="_T_RES_ALUMINIUM_Y99">#REF!</definedName>
    <definedName name="_T_RES_COALHARD_VALUE_Y00">#REF!</definedName>
    <definedName name="_T_RES_COALHARD_VALUE_Y01">#REF!</definedName>
    <definedName name="_T_RES_COALHARD_VALUE_Y02">#REF!</definedName>
    <definedName name="_T_RES_COALHARD_VALUE_Y03">#REF!</definedName>
    <definedName name="_T_RES_COALHARD_VALUE_Y04">#REF!</definedName>
    <definedName name="_T_RES_COALHARD_VALUE_Y05">#REF!</definedName>
    <definedName name="_T_RES_COALHARD_VALUE_Y06">#REF!</definedName>
    <definedName name="_T_RES_COALHARD_VALUE_Y07">#REF!</definedName>
    <definedName name="_T_RES_COALHARD_VALUE_Y08">#REF!</definedName>
    <definedName name="_T_RES_COALHARD_VALUE_Y09">#REF!</definedName>
    <definedName name="_T_RES_COALHARD_VALUE_Y10">#REF!</definedName>
    <definedName name="_T_RES_COALHARD_VALUE_Y90">#REF!</definedName>
    <definedName name="_T_RES_COALHARD_VALUE_Y91">#REF!</definedName>
    <definedName name="_T_RES_COALHARD_VALUE_Y92">#REF!</definedName>
    <definedName name="_T_RES_COALHARD_VALUE_Y93">#REF!</definedName>
    <definedName name="_T_RES_COALHARD_VALUE_Y94">#REF!</definedName>
    <definedName name="_T_RES_COALHARD_VALUE_Y95">#REF!</definedName>
    <definedName name="_T_RES_COALHARD_VALUE_Y96">#REF!</definedName>
    <definedName name="_T_RES_COALHARD_VALUE_Y97">#REF!</definedName>
    <definedName name="_T_RES_COALHARD_VALUE_Y98">#REF!</definedName>
    <definedName name="_T_RES_COALHARD_VALUE_Y99">#REF!</definedName>
    <definedName name="_T_RES_COALSEMI_Y00">#REF!</definedName>
    <definedName name="_T_RES_COALSEMI_Y01">#REF!</definedName>
    <definedName name="_T_RES_COALSEMI_Y02">#REF!</definedName>
    <definedName name="_T_RES_COALSEMI_Y03">#REF!</definedName>
    <definedName name="_T_RES_COALSEMI_Y04">#REF!</definedName>
    <definedName name="_T_RES_COALSEMI_Y05">#REF!</definedName>
    <definedName name="_T_RES_COALSEMI_Y06">#REF!</definedName>
    <definedName name="_T_RES_COALSEMI_Y07">#REF!</definedName>
    <definedName name="_T_RES_COALSEMI_Y08">#REF!</definedName>
    <definedName name="_T_RES_COALSEMI_Y09">#REF!</definedName>
    <definedName name="_T_RES_COALSEMI_Y10">#REF!</definedName>
    <definedName name="_T_RES_COALSEMI_Y90">#REF!</definedName>
    <definedName name="_T_RES_COALSEMI_Y91">#REF!</definedName>
    <definedName name="_T_RES_COALSEMI_Y92">#REF!</definedName>
    <definedName name="_T_RES_COALSEMI_Y93">#REF!</definedName>
    <definedName name="_T_RES_COALSEMI_Y94">#REF!</definedName>
    <definedName name="_T_RES_COALSEMI_Y95">#REF!</definedName>
    <definedName name="_T_RES_COALSEMI_Y96">#REF!</definedName>
    <definedName name="_T_RES_COALSEMI_Y97">#REF!</definedName>
    <definedName name="_T_RES_COALSEMI_Y98">#REF!</definedName>
    <definedName name="_T_RES_COALSEMI_Y99">#REF!</definedName>
    <definedName name="_T_RES_COALTHERMAL_Y00">#REF!</definedName>
    <definedName name="_T_RES_COALTHERMAL_Y01">#REF!</definedName>
    <definedName name="_T_RES_COALTHERMAL_Y02">#REF!</definedName>
    <definedName name="_T_RES_COALTHERMAL_Y03">#REF!</definedName>
    <definedName name="_T_RES_COALTHERMAL_Y04">#REF!</definedName>
    <definedName name="_T_RES_COALTHERMAL_Y05">#REF!</definedName>
    <definedName name="_T_RES_COALTHERMAL_Y06">#REF!</definedName>
    <definedName name="_T_RES_COALTHERMAL_Y07">#REF!</definedName>
    <definedName name="_T_RES_COALTHERMAL_Y08">#REF!</definedName>
    <definedName name="_T_RES_COALTHERMAL_Y09">#REF!</definedName>
    <definedName name="_T_RES_COALTHERMAL_Y10">#REF!</definedName>
    <definedName name="_T_RES_COALTHERMAL_Y90">#REF!</definedName>
    <definedName name="_T_RES_COALTHERMAL_Y91">#REF!</definedName>
    <definedName name="_T_RES_COALTHERMAL_Y92">#REF!</definedName>
    <definedName name="_T_RES_COALTHERMAL_Y93">#REF!</definedName>
    <definedName name="_T_RES_COALTHERMAL_Y94">#REF!</definedName>
    <definedName name="_T_RES_COALTHERMAL_Y95">#REF!</definedName>
    <definedName name="_T_RES_COALTHERMAL_Y96">#REF!</definedName>
    <definedName name="_T_RES_COALTHERMAL_Y97">#REF!</definedName>
    <definedName name="_T_RES_COALTHERMAL_Y98">#REF!</definedName>
    <definedName name="_T_RES_COALTHERMAL_Y99">#REF!</definedName>
    <definedName name="_T_RES_CONDENSATE_Y00">#REF!</definedName>
    <definedName name="_T_RES_CONDENSATE_Y01">#REF!</definedName>
    <definedName name="_T_RES_CONDENSATE_Y02">#REF!</definedName>
    <definedName name="_T_RES_CONDENSATE_Y03">#REF!</definedName>
    <definedName name="_T_RES_CONDENSATE_Y04">#REF!</definedName>
    <definedName name="_T_RES_CONDENSATE_Y05">#REF!</definedName>
    <definedName name="_T_RES_CONDENSATE_Y06">#REF!</definedName>
    <definedName name="_T_RES_CONDENSATE_Y07">#REF!</definedName>
    <definedName name="_T_RES_CONDENSATE_Y08">#REF!</definedName>
    <definedName name="_T_RES_CONDENSATE_Y09">#REF!</definedName>
    <definedName name="_T_RES_CONDENSATE_Y10">#REF!</definedName>
    <definedName name="_T_RES_CONDENSATE_Y90">#REF!</definedName>
    <definedName name="_T_RES_CONDENSATE_Y91">#REF!</definedName>
    <definedName name="_T_RES_CONDENSATE_Y92">#REF!</definedName>
    <definedName name="_T_RES_CONDENSATE_Y93">#REF!</definedName>
    <definedName name="_T_RES_CONDENSATE_Y94">#REF!</definedName>
    <definedName name="_T_RES_CONDENSATE_Y95">#REF!</definedName>
    <definedName name="_T_RES_CONDENSATE_Y96">#REF!</definedName>
    <definedName name="_T_RES_CONDENSATE_Y97">#REF!</definedName>
    <definedName name="_T_RES_CONDENSATE_Y98">#REF!</definedName>
    <definedName name="_T_RES_CONDENSATE_Y99">#REF!</definedName>
    <definedName name="_T_RES_COPPER_Y00">#REF!</definedName>
    <definedName name="_T_RES_COPPER_Y01">#REF!</definedName>
    <definedName name="_T_RES_COPPER_Y02">#REF!</definedName>
    <definedName name="_T_RES_COPPER_Y03">#REF!</definedName>
    <definedName name="_T_RES_COPPER_Y04">#REF!</definedName>
    <definedName name="_T_RES_COPPER_Y05">#REF!</definedName>
    <definedName name="_T_RES_COPPER_Y06">#REF!</definedName>
    <definedName name="_T_RES_COPPER_Y07">#REF!</definedName>
    <definedName name="_T_RES_COPPER_Y08">#REF!</definedName>
    <definedName name="_T_RES_COPPER_Y09">#REF!</definedName>
    <definedName name="_T_RES_COPPER_Y10">#REF!</definedName>
    <definedName name="_T_RES_COPPER_Y90">#REF!</definedName>
    <definedName name="_T_RES_COPPER_Y91">#REF!</definedName>
    <definedName name="_T_RES_COPPER_Y92">#REF!</definedName>
    <definedName name="_T_RES_COPPER_Y93">#REF!</definedName>
    <definedName name="_T_RES_COPPER_Y94">#REF!</definedName>
    <definedName name="_T_RES_COPPER_Y95">#REF!</definedName>
    <definedName name="_T_RES_COPPER_Y96">#REF!</definedName>
    <definedName name="_T_RES_COPPER_Y97">#REF!</definedName>
    <definedName name="_T_RES_COPPER_Y98">#REF!</definedName>
    <definedName name="_T_RES_COPPER_Y99">#REF!</definedName>
    <definedName name="_T_RES_GAS_Y00">#REF!</definedName>
    <definedName name="_T_RES_GAS_Y01">#REF!</definedName>
    <definedName name="_T_RES_GAS_Y02">#REF!</definedName>
    <definedName name="_T_RES_GAS_Y03">#REF!</definedName>
    <definedName name="_T_RES_GAS_Y04">#REF!</definedName>
    <definedName name="_T_RES_GAS_Y05">#REF!</definedName>
    <definedName name="_T_RES_GAS_Y06">#REF!</definedName>
    <definedName name="_T_RES_GAS_Y07">#REF!</definedName>
    <definedName name="_T_RES_GAS_Y08">#REF!</definedName>
    <definedName name="_T_RES_GAS_Y09">#REF!</definedName>
    <definedName name="_T_RES_GAS_Y10">#REF!</definedName>
    <definedName name="_T_RES_GAS_Y90">#REF!</definedName>
    <definedName name="_T_RES_GAS_Y91">#REF!</definedName>
    <definedName name="_T_RES_GAS_Y92">#REF!</definedName>
    <definedName name="_T_RES_GAS_Y93">#REF!</definedName>
    <definedName name="_T_RES_GAS_Y94">#REF!</definedName>
    <definedName name="_T_RES_GAS_Y95">#REF!</definedName>
    <definedName name="_T_RES_GAS_Y96">#REF!</definedName>
    <definedName name="_T_RES_GAS_Y97">#REF!</definedName>
    <definedName name="_T_RES_GAS_Y98">#REF!</definedName>
    <definedName name="_T_RES_GAS_Y99">#REF!</definedName>
    <definedName name="_T_RES_GOLD_Y00">#REF!</definedName>
    <definedName name="_T_RES_GOLD_Y01">#REF!</definedName>
    <definedName name="_T_RES_GOLD_Y02">#REF!</definedName>
    <definedName name="_T_RES_GOLD_Y03">#REF!</definedName>
    <definedName name="_T_RES_GOLD_Y04">#REF!</definedName>
    <definedName name="_T_RES_GOLD_Y05">#REF!</definedName>
    <definedName name="_T_RES_GOLD_Y06">#REF!</definedName>
    <definedName name="_T_RES_GOLD_Y07">#REF!</definedName>
    <definedName name="_T_RES_GOLD_Y08">#REF!</definedName>
    <definedName name="_T_RES_GOLD_Y09">#REF!</definedName>
    <definedName name="_T_RES_GOLD_Y10">#REF!</definedName>
    <definedName name="_T_RES_GOLD_Y90">#REF!</definedName>
    <definedName name="_T_RES_GOLD_Y91">#REF!</definedName>
    <definedName name="_T_RES_GOLD_Y92">#REF!</definedName>
    <definedName name="_T_RES_GOLD_Y93">#REF!</definedName>
    <definedName name="_T_RES_GOLD_Y94">#REF!</definedName>
    <definedName name="_T_RES_GOLD_Y95">#REF!</definedName>
    <definedName name="_T_RES_GOLD_Y96">#REF!</definedName>
    <definedName name="_T_RES_GOLD_Y97">#REF!</definedName>
    <definedName name="_T_RES_GOLD_Y98">#REF!</definedName>
    <definedName name="_T_RES_GOLD_Y99">#REF!</definedName>
    <definedName name="_T_RES_HOTROLLCOIL_Y00">#REF!</definedName>
    <definedName name="_T_RES_HOTROLLCOIL_Y01">#REF!</definedName>
    <definedName name="_T_RES_HOTROLLCOIL_Y02">#REF!</definedName>
    <definedName name="_T_RES_HOTROLLCOIL_Y03">#REF!</definedName>
    <definedName name="_T_RES_HOTROLLCOIL_Y04">#REF!</definedName>
    <definedName name="_T_RES_HOTROLLCOIL_Y05">#REF!</definedName>
    <definedName name="_T_RES_HOTROLLCOIL_Y06">#REF!</definedName>
    <definedName name="_T_RES_HOTROLLCOIL_Y07">#REF!</definedName>
    <definedName name="_T_RES_HOTROLLCOIL_Y08">#REF!</definedName>
    <definedName name="_T_RES_HOTROLLCOIL_Y09">#REF!</definedName>
    <definedName name="_T_RES_HOTROLLCOIL_Y10">#REF!</definedName>
    <definedName name="_T_RES_HOTROLLCOIL_Y90">#REF!</definedName>
    <definedName name="_T_RES_HOTROLLCOIL_Y91">#REF!</definedName>
    <definedName name="_T_RES_HOTROLLCOIL_Y92">#REF!</definedName>
    <definedName name="_T_RES_HOTROLLCOIL_Y93">#REF!</definedName>
    <definedName name="_T_RES_HOTROLLCOIL_Y94">#REF!</definedName>
    <definedName name="_T_RES_HOTROLLCOIL_Y95">#REF!</definedName>
    <definedName name="_T_RES_HOTROLLCOIL_Y96">#REF!</definedName>
    <definedName name="_T_RES_HOTROLLCOIL_Y97">#REF!</definedName>
    <definedName name="_T_RES_HOTROLLCOIL_Y98">#REF!</definedName>
    <definedName name="_T_RES_HOTROLLCOIL_Y99">#REF!</definedName>
    <definedName name="_T_RES_ILMENITE_Y00">#REF!</definedName>
    <definedName name="_T_RES_ILMENITE_Y01">#REF!</definedName>
    <definedName name="_T_RES_ILMENITE_Y02">#REF!</definedName>
    <definedName name="_T_RES_ILMENITE_Y03">#REF!</definedName>
    <definedName name="_T_RES_ILMENITE_Y04">#REF!</definedName>
    <definedName name="_T_RES_ILMENITE_Y05">#REF!</definedName>
    <definedName name="_T_RES_ILMENITE_Y06">#REF!</definedName>
    <definedName name="_T_RES_ILMENITE_Y07">#REF!</definedName>
    <definedName name="_T_RES_ILMENITE_Y08">#REF!</definedName>
    <definedName name="_T_RES_ILMENITE_Y09">#REF!</definedName>
    <definedName name="_T_RES_ILMENITE_Y10">#REF!</definedName>
    <definedName name="_T_RES_ILMENITE_Y90">#REF!</definedName>
    <definedName name="_T_RES_ILMENITE_Y91">#REF!</definedName>
    <definedName name="_T_RES_ILMENITE_Y92">#REF!</definedName>
    <definedName name="_T_RES_ILMENITE_Y93">#REF!</definedName>
    <definedName name="_T_RES_ILMENITE_Y94">#REF!</definedName>
    <definedName name="_T_RES_ILMENITE_Y95">#REF!</definedName>
    <definedName name="_T_RES_ILMENITE_Y96">#REF!</definedName>
    <definedName name="_T_RES_ILMENITE_Y97">#REF!</definedName>
    <definedName name="_T_RES_ILMENITE_Y98">#REF!</definedName>
    <definedName name="_T_RES_ILMENITE_Y99">#REF!</definedName>
    <definedName name="_T_RES_IRONBROCKMAN_Y00">#REF!</definedName>
    <definedName name="_T_RES_IRONBROCKMAN_Y01">#REF!</definedName>
    <definedName name="_T_RES_IRONBROCKMAN_Y02">#REF!</definedName>
    <definedName name="_T_RES_IRONBROCKMAN_Y03">#REF!</definedName>
    <definedName name="_T_RES_IRONBROCKMAN_Y04">#REF!</definedName>
    <definedName name="_T_RES_IRONBROCKMAN_Y05">#REF!</definedName>
    <definedName name="_T_RES_IRONBROCKMAN_Y06">#REF!</definedName>
    <definedName name="_T_RES_IRONBROCKMAN_Y07">#REF!</definedName>
    <definedName name="_T_RES_IRONBROCKMAN_Y08">#REF!</definedName>
    <definedName name="_T_RES_IRONBROCKMAN_Y09">#REF!</definedName>
    <definedName name="_T_RES_IRONBROCKMAN_Y10">#REF!</definedName>
    <definedName name="_T_RES_IRONBROCKMAN_Y90">#REF!</definedName>
    <definedName name="_T_RES_IRONBROCKMAN_Y91">#REF!</definedName>
    <definedName name="_T_RES_IRONBROCKMAN_Y92">#REF!</definedName>
    <definedName name="_T_RES_IRONBROCKMAN_Y93">#REF!</definedName>
    <definedName name="_T_RES_IRONBROCKMAN_Y94">#REF!</definedName>
    <definedName name="_T_RES_IRONBROCKMAN_Y95">#REF!</definedName>
    <definedName name="_T_RES_IRONBROCKMAN_Y96">#REF!</definedName>
    <definedName name="_T_RES_IRONBROCKMAN_Y97">#REF!</definedName>
    <definedName name="_T_RES_IRONBROCKMAN_Y98">#REF!</definedName>
    <definedName name="_T_RES_IRONBROCKMAN_Y99">#REF!</definedName>
    <definedName name="_T_RES_IRONLUMP_Y00">#REF!</definedName>
    <definedName name="_T_RES_IRONLUMP_Y01">#REF!</definedName>
    <definedName name="_T_RES_IRONLUMP_Y02">#REF!</definedName>
    <definedName name="_T_RES_IRONLUMP_Y03">#REF!</definedName>
    <definedName name="_T_RES_IRONLUMP_Y04">#REF!</definedName>
    <definedName name="_T_RES_IRONLUMP_Y05">#REF!</definedName>
    <definedName name="_T_RES_IRONLUMP_Y06">#REF!</definedName>
    <definedName name="_T_RES_IRONLUMP_Y07">#REF!</definedName>
    <definedName name="_T_RES_IRONLUMP_Y08">#REF!</definedName>
    <definedName name="_T_RES_IRONLUMP_Y09">#REF!</definedName>
    <definedName name="_T_RES_IRONLUMP_Y10">#REF!</definedName>
    <definedName name="_T_RES_IRONLUMP_Y90">#REF!</definedName>
    <definedName name="_T_RES_IRONLUMP_Y91">#REF!</definedName>
    <definedName name="_T_RES_IRONLUMP_Y92">#REF!</definedName>
    <definedName name="_T_RES_IRONLUMP_Y93">#REF!</definedName>
    <definedName name="_T_RES_IRONLUMP_Y94">#REF!</definedName>
    <definedName name="_T_RES_IRONLUMP_Y95">#REF!</definedName>
    <definedName name="_T_RES_IRONLUMP_Y96">#REF!</definedName>
    <definedName name="_T_RES_IRONLUMP_Y97">#REF!</definedName>
    <definedName name="_T_RES_IRONLUMP_Y98">#REF!</definedName>
    <definedName name="_T_RES_IRONLUMP_Y99">#REF!</definedName>
    <definedName name="_T_RES_IRONROBE_Y00">#REF!</definedName>
    <definedName name="_T_RES_IRONROBE_Y01">#REF!</definedName>
    <definedName name="_T_RES_IRONROBE_Y02">#REF!</definedName>
    <definedName name="_T_RES_IRONROBE_Y03">#REF!</definedName>
    <definedName name="_T_RES_IRONROBE_Y04">#REF!</definedName>
    <definedName name="_T_RES_IRONROBE_Y05">#REF!</definedName>
    <definedName name="_T_RES_IRONROBE_Y06">#REF!</definedName>
    <definedName name="_T_RES_IRONROBE_Y07">#REF!</definedName>
    <definedName name="_T_RES_IRONROBE_Y08">#REF!</definedName>
    <definedName name="_T_RES_IRONROBE_Y09">#REF!</definedName>
    <definedName name="_T_RES_IRONROBE_Y10">#REF!</definedName>
    <definedName name="_T_RES_IRONROBE_Y90">#REF!</definedName>
    <definedName name="_T_RES_IRONROBE_Y91">#REF!</definedName>
    <definedName name="_T_RES_IRONROBE_Y92">#REF!</definedName>
    <definedName name="_T_RES_IRONROBE_Y93">#REF!</definedName>
    <definedName name="_T_RES_IRONROBE_Y94">#REF!</definedName>
    <definedName name="_T_RES_IRONROBE_Y95">#REF!</definedName>
    <definedName name="_T_RES_IRONROBE_Y96">#REF!</definedName>
    <definedName name="_T_RES_IRONROBE_Y97">#REF!</definedName>
    <definedName name="_T_RES_IRONROBE_Y98">#REF!</definedName>
    <definedName name="_T_RES_IRONROBE_Y99">#REF!</definedName>
    <definedName name="_T_RES_IRONYANDI__Y00">#REF!</definedName>
    <definedName name="_T_RES_IRONYANDI__Y01">#REF!</definedName>
    <definedName name="_T_RES_IRONYANDI__Y02">#REF!</definedName>
    <definedName name="_T_RES_IRONYANDI__Y03">#REF!</definedName>
    <definedName name="_T_RES_IRONYANDI__Y04">#REF!</definedName>
    <definedName name="_T_RES_IRONYANDI__Y05">#REF!</definedName>
    <definedName name="_T_RES_IRONYANDI__Y06">#REF!</definedName>
    <definedName name="_T_RES_IRONYANDI__Y07">#REF!</definedName>
    <definedName name="_T_RES_IRONYANDI__Y08">#REF!</definedName>
    <definedName name="_T_RES_IRONYANDI__Y09">#REF!</definedName>
    <definedName name="_T_RES_IRONYANDI__Y10">#REF!</definedName>
    <definedName name="_T_RES_IRONYANDI__Y90">#REF!</definedName>
    <definedName name="_T_RES_IRONYANDI__Y91">#REF!</definedName>
    <definedName name="_T_RES_IRONYANDI__Y92">#REF!</definedName>
    <definedName name="_T_RES_IRONYANDI__Y93">#REF!</definedName>
    <definedName name="_T_RES_IRONYANDI__Y94">#REF!</definedName>
    <definedName name="_T_RES_IRONYANDI__Y95">#REF!</definedName>
    <definedName name="_T_RES_IRONYANDI__Y96">#REF!</definedName>
    <definedName name="_T_RES_IRONYANDI__Y97">#REF!</definedName>
    <definedName name="_T_RES_IRONYANDI__Y98">#REF!</definedName>
    <definedName name="_T_RES_IRONYANDI__Y99">#REF!</definedName>
    <definedName name="_T_RES_LEAD_Y00">#REF!</definedName>
    <definedName name="_T_RES_LEAD_Y01">#REF!</definedName>
    <definedName name="_T_RES_LEAD_Y02">#REF!</definedName>
    <definedName name="_T_RES_LEAD_Y03">#REF!</definedName>
    <definedName name="_T_RES_LEAD_Y04">#REF!</definedName>
    <definedName name="_T_RES_LEAD_Y05">#REF!</definedName>
    <definedName name="_T_RES_LEAD_Y06">#REF!</definedName>
    <definedName name="_T_RES_LEAD_Y07">#REF!</definedName>
    <definedName name="_T_RES_LEAD_Y08">#REF!</definedName>
    <definedName name="_T_RES_LEAD_Y09">#REF!</definedName>
    <definedName name="_T_RES_LEAD_Y10">#REF!</definedName>
    <definedName name="_T_RES_LEAD_Y90">#REF!</definedName>
    <definedName name="_T_RES_LEAD_Y91">#REF!</definedName>
    <definedName name="_T_RES_LEAD_Y92">#REF!</definedName>
    <definedName name="_T_RES_LEAD_Y93">#REF!</definedName>
    <definedName name="_T_RES_LEAD_Y94">#REF!</definedName>
    <definedName name="_T_RES_LEAD_Y95">#REF!</definedName>
    <definedName name="_T_RES_LEAD_Y96">#REF!</definedName>
    <definedName name="_T_RES_LEAD_Y97">#REF!</definedName>
    <definedName name="_T_RES_LEAD_Y98">#REF!</definedName>
    <definedName name="_T_RES_LEAD_Y99">#REF!</definedName>
    <definedName name="_T_RES_LNG_Y00">#REF!</definedName>
    <definedName name="_T_RES_LNG_Y01">#REF!</definedName>
    <definedName name="_T_RES_LNG_Y02">#REF!</definedName>
    <definedName name="_T_RES_LNG_Y03">#REF!</definedName>
    <definedName name="_T_RES_LNG_Y04">#REF!</definedName>
    <definedName name="_T_RES_LNG_Y05">#REF!</definedName>
    <definedName name="_T_RES_LNG_Y06">#REF!</definedName>
    <definedName name="_T_RES_LNG_Y07">#REF!</definedName>
    <definedName name="_T_RES_LNG_Y08">#REF!</definedName>
    <definedName name="_T_RES_LNG_Y09">#REF!</definedName>
    <definedName name="_T_RES_LNG_Y10">#REF!</definedName>
    <definedName name="_T_RES_LNG_Y90">#REF!</definedName>
    <definedName name="_T_RES_LNG_Y91">#REF!</definedName>
    <definedName name="_T_RES_LNG_Y92">#REF!</definedName>
    <definedName name="_T_RES_LNG_Y93">#REF!</definedName>
    <definedName name="_T_RES_LNG_Y94">#REF!</definedName>
    <definedName name="_T_RES_LNG_Y95">#REF!</definedName>
    <definedName name="_T_RES_LNG_Y96">#REF!</definedName>
    <definedName name="_T_RES_LNG_Y97">#REF!</definedName>
    <definedName name="_T_RES_LNG_Y98">#REF!</definedName>
    <definedName name="_T_RES_LNG_Y99">#REF!</definedName>
    <definedName name="_T_RES_LPG_Y00">#REF!</definedName>
    <definedName name="_T_RES_LPG_Y01">#REF!</definedName>
    <definedName name="_T_RES_LPG_Y02">#REF!</definedName>
    <definedName name="_T_RES_LPG_Y03">#REF!</definedName>
    <definedName name="_T_RES_LPG_Y04">#REF!</definedName>
    <definedName name="_T_RES_LPG_Y05">#REF!</definedName>
    <definedName name="_T_RES_LPG_Y06">#REF!</definedName>
    <definedName name="_T_RES_LPG_Y07">#REF!</definedName>
    <definedName name="_T_RES_LPG_Y08">#REF!</definedName>
    <definedName name="_T_RES_LPG_Y09">#REF!</definedName>
    <definedName name="_T_RES_LPG_Y10">#REF!</definedName>
    <definedName name="_T_RES_LPG_Y90">#REF!</definedName>
    <definedName name="_T_RES_LPG_Y91">#REF!</definedName>
    <definedName name="_T_RES_LPG_Y92">#REF!</definedName>
    <definedName name="_T_RES_LPG_Y93">#REF!</definedName>
    <definedName name="_T_RES_LPG_Y94">#REF!</definedName>
    <definedName name="_T_RES_LPG_Y95">#REF!</definedName>
    <definedName name="_T_RES_LPG_Y96">#REF!</definedName>
    <definedName name="_T_RES_LPG_Y97">#REF!</definedName>
    <definedName name="_T_RES_LPG_Y98">#REF!</definedName>
    <definedName name="_T_RES_LPG_Y99">#REF!</definedName>
    <definedName name="_T_RES_NICKEL_Y00">#REF!</definedName>
    <definedName name="_T_RES_NICKEL_Y01">#REF!</definedName>
    <definedName name="_T_RES_NICKEL_Y02">#REF!</definedName>
    <definedName name="_T_RES_NICKEL_Y03">#REF!</definedName>
    <definedName name="_T_RES_NICKEL_Y04">#REF!</definedName>
    <definedName name="_T_RES_NICKEL_Y05">#REF!</definedName>
    <definedName name="_T_RES_NICKEL_Y06">#REF!</definedName>
    <definedName name="_T_RES_NICKEL_Y07">#REF!</definedName>
    <definedName name="_T_RES_NICKEL_Y08">#REF!</definedName>
    <definedName name="_T_RES_NICKEL_Y09">#REF!</definedName>
    <definedName name="_T_RES_NICKEL_Y10">#REF!</definedName>
    <definedName name="_T_RES_NICKEL_Y90">#REF!</definedName>
    <definedName name="_T_RES_NICKEL_Y91">#REF!</definedName>
    <definedName name="_T_RES_NICKEL_Y92">#REF!</definedName>
    <definedName name="_T_RES_NICKEL_Y93">#REF!</definedName>
    <definedName name="_T_RES_NICKEL_Y94">#REF!</definedName>
    <definedName name="_T_RES_NICKEL_Y95">#REF!</definedName>
    <definedName name="_T_RES_NICKEL_Y96">#REF!</definedName>
    <definedName name="_T_RES_NICKEL_Y97">#REF!</definedName>
    <definedName name="_T_RES_NICKEL_Y98">#REF!</definedName>
    <definedName name="_T_RES_NICKEL_Y99">#REF!</definedName>
    <definedName name="_T_RES_OIL_Y00">#REF!</definedName>
    <definedName name="_T_RES_OIL_Y01">#REF!</definedName>
    <definedName name="_T_RES_OIL_Y02">#REF!</definedName>
    <definedName name="_T_RES_OIL_Y03">#REF!</definedName>
    <definedName name="_T_RES_OIL_Y04">#REF!</definedName>
    <definedName name="_T_RES_OIL_Y05">#REF!</definedName>
    <definedName name="_T_RES_OIL_Y06">#REF!</definedName>
    <definedName name="_T_RES_OIL_Y07">#REF!</definedName>
    <definedName name="_T_RES_OIL_Y08">#REF!</definedName>
    <definedName name="_T_RES_OIL_Y09">#REF!</definedName>
    <definedName name="_T_RES_OIL_Y10">#REF!</definedName>
    <definedName name="_T_RES_OIL_Y90">#REF!</definedName>
    <definedName name="_T_RES_OIL_Y91">#REF!</definedName>
    <definedName name="_T_RES_OIL_Y92">#REF!</definedName>
    <definedName name="_T_RES_OIL_Y93">#REF!</definedName>
    <definedName name="_T_RES_OIL_Y94">#REF!</definedName>
    <definedName name="_T_RES_OIL_Y95">#REF!</definedName>
    <definedName name="_T_RES_OIL_Y96">#REF!</definedName>
    <definedName name="_T_RES_OIL_Y97">#REF!</definedName>
    <definedName name="_T_RES_OIL_Y98">#REF!</definedName>
    <definedName name="_T_RES_OIL_Y99">#REF!</definedName>
    <definedName name="_T_RES_RUTILE_Y00">#REF!</definedName>
    <definedName name="_T_RES_RUTILE_Y01">#REF!</definedName>
    <definedName name="_T_RES_RUTILE_Y02">#REF!</definedName>
    <definedName name="_T_RES_RUTILE_Y03">#REF!</definedName>
    <definedName name="_T_RES_RUTILE_Y04">#REF!</definedName>
    <definedName name="_T_RES_RUTILE_Y05">#REF!</definedName>
    <definedName name="_T_RES_RUTILE_Y06">#REF!</definedName>
    <definedName name="_T_RES_RUTILE_Y07">#REF!</definedName>
    <definedName name="_T_RES_RUTILE_Y08">#REF!</definedName>
    <definedName name="_T_RES_RUTILE_Y09">#REF!</definedName>
    <definedName name="_T_RES_RUTILE_Y10">#REF!</definedName>
    <definedName name="_T_RES_RUTILE_Y90">#REF!</definedName>
    <definedName name="_T_RES_RUTILE_Y91">#REF!</definedName>
    <definedName name="_T_RES_RUTILE_Y92">#REF!</definedName>
    <definedName name="_T_RES_RUTILE_Y93">#REF!</definedName>
    <definedName name="_T_RES_RUTILE_Y94">#REF!</definedName>
    <definedName name="_T_RES_RUTILE_Y95">#REF!</definedName>
    <definedName name="_T_RES_RUTILE_Y96">#REF!</definedName>
    <definedName name="_T_RES_RUTILE_Y97">#REF!</definedName>
    <definedName name="_T_RES_RUTILE_Y98">#REF!</definedName>
    <definedName name="_T_RES_RUTILE_Y99">#REF!</definedName>
    <definedName name="_T_RES_SILVER_Y00">#REF!</definedName>
    <definedName name="_T_RES_SILVER_Y01">#REF!</definedName>
    <definedName name="_T_RES_SILVER_Y02">#REF!</definedName>
    <definedName name="_T_RES_SILVER_Y03">#REF!</definedName>
    <definedName name="_T_RES_SILVER_Y04">#REF!</definedName>
    <definedName name="_T_RES_SILVER_Y05">#REF!</definedName>
    <definedName name="_T_RES_SILVER_Y06">#REF!</definedName>
    <definedName name="_T_RES_SILVER_Y07">#REF!</definedName>
    <definedName name="_T_RES_SILVER_Y08">#REF!</definedName>
    <definedName name="_T_RES_SILVER_Y09">#REF!</definedName>
    <definedName name="_T_RES_SILVER_Y10">#REF!</definedName>
    <definedName name="_T_RES_SILVER_Y90">#REF!</definedName>
    <definedName name="_T_RES_SILVER_Y91">#REF!</definedName>
    <definedName name="_T_RES_SILVER_Y92">#REF!</definedName>
    <definedName name="_T_RES_SILVER_Y93">#REF!</definedName>
    <definedName name="_T_RES_SILVER_Y94">#REF!</definedName>
    <definedName name="_T_RES_SILVER_Y95">#REF!</definedName>
    <definedName name="_T_RES_SILVER_Y96">#REF!</definedName>
    <definedName name="_T_RES_SILVER_Y97">#REF!</definedName>
    <definedName name="_T_RES_SILVER_Y98">#REF!</definedName>
    <definedName name="_T_RES_SILVER_Y99">#REF!</definedName>
    <definedName name="_T_RES_SYNRUTILE_Y00">#REF!</definedName>
    <definedName name="_T_RES_SYNRUTILE_Y01">#REF!</definedName>
    <definedName name="_T_RES_SYNRUTILE_Y02">#REF!</definedName>
    <definedName name="_T_RES_SYNRUTILE_Y03">#REF!</definedName>
    <definedName name="_T_RES_SYNRUTILE_Y04">#REF!</definedName>
    <definedName name="_T_RES_SYNRUTILE_Y05">#REF!</definedName>
    <definedName name="_T_RES_SYNRUTILE_Y06">#REF!</definedName>
    <definedName name="_T_RES_SYNRUTILE_Y07">#REF!</definedName>
    <definedName name="_T_RES_SYNRUTILE_Y08">#REF!</definedName>
    <definedName name="_T_RES_SYNRUTILE_Y09">#REF!</definedName>
    <definedName name="_T_RES_SYNRUTILE_Y10">#REF!</definedName>
    <definedName name="_T_RES_SYNRUTILE_Y90">#REF!</definedName>
    <definedName name="_T_RES_SYNRUTILE_Y91">#REF!</definedName>
    <definedName name="_T_RES_SYNRUTILE_Y92">#REF!</definedName>
    <definedName name="_T_RES_SYNRUTILE_Y93">#REF!</definedName>
    <definedName name="_T_RES_SYNRUTILE_Y94">#REF!</definedName>
    <definedName name="_T_RES_SYNRUTILE_Y95">#REF!</definedName>
    <definedName name="_T_RES_SYNRUTILE_Y96">#REF!</definedName>
    <definedName name="_T_RES_SYNRUTILE_Y97">#REF!</definedName>
    <definedName name="_T_RES_SYNRUTILE_Y98">#REF!</definedName>
    <definedName name="_T_RES_SYNRUTILE_Y99">#REF!</definedName>
    <definedName name="_T_RES_TIN_Y00">#REF!</definedName>
    <definedName name="_T_RES_TIN_Y01">#REF!</definedName>
    <definedName name="_T_RES_TIN_Y02">#REF!</definedName>
    <definedName name="_T_RES_TIN_Y03">#REF!</definedName>
    <definedName name="_T_RES_TIN_Y04">#REF!</definedName>
    <definedName name="_T_RES_TIN_Y05">#REF!</definedName>
    <definedName name="_T_RES_TIN_Y06">#REF!</definedName>
    <definedName name="_T_RES_TIN_Y07">#REF!</definedName>
    <definedName name="_T_RES_TIN_Y08">#REF!</definedName>
    <definedName name="_T_RES_TIN_Y09">#REF!</definedName>
    <definedName name="_T_RES_TIN_Y10">#REF!</definedName>
    <definedName name="_T_RES_TIN_Y90">#REF!</definedName>
    <definedName name="_T_RES_TIN_Y91">#REF!</definedName>
    <definedName name="_T_RES_TIN_Y92">#REF!</definedName>
    <definedName name="_T_RES_TIN_Y93">#REF!</definedName>
    <definedName name="_T_RES_TIN_Y94">#REF!</definedName>
    <definedName name="_T_RES_TIN_Y95">#REF!</definedName>
    <definedName name="_T_RES_TIN_Y96">#REF!</definedName>
    <definedName name="_T_RES_TIN_Y97">#REF!</definedName>
    <definedName name="_T_RES_TIN_Y98">#REF!</definedName>
    <definedName name="_T_RES_TIN_Y99">#REF!</definedName>
    <definedName name="_T_RES_URANIUM_Y00">#REF!</definedName>
    <definedName name="_T_RES_URANIUM_Y01">#REF!</definedName>
    <definedName name="_T_RES_URANIUM_Y02">#REF!</definedName>
    <definedName name="_T_RES_URANIUM_Y03">#REF!</definedName>
    <definedName name="_T_RES_URANIUM_Y04">#REF!</definedName>
    <definedName name="_T_RES_URANIUM_Y05">#REF!</definedName>
    <definedName name="_T_RES_URANIUM_Y06">#REF!</definedName>
    <definedName name="_T_RES_URANIUM_Y07">#REF!</definedName>
    <definedName name="_T_RES_URANIUM_Y08">#REF!</definedName>
    <definedName name="_T_RES_URANIUM_Y09">#REF!</definedName>
    <definedName name="_T_RES_URANIUM_Y10">#REF!</definedName>
    <definedName name="_T_RES_URANIUM_Y90">#REF!</definedName>
    <definedName name="_T_RES_URANIUM_Y91">#REF!</definedName>
    <definedName name="_T_RES_URANIUM_Y92">#REF!</definedName>
    <definedName name="_T_RES_URANIUM_Y93">#REF!</definedName>
    <definedName name="_T_RES_URANIUM_Y94">#REF!</definedName>
    <definedName name="_T_RES_URANIUM_Y95">#REF!</definedName>
    <definedName name="_T_RES_URANIUM_Y96">#REF!</definedName>
    <definedName name="_T_RES_URANIUM_Y97">#REF!</definedName>
    <definedName name="_T_RES_URANIUM_Y98">#REF!</definedName>
    <definedName name="_T_RES_URANIUM_Y99">#REF!</definedName>
    <definedName name="_T_RES_ZINC_Y00">#REF!</definedName>
    <definedName name="_T_RES_ZINC_Y01">#REF!</definedName>
    <definedName name="_T_RES_ZINC_Y02">#REF!</definedName>
    <definedName name="_T_RES_ZINC_Y03">#REF!</definedName>
    <definedName name="_T_RES_ZINC_Y04">#REF!</definedName>
    <definedName name="_T_RES_ZINC_Y05">#REF!</definedName>
    <definedName name="_T_RES_ZINC_Y06">#REF!</definedName>
    <definedName name="_T_RES_ZINC_Y07">#REF!</definedName>
    <definedName name="_T_RES_ZINC_Y08">#REF!</definedName>
    <definedName name="_T_RES_ZINC_Y09">#REF!</definedName>
    <definedName name="_T_RES_ZINC_Y10">#REF!</definedName>
    <definedName name="_T_RES_ZINC_Y90">#REF!</definedName>
    <definedName name="_T_RES_ZINC_Y91">#REF!</definedName>
    <definedName name="_T_RES_ZINC_Y92">#REF!</definedName>
    <definedName name="_T_RES_ZINC_Y93">#REF!</definedName>
    <definedName name="_T_RES_ZINC_Y94">#REF!</definedName>
    <definedName name="_T_RES_ZINC_Y95">#REF!</definedName>
    <definedName name="_T_RES_ZINC_Y96">#REF!</definedName>
    <definedName name="_T_RES_ZINC_Y97">#REF!</definedName>
    <definedName name="_T_RES_ZINC_Y98">#REF!</definedName>
    <definedName name="_T_RES_ZINC_Y99">#REF!</definedName>
    <definedName name="_T_RES_ZIRCON_Y00">#REF!</definedName>
    <definedName name="_T_RES_ZIRCON_Y01">#REF!</definedName>
    <definedName name="_T_RES_ZIRCON_Y02">#REF!</definedName>
    <definedName name="_T_RES_ZIRCON_Y03">#REF!</definedName>
    <definedName name="_T_RES_ZIRCON_Y04">#REF!</definedName>
    <definedName name="_T_RES_ZIRCON_Y05">#REF!</definedName>
    <definedName name="_T_RES_ZIRCON_Y06">#REF!</definedName>
    <definedName name="_T_RES_ZIRCON_Y07">#REF!</definedName>
    <definedName name="_T_RES_ZIRCON_Y08">#REF!</definedName>
    <definedName name="_T_RES_ZIRCON_Y09">#REF!</definedName>
    <definedName name="_T_RES_ZIRCON_Y10">#REF!</definedName>
    <definedName name="_T_RES_ZIRCON_Y90">#REF!</definedName>
    <definedName name="_T_RES_ZIRCON_Y91">#REF!</definedName>
    <definedName name="_T_RES_ZIRCON_Y92">#REF!</definedName>
    <definedName name="_T_RES_ZIRCON_Y93">#REF!</definedName>
    <definedName name="_T_RES_ZIRCON_Y94">#REF!</definedName>
    <definedName name="_T_RES_ZIRCON_Y95">#REF!</definedName>
    <definedName name="_T_RES_ZIRCON_Y96">#REF!</definedName>
    <definedName name="_T_RES_ZIRCON_Y97">#REF!</definedName>
    <definedName name="_T_RES_ZIRCON_Y98">#REF!</definedName>
    <definedName name="_T_RES_ZIRCON_Y99">#REF!</definedName>
    <definedName name="_T_SCN_SOI_Y10">#REF!</definedName>
    <definedName name="_T_SCN_WAOI_Y10">#REF!</definedName>
    <definedName name="_T_SCP_SOI_Y10">#REF!</definedName>
    <definedName name="_T_SCP_WAOI_Y10">#REF!</definedName>
    <definedName name="_T_SD_FTEE_Y00">#REF!</definedName>
    <definedName name="_T_SD_FTEE_Y01">#REF!</definedName>
    <definedName name="_T_SD_FTEE_Y02">#REF!</definedName>
    <definedName name="_T_SD_FTEE_Y03">#REF!</definedName>
    <definedName name="_T_SD_FTEE_Y04">#REF!</definedName>
    <definedName name="_T_SD_FTEE_Y05">#REF!</definedName>
    <definedName name="_T_SD_FTEE_Y06">#REF!</definedName>
    <definedName name="_T_SD_FTEE_Y07">#REF!</definedName>
    <definedName name="_T_SD_FTEE_Y08">#REF!</definedName>
    <definedName name="_T_SD_FTEE_Y09">#REF!</definedName>
    <definedName name="_T_SD_FTEE_Y10">#REF!</definedName>
    <definedName name="_T_SD_FTEE_Y90">#REF!</definedName>
    <definedName name="_T_SD_FTEE_Y91">#REF!</definedName>
    <definedName name="_T_SD_FTEE_Y92">#REF!</definedName>
    <definedName name="_T_SD_FTEE_Y93">#REF!</definedName>
    <definedName name="_T_SD_FTEE_Y94">#REF!</definedName>
    <definedName name="_T_SD_FTEE_Y95">#REF!</definedName>
    <definedName name="_T_SD_FTEE_Y96">#REF!</definedName>
    <definedName name="_T_SD_FTEE_Y97">#REF!</definedName>
    <definedName name="_T_SD_FTEE_Y98">#REF!</definedName>
    <definedName name="_T_SD_FTEE_Y99">#REF!</definedName>
    <definedName name="_T_SO_DIV_RAW_Y10">#REF!</definedName>
    <definedName name="_T_SO_DIV_SP_Y10">#REF!</definedName>
    <definedName name="_T_SO_DIV_Y10">#REF!</definedName>
    <definedName name="_T_SO_FDIV_Y10">#REF!</definedName>
    <definedName name="_T_SO_FRANKING_Y10">#REF!</definedName>
    <definedName name="_T_SO_IDIV_Y10">#REF!</definedName>
    <definedName name="_T_SO_IFRANKING_Y00">#REF!</definedName>
    <definedName name="_T_SO_IFRANKING_Y01">#REF!</definedName>
    <definedName name="_T_SO_IFRANKING_Y02">#REF!</definedName>
    <definedName name="_T_SO_IFRANKING_Y03">#REF!</definedName>
    <definedName name="_T_SO_IFRANKING_Y04">#REF!</definedName>
    <definedName name="_T_SO_IFRANKING_Y05">#REF!</definedName>
    <definedName name="_T_SO_IFRANKING_Y06">#REF!</definedName>
    <definedName name="_T_SO_IFRANKING_Y07">#REF!</definedName>
    <definedName name="_T_SO_IFRANKING_Y08">#REF!</definedName>
    <definedName name="_T_SO_IFRANKING_Y09">#REF!</definedName>
    <definedName name="_T_SO_IFRANKING_Y10">#REF!</definedName>
    <definedName name="_T_SO_IFRANKING_Y90">#REF!</definedName>
    <definedName name="_T_SO_IFRANKING_Y91">#REF!</definedName>
    <definedName name="_T_SO_IFRANKING_Y92">#REF!</definedName>
    <definedName name="_T_SO_IFRANKING_Y93">#REF!</definedName>
    <definedName name="_T_SO_IFRANKING_Y94">#REF!</definedName>
    <definedName name="_T_SO_IFRANKING_Y95">#REF!</definedName>
    <definedName name="_T_SO_IFRANKING_Y96">#REF!</definedName>
    <definedName name="_T_SO_IFRANKING_Y97">#REF!</definedName>
    <definedName name="_T_SO_IFRANKING_Y98">#REF!</definedName>
    <definedName name="_T_SO_IFRANKING_Y99">#REF!</definedName>
    <definedName name="_T_SO_SOI_UNDILUTED_Y10">#REF!</definedName>
    <definedName name="_T_SO_SOI_Y10">#REF!</definedName>
    <definedName name="_T_SO_WAOI_Y10">#REF!</definedName>
    <definedName name="_T_SOC_SOI_Y10">#REF!</definedName>
    <definedName name="_T_SOC_WAOI_Y10">#REF!</definedName>
    <definedName name="_T_SOLV_SOLVI_Y10">#REF!</definedName>
    <definedName name="_T_SOLV_WAOI_Y10">#REF!</definedName>
    <definedName name="_T_SOP_SOI_Y10">#REF!</definedName>
    <definedName name="_T_SOP_WAOI_Y10">#REF!</definedName>
    <definedName name="_T_SPACE_Y10">#REF!</definedName>
    <definedName name="_T_SPP_SOI_Y10">#REF!</definedName>
    <definedName name="_T_SPP_WAOI_Y10">#REF!</definedName>
    <definedName name="_T_SS_FULLY_DIAL_PE_RAW_Y10">#REF!</definedName>
    <definedName name="_T_SS_FULLY_DIAL_PE_Y10">#REF!</definedName>
    <definedName name="_T_SS_FULLY_DIAL_WA_RAW_Y10">#REF!</definedName>
    <definedName name="_T_SS_FULLY_DIAL_WA_Y10">#REF!</definedName>
    <definedName name="_T_SS_TOT_DIAL_WA_Y10">#REF!</definedName>
    <definedName name="_T_VDF_ACC_NONRECURLOSSES_Y00">#REF!</definedName>
    <definedName name="_T_VDF_ACC_NONRECURLOSSES_Y01">#REF!</definedName>
    <definedName name="_T_VDF_ACC_NONRECURLOSSES_Y02">#REF!</definedName>
    <definedName name="_T_VDF_ACC_NONRECURLOSSES_Y03">#REF!</definedName>
    <definedName name="_T_VDF_ACC_NONRECURLOSSES_Y04">#REF!</definedName>
    <definedName name="_T_VDF_ACC_NONRECURLOSSES_Y05">#REF!</definedName>
    <definedName name="_T_VDF_ACC_NONRECURLOSSES_Y06">#REF!</definedName>
    <definedName name="_T_VDF_ACC_NONRECURLOSSES_Y07">#REF!</definedName>
    <definedName name="_T_VDF_ACC_NONRECURLOSSES_Y08">#REF!</definedName>
    <definedName name="_T_VDF_ACC_NONRECURLOSSES_Y09">#REF!</definedName>
    <definedName name="_T_VDF_ACC_NONRECURLOSSES_Y10">#REF!</definedName>
    <definedName name="_T_VDF_ACC_NONRECURLOSSES_Y90">#REF!</definedName>
    <definedName name="_T_VDF_ACC_NONRECURLOSSES_Y91">#REF!</definedName>
    <definedName name="_T_VDF_ACC_NONRECURLOSSES_Y92">#REF!</definedName>
    <definedName name="_T_VDF_ACC_NONRECURLOSSES_Y93">#REF!</definedName>
    <definedName name="_T_VDF_ACC_NONRECURLOSSES_Y94">#REF!</definedName>
    <definedName name="_T_VDF_ACC_NONRECURLOSSES_Y95">#REF!</definedName>
    <definedName name="_T_VDF_ACC_NONRECURLOSSES_Y96">#REF!</definedName>
    <definedName name="_T_VDF_ACC_NONRECURLOSSES_Y97">#REF!</definedName>
    <definedName name="_T_VDF_ACC_NONRECURLOSSES_Y98">#REF!</definedName>
    <definedName name="_T_VDF_ACC_NONRECURLOSSES_Y99">#REF!</definedName>
    <definedName name="_T_VDF_ACC_RAT_Y00">#REF!</definedName>
    <definedName name="_T_VDF_ACC_RAT_Y01">#REF!</definedName>
    <definedName name="_T_VDF_ACC_RAT_Y02">#REF!</definedName>
    <definedName name="_T_VDF_ACC_RAT_Y03">#REF!</definedName>
    <definedName name="_T_VDF_ACC_RAT_Y04">#REF!</definedName>
    <definedName name="_T_VDF_ACC_RAT_Y05">#REF!</definedName>
    <definedName name="_T_VDF_ACC_RAT_Y06">#REF!</definedName>
    <definedName name="_T_VDF_ACC_RAT_Y07">#REF!</definedName>
    <definedName name="_T_VDF_ACC_RAT_Y08">#REF!</definedName>
    <definedName name="_T_VDF_ACC_RAT_Y09">#REF!</definedName>
    <definedName name="_T_VDF_ACC_RAT_Y10">#REF!</definedName>
    <definedName name="_T_VDF_ACC_RAT_Y90">#REF!</definedName>
    <definedName name="_T_VDF_ACC_RAT_Y91">#REF!</definedName>
    <definedName name="_T_VDF_ACC_RAT_Y92">#REF!</definedName>
    <definedName name="_T_VDF_ACC_RAT_Y93">#REF!</definedName>
    <definedName name="_T_VDF_ACC_RAT_Y94">#REF!</definedName>
    <definedName name="_T_VDF_ACC_RAT_Y95">#REF!</definedName>
    <definedName name="_T_VDF_ACC_RAT_Y96">#REF!</definedName>
    <definedName name="_T_VDF_ACC_RAT_Y97">#REF!</definedName>
    <definedName name="_T_VDF_ACC_RAT_Y98">#REF!</definedName>
    <definedName name="_T_VDF_ACC_RAT_Y99">#REF!</definedName>
    <definedName name="_T_VDF_ACTIVE_BETA_Y00">#REF!</definedName>
    <definedName name="_T_VDF_ACTIVE_BETA_Y01">#REF!</definedName>
    <definedName name="_T_VDF_ACTIVE_BETA_Y02">#REF!</definedName>
    <definedName name="_T_VDF_ACTIVE_BETA_Y03">#REF!</definedName>
    <definedName name="_T_VDF_ACTIVE_BETA_Y04">#REF!</definedName>
    <definedName name="_T_VDF_ACTIVE_BETA_Y05">#REF!</definedName>
    <definedName name="_T_VDF_ACTIVE_BETA_Y06">#REF!</definedName>
    <definedName name="_T_VDF_ACTIVE_BETA_Y07">#REF!</definedName>
    <definedName name="_T_VDF_ACTIVE_BETA_Y08">#REF!</definedName>
    <definedName name="_T_VDF_ACTIVE_BETA_Y09">#REF!</definedName>
    <definedName name="_T_VDF_ACTIVE_BETA_Y10">#REF!</definedName>
    <definedName name="_T_VDF_ACTIVE_BETA_Y90">#REF!</definedName>
    <definedName name="_T_VDF_ACTIVE_BETA_Y91">#REF!</definedName>
    <definedName name="_T_VDF_ACTIVE_BETA_Y92">#REF!</definedName>
    <definedName name="_T_VDF_ACTIVE_BETA_Y93">#REF!</definedName>
    <definedName name="_T_VDF_ACTIVE_BETA_Y94">#REF!</definedName>
    <definedName name="_T_VDF_ACTIVE_BETA_Y95">#REF!</definedName>
    <definedName name="_T_VDF_ACTIVE_BETA_Y96">#REF!</definedName>
    <definedName name="_T_VDF_ACTIVE_BETA_Y97">#REF!</definedName>
    <definedName name="_T_VDF_ACTIVE_BETA_Y98">#REF!</definedName>
    <definedName name="_T_VDF_ACTIVE_BETA_Y99">#REF!</definedName>
    <definedName name="_T_VDF_ADJ_EQUITY_Y00">#REF!</definedName>
    <definedName name="_T_VDF_ADJ_EQUITY_Y01">#REF!</definedName>
    <definedName name="_T_VDF_ADJ_EQUITY_Y02">#REF!</definedName>
    <definedName name="_T_VDF_ADJ_EQUITY_Y03">#REF!</definedName>
    <definedName name="_T_VDF_ADJ_EQUITY_Y04">#REF!</definedName>
    <definedName name="_T_VDF_ADJ_EQUITY_Y05">#REF!</definedName>
    <definedName name="_T_VDF_ADJ_EQUITY_Y06">#REF!</definedName>
    <definedName name="_T_VDF_ADJ_EQUITY_Y07">#REF!</definedName>
    <definedName name="_T_VDF_ADJ_EQUITY_Y08">#REF!</definedName>
    <definedName name="_T_VDF_ADJ_EQUITY_Y09">#REF!</definedName>
    <definedName name="_T_VDF_ADJ_EQUITY_Y10">#REF!</definedName>
    <definedName name="_T_VDF_ADJ_EQUITY_Y90">#REF!</definedName>
    <definedName name="_T_VDF_ADJ_EQUITY_Y91">#REF!</definedName>
    <definedName name="_T_VDF_ADJ_EQUITY_Y92">#REF!</definedName>
    <definedName name="_T_VDF_ADJ_EQUITY_Y93">#REF!</definedName>
    <definedName name="_T_VDF_ADJ_EQUITY_Y94">#REF!</definedName>
    <definedName name="_T_VDF_ADJ_EQUITY_Y95">#REF!</definedName>
    <definedName name="_T_VDF_ADJ_EQUITY_Y96">#REF!</definedName>
    <definedName name="_T_VDF_ADJ_EQUITY_Y97">#REF!</definedName>
    <definedName name="_T_VDF_ADJ_EQUITY_Y98">#REF!</definedName>
    <definedName name="_T_VDF_ADJ_EQUITY_Y99">#REF!</definedName>
    <definedName name="_T_VDF_AFTER_TAX_CHARGES_Y00">#REF!</definedName>
    <definedName name="_T_VDF_AFTER_TAX_CHARGES_Y01">#REF!</definedName>
    <definedName name="_T_VDF_AFTER_TAX_CHARGES_Y02">#REF!</definedName>
    <definedName name="_T_VDF_AFTER_TAX_CHARGES_Y03">#REF!</definedName>
    <definedName name="_T_VDF_AFTER_TAX_CHARGES_Y04">#REF!</definedName>
    <definedName name="_T_VDF_AFTER_TAX_CHARGES_Y05">#REF!</definedName>
    <definedName name="_T_VDF_AFTER_TAX_CHARGES_Y06">#REF!</definedName>
    <definedName name="_T_VDF_AFTER_TAX_CHARGES_Y07">#REF!</definedName>
    <definedName name="_T_VDF_AFTER_TAX_CHARGES_Y08">#REF!</definedName>
    <definedName name="_T_VDF_AFTER_TAX_CHARGES_Y09">#REF!</definedName>
    <definedName name="_T_VDF_AFTER_TAX_CHARGES_Y10">#REF!</definedName>
    <definedName name="_T_VDF_AFTER_TAX_CHARGES_Y90">#REF!</definedName>
    <definedName name="_T_VDF_AFTER_TAX_CHARGES_Y91">#REF!</definedName>
    <definedName name="_T_VDF_AFTER_TAX_CHARGES_Y92">#REF!</definedName>
    <definedName name="_T_VDF_AFTER_TAX_CHARGES_Y93">#REF!</definedName>
    <definedName name="_T_VDF_AFTER_TAX_CHARGES_Y94">#REF!</definedName>
    <definedName name="_T_VDF_AFTER_TAX_CHARGES_Y95">#REF!</definedName>
    <definedName name="_T_VDF_AFTER_TAX_CHARGES_Y96">#REF!</definedName>
    <definedName name="_T_VDF_AFTER_TAX_CHARGES_Y97">#REF!</definedName>
    <definedName name="_T_VDF_AFTER_TAX_CHARGES_Y98">#REF!</definedName>
    <definedName name="_T_VDF_AFTER_TAX_CHARGES_Y99">#REF!</definedName>
    <definedName name="_T_VDF_AVE_INVEST_CAP_Y00">#REF!</definedName>
    <definedName name="_T_VDF_AVE_INVEST_CAP_Y01">#REF!</definedName>
    <definedName name="_T_VDF_AVE_INVEST_CAP_Y02">#REF!</definedName>
    <definedName name="_T_VDF_AVE_INVEST_CAP_Y03">#REF!</definedName>
    <definedName name="_T_VDF_AVE_INVEST_CAP_Y04">#REF!</definedName>
    <definedName name="_T_VDF_AVE_INVEST_CAP_Y05">#REF!</definedName>
    <definedName name="_T_VDF_AVE_INVEST_CAP_Y06">#REF!</definedName>
    <definedName name="_T_VDF_AVE_INVEST_CAP_Y07">#REF!</definedName>
    <definedName name="_T_VDF_AVE_INVEST_CAP_Y08">#REF!</definedName>
    <definedName name="_T_VDF_AVE_INVEST_CAP_Y09">#REF!</definedName>
    <definedName name="_T_VDF_AVE_INVEST_CAP_Y10">#REF!</definedName>
    <definedName name="_T_VDF_AVE_INVEST_CAP_Y90">#REF!</definedName>
    <definedName name="_T_VDF_AVE_INVEST_CAP_Y91">#REF!</definedName>
    <definedName name="_T_VDF_AVE_INVEST_CAP_Y92">#REF!</definedName>
    <definedName name="_T_VDF_AVE_INVEST_CAP_Y93">#REF!</definedName>
    <definedName name="_T_VDF_AVE_INVEST_CAP_Y94">#REF!</definedName>
    <definedName name="_T_VDF_AVE_INVEST_CAP_Y95">#REF!</definedName>
    <definedName name="_T_VDF_AVE_INVEST_CAP_Y96">#REF!</definedName>
    <definedName name="_T_VDF_AVE_INVEST_CAP_Y97">#REF!</definedName>
    <definedName name="_T_VDF_AVE_INVEST_CAP_Y98">#REF!</definedName>
    <definedName name="_T_VDF_AVE_INVEST_CAP_Y99">#REF!</definedName>
    <definedName name="_T_VDF_BV_UCS_Y00">#REF!</definedName>
    <definedName name="_T_VDF_BV_UCS_Y01">#REF!</definedName>
    <definedName name="_T_VDF_BV_UCS_Y02">#REF!</definedName>
    <definedName name="_T_VDF_BV_UCS_Y03">#REF!</definedName>
    <definedName name="_T_VDF_BV_UCS_Y04">#REF!</definedName>
    <definedName name="_T_VDF_BV_UCS_Y05">#REF!</definedName>
    <definedName name="_T_VDF_BV_UCS_Y06">#REF!</definedName>
    <definedName name="_T_VDF_BV_UCS_Y07">#REF!</definedName>
    <definedName name="_T_VDF_BV_UCS_Y08">#REF!</definedName>
    <definedName name="_T_VDF_BV_UCS_Y09">#REF!</definedName>
    <definedName name="_T_VDF_BV_UCS_Y10">#REF!</definedName>
    <definedName name="_T_VDF_BV_UCS_Y90">#REF!</definedName>
    <definedName name="_T_VDF_BV_UCS_Y91">#REF!</definedName>
    <definedName name="_T_VDF_BV_UCS_Y92">#REF!</definedName>
    <definedName name="_T_VDF_BV_UCS_Y93">#REF!</definedName>
    <definedName name="_T_VDF_BV_UCS_Y94">#REF!</definedName>
    <definedName name="_T_VDF_BV_UCS_Y95">#REF!</definedName>
    <definedName name="_T_VDF_BV_UCS_Y96">#REF!</definedName>
    <definedName name="_T_VDF_BV_UCS_Y97">#REF!</definedName>
    <definedName name="_T_VDF_BV_UCS_Y98">#REF!</definedName>
    <definedName name="_T_VDF_BV_UCS_Y99">#REF!</definedName>
    <definedName name="_T_VDF_CAPLEASES">#REF!</definedName>
    <definedName name="_T_VDF_CASH_EXCESS">#REF!</definedName>
    <definedName name="_T_VDF_CASH_REQ">#REF!</definedName>
    <definedName name="_T_VDF_CASH_Y00">#REF!</definedName>
    <definedName name="_T_VDF_CASH_Y01">#REF!</definedName>
    <definedName name="_T_VDF_CASH_Y02">#REF!</definedName>
    <definedName name="_T_VDF_CASH_Y03">#REF!</definedName>
    <definedName name="_T_VDF_CASH_Y04">#REF!</definedName>
    <definedName name="_T_VDF_CASH_Y05">#REF!</definedName>
    <definedName name="_T_VDF_CASH_Y06">#REF!</definedName>
    <definedName name="_T_VDF_CASH_Y07">#REF!</definedName>
    <definedName name="_T_VDF_CASH_Y08">#REF!</definedName>
    <definedName name="_T_VDF_CASH_Y09">#REF!</definedName>
    <definedName name="_T_VDF_CASH_Y10">#REF!</definedName>
    <definedName name="_T_VDF_CASH_Y90">#REF!</definedName>
    <definedName name="_T_VDF_CASH_Y91">#REF!</definedName>
    <definedName name="_T_VDF_CASH_Y92">#REF!</definedName>
    <definedName name="_T_VDF_CASH_Y93">#REF!</definedName>
    <definedName name="_T_VDF_CASH_Y94">#REF!</definedName>
    <definedName name="_T_VDF_CASH_Y95">#REF!</definedName>
    <definedName name="_T_VDF_CASH_Y96">#REF!</definedName>
    <definedName name="_T_VDF_CASH_Y97">#REF!</definedName>
    <definedName name="_T_VDF_CASH_Y98">#REF!</definedName>
    <definedName name="_T_VDF_CASH_Y99">#REF!</definedName>
    <definedName name="_T_VDF_CIDEFTAX_Y00">#REF!</definedName>
    <definedName name="_T_VDF_CIDEFTAX_Y01">#REF!</definedName>
    <definedName name="_T_VDF_CIDEFTAX_Y02">#REF!</definedName>
    <definedName name="_T_VDF_CIDEFTAX_Y03">#REF!</definedName>
    <definedName name="_T_VDF_CIDEFTAX_Y04">#REF!</definedName>
    <definedName name="_T_VDF_CIDEFTAX_Y05">#REF!</definedName>
    <definedName name="_T_VDF_CIDEFTAX_Y06">#REF!</definedName>
    <definedName name="_T_VDF_CIDEFTAX_Y07">#REF!</definedName>
    <definedName name="_T_VDF_CIDEFTAX_Y08">#REF!</definedName>
    <definedName name="_T_VDF_CIDEFTAX_Y09">#REF!</definedName>
    <definedName name="_T_VDF_CIDEFTAX_Y10">#REF!</definedName>
    <definedName name="_T_VDF_CIDEFTAX_Y90">#REF!</definedName>
    <definedName name="_T_VDF_CIDEFTAX_Y91">#REF!</definedName>
    <definedName name="_T_VDF_CIDEFTAX_Y92">#REF!</definedName>
    <definedName name="_T_VDF_CIDEFTAX_Y93">#REF!</definedName>
    <definedName name="_T_VDF_CIDEFTAX_Y94">#REF!</definedName>
    <definedName name="_T_VDF_CIDEFTAX_Y95">#REF!</definedName>
    <definedName name="_T_VDF_CIDEFTAX_Y96">#REF!</definedName>
    <definedName name="_T_VDF_CIDEFTAX_Y97">#REF!</definedName>
    <definedName name="_T_VDF_CIDEFTAX_Y98">#REF!</definedName>
    <definedName name="_T_VDF_CIDEFTAX_Y99">#REF!</definedName>
    <definedName name="_T_VDF_CLEASE_PROJ_FIN_Y00">#REF!</definedName>
    <definedName name="_T_VDF_CLEASE_PROJ_FIN_Y01">#REF!</definedName>
    <definedName name="_T_VDF_CLEASE_PROJ_FIN_Y02">#REF!</definedName>
    <definedName name="_T_VDF_CLEASE_PROJ_FIN_Y03">#REF!</definedName>
    <definedName name="_T_VDF_CLEASE_PROJ_FIN_Y04">#REF!</definedName>
    <definedName name="_T_VDF_CLEASE_PROJ_FIN_Y05">#REF!</definedName>
    <definedName name="_T_VDF_CLEASE_PROJ_FIN_Y06">#REF!</definedName>
    <definedName name="_T_VDF_CLEASE_PROJ_FIN_Y07">#REF!</definedName>
    <definedName name="_T_VDF_CLEASE_PROJ_FIN_Y08">#REF!</definedName>
    <definedName name="_T_VDF_CLEASE_PROJ_FIN_Y09">#REF!</definedName>
    <definedName name="_T_VDF_CLEASE_PROJ_FIN_Y10">#REF!</definedName>
    <definedName name="_T_VDF_CLEASE_PROJ_FIN_Y90">#REF!</definedName>
    <definedName name="_T_VDF_CLEASE_PROJ_FIN_Y91">#REF!</definedName>
    <definedName name="_T_VDF_CLEASE_PROJ_FIN_Y92">#REF!</definedName>
    <definedName name="_T_VDF_CLEASE_PROJ_FIN_Y93">#REF!</definedName>
    <definedName name="_T_VDF_CLEASE_PROJ_FIN_Y94">#REF!</definedName>
    <definedName name="_T_VDF_CLEASE_PROJ_FIN_Y95">#REF!</definedName>
    <definedName name="_T_VDF_CLEASE_PROJ_FIN_Y96">#REF!</definedName>
    <definedName name="_T_VDF_CLEASE_PROJ_FIN_Y97">#REF!</definedName>
    <definedName name="_T_VDF_CLEASE_PROJ_FIN_Y98">#REF!</definedName>
    <definedName name="_T_VDF_CLEASE_PROJ_FIN_Y99">#REF!</definedName>
    <definedName name="_T_VDF_CLEASE_PROJ1_Y00">#REF!</definedName>
    <definedName name="_T_VDF_CLEASE_PROJ1_Y01">#REF!</definedName>
    <definedName name="_T_VDF_CLEASE_PROJ1_Y02">#REF!</definedName>
    <definedName name="_T_VDF_CLEASE_PROJ1_Y03">#REF!</definedName>
    <definedName name="_T_VDF_CLEASE_PROJ1_Y04">#REF!</definedName>
    <definedName name="_T_VDF_CLEASE_PROJ1_Y05">#REF!</definedName>
    <definedName name="_T_VDF_CLEASE_PROJ1_Y06">#REF!</definedName>
    <definedName name="_T_VDF_CLEASE_PROJ1_Y07">#REF!</definedName>
    <definedName name="_T_VDF_CLEASE_PROJ1_Y08">#REF!</definedName>
    <definedName name="_T_VDF_CLEASE_PROJ1_Y09">#REF!</definedName>
    <definedName name="_T_VDF_CLEASE_PROJ1_Y10">#REF!</definedName>
    <definedName name="_T_VDF_CLEASE_PROJ1_Y11">#REF!</definedName>
    <definedName name="_T_VDF_CLEASE_PROJ1_Y12">#REF!</definedName>
    <definedName name="_T_VDF_CLEASE_PROJ1_Y13">#REF!</definedName>
    <definedName name="_T_VDF_CLEASE_PROJ1_Y14">#REF!</definedName>
    <definedName name="_T_VDF_CLEASE_PROJ1_Y15">#REF!</definedName>
    <definedName name="_T_VDF_CLEASE_PROJ1_Y16">#REF!</definedName>
    <definedName name="_T_VDF_CLEASE_PROJ1_Y17">#REF!</definedName>
    <definedName name="_T_VDF_CLEASE_PROJ1_Y18">#REF!</definedName>
    <definedName name="_T_VDF_CLEASE_PROJ1_Y19">#REF!</definedName>
    <definedName name="_T_VDF_CLEASE_PROJ1_Y20">#REF!</definedName>
    <definedName name="_T_VDF_CLEASE_PROJ1_Y90">#REF!</definedName>
    <definedName name="_T_VDF_CLEASE_PROJ1_Y91">#REF!</definedName>
    <definedName name="_T_VDF_CLEASE_PROJ1_Y92">#REF!</definedName>
    <definedName name="_T_VDF_CLEASE_PROJ1_Y93">#REF!</definedName>
    <definedName name="_T_VDF_CLEASE_PROJ1_Y94">#REF!</definedName>
    <definedName name="_T_VDF_CLEASE_PROJ1_Y95">#REF!</definedName>
    <definedName name="_T_VDF_CLEASE_PROJ1_Y96">#REF!</definedName>
    <definedName name="_T_VDF_CLEASE_PROJ1_Y97">#REF!</definedName>
    <definedName name="_T_VDF_CLEASE_PROJ1_Y98">#REF!</definedName>
    <definedName name="_T_VDF_CLEASE_PROJ1_Y99">#REF!</definedName>
    <definedName name="_T_VDF_CLEASE_PROJ2_Y00">#REF!</definedName>
    <definedName name="_T_VDF_CLEASE_PROJ2_Y01">#REF!</definedName>
    <definedName name="_T_VDF_CLEASE_PROJ2_Y02">#REF!</definedName>
    <definedName name="_T_VDF_CLEASE_PROJ2_Y03">#REF!</definedName>
    <definedName name="_T_VDF_CLEASE_PROJ2_Y04">#REF!</definedName>
    <definedName name="_T_VDF_CLEASE_PROJ2_Y05">#REF!</definedName>
    <definedName name="_T_VDF_CLEASE_PROJ2_Y06">#REF!</definedName>
    <definedName name="_T_VDF_CLEASE_PROJ2_Y07">#REF!</definedName>
    <definedName name="_T_VDF_CLEASE_PROJ2_Y08">#REF!</definedName>
    <definedName name="_T_VDF_CLEASE_PROJ2_Y09">#REF!</definedName>
    <definedName name="_T_VDF_CLEASE_PROJ2_Y10">#REF!</definedName>
    <definedName name="_T_VDF_CLEASE_PROJ2_Y90">#REF!</definedName>
    <definedName name="_T_VDF_CLEASE_PROJ2_Y91">#REF!</definedName>
    <definedName name="_T_VDF_CLEASE_PROJ2_Y92">#REF!</definedName>
    <definedName name="_T_VDF_CLEASE_PROJ2_Y93">#REF!</definedName>
    <definedName name="_T_VDF_CLEASE_PROJ2_Y94">#REF!</definedName>
    <definedName name="_T_VDF_CLEASE_PROJ2_Y95">#REF!</definedName>
    <definedName name="_T_VDF_CLEASE_PROJ2_Y96">#REF!</definedName>
    <definedName name="_T_VDF_CLEASE_PROJ2_Y97">#REF!</definedName>
    <definedName name="_T_VDF_CLEASE_PROJ2_Y98">#REF!</definedName>
    <definedName name="_T_VDF_CLEASE_PROJ2_Y99">#REF!</definedName>
    <definedName name="_T_VDF_CLEASE_PROJ3_Y00">#REF!</definedName>
    <definedName name="_T_VDF_CLEASE_PROJ3_Y01">#REF!</definedName>
    <definedName name="_T_VDF_CLEASE_PROJ3_Y02">#REF!</definedName>
    <definedName name="_T_VDF_CLEASE_PROJ3_Y03">#REF!</definedName>
    <definedName name="_T_VDF_CLEASE_PROJ3_Y04">#REF!</definedName>
    <definedName name="_T_VDF_CLEASE_PROJ3_Y05">#REF!</definedName>
    <definedName name="_T_VDF_CLEASE_PROJ3_Y06">#REF!</definedName>
    <definedName name="_T_VDF_CLEASE_PROJ3_Y07">#REF!</definedName>
    <definedName name="_T_VDF_CLEASE_PROJ3_Y08">#REF!</definedName>
    <definedName name="_T_VDF_CLEASE_PROJ3_Y09">#REF!</definedName>
    <definedName name="_T_VDF_CLEASE_PROJ3_Y10">#REF!</definedName>
    <definedName name="_T_VDF_CLEASE_PROJ3_Y90">#REF!</definedName>
    <definedName name="_T_VDF_CLEASE_PROJ3_Y91">#REF!</definedName>
    <definedName name="_T_VDF_CLEASE_PROJ3_Y92">#REF!</definedName>
    <definedName name="_T_VDF_CLEASE_PROJ3_Y93">#REF!</definedName>
    <definedName name="_T_VDF_CLEASE_PROJ3_Y94">#REF!</definedName>
    <definedName name="_T_VDF_CLEASE_PROJ3_Y95">#REF!</definedName>
    <definedName name="_T_VDF_CLEASE_PROJ3_Y96">#REF!</definedName>
    <definedName name="_T_VDF_CLEASE_PROJ3_Y97">#REF!</definedName>
    <definedName name="_T_VDF_CLEASE_PROJ3_Y98">#REF!</definedName>
    <definedName name="_T_VDF_CLEASE_PROJ3_Y99">#REF!</definedName>
    <definedName name="_T_VDF_CLEASE_PROJ4_Y00">#REF!</definedName>
    <definedName name="_T_VDF_CLEASE_PROJ4_Y01">#REF!</definedName>
    <definedName name="_T_VDF_CLEASE_PROJ4_Y02">#REF!</definedName>
    <definedName name="_T_VDF_CLEASE_PROJ4_Y03">#REF!</definedName>
    <definedName name="_T_VDF_CLEASE_PROJ4_Y04">#REF!</definedName>
    <definedName name="_T_VDF_CLEASE_PROJ4_Y05">#REF!</definedName>
    <definedName name="_T_VDF_CLEASE_PROJ4_Y06">#REF!</definedName>
    <definedName name="_T_VDF_CLEASE_PROJ4_Y07">#REF!</definedName>
    <definedName name="_T_VDF_CLEASE_PROJ4_Y08">#REF!</definedName>
    <definedName name="_T_VDF_CLEASE_PROJ4_Y09">#REF!</definedName>
    <definedName name="_T_VDF_CLEASE_PROJ4_Y10">#REF!</definedName>
    <definedName name="_T_VDF_CLEASE_PROJ4_Y90">#REF!</definedName>
    <definedName name="_T_VDF_CLEASE_PROJ4_Y91">#REF!</definedName>
    <definedName name="_T_VDF_CLEASE_PROJ4_Y92">#REF!</definedName>
    <definedName name="_T_VDF_CLEASE_PROJ4_Y93">#REF!</definedName>
    <definedName name="_T_VDF_CLEASE_PROJ4_Y94">#REF!</definedName>
    <definedName name="_T_VDF_CLEASE_PROJ4_Y95">#REF!</definedName>
    <definedName name="_T_VDF_CLEASE_PROJ4_Y96">#REF!</definedName>
    <definedName name="_T_VDF_CLEASE_PROJ4_Y97">#REF!</definedName>
    <definedName name="_T_VDF_CLEASE_PROJ4_Y98">#REF!</definedName>
    <definedName name="_T_VDF_CLEASE_PROJ4_Y99">#REF!</definedName>
    <definedName name="_T_VDF_CLEASE_PROJ5_Y00">#REF!</definedName>
    <definedName name="_T_VDF_CLEASE_PROJ5_Y01">#REF!</definedName>
    <definedName name="_T_VDF_CLEASE_PROJ5_Y02">#REF!</definedName>
    <definedName name="_T_VDF_CLEASE_PROJ5_Y03">#REF!</definedName>
    <definedName name="_T_VDF_CLEASE_PROJ5_Y04">#REF!</definedName>
    <definedName name="_T_VDF_CLEASE_PROJ5_Y05">#REF!</definedName>
    <definedName name="_T_VDF_CLEASE_PROJ5_Y06">#REF!</definedName>
    <definedName name="_T_VDF_CLEASE_PROJ5_Y07">#REF!</definedName>
    <definedName name="_T_VDF_CLEASE_PROJ5_Y08">#REF!</definedName>
    <definedName name="_T_VDF_CLEASE_PROJ5_Y09">#REF!</definedName>
    <definedName name="_T_VDF_CLEASE_PROJ5_Y10">#REF!</definedName>
    <definedName name="_T_VDF_CLEASE_PROJ5_Y90">#REF!</definedName>
    <definedName name="_T_VDF_CLEASE_PROJ5_Y91">#REF!</definedName>
    <definedName name="_T_VDF_CLEASE_PROJ5_Y92">#REF!</definedName>
    <definedName name="_T_VDF_CLEASE_PROJ5_Y93">#REF!</definedName>
    <definedName name="_T_VDF_CLEASE_PROJ5_Y94">#REF!</definedName>
    <definedName name="_T_VDF_CLEASE_PROJ5_Y95">#REF!</definedName>
    <definedName name="_T_VDF_CLEASE_PROJ5_Y96">#REF!</definedName>
    <definedName name="_T_VDF_CLEASE_PROJ5_Y97">#REF!</definedName>
    <definedName name="_T_VDF_CLEASE_PROJ5_Y98">#REF!</definedName>
    <definedName name="_T_VDF_CLEASE_PROJ5_Y99">#REF!</definedName>
    <definedName name="_T_VDF_CLEASE_YEARS_Y00">#REF!</definedName>
    <definedName name="_T_VDF_CLEASE_YEARS_Y01">#REF!</definedName>
    <definedName name="_T_VDF_CLEASE_YEARS_Y02">#REF!</definedName>
    <definedName name="_T_VDF_CLEASE_YEARS_Y03">#REF!</definedName>
    <definedName name="_T_VDF_CLEASE_YEARS_Y04">#REF!</definedName>
    <definedName name="_T_VDF_CLEASE_YEARS_Y05">#REF!</definedName>
    <definedName name="_T_VDF_CLEASE_YEARS_Y06">#REF!</definedName>
    <definedName name="_T_VDF_CLEASE_YEARS_Y07">#REF!</definedName>
    <definedName name="_T_VDF_CLEASE_YEARS_Y08">#REF!</definedName>
    <definedName name="_T_VDF_CLEASE_YEARS_Y09">#REF!</definedName>
    <definedName name="_T_VDF_CLEASE_YEARS_Y10">#REF!</definedName>
    <definedName name="_T_VDF_CLEASE_YEARS_Y90">#REF!</definedName>
    <definedName name="_T_VDF_CLEASE_YEARS_Y91">#REF!</definedName>
    <definedName name="_T_VDF_CLEASE_YEARS_Y92">#REF!</definedName>
    <definedName name="_T_VDF_CLEASE_YEARS_Y93">#REF!</definedName>
    <definedName name="_T_VDF_CLEASE_YEARS_Y94">#REF!</definedName>
    <definedName name="_T_VDF_CLEASE_YEARS_Y95">#REF!</definedName>
    <definedName name="_T_VDF_CLEASE_YEARS_Y96">#REF!</definedName>
    <definedName name="_T_VDF_CLEASE_YEARS_Y97">#REF!</definedName>
    <definedName name="_T_VDF_CLEASE_YEARS_Y98">#REF!</definedName>
    <definedName name="_T_VDF_CLEASE_YEARS_Y99">#REF!</definedName>
    <definedName name="_T_VDF_CORPVAL_Y00">#REF!</definedName>
    <definedName name="_T_VDF_CORPVAL_Y01">#REF!</definedName>
    <definedName name="_T_VDF_CORPVAL_Y02">#REF!</definedName>
    <definedName name="_T_VDF_CORPVAL_Y03">#REF!</definedName>
    <definedName name="_T_VDF_CORPVAL_Y04">#REF!</definedName>
    <definedName name="_T_VDF_CORPVAL_Y05">#REF!</definedName>
    <definedName name="_T_VDF_CORPVAL_Y06">#REF!</definedName>
    <definedName name="_T_VDF_CORPVAL_Y07">#REF!</definedName>
    <definedName name="_T_VDF_CORPVAL_Y08">#REF!</definedName>
    <definedName name="_T_VDF_CORPVAL_Y09">#REF!</definedName>
    <definedName name="_T_VDF_CORPVAL_Y10">#REF!</definedName>
    <definedName name="_T_VDF_CORPVAL_Y90">#REF!</definedName>
    <definedName name="_T_VDF_CORPVAL_Y91">#REF!</definedName>
    <definedName name="_T_VDF_CORPVAL_Y92">#REF!</definedName>
    <definedName name="_T_VDF_CORPVAL_Y93">#REF!</definedName>
    <definedName name="_T_VDF_CORPVAL_Y94">#REF!</definedName>
    <definedName name="_T_VDF_CORPVAL_Y95">#REF!</definedName>
    <definedName name="_T_VDF_CORPVAL_Y96">#REF!</definedName>
    <definedName name="_T_VDF_CORPVAL_Y97">#REF!</definedName>
    <definedName name="_T_VDF_CORPVAL_Y98">#REF!</definedName>
    <definedName name="_T_VDF_CORPVAL_Y99">#REF!</definedName>
    <definedName name="_T_VDF_COT_ADJINT_Y00">#REF!</definedName>
    <definedName name="_T_VDF_COT_ADJINT_Y01">#REF!</definedName>
    <definedName name="_T_VDF_COT_ADJINT_Y02">#REF!</definedName>
    <definedName name="_T_VDF_COT_ADJINT_Y03">#REF!</definedName>
    <definedName name="_T_VDF_COT_ADJINT_Y04">#REF!</definedName>
    <definedName name="_T_VDF_COT_ADJINT_Y05">#REF!</definedName>
    <definedName name="_T_VDF_COT_ADJINT_Y06">#REF!</definedName>
    <definedName name="_T_VDF_COT_ADJINT_Y07">#REF!</definedName>
    <definedName name="_T_VDF_COT_ADJINT_Y08">#REF!</definedName>
    <definedName name="_T_VDF_COT_ADJINT_Y09">#REF!</definedName>
    <definedName name="_T_VDF_COT_ADJINT_Y10">#REF!</definedName>
    <definedName name="_T_VDF_COT_ADJINT_Y90">#REF!</definedName>
    <definedName name="_T_VDF_COT_ADJINT_Y91">#REF!</definedName>
    <definedName name="_T_VDF_COT_ADJINT_Y92">#REF!</definedName>
    <definedName name="_T_VDF_COT_ADJINT_Y93">#REF!</definedName>
    <definedName name="_T_VDF_COT_ADJINT_Y94">#REF!</definedName>
    <definedName name="_T_VDF_COT_ADJINT_Y95">#REF!</definedName>
    <definedName name="_T_VDF_COT_ADJINT_Y96">#REF!</definedName>
    <definedName name="_T_VDF_COT_ADJINT_Y97">#REF!</definedName>
    <definedName name="_T_VDF_COT_ADJINT_Y98">#REF!</definedName>
    <definedName name="_T_VDF_COT_ADJINT_Y99">#REF!</definedName>
    <definedName name="_T_VDF_COT_ADJOTH_Y00">#REF!</definedName>
    <definedName name="_T_VDF_COT_ADJOTH_Y01">#REF!</definedName>
    <definedName name="_T_VDF_COT_ADJOTH_Y02">#REF!</definedName>
    <definedName name="_T_VDF_COT_ADJOTH_Y03">#REF!</definedName>
    <definedName name="_T_VDF_COT_ADJOTH_Y04">#REF!</definedName>
    <definedName name="_T_VDF_COT_ADJOTH_Y05">#REF!</definedName>
    <definedName name="_T_VDF_COT_ADJOTH_Y06">#REF!</definedName>
    <definedName name="_T_VDF_COT_ADJOTH_Y07">#REF!</definedName>
    <definedName name="_T_VDF_COT_ADJOTH_Y08">#REF!</definedName>
    <definedName name="_T_VDF_COT_ADJOTH_Y09">#REF!</definedName>
    <definedName name="_T_VDF_COT_ADJOTH_Y10">#REF!</definedName>
    <definedName name="_T_VDF_COT_ADJOTH_Y90">#REF!</definedName>
    <definedName name="_T_VDF_COT_ADJOTH_Y91">#REF!</definedName>
    <definedName name="_T_VDF_COT_ADJOTH_Y92">#REF!</definedName>
    <definedName name="_T_VDF_COT_ADJOTH_Y93">#REF!</definedName>
    <definedName name="_T_VDF_COT_ADJOTH_Y94">#REF!</definedName>
    <definedName name="_T_VDF_COT_ADJOTH_Y95">#REF!</definedName>
    <definedName name="_T_VDF_COT_ADJOTH_Y96">#REF!</definedName>
    <definedName name="_T_VDF_COT_ADJOTH_Y97">#REF!</definedName>
    <definedName name="_T_VDF_COT_ADJOTH_Y98">#REF!</definedName>
    <definedName name="_T_VDF_COT_ADJOTH_Y99">#REF!</definedName>
    <definedName name="_T_VDF_COT_ADJUCS_Y00">#REF!</definedName>
    <definedName name="_T_VDF_COT_ADJUCS_Y01">#REF!</definedName>
    <definedName name="_T_VDF_COT_ADJUCS_Y02">#REF!</definedName>
    <definedName name="_T_VDF_COT_ADJUCS_Y03">#REF!</definedName>
    <definedName name="_T_VDF_COT_ADJUCS_Y04">#REF!</definedName>
    <definedName name="_T_VDF_COT_ADJUCS_Y05">#REF!</definedName>
    <definedName name="_T_VDF_COT_ADJUCS_Y06">#REF!</definedName>
    <definedName name="_T_VDF_COT_ADJUCS_Y07">#REF!</definedName>
    <definedName name="_T_VDF_COT_ADJUCS_Y08">#REF!</definedName>
    <definedName name="_T_VDF_COT_ADJUCS_Y09">#REF!</definedName>
    <definedName name="_T_VDF_COT_ADJUCS_Y10">#REF!</definedName>
    <definedName name="_T_VDF_COT_ADJUCS_Y90">#REF!</definedName>
    <definedName name="_T_VDF_COT_ADJUCS_Y91">#REF!</definedName>
    <definedName name="_T_VDF_COT_ADJUCS_Y92">#REF!</definedName>
    <definedName name="_T_VDF_COT_ADJUCS_Y93">#REF!</definedName>
    <definedName name="_T_VDF_COT_ADJUCS_Y94">#REF!</definedName>
    <definedName name="_T_VDF_COT_ADJUCS_Y95">#REF!</definedName>
    <definedName name="_T_VDF_COT_ADJUCS_Y96">#REF!</definedName>
    <definedName name="_T_VDF_COT_ADJUCS_Y97">#REF!</definedName>
    <definedName name="_T_VDF_COT_ADJUCS_Y98">#REF!</definedName>
    <definedName name="_T_VDF_COT_ADJUCS_Y99">#REF!</definedName>
    <definedName name="_T_VDF_COT_TAXRATE_Y00">#REF!</definedName>
    <definedName name="_T_VDF_COT_TAXRATE_Y01">#REF!</definedName>
    <definedName name="_T_VDF_COT_TAXRATE_Y02">#REF!</definedName>
    <definedName name="_T_VDF_COT_TAXRATE_Y03">#REF!</definedName>
    <definedName name="_T_VDF_COT_TAXRATE_Y04">#REF!</definedName>
    <definedName name="_T_VDF_COT_TAXRATE_Y05">#REF!</definedName>
    <definedName name="_T_VDF_COT_TAXRATE_Y06">#REF!</definedName>
    <definedName name="_T_VDF_COT_TAXRATE_Y07">#REF!</definedName>
    <definedName name="_T_VDF_COT_TAXRATE_Y08">#REF!</definedName>
    <definedName name="_T_VDF_COT_TAXRATE_Y09">#REF!</definedName>
    <definedName name="_T_VDF_COT_TAXRATE_Y10">#REF!</definedName>
    <definedName name="_T_VDF_COT_TAXRATE_Y90">#REF!</definedName>
    <definedName name="_T_VDF_COT_TAXRATE_Y91">#REF!</definedName>
    <definedName name="_T_VDF_COT_TAXRATE_Y92">#REF!</definedName>
    <definedName name="_T_VDF_COT_TAXRATE_Y93">#REF!</definedName>
    <definedName name="_T_VDF_COT_TAXRATE_Y94">#REF!</definedName>
    <definedName name="_T_VDF_COT_TAXRATE_Y95">#REF!</definedName>
    <definedName name="_T_VDF_COT_TAXRATE_Y96">#REF!</definedName>
    <definedName name="_T_VDF_COT_TAXRATE_Y97">#REF!</definedName>
    <definedName name="_T_VDF_COT_TAXRATE_Y98">#REF!</definedName>
    <definedName name="_T_VDF_COT_TAXRATE_Y99">#REF!</definedName>
    <definedName name="_T_VDF_COT_Y00">#REF!</definedName>
    <definedName name="_T_VDF_COT_Y01">#REF!</definedName>
    <definedName name="_T_VDF_COT_Y02">#REF!</definedName>
    <definedName name="_T_VDF_COT_Y03">#REF!</definedName>
    <definedName name="_T_VDF_COT_Y04">#REF!</definedName>
    <definedName name="_T_VDF_COT_Y05">#REF!</definedName>
    <definedName name="_T_VDF_COT_Y06">#REF!</definedName>
    <definedName name="_T_VDF_COT_Y07">#REF!</definedName>
    <definedName name="_T_VDF_COT_Y08">#REF!</definedName>
    <definedName name="_T_VDF_COT_Y09">#REF!</definedName>
    <definedName name="_T_VDF_COT_Y10">#REF!</definedName>
    <definedName name="_T_VDF_COT_Y90">#REF!</definedName>
    <definedName name="_T_VDF_COT_Y91">#REF!</definedName>
    <definedName name="_T_VDF_COT_Y92">#REF!</definedName>
    <definedName name="_T_VDF_COT_Y93">#REF!</definedName>
    <definedName name="_T_VDF_COT_Y94">#REF!</definedName>
    <definedName name="_T_VDF_COT_Y95">#REF!</definedName>
    <definedName name="_T_VDF_COT_Y96">#REF!</definedName>
    <definedName name="_T_VDF_COT_Y97">#REF!</definedName>
    <definedName name="_T_VDF_COT_Y98">#REF!</definedName>
    <definedName name="_T_VDF_COT_Y99">#REF!</definedName>
    <definedName name="_T_VDF_CPVFCF_Y00">#REF!</definedName>
    <definedName name="_T_VDF_CPVFCF_Y01">#REF!</definedName>
    <definedName name="_T_VDF_CPVFCF_Y02">#REF!</definedName>
    <definedName name="_T_VDF_CPVFCF_Y03">#REF!</definedName>
    <definedName name="_T_VDF_CPVFCF_Y04">#REF!</definedName>
    <definedName name="_T_VDF_CPVFCF_Y05">#REF!</definedName>
    <definedName name="_T_VDF_CPVFCF_Y06">#REF!</definedName>
    <definedName name="_T_VDF_CPVFCF_Y07">#REF!</definedName>
    <definedName name="_T_VDF_CPVFCF_Y08">#REF!</definedName>
    <definedName name="_T_VDF_CPVFCF_Y09">#REF!</definedName>
    <definedName name="_T_VDF_CPVFCF_Y10">#REF!</definedName>
    <definedName name="_T_VDF_CPVFCF_Y90">#REF!</definedName>
    <definedName name="_T_VDF_CPVFCF_Y91">#REF!</definedName>
    <definedName name="_T_VDF_CPVFCF_Y92">#REF!</definedName>
    <definedName name="_T_VDF_CPVFCF_Y93">#REF!</definedName>
    <definedName name="_T_VDF_CPVFCF_Y94">#REF!</definedName>
    <definedName name="_T_VDF_CPVFCF_Y95">#REF!</definedName>
    <definedName name="_T_VDF_CPVFCF_Y96">#REF!</definedName>
    <definedName name="_T_VDF_CPVFCF_Y97">#REF!</definedName>
    <definedName name="_T_VDF_CPVFCF_Y98">#REF!</definedName>
    <definedName name="_T_VDF_CPVFCF_Y99">#REF!</definedName>
    <definedName name="_T_VDF_CURR_MV_MINOR">#REF!</definedName>
    <definedName name="_T_VDF_CURR_MV_UCS">#REF!</definedName>
    <definedName name="_T_VDF_CURR_SOI">#REF!</definedName>
    <definedName name="_T_VDF_CURR_TOT_DEBT">#REF!</definedName>
    <definedName name="_T_VDF_CURR_TOT_DEBTA_Y00">#REF!</definedName>
    <definedName name="_T_VDF_CURR_TOT_DEBTA_Y01">#REF!</definedName>
    <definedName name="_T_VDF_CURR_TOT_DEBTA_Y02">#REF!</definedName>
    <definedName name="_T_VDF_CURR_TOT_DEBTA_Y03">#REF!</definedName>
    <definedName name="_T_VDF_CURR_TOT_DEBTA_Y04">#REF!</definedName>
    <definedName name="_T_VDF_CURR_TOT_DEBTA_Y05">#REF!</definedName>
    <definedName name="_T_VDF_CURR_TOT_DEBTA_Y06">#REF!</definedName>
    <definedName name="_T_VDF_CURR_TOT_DEBTA_Y07">#REF!</definedName>
    <definedName name="_T_VDF_CURR_TOT_DEBTA_Y08">#REF!</definedName>
    <definedName name="_T_VDF_CURR_TOT_DEBTA_Y09">#REF!</definedName>
    <definedName name="_T_VDF_CURR_TOT_DEBTA_Y10">#REF!</definedName>
    <definedName name="_T_VDF_CURR_TOT_DEBTA_Y90">#REF!</definedName>
    <definedName name="_T_VDF_CURR_TOT_DEBTA_Y91">#REF!</definedName>
    <definedName name="_T_VDF_CURR_TOT_DEBTA_Y92">#REF!</definedName>
    <definedName name="_T_VDF_CURR_TOT_DEBTA_Y93">#REF!</definedName>
    <definedName name="_T_VDF_CURR_TOT_DEBTA_Y94">#REF!</definedName>
    <definedName name="_T_VDF_CURR_TOT_DEBTA_Y95">#REF!</definedName>
    <definedName name="_T_VDF_CURR_TOT_DEBTA_Y96">#REF!</definedName>
    <definedName name="_T_VDF_CURR_TOT_DEBTA_Y97">#REF!</definedName>
    <definedName name="_T_VDF_CURR_TOT_DEBTA_Y98">#REF!</definedName>
    <definedName name="_T_VDF_CURR_TOT_DEBTA_Y99">#REF!</definedName>
    <definedName name="_T_VDF_DEBTCOST_Y00">#REF!</definedName>
    <definedName name="_T_VDF_DEBTCOST_Y01">#REF!</definedName>
    <definedName name="_T_VDF_DEBTCOST_Y02">#REF!</definedName>
    <definedName name="_T_VDF_DEBTCOST_Y03">#REF!</definedName>
    <definedName name="_T_VDF_DEBTCOST_Y04">#REF!</definedName>
    <definedName name="_T_VDF_DEBTCOST_Y05">#REF!</definedName>
    <definedName name="_T_VDF_DEBTCOST_Y06">#REF!</definedName>
    <definedName name="_T_VDF_DEBTCOST_Y07">#REF!</definedName>
    <definedName name="_T_VDF_DEBTCOST_Y08">#REF!</definedName>
    <definedName name="_T_VDF_DEBTCOST_Y09">#REF!</definedName>
    <definedName name="_T_VDF_DEBTCOST_Y10">#REF!</definedName>
    <definedName name="_T_VDF_DEBTCOST_Y90">#REF!</definedName>
    <definedName name="_T_VDF_DEBTCOST_Y91">#REF!</definedName>
    <definedName name="_T_VDF_DEBTCOST_Y92">#REF!</definedName>
    <definedName name="_T_VDF_DEBTCOST_Y93">#REF!</definedName>
    <definedName name="_T_VDF_DEBTCOST_Y94">#REF!</definedName>
    <definedName name="_T_VDF_DEBTCOST_Y95">#REF!</definedName>
    <definedName name="_T_VDF_DEBTCOST_Y96">#REF!</definedName>
    <definedName name="_T_VDF_DEBTCOST_Y97">#REF!</definedName>
    <definedName name="_T_VDF_DEBTCOST_Y98">#REF!</definedName>
    <definedName name="_T_VDF_DEBTCOST_Y99">#REF!</definedName>
    <definedName name="_T_VDF_DEBTCOSTBT_Y00">#REF!</definedName>
    <definedName name="_T_VDF_DEBTCOSTBT_Y01">#REF!</definedName>
    <definedName name="_T_VDF_DEBTCOSTBT_Y02">#REF!</definedName>
    <definedName name="_T_VDF_DEBTCOSTBT_Y03">#REF!</definedName>
    <definedName name="_T_VDF_DEBTCOSTBT_Y04">#REF!</definedName>
    <definedName name="_T_VDF_DEBTCOSTBT_Y05">#REF!</definedName>
    <definedName name="_T_VDF_DEBTCOSTBT_Y06">#REF!</definedName>
    <definedName name="_T_VDF_DEBTCOSTBT_Y07">#REF!</definedName>
    <definedName name="_T_VDF_DEBTCOSTBT_Y08">#REF!</definedName>
    <definedName name="_T_VDF_DEBTCOSTBT_Y09">#REF!</definedName>
    <definedName name="_T_VDF_DEBTCOSTBT_Y10">#REF!</definedName>
    <definedName name="_T_VDF_DEBTCOSTBT_Y90">#REF!</definedName>
    <definedName name="_T_VDF_DEBTCOSTBT_Y91">#REF!</definedName>
    <definedName name="_T_VDF_DEBTCOSTBT_Y92">#REF!</definedName>
    <definedName name="_T_VDF_DEBTCOSTBT_Y93">#REF!</definedName>
    <definedName name="_T_VDF_DEBTCOSTBT_Y94">#REF!</definedName>
    <definedName name="_T_VDF_DEBTCOSTBT_Y95">#REF!</definedName>
    <definedName name="_T_VDF_DEBTCOSTBT_Y96">#REF!</definedName>
    <definedName name="_T_VDF_DEBTCOSTBT_Y97">#REF!</definedName>
    <definedName name="_T_VDF_DEBTCOSTBT_Y98">#REF!</definedName>
    <definedName name="_T_VDF_DEBTCOSTBT_Y99">#REF!</definedName>
    <definedName name="_T_VDF_DEBTRATIO_Y00">#REF!</definedName>
    <definedName name="_T_VDF_DEBTRATIO_Y01">#REF!</definedName>
    <definedName name="_T_VDF_DEBTRATIO_Y02">#REF!</definedName>
    <definedName name="_T_VDF_DEBTRATIO_Y03">#REF!</definedName>
    <definedName name="_T_VDF_DEBTRATIO_Y04">#REF!</definedName>
    <definedName name="_T_VDF_DEBTRATIO_Y05">#REF!</definedName>
    <definedName name="_T_VDF_DEBTRATIO_Y06">#REF!</definedName>
    <definedName name="_T_VDF_DEBTRATIO_Y07">#REF!</definedName>
    <definedName name="_T_VDF_DEBTRATIO_Y08">#REF!</definedName>
    <definedName name="_T_VDF_DEBTRATIO_Y09">#REF!</definedName>
    <definedName name="_T_VDF_DEBTRATIO_Y10">#REF!</definedName>
    <definedName name="_T_VDF_DEBTRATIO_Y90">#REF!</definedName>
    <definedName name="_T_VDF_DEBTRATIO_Y91">#REF!</definedName>
    <definedName name="_T_VDF_DEBTRATIO_Y92">#REF!</definedName>
    <definedName name="_T_VDF_DEBTRATIO_Y93">#REF!</definedName>
    <definedName name="_T_VDF_DEBTRATIO_Y94">#REF!</definedName>
    <definedName name="_T_VDF_DEBTRATIO_Y95">#REF!</definedName>
    <definedName name="_T_VDF_DEBTRATIO_Y96">#REF!</definedName>
    <definedName name="_T_VDF_DEBTRATIO_Y97">#REF!</definedName>
    <definedName name="_T_VDF_DEBTRATIO_Y98">#REF!</definedName>
    <definedName name="_T_VDF_DEBTRATIO_Y99">#REF!</definedName>
    <definedName name="_T_VDF_DEBTSPREAD_Y00">#REF!</definedName>
    <definedName name="_T_VDF_DEBTSPREAD_Y01">#REF!</definedName>
    <definedName name="_T_VDF_DEBTSPREAD_Y02">#REF!</definedName>
    <definedName name="_T_VDF_DEBTSPREAD_Y03">#REF!</definedName>
    <definedName name="_T_VDF_DEBTSPREAD_Y04">#REF!</definedName>
    <definedName name="_T_VDF_DEBTSPREAD_Y05">#REF!</definedName>
    <definedName name="_T_VDF_DEBTSPREAD_Y06">#REF!</definedName>
    <definedName name="_T_VDF_DEBTSPREAD_Y07">#REF!</definedName>
    <definedName name="_T_VDF_DEBTSPREAD_Y08">#REF!</definedName>
    <definedName name="_T_VDF_DEBTSPREAD_Y09">#REF!</definedName>
    <definedName name="_T_VDF_DEBTSPREAD_Y10">#REF!</definedName>
    <definedName name="_T_VDF_DEBTSPREAD_Y90">#REF!</definedName>
    <definedName name="_T_VDF_DEBTSPREAD_Y91">#REF!</definedName>
    <definedName name="_T_VDF_DEBTSPREAD_Y92">#REF!</definedName>
    <definedName name="_T_VDF_DEBTSPREAD_Y93">#REF!</definedName>
    <definedName name="_T_VDF_DEBTSPREAD_Y94">#REF!</definedName>
    <definedName name="_T_VDF_DEBTSPREAD_Y95">#REF!</definedName>
    <definedName name="_T_VDF_DEBTSPREAD_Y96">#REF!</definedName>
    <definedName name="_T_VDF_DEBTSPREAD_Y97">#REF!</definedName>
    <definedName name="_T_VDF_DEBTSPREAD_Y98">#REF!</definedName>
    <definedName name="_T_VDF_DEBTSPREAD_Y99">#REF!</definedName>
    <definedName name="_T_VDF_DILUTION">#REF!</definedName>
    <definedName name="_T_VDF_EBIT_Y00">#REF!</definedName>
    <definedName name="_T_VDF_EBIT_Y01">#REF!</definedName>
    <definedName name="_T_VDF_EBIT_Y02">#REF!</definedName>
    <definedName name="_T_VDF_EBIT_Y03">#REF!</definedName>
    <definedName name="_T_VDF_EBIT_Y04">#REF!</definedName>
    <definedName name="_T_VDF_EBIT_Y05">#REF!</definedName>
    <definedName name="_T_VDF_EBIT_Y06">#REF!</definedName>
    <definedName name="_T_VDF_EBIT_Y07">#REF!</definedName>
    <definedName name="_T_VDF_EBIT_Y08">#REF!</definedName>
    <definedName name="_T_VDF_EBIT_Y09">#REF!</definedName>
    <definedName name="_T_VDF_EBIT_Y10">#REF!</definedName>
    <definedName name="_T_VDF_EBIT_Y90">#REF!</definedName>
    <definedName name="_T_VDF_EBIT_Y91">#REF!</definedName>
    <definedName name="_T_VDF_EBIT_Y92">#REF!</definedName>
    <definedName name="_T_VDF_EBIT_Y93">#REF!</definedName>
    <definedName name="_T_VDF_EBIT_Y94">#REF!</definedName>
    <definedName name="_T_VDF_EBIT_Y95">#REF!</definedName>
    <definedName name="_T_VDF_EBIT_Y96">#REF!</definedName>
    <definedName name="_T_VDF_EBIT_Y97">#REF!</definedName>
    <definedName name="_T_VDF_EBIT_Y98">#REF!</definedName>
    <definedName name="_T_VDF_EBIT_Y99">#REF!</definedName>
    <definedName name="_T_VDF_EBITA_Y00">#REF!</definedName>
    <definedName name="_T_VDF_EBITA_Y01">#REF!</definedName>
    <definedName name="_T_VDF_EBITA_Y02">#REF!</definedName>
    <definedName name="_T_VDF_EBITA_Y03">#REF!</definedName>
    <definedName name="_T_VDF_EBITA_Y04">#REF!</definedName>
    <definedName name="_T_VDF_EBITA_Y05">#REF!</definedName>
    <definedName name="_T_VDF_EBITA_Y06">#REF!</definedName>
    <definedName name="_T_VDF_EBITA_Y07">#REF!</definedName>
    <definedName name="_T_VDF_EBITA_Y08">#REF!</definedName>
    <definedName name="_T_VDF_EBITA_Y09">#REF!</definedName>
    <definedName name="_T_VDF_EBITA_Y10">#REF!</definedName>
    <definedName name="_T_VDF_EBITA_Y90">#REF!</definedName>
    <definedName name="_T_VDF_EBITA_Y91">#REF!</definedName>
    <definedName name="_T_VDF_EBITA_Y92">#REF!</definedName>
    <definedName name="_T_VDF_EBITA_Y93">#REF!</definedName>
    <definedName name="_T_VDF_EBITA_Y94">#REF!</definedName>
    <definedName name="_T_VDF_EBITA_Y95">#REF!</definedName>
    <definedName name="_T_VDF_EBITA_Y96">#REF!</definedName>
    <definedName name="_T_VDF_EBITA_Y97">#REF!</definedName>
    <definedName name="_T_VDF_EBITA_Y98">#REF!</definedName>
    <definedName name="_T_VDF_EBITA_Y99">#REF!</definedName>
    <definedName name="_T_VDF_EBV_NOW_RAT_Y00">#REF!</definedName>
    <definedName name="_T_VDF_EBV_NOW_RAT_Y01">#REF!</definedName>
    <definedName name="_T_VDF_EBV_NOW_RAT_Y02">#REF!</definedName>
    <definedName name="_T_VDF_EBV_NOW_RAT_Y03">#REF!</definedName>
    <definedName name="_T_VDF_EBV_NOW_RAT_Y04">#REF!</definedName>
    <definedName name="_T_VDF_EBV_NOW_RAT_Y05">#REF!</definedName>
    <definedName name="_T_VDF_EBV_NOW_RAT_Y06">#REF!</definedName>
    <definedName name="_T_VDF_EBV_NOW_RAT_Y07">#REF!</definedName>
    <definedName name="_T_VDF_EBV_NOW_RAT_Y08">#REF!</definedName>
    <definedName name="_T_VDF_EBV_NOW_RAT_Y09">#REF!</definedName>
    <definedName name="_T_VDF_EBV_NOW_RAT_Y10">#REF!</definedName>
    <definedName name="_T_VDF_EBV_NOW_RAT_Y90">#REF!</definedName>
    <definedName name="_T_VDF_EBV_NOW_RAT_Y91">#REF!</definedName>
    <definedName name="_T_VDF_EBV_NOW_RAT_Y92">#REF!</definedName>
    <definedName name="_T_VDF_EBV_NOW_RAT_Y93">#REF!</definedName>
    <definedName name="_T_VDF_EBV_NOW_RAT_Y94">#REF!</definedName>
    <definedName name="_T_VDF_EBV_NOW_RAT_Y95">#REF!</definedName>
    <definedName name="_T_VDF_EBV_NOW_RAT_Y96">#REF!</definedName>
    <definedName name="_T_VDF_EBV_NOW_RAT_Y97">#REF!</definedName>
    <definedName name="_T_VDF_EBV_NOW_RAT_Y98">#REF!</definedName>
    <definedName name="_T_VDF_EBV_NOW_RAT_Y99">#REF!</definedName>
    <definedName name="_T_VDF_EBV_NOW_Y00">#REF!</definedName>
    <definedName name="_T_VDF_EBV_NOW_Y01">#REF!</definedName>
    <definedName name="_T_VDF_EBV_NOW_Y02">#REF!</definedName>
    <definedName name="_T_VDF_EBV_NOW_Y03">#REF!</definedName>
    <definedName name="_T_VDF_EBV_NOW_Y04">#REF!</definedName>
    <definedName name="_T_VDF_EBV_NOW_Y05">#REF!</definedName>
    <definedName name="_T_VDF_EBV_NOW_Y06">#REF!</definedName>
    <definedName name="_T_VDF_EBV_NOW_Y07">#REF!</definedName>
    <definedName name="_T_VDF_EBV_NOW_Y08">#REF!</definedName>
    <definedName name="_T_VDF_EBV_NOW_Y09">#REF!</definedName>
    <definedName name="_T_VDF_EBV_NOW_Y10">#REF!</definedName>
    <definedName name="_T_VDF_EBV_NOW_Y90">#REF!</definedName>
    <definedName name="_T_VDF_EBV_NOW_Y91">#REF!</definedName>
    <definedName name="_T_VDF_EBV_NOW_Y92">#REF!</definedName>
    <definedName name="_T_VDF_EBV_NOW_Y93">#REF!</definedName>
    <definedName name="_T_VDF_EBV_NOW_Y94">#REF!</definedName>
    <definedName name="_T_VDF_EBV_NOW_Y95">#REF!</definedName>
    <definedName name="_T_VDF_EBV_NOW_Y96">#REF!</definedName>
    <definedName name="_T_VDF_EBV_NOW_Y97">#REF!</definedName>
    <definedName name="_T_VDF_EBV_NOW_Y98">#REF!</definedName>
    <definedName name="_T_VDF_EBV_NOW_Y99">#REF!</definedName>
    <definedName name="_T_VDF_EBV_RAT_Y00">#REF!</definedName>
    <definedName name="_T_VDF_EBV_RAT_Y01">#REF!</definedName>
    <definedName name="_T_VDF_EBV_RAT_Y02">#REF!</definedName>
    <definedName name="_T_VDF_EBV_RAT_Y03">#REF!</definedName>
    <definedName name="_T_VDF_EBV_RAT_Y04">#REF!</definedName>
    <definedName name="_T_VDF_EBV_RAT_Y05">#REF!</definedName>
    <definedName name="_T_VDF_EBV_RAT_Y06">#REF!</definedName>
    <definedName name="_T_VDF_EBV_RAT_Y07">#REF!</definedName>
    <definedName name="_T_VDF_EBV_RAT_Y08">#REF!</definedName>
    <definedName name="_T_VDF_EBV_RAT_Y09">#REF!</definedName>
    <definedName name="_T_VDF_EBV_RAT_Y10">#REF!</definedName>
    <definedName name="_T_VDF_EBV_RAT_Y90">#REF!</definedName>
    <definedName name="_T_VDF_EBV_RAT_Y91">#REF!</definedName>
    <definedName name="_T_VDF_EBV_RAT_Y92">#REF!</definedName>
    <definedName name="_T_VDF_EBV_RAT_Y93">#REF!</definedName>
    <definedName name="_T_VDF_EBV_RAT_Y94">#REF!</definedName>
    <definedName name="_T_VDF_EBV_RAT_Y95">#REF!</definedName>
    <definedName name="_T_VDF_EBV_RAT_Y96">#REF!</definedName>
    <definedName name="_T_VDF_EBV_RAT_Y97">#REF!</definedName>
    <definedName name="_T_VDF_EBV_RAT_Y98">#REF!</definedName>
    <definedName name="_T_VDF_EBV_RAT_Y99">#REF!</definedName>
    <definedName name="_T_VDF_EBV_Y00">#REF!</definedName>
    <definedName name="_T_VDF_EBV_Y01">#REF!</definedName>
    <definedName name="_T_VDF_EBV_Y02">#REF!</definedName>
    <definedName name="_T_VDF_EBV_Y03">#REF!</definedName>
    <definedName name="_T_VDF_EBV_Y04">#REF!</definedName>
    <definedName name="_T_VDF_EBV_Y05">#REF!</definedName>
    <definedName name="_T_VDF_EBV_Y06">#REF!</definedName>
    <definedName name="_T_VDF_EBV_Y07">#REF!</definedName>
    <definedName name="_T_VDF_EBV_Y08">#REF!</definedName>
    <definedName name="_T_VDF_EBV_Y09">#REF!</definedName>
    <definedName name="_T_VDF_EBV_Y10">#REF!</definedName>
    <definedName name="_T_VDF_EBV_Y90">#REF!</definedName>
    <definedName name="_T_VDF_EBV_Y91">#REF!</definedName>
    <definedName name="_T_VDF_EBV_Y92">#REF!</definedName>
    <definedName name="_T_VDF_EBV_Y93">#REF!</definedName>
    <definedName name="_T_VDF_EBV_Y94">#REF!</definedName>
    <definedName name="_T_VDF_EBV_Y95">#REF!</definedName>
    <definedName name="_T_VDF_EBV_Y96">#REF!</definedName>
    <definedName name="_T_VDF_EBV_Y97">#REF!</definedName>
    <definedName name="_T_VDF_EBV_Y98">#REF!</definedName>
    <definedName name="_T_VDF_EBV_Y99">#REF!</definedName>
    <definedName name="_T_VDF_ENT_VALUE_Y00">#REF!</definedName>
    <definedName name="_T_VDF_ENT_VALUE_Y01">#REF!</definedName>
    <definedName name="_T_VDF_ENT_VALUE_Y02">#REF!</definedName>
    <definedName name="_T_VDF_ENT_VALUE_Y03">#REF!</definedName>
    <definedName name="_T_VDF_ENT_VALUE_Y04">#REF!</definedName>
    <definedName name="_T_VDF_ENT_VALUE_Y05">#REF!</definedName>
    <definedName name="_T_VDF_ENT_VALUE_Y06">#REF!</definedName>
    <definedName name="_T_VDF_ENT_VALUE_Y07">#REF!</definedName>
    <definedName name="_T_VDF_ENT_VALUE_Y08">#REF!</definedName>
    <definedName name="_T_VDF_ENT_VALUE_Y09">#REF!</definedName>
    <definedName name="_T_VDF_ENT_VALUE_Y10">#REF!</definedName>
    <definedName name="_T_VDF_ENT_VALUE_Y90">#REF!</definedName>
    <definedName name="_T_VDF_ENT_VALUE_Y91">#REF!</definedName>
    <definedName name="_T_VDF_ENT_VALUE_Y92">#REF!</definedName>
    <definedName name="_T_VDF_ENT_VALUE_Y93">#REF!</definedName>
    <definedName name="_T_VDF_ENT_VALUE_Y94">#REF!</definedName>
    <definedName name="_T_VDF_ENT_VALUE_Y95">#REF!</definedName>
    <definedName name="_T_VDF_ENT_VALUE_Y96">#REF!</definedName>
    <definedName name="_T_VDF_ENT_VALUE_Y97">#REF!</definedName>
    <definedName name="_T_VDF_ENT_VALUE_Y98">#REF!</definedName>
    <definedName name="_T_VDF_ENT_VALUE_Y99">#REF!</definedName>
    <definedName name="_T_VDF_EQ_EQUIV_Y00">#REF!</definedName>
    <definedName name="_T_VDF_EQ_EQUIV_Y01">#REF!</definedName>
    <definedName name="_T_VDF_EQ_EQUIV_Y02">#REF!</definedName>
    <definedName name="_T_VDF_EQ_EQUIV_Y03">#REF!</definedName>
    <definedName name="_T_VDF_EQ_EQUIV_Y04">#REF!</definedName>
    <definedName name="_T_VDF_EQ_EQUIV_Y05">#REF!</definedName>
    <definedName name="_T_VDF_EQ_EQUIV_Y06">#REF!</definedName>
    <definedName name="_T_VDF_EQ_EQUIV_Y07">#REF!</definedName>
    <definedName name="_T_VDF_EQ_EQUIV_Y08">#REF!</definedName>
    <definedName name="_T_VDF_EQ_EQUIV_Y09">#REF!</definedName>
    <definedName name="_T_VDF_EQ_EQUIV_Y10">#REF!</definedName>
    <definedName name="_T_VDF_EQ_EQUIV_Y90">#REF!</definedName>
    <definedName name="_T_VDF_EQ_EQUIV_Y91">#REF!</definedName>
    <definedName name="_T_VDF_EQ_EQUIV_Y92">#REF!</definedName>
    <definedName name="_T_VDF_EQ_EQUIV_Y93">#REF!</definedName>
    <definedName name="_T_VDF_EQ_EQUIV_Y94">#REF!</definedName>
    <definedName name="_T_VDF_EQ_EQUIV_Y95">#REF!</definedName>
    <definedName name="_T_VDF_EQ_EQUIV_Y96">#REF!</definedName>
    <definedName name="_T_VDF_EQ_EQUIV_Y97">#REF!</definedName>
    <definedName name="_T_VDF_EQ_EQUIV_Y98">#REF!</definedName>
    <definedName name="_T_VDF_EQ_EQUIV_Y99">#REF!</definedName>
    <definedName name="_T_VDF_EQCOST_Y00">#REF!</definedName>
    <definedName name="_T_VDF_EQCOST_Y01">#REF!</definedName>
    <definedName name="_T_VDF_EQCOST_Y02">#REF!</definedName>
    <definedName name="_T_VDF_EQCOST_Y03">#REF!</definedName>
    <definedName name="_T_VDF_EQCOST_Y04">#REF!</definedName>
    <definedName name="_T_VDF_EQCOST_Y05">#REF!</definedName>
    <definedName name="_T_VDF_EQCOST_Y06">#REF!</definedName>
    <definedName name="_T_VDF_EQCOST_Y07">#REF!</definedName>
    <definedName name="_T_VDF_EQCOST_Y08">#REF!</definedName>
    <definedName name="_T_VDF_EQCOST_Y09">#REF!</definedName>
    <definedName name="_T_VDF_EQCOST_Y10">#REF!</definedName>
    <definedName name="_T_VDF_EQCOST_Y90">#REF!</definedName>
    <definedName name="_T_VDF_EQCOST_Y91">#REF!</definedName>
    <definedName name="_T_VDF_EQCOST_Y92">#REF!</definedName>
    <definedName name="_T_VDF_EQCOST_Y93">#REF!</definedName>
    <definedName name="_T_VDF_EQCOST_Y94">#REF!</definedName>
    <definedName name="_T_VDF_EQCOST_Y95">#REF!</definedName>
    <definedName name="_T_VDF_EQCOST_Y96">#REF!</definedName>
    <definedName name="_T_VDF_EQCOST_Y97">#REF!</definedName>
    <definedName name="_T_VDF_EQCOST_Y98">#REF!</definedName>
    <definedName name="_T_VDF_EQCOST_Y99">#REF!</definedName>
    <definedName name="_T_VDF_ER_PREMIUM_Y00">#REF!</definedName>
    <definedName name="_T_VDF_ER_PREMIUM_Y01">#REF!</definedName>
    <definedName name="_T_VDF_ER_PREMIUM_Y02">#REF!</definedName>
    <definedName name="_T_VDF_ER_PREMIUM_Y03">#REF!</definedName>
    <definedName name="_T_VDF_ER_PREMIUM_Y04">#REF!</definedName>
    <definedName name="_T_VDF_ER_PREMIUM_Y05">#REF!</definedName>
    <definedName name="_T_VDF_ER_PREMIUM_Y06">#REF!</definedName>
    <definedName name="_T_VDF_ER_PREMIUM_Y07">#REF!</definedName>
    <definedName name="_T_VDF_ER_PREMIUM_Y08">#REF!</definedName>
    <definedName name="_T_VDF_ER_PREMIUM_Y09">#REF!</definedName>
    <definedName name="_T_VDF_ER_PREMIUM_Y10">#REF!</definedName>
    <definedName name="_T_VDF_ER_PREMIUM_Y90">#REF!</definedName>
    <definedName name="_T_VDF_ER_PREMIUM_Y91">#REF!</definedName>
    <definedName name="_T_VDF_ER_PREMIUM_Y92">#REF!</definedName>
    <definedName name="_T_VDF_ER_PREMIUM_Y93">#REF!</definedName>
    <definedName name="_T_VDF_ER_PREMIUM_Y94">#REF!</definedName>
    <definedName name="_T_VDF_ER_PREMIUM_Y95">#REF!</definedName>
    <definedName name="_T_VDF_ER_PREMIUM_Y96">#REF!</definedName>
    <definedName name="_T_VDF_ER_PREMIUM_Y97">#REF!</definedName>
    <definedName name="_T_VDF_ER_PREMIUM_Y98">#REF!</definedName>
    <definedName name="_T_VDF_ER_PREMIUM_Y99">#REF!</definedName>
    <definedName name="_T_VDF_EXC_CASH_Y00">#REF!</definedName>
    <definedName name="_T_VDF_EXC_CASH_Y01">#REF!</definedName>
    <definedName name="_T_VDF_EXC_CASH_Y02">#REF!</definedName>
    <definedName name="_T_VDF_EXC_CASH_Y03">#REF!</definedName>
    <definedName name="_T_VDF_EXC_CASH_Y04">#REF!</definedName>
    <definedName name="_T_VDF_EXC_CASH_Y05">#REF!</definedName>
    <definedName name="_T_VDF_EXC_CASH_Y06">#REF!</definedName>
    <definedName name="_T_VDF_EXC_CASH_Y07">#REF!</definedName>
    <definedName name="_T_VDF_EXC_CASH_Y08">#REF!</definedName>
    <definedName name="_T_VDF_EXC_CASH_Y09">#REF!</definedName>
    <definedName name="_T_VDF_EXC_CASH_Y10">#REF!</definedName>
    <definedName name="_T_VDF_EXC_CASH_Y90">#REF!</definedName>
    <definedName name="_T_VDF_EXC_CASH_Y91">#REF!</definedName>
    <definedName name="_T_VDF_EXC_CASH_Y92">#REF!</definedName>
    <definedName name="_T_VDF_EXC_CASH_Y93">#REF!</definedName>
    <definedName name="_T_VDF_EXC_CASH_Y94">#REF!</definedName>
    <definedName name="_T_VDF_EXC_CASH_Y95">#REF!</definedName>
    <definedName name="_T_VDF_EXC_CASH_Y96">#REF!</definedName>
    <definedName name="_T_VDF_EXC_CASH_Y97">#REF!</definedName>
    <definedName name="_T_VDF_EXC_CASH_Y98">#REF!</definedName>
    <definedName name="_T_VDF_EXC_CASH_Y99">#REF!</definedName>
    <definedName name="_T_VDF_EXC_CASHA_Y00">#REF!</definedName>
    <definedName name="_T_VDF_EXC_CASHA_Y01">#REF!</definedName>
    <definedName name="_T_VDF_EXC_CASHA_Y02">#REF!</definedName>
    <definedName name="_T_VDF_EXC_CASHA_Y03">#REF!</definedName>
    <definedName name="_T_VDF_EXC_CASHA_Y04">#REF!</definedName>
    <definedName name="_T_VDF_EXC_CASHA_Y05">#REF!</definedName>
    <definedName name="_T_VDF_EXC_CASHA_Y06">#REF!</definedName>
    <definedName name="_T_VDF_EXC_CASHA_Y07">#REF!</definedName>
    <definedName name="_T_VDF_EXC_CASHA_Y08">#REF!</definedName>
    <definedName name="_T_VDF_EXC_CASHA_Y09">#REF!</definedName>
    <definedName name="_T_VDF_EXC_CASHA_Y10">#REF!</definedName>
    <definedName name="_T_VDF_EXC_CASHA_Y90">#REF!</definedName>
    <definedName name="_T_VDF_EXC_CASHA_Y91">#REF!</definedName>
    <definedName name="_T_VDF_EXC_CASHA_Y92">#REF!</definedName>
    <definedName name="_T_VDF_EXC_CASHA_Y93">#REF!</definedName>
    <definedName name="_T_VDF_EXC_CASHA_Y94">#REF!</definedName>
    <definedName name="_T_VDF_EXC_CASHA_Y95">#REF!</definedName>
    <definedName name="_T_VDF_EXC_CASHA_Y96">#REF!</definedName>
    <definedName name="_T_VDF_EXC_CASHA_Y97">#REF!</definedName>
    <definedName name="_T_VDF_EXC_CASHA_Y98">#REF!</definedName>
    <definedName name="_T_VDF_EXC_CASHA_Y99">#REF!</definedName>
    <definedName name="_T_VDF_EXTRA_DEBT_Y00">#REF!</definedName>
    <definedName name="_T_VDF_EXTRA_DEBT_Y01">#REF!</definedName>
    <definedName name="_T_VDF_EXTRA_DEBT_Y02">#REF!</definedName>
    <definedName name="_T_VDF_EXTRA_DEBT_Y03">#REF!</definedName>
    <definedName name="_T_VDF_EXTRA_DEBT_Y04">#REF!</definedName>
    <definedName name="_T_VDF_EXTRA_DEBT_Y05">#REF!</definedName>
    <definedName name="_T_VDF_EXTRA_DEBT_Y06">#REF!</definedName>
    <definedName name="_T_VDF_EXTRA_DEBT_Y07">#REF!</definedName>
    <definedName name="_T_VDF_EXTRA_DEBT_Y08">#REF!</definedName>
    <definedName name="_T_VDF_EXTRA_DEBT_Y09">#REF!</definedName>
    <definedName name="_T_VDF_EXTRA_DEBT_Y10">#REF!</definedName>
    <definedName name="_T_VDF_EXTRA_DEBT_Y90">#REF!</definedName>
    <definedName name="_T_VDF_EXTRA_DEBT_Y91">#REF!</definedName>
    <definedName name="_T_VDF_EXTRA_DEBT_Y92">#REF!</definedName>
    <definedName name="_T_VDF_EXTRA_DEBT_Y93">#REF!</definedName>
    <definedName name="_T_VDF_EXTRA_DEBT_Y94">#REF!</definedName>
    <definedName name="_T_VDF_EXTRA_DEBT_Y95">#REF!</definedName>
    <definedName name="_T_VDF_EXTRA_DEBT_Y96">#REF!</definedName>
    <definedName name="_T_VDF_EXTRA_DEBT_Y97">#REF!</definedName>
    <definedName name="_T_VDF_EXTRA_DEBT_Y98">#REF!</definedName>
    <definedName name="_T_VDF_EXTRA_DEBT_Y99">#REF!</definedName>
    <definedName name="_T_VDF_EXTRA_INTANG_Y00">#REF!</definedName>
    <definedName name="_T_VDF_EXTRA_INTANG_Y01">#REF!</definedName>
    <definedName name="_T_VDF_EXTRA_INTANG_Y02">#REF!</definedName>
    <definedName name="_T_VDF_EXTRA_INTANG_Y03">#REF!</definedName>
    <definedName name="_T_VDF_EXTRA_INTANG_Y04">#REF!</definedName>
    <definedName name="_T_VDF_EXTRA_INTANG_Y05">#REF!</definedName>
    <definedName name="_T_VDF_EXTRA_INTANG_Y06">#REF!</definedName>
    <definedName name="_T_VDF_EXTRA_INTANG_Y07">#REF!</definedName>
    <definedName name="_T_VDF_EXTRA_INTANG_Y08">#REF!</definedName>
    <definedName name="_T_VDF_EXTRA_INTANG_Y09">#REF!</definedName>
    <definedName name="_T_VDF_EXTRA_INTANG_Y10">#REF!</definedName>
    <definedName name="_T_VDF_EXTRA_INTANG_Y90">#REF!</definedName>
    <definedName name="_T_VDF_EXTRA_INTANG_Y91">#REF!</definedName>
    <definedName name="_T_VDF_EXTRA_INTANG_Y92">#REF!</definedName>
    <definedName name="_T_VDF_EXTRA_INTANG_Y93">#REF!</definedName>
    <definedName name="_T_VDF_EXTRA_INTANG_Y94">#REF!</definedName>
    <definedName name="_T_VDF_EXTRA_INTANG_Y95">#REF!</definedName>
    <definedName name="_T_VDF_EXTRA_INTANG_Y96">#REF!</definedName>
    <definedName name="_T_VDF_EXTRA_INTANG_Y97">#REF!</definedName>
    <definedName name="_T_VDF_EXTRA_INTANG_Y98">#REF!</definedName>
    <definedName name="_T_VDF_EXTRA_INTANG_Y99">#REF!</definedName>
    <definedName name="_T_VDF_FA_TURN1">#REF!</definedName>
    <definedName name="_T_VDF_FA_TURN2">#REF!</definedName>
    <definedName name="_T_VDF_FA_TURN3">#REF!</definedName>
    <definedName name="_T_VDF_FA_TURN4">#REF!</definedName>
    <definedName name="_T_VDF_FA_TURN5">#REF!</definedName>
    <definedName name="_T_VDF_FA_TURN6">#REF!</definedName>
    <definedName name="_T_VDF_FCCHANGE_Y00">#REF!</definedName>
    <definedName name="_T_VDF_FCCHANGE_Y01">#REF!</definedName>
    <definedName name="_T_VDF_FCCHANGE_Y02">#REF!</definedName>
    <definedName name="_T_VDF_FCCHANGE_Y03">#REF!</definedName>
    <definedName name="_T_VDF_FCCHANGE_Y04">#REF!</definedName>
    <definedName name="_T_VDF_FCCHANGE_Y05">#REF!</definedName>
    <definedName name="_T_VDF_FCCHANGE_Y06">#REF!</definedName>
    <definedName name="_T_VDF_FCCHANGE_Y07">#REF!</definedName>
    <definedName name="_T_VDF_FCCHANGE_Y08">#REF!</definedName>
    <definedName name="_T_VDF_FCCHANGE_Y09">#REF!</definedName>
    <definedName name="_T_VDF_FCCHANGE_Y10">#REF!</definedName>
    <definedName name="_T_VDF_FCCHANGE_Y90">#REF!</definedName>
    <definedName name="_T_VDF_FCCHANGE_Y91">#REF!</definedName>
    <definedName name="_T_VDF_FCCHANGE_Y92">#REF!</definedName>
    <definedName name="_T_VDF_FCCHANGE_Y93">#REF!</definedName>
    <definedName name="_T_VDF_FCCHANGE_Y94">#REF!</definedName>
    <definedName name="_T_VDF_FCCHANGE_Y95">#REF!</definedName>
    <definedName name="_T_VDF_FCCHANGE_Y96">#REF!</definedName>
    <definedName name="_T_VDF_FCCHANGE_Y97">#REF!</definedName>
    <definedName name="_T_VDF_FCCHANGE_Y98">#REF!</definedName>
    <definedName name="_T_VDF_FCCHANGE_Y99">#REF!</definedName>
    <definedName name="_T_VDF_FCF_Y00">#REF!</definedName>
    <definedName name="_T_VDF_FCF_Y01">#REF!</definedName>
    <definedName name="_T_VDF_FCF_Y02">#REF!</definedName>
    <definedName name="_T_VDF_FCF_Y03">#REF!</definedName>
    <definedName name="_T_VDF_FCF_Y04">#REF!</definedName>
    <definedName name="_T_VDF_FCF_Y05">#REF!</definedName>
    <definedName name="_T_VDF_FCF_Y06">#REF!</definedName>
    <definedName name="_T_VDF_FCF_Y07">#REF!</definedName>
    <definedName name="_T_VDF_FCF_Y08">#REF!</definedName>
    <definedName name="_T_VDF_FCF_Y09">#REF!</definedName>
    <definedName name="_T_VDF_FCF_Y10">#REF!</definedName>
    <definedName name="_T_VDF_FCF_Y90">#REF!</definedName>
    <definedName name="_T_VDF_FCF_Y91">#REF!</definedName>
    <definedName name="_T_VDF_FCF_Y92">#REF!</definedName>
    <definedName name="_T_VDF_FCF_Y93">#REF!</definedName>
    <definedName name="_T_VDF_FCF_Y94">#REF!</definedName>
    <definedName name="_T_VDF_FCF_Y95">#REF!</definedName>
    <definedName name="_T_VDF_FCF_Y96">#REF!</definedName>
    <definedName name="_T_VDF_FCF_Y97">#REF!</definedName>
    <definedName name="_T_VDF_FCF_Y98">#REF!</definedName>
    <definedName name="_T_VDF_FCF_Y99">#REF!</definedName>
    <definedName name="_T_VDF_FIXED_CAP_EXLEASE_Y00">#REF!</definedName>
    <definedName name="_T_VDF_FIXED_CAP_EXLEASE_Y01">#REF!</definedName>
    <definedName name="_T_VDF_FIXED_CAP_EXLEASE_Y02">#REF!</definedName>
    <definedName name="_T_VDF_FIXED_CAP_EXLEASE_Y03">#REF!</definedName>
    <definedName name="_T_VDF_FIXED_CAP_EXLEASE_Y04">#REF!</definedName>
    <definedName name="_T_VDF_FIXED_CAP_EXLEASE_Y05">#REF!</definedName>
    <definedName name="_T_VDF_FIXED_CAP_EXLEASE_Y06">#REF!</definedName>
    <definedName name="_T_VDF_FIXED_CAP_EXLEASE_Y07">#REF!</definedName>
    <definedName name="_T_VDF_FIXED_CAP_EXLEASE_Y08">#REF!</definedName>
    <definedName name="_T_VDF_FIXED_CAP_EXLEASE_Y09">#REF!</definedName>
    <definedName name="_T_VDF_FIXED_CAP_EXLEASE_Y10">#REF!</definedName>
    <definedName name="_T_VDF_FIXED_CAP_EXLEASE_Y90">#REF!</definedName>
    <definedName name="_T_VDF_FIXED_CAP_EXLEASE_Y91">#REF!</definedName>
    <definedName name="_T_VDF_FIXED_CAP_EXLEASE_Y92">#REF!</definedName>
    <definedName name="_T_VDF_FIXED_CAP_EXLEASE_Y93">#REF!</definedName>
    <definedName name="_T_VDF_FIXED_CAP_EXLEASE_Y94">#REF!</definedName>
    <definedName name="_T_VDF_FIXED_CAP_EXLEASE_Y95">#REF!</definedName>
    <definedName name="_T_VDF_FIXED_CAP_EXLEASE_Y96">#REF!</definedName>
    <definedName name="_T_VDF_FIXED_CAP_EXLEASE_Y97">#REF!</definedName>
    <definedName name="_T_VDF_FIXED_CAP_EXLEASE_Y98">#REF!</definedName>
    <definedName name="_T_VDF_FIXED_CAP_EXLEASE_Y99">#REF!</definedName>
    <definedName name="_T_VDF_FIXED_CAP_Y00">#REF!</definedName>
    <definedName name="_T_VDF_FIXED_CAP_Y01">#REF!</definedName>
    <definedName name="_T_VDF_FIXED_CAP_Y02">#REF!</definedName>
    <definedName name="_T_VDF_FIXED_CAP_Y03">#REF!</definedName>
    <definedName name="_T_VDF_FIXED_CAP_Y04">#REF!</definedName>
    <definedName name="_T_VDF_FIXED_CAP_Y05">#REF!</definedName>
    <definedName name="_T_VDF_FIXED_CAP_Y06">#REF!</definedName>
    <definedName name="_T_VDF_FIXED_CAP_Y07">#REF!</definedName>
    <definedName name="_T_VDF_FIXED_CAP_Y08">#REF!</definedName>
    <definedName name="_T_VDF_FIXED_CAP_Y09">#REF!</definedName>
    <definedName name="_T_VDF_FIXED_CAP_Y10">#REF!</definedName>
    <definedName name="_T_VDF_FIXED_CAP_Y90">#REF!</definedName>
    <definedName name="_T_VDF_FIXED_CAP_Y91">#REF!</definedName>
    <definedName name="_T_VDF_FIXED_CAP_Y92">#REF!</definedName>
    <definedName name="_T_VDF_FIXED_CAP_Y93">#REF!</definedName>
    <definedName name="_T_VDF_FIXED_CAP_Y94">#REF!</definedName>
    <definedName name="_T_VDF_FIXED_CAP_Y95">#REF!</definedName>
    <definedName name="_T_VDF_FIXED_CAP_Y96">#REF!</definedName>
    <definedName name="_T_VDF_FIXED_CAP_Y97">#REF!</definedName>
    <definedName name="_T_VDF_FIXED_CAP_Y98">#REF!</definedName>
    <definedName name="_T_VDF_FIXED_CAP_Y99">#REF!</definedName>
    <definedName name="_T_VDF_FRANKING_GAMMA">#REF!</definedName>
    <definedName name="_T_VDF_FRANKING_USED">#REF!</definedName>
    <definedName name="_T_VDF_FYERISKFREE_Y00">#REF!</definedName>
    <definedName name="_T_VDF_FYERISKFREE_Y01">#REF!</definedName>
    <definedName name="_T_VDF_FYERISKFREE_Y02">#REF!</definedName>
    <definedName name="_T_VDF_FYERISKFREE_Y03">#REF!</definedName>
    <definedName name="_T_VDF_FYERISKFREE_Y04">#REF!</definedName>
    <definedName name="_T_VDF_FYERISKFREE_Y05">#REF!</definedName>
    <definedName name="_T_VDF_FYERISKFREE_Y06">#REF!</definedName>
    <definedName name="_T_VDF_FYERISKFREE_Y07">#REF!</definedName>
    <definedName name="_T_VDF_FYERISKFREE_Y08">#REF!</definedName>
    <definedName name="_T_VDF_FYERISKFREE_Y09">#REF!</definedName>
    <definedName name="_T_VDF_FYERISKFREE_Y10">#REF!</definedName>
    <definedName name="_T_VDF_FYERISKFREE_Y90">#REF!</definedName>
    <definedName name="_T_VDF_FYERISKFREE_Y91">#REF!</definedName>
    <definedName name="_T_VDF_FYERISKFREE_Y92">#REF!</definedName>
    <definedName name="_T_VDF_FYERISKFREE_Y93">#REF!</definedName>
    <definedName name="_T_VDF_FYERISKFREE_Y94">#REF!</definedName>
    <definedName name="_T_VDF_FYERISKFREE_Y95">#REF!</definedName>
    <definedName name="_T_VDF_FYERISKFREE_Y96">#REF!</definedName>
    <definedName name="_T_VDF_FYERISKFREE_Y97">#REF!</definedName>
    <definedName name="_T_VDF_FYERISKFREE_Y98">#REF!</definedName>
    <definedName name="_T_VDF_FYERISKFREE_Y99">#REF!</definedName>
    <definedName name="_T_VDF_FYESHAREPRICE_Y00">#REF!</definedName>
    <definedName name="_T_VDF_FYESHAREPRICE_Y01">#REF!</definedName>
    <definedName name="_T_VDF_FYESHAREPRICE_Y02">#REF!</definedName>
    <definedName name="_T_VDF_FYESHAREPRICE_Y03">#REF!</definedName>
    <definedName name="_T_VDF_FYESHAREPRICE_Y04">#REF!</definedName>
    <definedName name="_T_VDF_FYESHAREPRICE_Y05">#REF!</definedName>
    <definedName name="_T_VDF_FYESHAREPRICE_Y06">#REF!</definedName>
    <definedName name="_T_VDF_FYESHAREPRICE_Y07">#REF!</definedName>
    <definedName name="_T_VDF_FYESHAREPRICE_Y08">#REF!</definedName>
    <definedName name="_T_VDF_FYESHAREPRICE_Y09">#REF!</definedName>
    <definedName name="_T_VDF_FYESHAREPRICE_Y10">#REF!</definedName>
    <definedName name="_T_VDF_FYESHAREPRICE_Y90">#REF!</definedName>
    <definedName name="_T_VDF_FYESHAREPRICE_Y91">#REF!</definedName>
    <definedName name="_T_VDF_FYESHAREPRICE_Y92">#REF!</definedName>
    <definedName name="_T_VDF_FYESHAREPRICE_Y93">#REF!</definedName>
    <definedName name="_T_VDF_FYESHAREPRICE_Y94">#REF!</definedName>
    <definedName name="_T_VDF_FYESHAREPRICE_Y95">#REF!</definedName>
    <definedName name="_T_VDF_FYESHAREPRICE_Y96">#REF!</definedName>
    <definedName name="_T_VDF_FYESHAREPRICE_Y97">#REF!</definedName>
    <definedName name="_T_VDF_FYESHAREPRICE_Y98">#REF!</definedName>
    <definedName name="_T_VDF_FYESHAREPRICE_Y99">#REF!</definedName>
    <definedName name="_T_VDF_HISTORIC_BETA_Y00">#REF!</definedName>
    <definedName name="_T_VDF_HISTORIC_BETA_Y01">#REF!</definedName>
    <definedName name="_T_VDF_HISTORIC_BETA_Y02">#REF!</definedName>
    <definedName name="_T_VDF_HISTORIC_BETA_Y03">#REF!</definedName>
    <definedName name="_T_VDF_HISTORIC_BETA_Y04">#REF!</definedName>
    <definedName name="_T_VDF_HISTORIC_BETA_Y05">#REF!</definedName>
    <definedName name="_T_VDF_HISTORIC_BETA_Y06">#REF!</definedName>
    <definedName name="_T_VDF_HISTORIC_BETA_Y07">#REF!</definedName>
    <definedName name="_T_VDF_HISTORIC_BETA_Y08">#REF!</definedName>
    <definedName name="_T_VDF_HISTORIC_BETA_Y09">#REF!</definedName>
    <definedName name="_T_VDF_HISTORIC_BETA_Y10">#REF!</definedName>
    <definedName name="_T_VDF_HISTORIC_BETA_Y90">#REF!</definedName>
    <definedName name="_T_VDF_HISTORIC_BETA_Y91">#REF!</definedName>
    <definedName name="_T_VDF_HISTORIC_BETA_Y92">#REF!</definedName>
    <definedName name="_T_VDF_HISTORIC_BETA_Y93">#REF!</definedName>
    <definedName name="_T_VDF_HISTORIC_BETA_Y94">#REF!</definedName>
    <definedName name="_T_VDF_HISTORIC_BETA_Y95">#REF!</definedName>
    <definedName name="_T_VDF_HISTORIC_BETA_Y96">#REF!</definedName>
    <definedName name="_T_VDF_HISTORIC_BETA_Y97">#REF!</definedName>
    <definedName name="_T_VDF_HISTORIC_BETA_Y98">#REF!</definedName>
    <definedName name="_T_VDF_HISTORIC_BETA_Y99">#REF!</definedName>
    <definedName name="_T_VDF_IC_CHECK_Y00">#REF!</definedName>
    <definedName name="_T_VDF_IC_CHECK_Y01">#REF!</definedName>
    <definedName name="_T_VDF_IC_CHECK_Y02">#REF!</definedName>
    <definedName name="_T_VDF_IC_CHECK_Y03">#REF!</definedName>
    <definedName name="_T_VDF_IC_CHECK_Y04">#REF!</definedName>
    <definedName name="_T_VDF_IC_CHECK_Y05">#REF!</definedName>
    <definedName name="_T_VDF_IC_CHECK_Y06">#REF!</definedName>
    <definedName name="_T_VDF_IC_CHECK_Y07">#REF!</definedName>
    <definedName name="_T_VDF_IC_CHECK_Y08">#REF!</definedName>
    <definedName name="_T_VDF_IC_CHECK_Y09">#REF!</definedName>
    <definedName name="_T_VDF_IC_CHECK_Y10">#REF!</definedName>
    <definedName name="_T_VDF_IC_CHECK_Y90">#REF!</definedName>
    <definedName name="_T_VDF_IC_CHECK_Y91">#REF!</definedName>
    <definedName name="_T_VDF_IC_CHECK_Y92">#REF!</definedName>
    <definedName name="_T_VDF_IC_CHECK_Y93">#REF!</definedName>
    <definedName name="_T_VDF_IC_CHECK_Y94">#REF!</definedName>
    <definedName name="_T_VDF_IC_CHECK_Y95">#REF!</definedName>
    <definedName name="_T_VDF_IC_CHECK_Y96">#REF!</definedName>
    <definedName name="_T_VDF_IC_CHECK_Y97">#REF!</definedName>
    <definedName name="_T_VDF_IC_CHECK_Y98">#REF!</definedName>
    <definedName name="_T_VDF_IC_CHECK_Y99">#REF!</definedName>
    <definedName name="_T_VDF_INC_INVEST_Y00">#REF!</definedName>
    <definedName name="_T_VDF_INC_INVEST_Y01">#REF!</definedName>
    <definedName name="_T_VDF_INC_INVEST_Y02">#REF!</definedName>
    <definedName name="_T_VDF_INC_INVEST_Y03">#REF!</definedName>
    <definedName name="_T_VDF_INC_INVEST_Y04">#REF!</definedName>
    <definedName name="_T_VDF_INC_INVEST_Y05">#REF!</definedName>
    <definedName name="_T_VDF_INC_INVEST_Y06">#REF!</definedName>
    <definedName name="_T_VDF_INC_INVEST_Y07">#REF!</definedName>
    <definedName name="_T_VDF_INC_INVEST_Y08">#REF!</definedName>
    <definedName name="_T_VDF_INC_INVEST_Y09">#REF!</definedName>
    <definedName name="_T_VDF_INC_INVEST_Y10">#REF!</definedName>
    <definedName name="_T_VDF_INC_INVEST_Y90">#REF!</definedName>
    <definedName name="_T_VDF_INC_INVEST_Y91">#REF!</definedName>
    <definedName name="_T_VDF_INC_INVEST_Y92">#REF!</definedName>
    <definedName name="_T_VDF_INC_INVEST_Y93">#REF!</definedName>
    <definedName name="_T_VDF_INC_INVEST_Y94">#REF!</definedName>
    <definedName name="_T_VDF_INC_INVEST_Y95">#REF!</definedName>
    <definedName name="_T_VDF_INC_INVEST_Y96">#REF!</definedName>
    <definedName name="_T_VDF_INC_INVEST_Y97">#REF!</definedName>
    <definedName name="_T_VDF_INC_INVEST_Y98">#REF!</definedName>
    <definedName name="_T_VDF_INC_INVEST_Y99">#REF!</definedName>
    <definedName name="_T_VDF_INT_EXP_CAPOL_Y00">#REF!</definedName>
    <definedName name="_T_VDF_INT_EXP_CAPOL_Y01">#REF!</definedName>
    <definedName name="_T_VDF_INT_EXP_CAPOL_Y02">#REF!</definedName>
    <definedName name="_T_VDF_INT_EXP_CAPOL_Y03">#REF!</definedName>
    <definedName name="_T_VDF_INT_EXP_CAPOL_Y04">#REF!</definedName>
    <definedName name="_T_VDF_INT_EXP_CAPOL_Y05">#REF!</definedName>
    <definedName name="_T_VDF_INT_EXP_CAPOL_Y06">#REF!</definedName>
    <definedName name="_T_VDF_INT_EXP_CAPOL_Y07">#REF!</definedName>
    <definedName name="_T_VDF_INT_EXP_CAPOL_Y08">#REF!</definedName>
    <definedName name="_T_VDF_INT_EXP_CAPOL_Y09">#REF!</definedName>
    <definedName name="_T_VDF_INT_EXP_CAPOL_Y10">#REF!</definedName>
    <definedName name="_T_VDF_INT_EXP_CAPOL_Y90">#REF!</definedName>
    <definedName name="_T_VDF_INT_EXP_CAPOL_Y91">#REF!</definedName>
    <definedName name="_T_VDF_INT_EXP_CAPOL_Y92">#REF!</definedName>
    <definedName name="_T_VDF_INT_EXP_CAPOL_Y93">#REF!</definedName>
    <definedName name="_T_VDF_INT_EXP_CAPOL_Y94">#REF!</definedName>
    <definedName name="_T_VDF_INT_EXP_CAPOL_Y95">#REF!</definedName>
    <definedName name="_T_VDF_INT_EXP_CAPOL_Y96">#REF!</definedName>
    <definedName name="_T_VDF_INT_EXP_CAPOL_Y97">#REF!</definedName>
    <definedName name="_T_VDF_INT_EXP_CAPOL_Y98">#REF!</definedName>
    <definedName name="_T_VDF_INT_EXP_CAPOL_Y99">#REF!</definedName>
    <definedName name="_T_VDF_INTANG_ADDBACK_Y00">#REF!</definedName>
    <definedName name="_T_VDF_INTANG_ADDBACK_Y01">#REF!</definedName>
    <definedName name="_T_VDF_INTANG_ADDBACK_Y02">#REF!</definedName>
    <definedName name="_T_VDF_INTANG_ADDBACK_Y03">#REF!</definedName>
    <definedName name="_T_VDF_INTANG_ADDBACK_Y04">#REF!</definedName>
    <definedName name="_T_VDF_INTANG_ADDBACK_Y05">#REF!</definedName>
    <definedName name="_T_VDF_INTANG_ADDBACK_Y06">#REF!</definedName>
    <definedName name="_T_VDF_INTANG_ADDBACK_Y07">#REF!</definedName>
    <definedName name="_T_VDF_INTANG_ADDBACK_Y08">#REF!</definedName>
    <definedName name="_T_VDF_INTANG_ADDBACK_Y09">#REF!</definedName>
    <definedName name="_T_VDF_INTANG_ADDBACK_Y10">#REF!</definedName>
    <definedName name="_T_VDF_INTANG_ADDBACK_Y90">#REF!</definedName>
    <definedName name="_T_VDF_INTANG_ADDBACK_Y91">#REF!</definedName>
    <definedName name="_T_VDF_INTANG_ADDBACK_Y92">#REF!</definedName>
    <definedName name="_T_VDF_INTANG_ADDBACK_Y93">#REF!</definedName>
    <definedName name="_T_VDF_INTANG_ADDBACK_Y94">#REF!</definedName>
    <definedName name="_T_VDF_INTANG_ADDBACK_Y95">#REF!</definedName>
    <definedName name="_T_VDF_INTANG_ADDBACK_Y96">#REF!</definedName>
    <definedName name="_T_VDF_INTANG_ADDBACK_Y97">#REF!</definedName>
    <definedName name="_T_VDF_INTANG_ADDBACK_Y98">#REF!</definedName>
    <definedName name="_T_VDF_INTANG_ADDBACK_Y99">#REF!</definedName>
    <definedName name="_T_VDF_INVESTED_CAP_2_Y00">#REF!</definedName>
    <definedName name="_T_VDF_INVESTED_CAP_2_Y01">#REF!</definedName>
    <definedName name="_T_VDF_INVESTED_CAP_2_Y02">#REF!</definedName>
    <definedName name="_T_VDF_INVESTED_CAP_2_Y03">#REF!</definedName>
    <definedName name="_T_VDF_INVESTED_CAP_2_Y04">#REF!</definedName>
    <definedName name="_T_VDF_INVESTED_CAP_2_Y05">#REF!</definedName>
    <definedName name="_T_VDF_INVESTED_CAP_2_Y06">#REF!</definedName>
    <definedName name="_T_VDF_INVESTED_CAP_2_Y07">#REF!</definedName>
    <definedName name="_T_VDF_INVESTED_CAP_2_Y08">#REF!</definedName>
    <definedName name="_T_VDF_INVESTED_CAP_2_Y09">#REF!</definedName>
    <definedName name="_T_VDF_INVESTED_CAP_2_Y10">#REF!</definedName>
    <definedName name="_T_VDF_INVESTED_CAP_2_Y90">#REF!</definedName>
    <definedName name="_T_VDF_INVESTED_CAP_2_Y91">#REF!</definedName>
    <definedName name="_T_VDF_INVESTED_CAP_2_Y92">#REF!</definedName>
    <definedName name="_T_VDF_INVESTED_CAP_2_Y93">#REF!</definedName>
    <definedName name="_T_VDF_INVESTED_CAP_2_Y94">#REF!</definedName>
    <definedName name="_T_VDF_INVESTED_CAP_2_Y95">#REF!</definedName>
    <definedName name="_T_VDF_INVESTED_CAP_2_Y96">#REF!</definedName>
    <definedName name="_T_VDF_INVESTED_CAP_2_Y97">#REF!</definedName>
    <definedName name="_T_VDF_INVESTED_CAP_2_Y98">#REF!</definedName>
    <definedName name="_T_VDF_INVESTED_CAP_2_Y99">#REF!</definedName>
    <definedName name="_T_VDF_INVESTED_CAP_EXLEASE_Y00">#REF!</definedName>
    <definedName name="_T_VDF_INVESTED_CAP_EXLEASE_Y01">#REF!</definedName>
    <definedName name="_T_VDF_INVESTED_CAP_EXLEASE_Y02">#REF!</definedName>
    <definedName name="_T_VDF_INVESTED_CAP_EXLEASE_Y03">#REF!</definedName>
    <definedName name="_T_VDF_INVESTED_CAP_EXLEASE_Y04">#REF!</definedName>
    <definedName name="_T_VDF_INVESTED_CAP_EXLEASE_Y05">#REF!</definedName>
    <definedName name="_T_VDF_INVESTED_CAP_EXLEASE_Y06">#REF!</definedName>
    <definedName name="_T_VDF_INVESTED_CAP_EXLEASE_Y07">#REF!</definedName>
    <definedName name="_T_VDF_INVESTED_CAP_EXLEASE_Y08">#REF!</definedName>
    <definedName name="_T_VDF_INVESTED_CAP_EXLEASE_Y09">#REF!</definedName>
    <definedName name="_T_VDF_INVESTED_CAP_EXLEASE_Y10">#REF!</definedName>
    <definedName name="_T_VDF_INVESTED_CAP_EXLEASE_Y90">#REF!</definedName>
    <definedName name="_T_VDF_INVESTED_CAP_EXLEASE_Y91">#REF!</definedName>
    <definedName name="_T_VDF_INVESTED_CAP_EXLEASE_Y92">#REF!</definedName>
    <definedName name="_T_VDF_INVESTED_CAP_EXLEASE_Y93">#REF!</definedName>
    <definedName name="_T_VDF_INVESTED_CAP_EXLEASE_Y94">#REF!</definedName>
    <definedName name="_T_VDF_INVESTED_CAP_EXLEASE_Y95">#REF!</definedName>
    <definedName name="_T_VDF_INVESTED_CAP_EXLEASE_Y96">#REF!</definedName>
    <definedName name="_T_VDF_INVESTED_CAP_EXLEASE_Y97">#REF!</definedName>
    <definedName name="_T_VDF_INVESTED_CAP_EXLEASE_Y98">#REF!</definedName>
    <definedName name="_T_VDF_INVESTED_CAP_EXLEASE_Y99">#REF!</definedName>
    <definedName name="_T_VDF_INVESTED_CAP_Y00">#REF!</definedName>
    <definedName name="_T_VDF_INVESTED_CAP_Y01">#REF!</definedName>
    <definedName name="_T_VDF_INVESTED_CAP_Y02">#REF!</definedName>
    <definedName name="_T_VDF_INVESTED_CAP_Y03">#REF!</definedName>
    <definedName name="_T_VDF_INVESTED_CAP_Y04">#REF!</definedName>
    <definedName name="_T_VDF_INVESTED_CAP_Y05">#REF!</definedName>
    <definedName name="_T_VDF_INVESTED_CAP_Y06">#REF!</definedName>
    <definedName name="_T_VDF_INVESTED_CAP_Y07">#REF!</definedName>
    <definedName name="_T_VDF_INVESTED_CAP_Y08">#REF!</definedName>
    <definedName name="_T_VDF_INVESTED_CAP_Y09">#REF!</definedName>
    <definedName name="_T_VDF_INVESTED_CAP_Y10">#REF!</definedName>
    <definedName name="_T_VDF_INVESTED_CAP_Y90">#REF!</definedName>
    <definedName name="_T_VDF_INVESTED_CAP_Y91">#REF!</definedName>
    <definedName name="_T_VDF_INVESTED_CAP_Y92">#REF!</definedName>
    <definedName name="_T_VDF_INVESTED_CAP_Y93">#REF!</definedName>
    <definedName name="_T_VDF_INVESTED_CAP_Y94">#REF!</definedName>
    <definedName name="_T_VDF_INVESTED_CAP_Y95">#REF!</definedName>
    <definedName name="_T_VDF_INVESTED_CAP_Y96">#REF!</definedName>
    <definedName name="_T_VDF_INVESTED_CAP_Y97">#REF!</definedName>
    <definedName name="_T_VDF_INVESTED_CAP_Y98">#REF!</definedName>
    <definedName name="_T_VDF_INVESTED_CAP_Y99">#REF!</definedName>
    <definedName name="_T_VDF_LIFO_Y00">#REF!</definedName>
    <definedName name="_T_VDF_LIFO_Y01">#REF!</definedName>
    <definedName name="_T_VDF_LIFO_Y02">#REF!</definedName>
    <definedName name="_T_VDF_LIFO_Y03">#REF!</definedName>
    <definedName name="_T_VDF_LIFO_Y04">#REF!</definedName>
    <definedName name="_T_VDF_LIFO_Y05">#REF!</definedName>
    <definedName name="_T_VDF_LIFO_Y06">#REF!</definedName>
    <definedName name="_T_VDF_LIFO_Y07">#REF!</definedName>
    <definedName name="_T_VDF_LIFO_Y08">#REF!</definedName>
    <definedName name="_T_VDF_LIFO_Y09">#REF!</definedName>
    <definedName name="_T_VDF_LIFO_Y10">#REF!</definedName>
    <definedName name="_T_VDF_LIFO_Y90">#REF!</definedName>
    <definedName name="_T_VDF_LIFO_Y91">#REF!</definedName>
    <definedName name="_T_VDF_LIFO_Y92">#REF!</definedName>
    <definedName name="_T_VDF_LIFO_Y93">#REF!</definedName>
    <definedName name="_T_VDF_LIFO_Y94">#REF!</definedName>
    <definedName name="_T_VDF_LIFO_Y95">#REF!</definedName>
    <definedName name="_T_VDF_LIFO_Y96">#REF!</definedName>
    <definedName name="_T_VDF_LIFO_Y97">#REF!</definedName>
    <definedName name="_T_VDF_LIFO_Y98">#REF!</definedName>
    <definedName name="_T_VDF_LIFO_Y99">#REF!</definedName>
    <definedName name="_T_VDF_MV_UCS_Y00">#REF!</definedName>
    <definedName name="_T_VDF_MV_UCS_Y01">#REF!</definedName>
    <definedName name="_T_VDF_MV_UCS_Y02">#REF!</definedName>
    <definedName name="_T_VDF_MV_UCS_Y03">#REF!</definedName>
    <definedName name="_T_VDF_MV_UCS_Y04">#REF!</definedName>
    <definedName name="_T_VDF_MV_UCS_Y05">#REF!</definedName>
    <definedName name="_T_VDF_MV_UCS_Y06">#REF!</definedName>
    <definedName name="_T_VDF_MV_UCS_Y07">#REF!</definedName>
    <definedName name="_T_VDF_MV_UCS_Y08">#REF!</definedName>
    <definedName name="_T_VDF_MV_UCS_Y09">#REF!</definedName>
    <definedName name="_T_VDF_MV_UCS_Y10">#REF!</definedName>
    <definedName name="_T_VDF_MV_UCS_Y90">#REF!</definedName>
    <definedName name="_T_VDF_MV_UCS_Y91">#REF!</definedName>
    <definedName name="_T_VDF_MV_UCS_Y92">#REF!</definedName>
    <definedName name="_T_VDF_MV_UCS_Y93">#REF!</definedName>
    <definedName name="_T_VDF_MV_UCS_Y94">#REF!</definedName>
    <definedName name="_T_VDF_MV_UCS_Y95">#REF!</definedName>
    <definedName name="_T_VDF_MV_UCS_Y96">#REF!</definedName>
    <definedName name="_T_VDF_MV_UCS_Y97">#REF!</definedName>
    <definedName name="_T_VDF_MV_UCS_Y98">#REF!</definedName>
    <definedName name="_T_VDF_MV_UCS_Y99">#REF!</definedName>
    <definedName name="_T_VDF_MV_UCSA_Y00">#REF!</definedName>
    <definedName name="_T_VDF_MV_UCSA_Y01">#REF!</definedName>
    <definedName name="_T_VDF_MV_UCSA_Y02">#REF!</definedName>
    <definedName name="_T_VDF_MV_UCSA_Y03">#REF!</definedName>
    <definedName name="_T_VDF_MV_UCSA_Y04">#REF!</definedName>
    <definedName name="_T_VDF_MV_UCSA_Y05">#REF!</definedName>
    <definedName name="_T_VDF_MV_UCSA_Y06">#REF!</definedName>
    <definedName name="_T_VDF_MV_UCSA_Y07">#REF!</definedName>
    <definedName name="_T_VDF_MV_UCSA_Y08">#REF!</definedName>
    <definedName name="_T_VDF_MV_UCSA_Y09">#REF!</definedName>
    <definedName name="_T_VDF_MV_UCSA_Y10">#REF!</definedName>
    <definedName name="_T_VDF_MV_UCSA_Y90">#REF!</definedName>
    <definedName name="_T_VDF_MV_UCSA_Y91">#REF!</definedName>
    <definedName name="_T_VDF_MV_UCSA_Y92">#REF!</definedName>
    <definedName name="_T_VDF_MV_UCSA_Y93">#REF!</definedName>
    <definedName name="_T_VDF_MV_UCSA_Y94">#REF!</definedName>
    <definedName name="_T_VDF_MV_UCSA_Y95">#REF!</definedName>
    <definedName name="_T_VDF_MV_UCSA_Y96">#REF!</definedName>
    <definedName name="_T_VDF_MV_UCSA_Y97">#REF!</definedName>
    <definedName name="_T_VDF_MV_UCSA_Y98">#REF!</definedName>
    <definedName name="_T_VDF_MV_UCSA_Y99">#REF!</definedName>
    <definedName name="_T_VDF_MVA_Y00">#REF!</definedName>
    <definedName name="_T_VDF_MVA_Y01">#REF!</definedName>
    <definedName name="_T_VDF_MVA_Y02">#REF!</definedName>
    <definedName name="_T_VDF_MVA_Y03">#REF!</definedName>
    <definedName name="_T_VDF_MVA_Y04">#REF!</definedName>
    <definedName name="_T_VDF_MVA_Y05">#REF!</definedName>
    <definedName name="_T_VDF_MVA_Y06">#REF!</definedName>
    <definedName name="_T_VDF_MVA_Y07">#REF!</definedName>
    <definedName name="_T_VDF_MVA_Y08">#REF!</definedName>
    <definedName name="_T_VDF_MVA_Y09">#REF!</definedName>
    <definedName name="_T_VDF_MVA_Y10">#REF!</definedName>
    <definedName name="_T_VDF_MVA_Y90">#REF!</definedName>
    <definedName name="_T_VDF_MVA_Y91">#REF!</definedName>
    <definedName name="_T_VDF_MVA_Y92">#REF!</definedName>
    <definedName name="_T_VDF_MVA_Y93">#REF!</definedName>
    <definedName name="_T_VDF_MVA_Y94">#REF!</definedName>
    <definedName name="_T_VDF_MVA_Y95">#REF!</definedName>
    <definedName name="_T_VDF_MVA_Y96">#REF!</definedName>
    <definedName name="_T_VDF_MVA_Y97">#REF!</definedName>
    <definedName name="_T_VDF_MVA_Y98">#REF!</definedName>
    <definedName name="_T_VDF_MVA_Y99">#REF!</definedName>
    <definedName name="_T_VDF_NACAPEXP_Y00">#REF!</definedName>
    <definedName name="_T_VDF_NACAPEXP_Y01">#REF!</definedName>
    <definedName name="_T_VDF_NACAPEXP_Y02">#REF!</definedName>
    <definedName name="_T_VDF_NACAPEXP_Y03">#REF!</definedName>
    <definedName name="_T_VDF_NACAPEXP_Y04">#REF!</definedName>
    <definedName name="_T_VDF_NACAPEXP_Y05">#REF!</definedName>
    <definedName name="_T_VDF_NACAPEXP_Y06">#REF!</definedName>
    <definedName name="_T_VDF_NACAPEXP_Y07">#REF!</definedName>
    <definedName name="_T_VDF_NACAPEXP_Y08">#REF!</definedName>
    <definedName name="_T_VDF_NACAPEXP_Y09">#REF!</definedName>
    <definedName name="_T_VDF_NACAPEXP_Y10">#REF!</definedName>
    <definedName name="_T_VDF_NACAPEXP_Y90">#REF!</definedName>
    <definedName name="_T_VDF_NACAPEXP_Y91">#REF!</definedName>
    <definedName name="_T_VDF_NACAPEXP_Y92">#REF!</definedName>
    <definedName name="_T_VDF_NACAPEXP_Y93">#REF!</definedName>
    <definedName name="_T_VDF_NACAPEXP_Y94">#REF!</definedName>
    <definedName name="_T_VDF_NACAPEXP_Y95">#REF!</definedName>
    <definedName name="_T_VDF_NACAPEXP_Y96">#REF!</definedName>
    <definedName name="_T_VDF_NACAPEXP_Y97">#REF!</definedName>
    <definedName name="_T_VDF_NACAPEXP_Y98">#REF!</definedName>
    <definedName name="_T_VDF_NACAPEXP_Y99">#REF!</definedName>
    <definedName name="_T_VDF_NETSALES_Y00">#REF!</definedName>
    <definedName name="_T_VDF_NETSALES_Y01">#REF!</definedName>
    <definedName name="_T_VDF_NETSALES_Y02">#REF!</definedName>
    <definedName name="_T_VDF_NETSALES_Y03">#REF!</definedName>
    <definedName name="_T_VDF_NETSALES_Y04">#REF!</definedName>
    <definedName name="_T_VDF_NETSALES_Y05">#REF!</definedName>
    <definedName name="_T_VDF_NETSALES_Y06">#REF!</definedName>
    <definedName name="_T_VDF_NETSALES_Y07">#REF!</definedName>
    <definedName name="_T_VDF_NETSALES_Y08">#REF!</definedName>
    <definedName name="_T_VDF_NETSALES_Y09">#REF!</definedName>
    <definedName name="_T_VDF_NETSALES_Y10">#REF!</definedName>
    <definedName name="_T_VDF_NETSALES_Y90">#REF!</definedName>
    <definedName name="_T_VDF_NETSALES_Y91">#REF!</definedName>
    <definedName name="_T_VDF_NETSALES_Y92">#REF!</definedName>
    <definedName name="_T_VDF_NETSALES_Y93">#REF!</definedName>
    <definedName name="_T_VDF_NETSALES_Y94">#REF!</definedName>
    <definedName name="_T_VDF_NETSALES_Y95">#REF!</definedName>
    <definedName name="_T_VDF_NETSALES_Y96">#REF!</definedName>
    <definedName name="_T_VDF_NETSALES_Y97">#REF!</definedName>
    <definedName name="_T_VDF_NETSALES_Y98">#REF!</definedName>
    <definedName name="_T_VDF_NETSALES_Y99">#REF!</definedName>
    <definedName name="_T_VDF_NOPAT_MARGIN1">#REF!</definedName>
    <definedName name="_T_VDF_NOPAT_MARGIN2">#REF!</definedName>
    <definedName name="_T_VDF_NOPAT_MARGIN3">#REF!</definedName>
    <definedName name="_T_VDF_NOPAT_MARGIN4">#REF!</definedName>
    <definedName name="_T_VDF_NOPAT_MARGIN5">#REF!</definedName>
    <definedName name="_T_VDF_NOPAT_MARGIN6">#REF!</definedName>
    <definedName name="_T_VDF_NOPAT_Y00">#REF!</definedName>
    <definedName name="_T_VDF_NOPAT_Y01">#REF!</definedName>
    <definedName name="_T_VDF_NOPAT_Y02">#REF!</definedName>
    <definedName name="_T_VDF_NOPAT_Y03">#REF!</definedName>
    <definedName name="_T_VDF_NOPAT_Y04">#REF!</definedName>
    <definedName name="_T_VDF_NOPAT_Y05">#REF!</definedName>
    <definedName name="_T_VDF_NOPAT_Y06">#REF!</definedName>
    <definedName name="_T_VDF_NOPAT_Y07">#REF!</definedName>
    <definedName name="_T_VDF_NOPAT_Y08">#REF!</definedName>
    <definedName name="_T_VDF_NOPAT_Y09">#REF!</definedName>
    <definedName name="_T_VDF_NOPAT_Y10">#REF!</definedName>
    <definedName name="_T_VDF_NOPAT_Y90">#REF!</definedName>
    <definedName name="_T_VDF_NOPAT_Y91">#REF!</definedName>
    <definedName name="_T_VDF_NOPAT_Y92">#REF!</definedName>
    <definedName name="_T_VDF_NOPAT_Y93">#REF!</definedName>
    <definedName name="_T_VDF_NOPAT_Y94">#REF!</definedName>
    <definedName name="_T_VDF_NOPAT_Y95">#REF!</definedName>
    <definedName name="_T_VDF_NOPAT_Y96">#REF!</definedName>
    <definedName name="_T_VDF_NOPAT_Y97">#REF!</definedName>
    <definedName name="_T_VDF_NOPAT_Y98">#REF!</definedName>
    <definedName name="_T_VDF_NOPAT_Y99">#REF!</definedName>
    <definedName name="_T_VDF_NOPBT_Y00">#REF!</definedName>
    <definedName name="_T_VDF_NOPBT_Y01">#REF!</definedName>
    <definedName name="_T_VDF_NOPBT_Y02">#REF!</definedName>
    <definedName name="_T_VDF_NOPBT_Y03">#REF!</definedName>
    <definedName name="_T_VDF_NOPBT_Y04">#REF!</definedName>
    <definedName name="_T_VDF_NOPBT_Y05">#REF!</definedName>
    <definedName name="_T_VDF_NOPBT_Y06">#REF!</definedName>
    <definedName name="_T_VDF_NOPBT_Y07">#REF!</definedName>
    <definedName name="_T_VDF_NOPBT_Y08">#REF!</definedName>
    <definedName name="_T_VDF_NOPBT_Y09">#REF!</definedName>
    <definedName name="_T_VDF_NOPBT_Y10">#REF!</definedName>
    <definedName name="_T_VDF_NOPBT_Y90">#REF!</definedName>
    <definedName name="_T_VDF_NOPBT_Y91">#REF!</definedName>
    <definedName name="_T_VDF_NOPBT_Y92">#REF!</definedName>
    <definedName name="_T_VDF_NOPBT_Y93">#REF!</definedName>
    <definedName name="_T_VDF_NOPBT_Y94">#REF!</definedName>
    <definedName name="_T_VDF_NOPBT_Y95">#REF!</definedName>
    <definedName name="_T_VDF_NOPBT_Y96">#REF!</definedName>
    <definedName name="_T_VDF_NOPBT_Y97">#REF!</definedName>
    <definedName name="_T_VDF_NOPBT_Y98">#REF!</definedName>
    <definedName name="_T_VDF_NOPBT_Y99">#REF!</definedName>
    <definedName name="_T_VDF_OA_TURN1">#REF!</definedName>
    <definedName name="_T_VDF_OA_TURN2">#REF!</definedName>
    <definedName name="_T_VDF_OA_TURN3">#REF!</definedName>
    <definedName name="_T_VDF_OA_TURN4">#REF!</definedName>
    <definedName name="_T_VDF_OA_TURN5">#REF!</definedName>
    <definedName name="_T_VDF_OA_TURN6">#REF!</definedName>
    <definedName name="_T_VDF_OP_EXPENSES_Y00">#REF!</definedName>
    <definedName name="_T_VDF_OP_EXPENSES_Y01">#REF!</definedName>
    <definedName name="_T_VDF_OP_EXPENSES_Y02">#REF!</definedName>
    <definedName name="_T_VDF_OP_EXPENSES_Y03">#REF!</definedName>
    <definedName name="_T_VDF_OP_EXPENSES_Y04">#REF!</definedName>
    <definedName name="_T_VDF_OP_EXPENSES_Y05">#REF!</definedName>
    <definedName name="_T_VDF_OP_EXPENSES_Y06">#REF!</definedName>
    <definedName name="_T_VDF_OP_EXPENSES_Y07">#REF!</definedName>
    <definedName name="_T_VDF_OP_EXPENSES_Y08">#REF!</definedName>
    <definedName name="_T_VDF_OP_EXPENSES_Y09">#REF!</definedName>
    <definedName name="_T_VDF_OP_EXPENSES_Y10">#REF!</definedName>
    <definedName name="_T_VDF_OP_EXPENSES_Y90">#REF!</definedName>
    <definedName name="_T_VDF_OP_EXPENSES_Y91">#REF!</definedName>
    <definedName name="_T_VDF_OP_EXPENSES_Y92">#REF!</definedName>
    <definedName name="_T_VDF_OP_EXPENSES_Y93">#REF!</definedName>
    <definedName name="_T_VDF_OP_EXPENSES_Y94">#REF!</definedName>
    <definedName name="_T_VDF_OP_EXPENSES_Y95">#REF!</definedName>
    <definedName name="_T_VDF_OP_EXPENSES_Y96">#REF!</definedName>
    <definedName name="_T_VDF_OP_EXPENSES_Y97">#REF!</definedName>
    <definedName name="_T_VDF_OP_EXPENSES_Y98">#REF!</definedName>
    <definedName name="_T_VDF_OP_EXPENSES_Y99">#REF!</definedName>
    <definedName name="_T_VDF_OREV_GROWTH1">#REF!</definedName>
    <definedName name="_T_VDF_OREV_GROWTH2">#REF!</definedName>
    <definedName name="_T_VDF_OREV_GROWTH3">#REF!</definedName>
    <definedName name="_T_VDF_OREV_GROWTH4">#REF!</definedName>
    <definedName name="_T_VDF_OREVS_Y00">#REF!</definedName>
    <definedName name="_T_VDF_OREVS_Y01">#REF!</definedName>
    <definedName name="_T_VDF_OREVS_Y02">#REF!</definedName>
    <definedName name="_T_VDF_OREVS_Y03">#REF!</definedName>
    <definedName name="_T_VDF_OREVS_Y04">#REF!</definedName>
    <definedName name="_T_VDF_OREVS_Y05">#REF!</definedName>
    <definedName name="_T_VDF_OREVS_Y06">#REF!</definedName>
    <definedName name="_T_VDF_OREVS_Y07">#REF!</definedName>
    <definedName name="_T_VDF_OREVS_Y08">#REF!</definedName>
    <definedName name="_T_VDF_OREVS_Y09">#REF!</definedName>
    <definedName name="_T_VDF_OREVS_Y10">#REF!</definedName>
    <definedName name="_T_VDF_OREVS_Y90">#REF!</definedName>
    <definedName name="_T_VDF_OREVS_Y91">#REF!</definedName>
    <definedName name="_T_VDF_OREVS_Y92">#REF!</definedName>
    <definedName name="_T_VDF_OREVS_Y93">#REF!</definedName>
    <definedName name="_T_VDF_OREVS_Y94">#REF!</definedName>
    <definedName name="_T_VDF_OREVS_Y95">#REF!</definedName>
    <definedName name="_T_VDF_OREVS_Y96">#REF!</definedName>
    <definedName name="_T_VDF_OREVS_Y97">#REF!</definedName>
    <definedName name="_T_VDF_OREVS_Y98">#REF!</definedName>
    <definedName name="_T_VDF_OREVS_Y99">#REF!</definedName>
    <definedName name="_T_VDF_OTH_RESERVES_Y00">#REF!</definedName>
    <definedName name="_T_VDF_OTH_RESERVES_Y01">#REF!</definedName>
    <definedName name="_T_VDF_OTH_RESERVES_Y02">#REF!</definedName>
    <definedName name="_T_VDF_OTH_RESERVES_Y03">#REF!</definedName>
    <definedName name="_T_VDF_OTH_RESERVES_Y04">#REF!</definedName>
    <definedName name="_T_VDF_OTH_RESERVES_Y05">#REF!</definedName>
    <definedName name="_T_VDF_OTH_RESERVES_Y06">#REF!</definedName>
    <definedName name="_T_VDF_OTH_RESERVES_Y07">#REF!</definedName>
    <definedName name="_T_VDF_OTH_RESERVES_Y08">#REF!</definedName>
    <definedName name="_T_VDF_OTH_RESERVES_Y09">#REF!</definedName>
    <definedName name="_T_VDF_OTH_RESERVES_Y10">#REF!</definedName>
    <definedName name="_T_VDF_OTH_RESERVES_Y90">#REF!</definedName>
    <definedName name="_T_VDF_OTH_RESERVES_Y91">#REF!</definedName>
    <definedName name="_T_VDF_OTH_RESERVES_Y92">#REF!</definedName>
    <definedName name="_T_VDF_OTH_RESERVES_Y93">#REF!</definedName>
    <definedName name="_T_VDF_OTH_RESERVES_Y94">#REF!</definedName>
    <definedName name="_T_VDF_OTH_RESERVES_Y95">#REF!</definedName>
    <definedName name="_T_VDF_OTH_RESERVES_Y96">#REF!</definedName>
    <definedName name="_T_VDF_OTH_RESERVES_Y97">#REF!</definedName>
    <definedName name="_T_VDF_OTH_RESERVES_Y98">#REF!</definedName>
    <definedName name="_T_VDF_OTH_RESERVES_Y99">#REF!</definedName>
    <definedName name="_T_VDF_OTHER_CAP_Y00">#REF!</definedName>
    <definedName name="_T_VDF_OTHER_CAP_Y01">#REF!</definedName>
    <definedName name="_T_VDF_OTHER_CAP_Y02">#REF!</definedName>
    <definedName name="_T_VDF_OTHER_CAP_Y03">#REF!</definedName>
    <definedName name="_T_VDF_OTHER_CAP_Y04">#REF!</definedName>
    <definedName name="_T_VDF_OTHER_CAP_Y05">#REF!</definedName>
    <definedName name="_T_VDF_OTHER_CAP_Y06">#REF!</definedName>
    <definedName name="_T_VDF_OTHER_CAP_Y07">#REF!</definedName>
    <definedName name="_T_VDF_OTHER_CAP_Y08">#REF!</definedName>
    <definedName name="_T_VDF_OTHER_CAP_Y09">#REF!</definedName>
    <definedName name="_T_VDF_OTHER_CAP_Y10">#REF!</definedName>
    <definedName name="_T_VDF_OTHER_CAP_Y90">#REF!</definedName>
    <definedName name="_T_VDF_OTHER_CAP_Y91">#REF!</definedName>
    <definedName name="_T_VDF_OTHER_CAP_Y92">#REF!</definedName>
    <definedName name="_T_VDF_OTHER_CAP_Y93">#REF!</definedName>
    <definedName name="_T_VDF_OTHER_CAP_Y94">#REF!</definedName>
    <definedName name="_T_VDF_OTHER_CAP_Y95">#REF!</definedName>
    <definedName name="_T_VDF_OTHER_CAP_Y96">#REF!</definedName>
    <definedName name="_T_VDF_OTHER_CAP_Y97">#REF!</definedName>
    <definedName name="_T_VDF_OTHER_CAP_Y98">#REF!</definedName>
    <definedName name="_T_VDF_OTHER_CAP_Y99">#REF!</definedName>
    <definedName name="_T_VDF_PLN_NONREC_Y00">#REF!</definedName>
    <definedName name="_T_VDF_PLN_NONREC_Y01">#REF!</definedName>
    <definedName name="_T_VDF_PLN_NONREC_Y02">#REF!</definedName>
    <definedName name="_T_VDF_PLN_NONREC_Y03">#REF!</definedName>
    <definedName name="_T_VDF_PLN_NONREC_Y04">#REF!</definedName>
    <definedName name="_T_VDF_PLN_NONREC_Y05">#REF!</definedName>
    <definedName name="_T_VDF_PLN_NONREC_Y06">#REF!</definedName>
    <definedName name="_T_VDF_PLN_NONREC_Y07">#REF!</definedName>
    <definedName name="_T_VDF_PLN_NONREC_Y08">#REF!</definedName>
    <definedName name="_T_VDF_PLN_NONREC_Y09">#REF!</definedName>
    <definedName name="_T_VDF_PLN_NONREC_Y10">#REF!</definedName>
    <definedName name="_T_VDF_PLN_NONREC_Y90">#REF!</definedName>
    <definedName name="_T_VDF_PLN_NONREC_Y91">#REF!</definedName>
    <definedName name="_T_VDF_PLN_NONREC_Y92">#REF!</definedName>
    <definedName name="_T_VDF_PLN_NONREC_Y93">#REF!</definedName>
    <definedName name="_T_VDF_PLN_NONREC_Y94">#REF!</definedName>
    <definedName name="_T_VDF_PLN_NONREC_Y95">#REF!</definedName>
    <definedName name="_T_VDF_PLN_NONREC_Y96">#REF!</definedName>
    <definedName name="_T_VDF_PLN_NONREC_Y97">#REF!</definedName>
    <definedName name="_T_VDF_PLN_NONREC_Y98">#REF!</definedName>
    <definedName name="_T_VDF_PLN_NONREC_Y99">#REF!</definedName>
    <definedName name="_T_VDF_PLN_OTHER_PROFIT_Y00">#REF!</definedName>
    <definedName name="_T_VDF_PLN_OTHER_PROFIT_Y01">#REF!</definedName>
    <definedName name="_T_VDF_PLN_OTHER_PROFIT_Y02">#REF!</definedName>
    <definedName name="_T_VDF_PLN_OTHER_PROFIT_Y03">#REF!</definedName>
    <definedName name="_T_VDF_PLN_OTHER_PROFIT_Y04">#REF!</definedName>
    <definedName name="_T_VDF_PLN_OTHER_PROFIT_Y05">#REF!</definedName>
    <definedName name="_T_VDF_PLN_OTHER_PROFIT_Y06">#REF!</definedName>
    <definedName name="_T_VDF_PLN_OTHER_PROFIT_Y07">#REF!</definedName>
    <definedName name="_T_VDF_PLN_OTHER_PROFIT_Y08">#REF!</definedName>
    <definedName name="_T_VDF_PLN_OTHER_PROFIT_Y09">#REF!</definedName>
    <definedName name="_T_VDF_PLN_OTHER_PROFIT_Y10">#REF!</definedName>
    <definedName name="_T_VDF_PLN_OTHER_PROFIT_Y90">#REF!</definedName>
    <definedName name="_T_VDF_PLN_OTHER_PROFIT_Y91">#REF!</definedName>
    <definedName name="_T_VDF_PLN_OTHER_PROFIT_Y92">#REF!</definedName>
    <definedName name="_T_VDF_PLN_OTHER_PROFIT_Y93">#REF!</definedName>
    <definedName name="_T_VDF_PLN_OTHER_PROFIT_Y94">#REF!</definedName>
    <definedName name="_T_VDF_PLN_OTHER_PROFIT_Y95">#REF!</definedName>
    <definedName name="_T_VDF_PLN_OTHER_PROFIT_Y96">#REF!</definedName>
    <definedName name="_T_VDF_PLN_OTHER_PROFIT_Y97">#REF!</definedName>
    <definedName name="_T_VDF_PLN_OTHER_PROFIT_Y98">#REF!</definedName>
    <definedName name="_T_VDF_PLN_OTHER_PROFIT_Y99">#REF!</definedName>
    <definedName name="_T_VDF_PLN_UCS_Y00">#REF!</definedName>
    <definedName name="_T_VDF_PLN_UCS_Y01">#REF!</definedName>
    <definedName name="_T_VDF_PLN_UCS_Y02">#REF!</definedName>
    <definedName name="_T_VDF_PLN_UCS_Y03">#REF!</definedName>
    <definedName name="_T_VDF_PLN_UCS_Y04">#REF!</definedName>
    <definedName name="_T_VDF_PLN_UCS_Y05">#REF!</definedName>
    <definedName name="_T_VDF_PLN_UCS_Y06">#REF!</definedName>
    <definedName name="_T_VDF_PLN_UCS_Y07">#REF!</definedName>
    <definedName name="_T_VDF_PLN_UCS_Y08">#REF!</definedName>
    <definedName name="_T_VDF_PLN_UCS_Y09">#REF!</definedName>
    <definedName name="_T_VDF_PLN_UCS_Y10">#REF!</definedName>
    <definedName name="_T_VDF_PLN_UCS_Y90">#REF!</definedName>
    <definedName name="_T_VDF_PLN_UCS_Y91">#REF!</definedName>
    <definedName name="_T_VDF_PLN_UCS_Y92">#REF!</definedName>
    <definedName name="_T_VDF_PLN_UCS_Y93">#REF!</definedName>
    <definedName name="_T_VDF_PLN_UCS_Y94">#REF!</definedName>
    <definedName name="_T_VDF_PLN_UCS_Y95">#REF!</definedName>
    <definedName name="_T_VDF_PLN_UCS_Y96">#REF!</definedName>
    <definedName name="_T_VDF_PLN_UCS_Y97">#REF!</definedName>
    <definedName name="_T_VDF_PLN_UCS_Y98">#REF!</definedName>
    <definedName name="_T_VDF_PLN_UCS_Y99">#REF!</definedName>
    <definedName name="_T_VDF_PRESENT_VAL_OP_Y00">#REF!</definedName>
    <definedName name="_T_VDF_PRESENT_VAL_OP_Y01">#REF!</definedName>
    <definedName name="_T_VDF_PRESENT_VAL_OP_Y02">#REF!</definedName>
    <definedName name="_T_VDF_PRESENT_VAL_OP_Y03">#REF!</definedName>
    <definedName name="_T_VDF_PRESENT_VAL_OP_Y04">#REF!</definedName>
    <definedName name="_T_VDF_PRESENT_VAL_OP_Y05">#REF!</definedName>
    <definedName name="_T_VDF_PRESENT_VAL_OP_Y06">#REF!</definedName>
    <definedName name="_T_VDF_PRESENT_VAL_OP_Y07">#REF!</definedName>
    <definedName name="_T_VDF_PRESENT_VAL_OP_Y08">#REF!</definedName>
    <definedName name="_T_VDF_PRESENT_VAL_OP_Y09">#REF!</definedName>
    <definedName name="_T_VDF_PRESENT_VAL_OP_Y10">#REF!</definedName>
    <definedName name="_T_VDF_PRESENT_VAL_OP_Y90">#REF!</definedName>
    <definedName name="_T_VDF_PRESENT_VAL_OP_Y91">#REF!</definedName>
    <definedName name="_T_VDF_PRESENT_VAL_OP_Y92">#REF!</definedName>
    <definedName name="_T_VDF_PRESENT_VAL_OP_Y93">#REF!</definedName>
    <definedName name="_T_VDF_PRESENT_VAL_OP_Y94">#REF!</definedName>
    <definedName name="_T_VDF_PRESENT_VAL_OP_Y95">#REF!</definedName>
    <definedName name="_T_VDF_PRESENT_VAL_OP_Y96">#REF!</definedName>
    <definedName name="_T_VDF_PRESENT_VAL_OP_Y97">#REF!</definedName>
    <definedName name="_T_VDF_PRESENT_VAL_OP_Y98">#REF!</definedName>
    <definedName name="_T_VDF_PRESENT_VAL_OP_Y99">#REF!</definedName>
    <definedName name="_T_VDF_PROPFY_Y00">#REF!</definedName>
    <definedName name="_T_VDF_PROPFY_Y01">#REF!</definedName>
    <definedName name="_T_VDF_PROPFY_Y02">#REF!</definedName>
    <definedName name="_T_VDF_PROPFY_Y03">#REF!</definedName>
    <definedName name="_T_VDF_PROPFY_Y04">#REF!</definedName>
    <definedName name="_T_VDF_PROPFY_Y05">#REF!</definedName>
    <definedName name="_T_VDF_PROPFY_Y06">#REF!</definedName>
    <definedName name="_T_VDF_PROPFY_Y07">#REF!</definedName>
    <definedName name="_T_VDF_PROPFY_Y08">#REF!</definedName>
    <definedName name="_T_VDF_PROPFY_Y09">#REF!</definedName>
    <definedName name="_T_VDF_PROPFY_Y10">#REF!</definedName>
    <definedName name="_T_VDF_PROPFY_Y90">#REF!</definedName>
    <definedName name="_T_VDF_PROPFY_Y91">#REF!</definedName>
    <definedName name="_T_VDF_PROPFY_Y92">#REF!</definedName>
    <definedName name="_T_VDF_PROPFY_Y93">#REF!</definedName>
    <definedName name="_T_VDF_PROPFY_Y94">#REF!</definedName>
    <definedName name="_T_VDF_PROPFY_Y95">#REF!</definedName>
    <definedName name="_T_VDF_PROPFY_Y96">#REF!</definedName>
    <definedName name="_T_VDF_PROPFY_Y97">#REF!</definedName>
    <definedName name="_T_VDF_PROPFY_Y98">#REF!</definedName>
    <definedName name="_T_VDF_PROPFY_Y99">#REF!</definedName>
    <definedName name="_T_VDF_PVFCF_Y00">#REF!</definedName>
    <definedName name="_T_VDF_PVFCF_Y01">#REF!</definedName>
    <definedName name="_T_VDF_PVFCF_Y02">#REF!</definedName>
    <definedName name="_T_VDF_PVFCF_Y03">#REF!</definedName>
    <definedName name="_T_VDF_PVFCF_Y04">#REF!</definedName>
    <definedName name="_T_VDF_PVFCF_Y05">#REF!</definedName>
    <definedName name="_T_VDF_PVFCF_Y06">#REF!</definedName>
    <definedName name="_T_VDF_PVFCF_Y07">#REF!</definedName>
    <definedName name="_T_VDF_PVFCF_Y08">#REF!</definedName>
    <definedName name="_T_VDF_PVFCF_Y09">#REF!</definedName>
    <definedName name="_T_VDF_PVFCF_Y10">#REF!</definedName>
    <definedName name="_T_VDF_PVFCF_Y90">#REF!</definedName>
    <definedName name="_T_VDF_PVFCF_Y91">#REF!</definedName>
    <definedName name="_T_VDF_PVFCF_Y92">#REF!</definedName>
    <definedName name="_T_VDF_PVFCF_Y93">#REF!</definedName>
    <definedName name="_T_VDF_PVFCF_Y94">#REF!</definedName>
    <definedName name="_T_VDF_PVFCF_Y95">#REF!</definedName>
    <definedName name="_T_VDF_PVFCF_Y96">#REF!</definedName>
    <definedName name="_T_VDF_PVFCF_Y97">#REF!</definedName>
    <definedName name="_T_VDF_PVFCF_Y98">#REF!</definedName>
    <definedName name="_T_VDF_PVFCF_Y99">#REF!</definedName>
    <definedName name="_T_VDF_PVGO_NOW_RAT_Y00">#REF!</definedName>
    <definedName name="_T_VDF_PVGO_NOW_RAT_Y01">#REF!</definedName>
    <definedName name="_T_VDF_PVGO_NOW_RAT_Y02">#REF!</definedName>
    <definedName name="_T_VDF_PVGO_NOW_RAT_Y03">#REF!</definedName>
    <definedName name="_T_VDF_PVGO_NOW_RAT_Y04">#REF!</definedName>
    <definedName name="_T_VDF_PVGO_NOW_RAT_Y05">#REF!</definedName>
    <definedName name="_T_VDF_PVGO_NOW_RAT_Y06">#REF!</definedName>
    <definedName name="_T_VDF_PVGO_NOW_RAT_Y07">#REF!</definedName>
    <definedName name="_T_VDF_PVGO_NOW_RAT_Y08">#REF!</definedName>
    <definedName name="_T_VDF_PVGO_NOW_RAT_Y09">#REF!</definedName>
    <definedName name="_T_VDF_PVGO_NOW_RAT_Y10">#REF!</definedName>
    <definedName name="_T_VDF_PVGO_NOW_RAT_Y90">#REF!</definedName>
    <definedName name="_T_VDF_PVGO_NOW_RAT_Y91">#REF!</definedName>
    <definedName name="_T_VDF_PVGO_NOW_RAT_Y92">#REF!</definedName>
    <definedName name="_T_VDF_PVGO_NOW_RAT_Y93">#REF!</definedName>
    <definedName name="_T_VDF_PVGO_NOW_RAT_Y94">#REF!</definedName>
    <definedName name="_T_VDF_PVGO_NOW_RAT_Y95">#REF!</definedName>
    <definedName name="_T_VDF_PVGO_NOW_RAT_Y96">#REF!</definedName>
    <definedName name="_T_VDF_PVGO_NOW_RAT_Y97">#REF!</definedName>
    <definedName name="_T_VDF_PVGO_NOW_RAT_Y98">#REF!</definedName>
    <definedName name="_T_VDF_PVGO_NOW_RAT_Y99">#REF!</definedName>
    <definedName name="_T_VDF_PVGO_NOW_Y00">#REF!</definedName>
    <definedName name="_T_VDF_PVGO_NOW_Y01">#REF!</definedName>
    <definedName name="_T_VDF_PVGO_NOW_Y02">#REF!</definedName>
    <definedName name="_T_VDF_PVGO_NOW_Y03">#REF!</definedName>
    <definedName name="_T_VDF_PVGO_NOW_Y04">#REF!</definedName>
    <definedName name="_T_VDF_PVGO_NOW_Y05">#REF!</definedName>
    <definedName name="_T_VDF_PVGO_NOW_Y06">#REF!</definedName>
    <definedName name="_T_VDF_PVGO_NOW_Y07">#REF!</definedName>
    <definedName name="_T_VDF_PVGO_NOW_Y08">#REF!</definedName>
    <definedName name="_T_VDF_PVGO_NOW_Y09">#REF!</definedName>
    <definedName name="_T_VDF_PVGO_NOW_Y10">#REF!</definedName>
    <definedName name="_T_VDF_PVGO_NOW_Y90">#REF!</definedName>
    <definedName name="_T_VDF_PVGO_NOW_Y91">#REF!</definedName>
    <definedName name="_T_VDF_PVGO_NOW_Y92">#REF!</definedName>
    <definedName name="_T_VDF_PVGO_NOW_Y93">#REF!</definedName>
    <definedName name="_T_VDF_PVGO_NOW_Y94">#REF!</definedName>
    <definedName name="_T_VDF_PVGO_NOW_Y95">#REF!</definedName>
    <definedName name="_T_VDF_PVGO_NOW_Y96">#REF!</definedName>
    <definedName name="_T_VDF_PVGO_NOW_Y97">#REF!</definedName>
    <definedName name="_T_VDF_PVGO_NOW_Y98">#REF!</definedName>
    <definedName name="_T_VDF_PVGO_NOW_Y99">#REF!</definedName>
    <definedName name="_T_VDF_PVGO_RAT_Y00">#REF!</definedName>
    <definedName name="_T_VDF_PVGO_RAT_Y01">#REF!</definedName>
    <definedName name="_T_VDF_PVGO_RAT_Y02">#REF!</definedName>
    <definedName name="_T_VDF_PVGO_RAT_Y03">#REF!</definedName>
    <definedName name="_T_VDF_PVGO_RAT_Y04">#REF!</definedName>
    <definedName name="_T_VDF_PVGO_RAT_Y05">#REF!</definedName>
    <definedName name="_T_VDF_PVGO_RAT_Y06">#REF!</definedName>
    <definedName name="_T_VDF_PVGO_RAT_Y07">#REF!</definedName>
    <definedName name="_T_VDF_PVGO_RAT_Y08">#REF!</definedName>
    <definedName name="_T_VDF_PVGO_RAT_Y09">#REF!</definedName>
    <definedName name="_T_VDF_PVGO_RAT_Y10">#REF!</definedName>
    <definedName name="_T_VDF_PVGO_RAT_Y90">#REF!</definedName>
    <definedName name="_T_VDF_PVGO_RAT_Y91">#REF!</definedName>
    <definedName name="_T_VDF_PVGO_RAT_Y92">#REF!</definedName>
    <definedName name="_T_VDF_PVGO_RAT_Y93">#REF!</definedName>
    <definedName name="_T_VDF_PVGO_RAT_Y94">#REF!</definedName>
    <definedName name="_T_VDF_PVGO_RAT_Y95">#REF!</definedName>
    <definedName name="_T_VDF_PVGO_RAT_Y96">#REF!</definedName>
    <definedName name="_T_VDF_PVGO_RAT_Y97">#REF!</definedName>
    <definedName name="_T_VDF_PVGO_RAT_Y98">#REF!</definedName>
    <definedName name="_T_VDF_PVGO_RAT_Y99">#REF!</definedName>
    <definedName name="_T_VDF_PVGO_Y00">#REF!</definedName>
    <definedName name="_T_VDF_PVGO_Y01">#REF!</definedName>
    <definedName name="_T_VDF_PVGO_Y02">#REF!</definedName>
    <definedName name="_T_VDF_PVGO_Y03">#REF!</definedName>
    <definedName name="_T_VDF_PVGO_Y04">#REF!</definedName>
    <definedName name="_T_VDF_PVGO_Y05">#REF!</definedName>
    <definedName name="_T_VDF_PVGO_Y06">#REF!</definedName>
    <definedName name="_T_VDF_PVGO_Y07">#REF!</definedName>
    <definedName name="_T_VDF_PVGO_Y08">#REF!</definedName>
    <definedName name="_T_VDF_PVGO_Y09">#REF!</definedName>
    <definedName name="_T_VDF_PVGO_Y10">#REF!</definedName>
    <definedName name="_T_VDF_PVGO_Y90">#REF!</definedName>
    <definedName name="_T_VDF_PVGO_Y91">#REF!</definedName>
    <definedName name="_T_VDF_PVGO_Y92">#REF!</definedName>
    <definedName name="_T_VDF_PVGO_Y93">#REF!</definedName>
    <definedName name="_T_VDF_PVGO_Y94">#REF!</definedName>
    <definedName name="_T_VDF_PVGO_Y95">#REF!</definedName>
    <definedName name="_T_VDF_PVGO_Y96">#REF!</definedName>
    <definedName name="_T_VDF_PVGO_Y97">#REF!</definedName>
    <definedName name="_T_VDF_PVGO_Y98">#REF!</definedName>
    <definedName name="_T_VDF_PVGO_Y99">#REF!</definedName>
    <definedName name="_T_VDF_PVRESID_Y00">#REF!</definedName>
    <definedName name="_T_VDF_PVRESID_Y01">#REF!</definedName>
    <definedName name="_T_VDF_PVRESID_Y02">#REF!</definedName>
    <definedName name="_T_VDF_PVRESID_Y03">#REF!</definedName>
    <definedName name="_T_VDF_PVRESID_Y04">#REF!</definedName>
    <definedName name="_T_VDF_PVRESID_Y05">#REF!</definedName>
    <definedName name="_T_VDF_PVRESID_Y06">#REF!</definedName>
    <definedName name="_T_VDF_PVRESID_Y07">#REF!</definedName>
    <definedName name="_T_VDF_PVRESID_Y08">#REF!</definedName>
    <definedName name="_T_VDF_PVRESID_Y09">#REF!</definedName>
    <definedName name="_T_VDF_PVRESID_Y10">#REF!</definedName>
    <definedName name="_T_VDF_PVRESID_Y90">#REF!</definedName>
    <definedName name="_T_VDF_PVRESID_Y91">#REF!</definedName>
    <definedName name="_T_VDF_PVRESID_Y92">#REF!</definedName>
    <definedName name="_T_VDF_PVRESID_Y93">#REF!</definedName>
    <definedName name="_T_VDF_PVRESID_Y94">#REF!</definedName>
    <definedName name="_T_VDF_PVRESID_Y95">#REF!</definedName>
    <definedName name="_T_VDF_PVRESID_Y96">#REF!</definedName>
    <definedName name="_T_VDF_PVRESID_Y97">#REF!</definedName>
    <definedName name="_T_VDF_PVRESID_Y98">#REF!</definedName>
    <definedName name="_T_VDF_PVRESID_Y99">#REF!</definedName>
    <definedName name="_T_VDF_R_AND_D_Y00">#REF!</definedName>
    <definedName name="_T_VDF_R_AND_D_Y01">#REF!</definedName>
    <definedName name="_T_VDF_R_AND_D_Y02">#REF!</definedName>
    <definedName name="_T_VDF_R_AND_D_Y03">#REF!</definedName>
    <definedName name="_T_VDF_R_AND_D_Y04">#REF!</definedName>
    <definedName name="_T_VDF_R_AND_D_Y05">#REF!</definedName>
    <definedName name="_T_VDF_R_AND_D_Y06">#REF!</definedName>
    <definedName name="_T_VDF_R_AND_D_Y07">#REF!</definedName>
    <definedName name="_T_VDF_R_AND_D_Y08">#REF!</definedName>
    <definedName name="_T_VDF_R_AND_D_Y09">#REF!</definedName>
    <definedName name="_T_VDF_R_AND_D_Y10">#REF!</definedName>
    <definedName name="_T_VDF_R_AND_D_Y90">#REF!</definedName>
    <definedName name="_T_VDF_R_AND_D_Y91">#REF!</definedName>
    <definedName name="_T_VDF_R_AND_D_Y92">#REF!</definedName>
    <definedName name="_T_VDF_R_AND_D_Y93">#REF!</definedName>
    <definedName name="_T_VDF_R_AND_D_Y94">#REF!</definedName>
    <definedName name="_T_VDF_R_AND_D_Y95">#REF!</definedName>
    <definedName name="_T_VDF_R_AND_D_Y96">#REF!</definedName>
    <definedName name="_T_VDF_R_AND_D_Y97">#REF!</definedName>
    <definedName name="_T_VDF_R_AND_D_Y98">#REF!</definedName>
    <definedName name="_T_VDF_R_AND_D_Y99">#REF!</definedName>
    <definedName name="_T_VDF_RD_YEARS_AMORT">#REF!</definedName>
    <definedName name="_T_VDF_RDAMORT_Y00">#REF!</definedName>
    <definedName name="_T_VDF_RDAMORT_Y01">#REF!</definedName>
    <definedName name="_T_VDF_RDAMORT_Y02">#REF!</definedName>
    <definedName name="_T_VDF_RDAMORT_Y03">#REF!</definedName>
    <definedName name="_T_VDF_RDAMORT_Y04">#REF!</definedName>
    <definedName name="_T_VDF_RDAMORT_Y05">#REF!</definedName>
    <definedName name="_T_VDF_RDAMORT_Y06">#REF!</definedName>
    <definedName name="_T_VDF_RDAMORT_Y07">#REF!</definedName>
    <definedName name="_T_VDF_RDAMORT_Y08">#REF!</definedName>
    <definedName name="_T_VDF_RDAMORT_Y09">#REF!</definedName>
    <definedName name="_T_VDF_RDAMORT_Y10">#REF!</definedName>
    <definedName name="_T_VDF_RDAMORT_Y90">#REF!</definedName>
    <definedName name="_T_VDF_RDAMORT_Y91">#REF!</definedName>
    <definedName name="_T_VDF_RDAMORT_Y92">#REF!</definedName>
    <definedName name="_T_VDF_RDAMORT_Y93">#REF!</definedName>
    <definedName name="_T_VDF_RDAMORT_Y94">#REF!</definedName>
    <definedName name="_T_VDF_RDAMORT_Y95">#REF!</definedName>
    <definedName name="_T_VDF_RDAMORT_Y96">#REF!</definedName>
    <definedName name="_T_VDF_RDAMORT_Y97">#REF!</definedName>
    <definedName name="_T_VDF_RDAMORT_Y98">#REF!</definedName>
    <definedName name="_T_VDF_RDAMORT_Y99">#REF!</definedName>
    <definedName name="_T_VDF_RDCAPZED_Y00">#REF!</definedName>
    <definedName name="_T_VDF_RDCAPZED_Y01">#REF!</definedName>
    <definedName name="_T_VDF_RDCAPZED_Y02">#REF!</definedName>
    <definedName name="_T_VDF_RDCAPZED_Y03">#REF!</definedName>
    <definedName name="_T_VDF_RDCAPZED_Y04">#REF!</definedName>
    <definedName name="_T_VDF_RDCAPZED_Y05">#REF!</definedName>
    <definedName name="_T_VDF_RDCAPZED_Y06">#REF!</definedName>
    <definedName name="_T_VDF_RDCAPZED_Y07">#REF!</definedName>
    <definedName name="_T_VDF_RDCAPZED_Y08">#REF!</definedName>
    <definedName name="_T_VDF_RDCAPZED_Y09">#REF!</definedName>
    <definedName name="_T_VDF_RDCAPZED_Y10">#REF!</definedName>
    <definedName name="_T_VDF_RDCAPZED_Y90">#REF!</definedName>
    <definedName name="_T_VDF_RDCAPZED_Y91">#REF!</definedName>
    <definedName name="_T_VDF_RDCAPZED_Y92">#REF!</definedName>
    <definedName name="_T_VDF_RDCAPZED_Y93">#REF!</definedName>
    <definedName name="_T_VDF_RDCAPZED_Y94">#REF!</definedName>
    <definedName name="_T_VDF_RDCAPZED_Y95">#REF!</definedName>
    <definedName name="_T_VDF_RDCAPZED_Y96">#REF!</definedName>
    <definedName name="_T_VDF_RDCAPZED_Y97">#REF!</definedName>
    <definedName name="_T_VDF_RDCAPZED_Y98">#REF!</definedName>
    <definedName name="_T_VDF_RDCAPZED_Y99">#REF!</definedName>
    <definedName name="_T_VDF_RECC_Y00">#REF!</definedName>
    <definedName name="_T_VDF_RECC_Y01">#REF!</definedName>
    <definedName name="_T_VDF_RECC_Y02">#REF!</definedName>
    <definedName name="_T_VDF_RECC_Y03">#REF!</definedName>
    <definedName name="_T_VDF_RECC_Y04">#REF!</definedName>
    <definedName name="_T_VDF_RECC_Y05">#REF!</definedName>
    <definedName name="_T_VDF_RECC_Y06">#REF!</definedName>
    <definedName name="_T_VDF_RECC_Y07">#REF!</definedName>
    <definedName name="_T_VDF_RECC_Y08">#REF!</definedName>
    <definedName name="_T_VDF_RECC_Y09">#REF!</definedName>
    <definedName name="_T_VDF_RECC_Y10">#REF!</definedName>
    <definedName name="_T_VDF_RECC_Y90">#REF!</definedName>
    <definedName name="_T_VDF_RECC_Y91">#REF!</definedName>
    <definedName name="_T_VDF_RECC_Y92">#REF!</definedName>
    <definedName name="_T_VDF_RECC_Y93">#REF!</definedName>
    <definedName name="_T_VDF_RECC_Y94">#REF!</definedName>
    <definedName name="_T_VDF_RECC_Y95">#REF!</definedName>
    <definedName name="_T_VDF_RECC_Y96">#REF!</definedName>
    <definedName name="_T_VDF_RECC_Y97">#REF!</definedName>
    <definedName name="_T_VDF_RECC_Y98">#REF!</definedName>
    <definedName name="_T_VDF_RECC_Y99">#REF!</definedName>
    <definedName name="_T_VDF_REQ_CASH_Y00">#REF!</definedName>
    <definedName name="_T_VDF_REQ_CASH_Y01">#REF!</definedName>
    <definedName name="_T_VDF_REQ_CASH_Y02">#REF!</definedName>
    <definedName name="_T_VDF_REQ_CASH_Y03">#REF!</definedName>
    <definedName name="_T_VDF_REQ_CASH_Y04">#REF!</definedName>
    <definedName name="_T_VDF_REQ_CASH_Y05">#REF!</definedName>
    <definedName name="_T_VDF_REQ_CASH_Y06">#REF!</definedName>
    <definedName name="_T_VDF_REQ_CASH_Y07">#REF!</definedName>
    <definedName name="_T_VDF_REQ_CASH_Y08">#REF!</definedName>
    <definedName name="_T_VDF_REQ_CASH_Y09">#REF!</definedName>
    <definedName name="_T_VDF_REQ_CASH_Y10">#REF!</definedName>
    <definedName name="_T_VDF_REQ_CASH_Y90">#REF!</definedName>
    <definedName name="_T_VDF_REQ_CASH_Y91">#REF!</definedName>
    <definedName name="_T_VDF_REQ_CASH_Y92">#REF!</definedName>
    <definedName name="_T_VDF_REQ_CASH_Y93">#REF!</definedName>
    <definedName name="_T_VDF_REQ_CASH_Y94">#REF!</definedName>
    <definedName name="_T_VDF_REQ_CASH_Y95">#REF!</definedName>
    <definedName name="_T_VDF_REQ_CASH_Y96">#REF!</definedName>
    <definedName name="_T_VDF_REQ_CASH_Y97">#REF!</definedName>
    <definedName name="_T_VDF_REQ_CASH_Y98">#REF!</definedName>
    <definedName name="_T_VDF_REQ_CASH_Y99">#REF!</definedName>
    <definedName name="_T_VDF_RESID_INFLATION_Y00">#REF!</definedName>
    <definedName name="_T_VDF_RESID_INFLATION_Y01">#REF!</definedName>
    <definedName name="_T_VDF_RESID_INFLATION_Y02">#REF!</definedName>
    <definedName name="_T_VDF_RESID_INFLATION_Y03">#REF!</definedName>
    <definedName name="_T_VDF_RESID_INFLATION_Y04">#REF!</definedName>
    <definedName name="_T_VDF_RESID_INFLATION_Y05">#REF!</definedName>
    <definedName name="_T_VDF_RESID_INFLATION_Y06">#REF!</definedName>
    <definedName name="_T_VDF_RESID_INFLATION_Y07">#REF!</definedName>
    <definedName name="_T_VDF_RESID_INFLATION_Y08">#REF!</definedName>
    <definedName name="_T_VDF_RESID_INFLATION_Y09">#REF!</definedName>
    <definedName name="_T_VDF_RESID_INFLATION_Y10">#REF!</definedName>
    <definedName name="_T_VDF_RESID_INFLATION_Y90">#REF!</definedName>
    <definedName name="_T_VDF_RESID_INFLATION_Y91">#REF!</definedName>
    <definedName name="_T_VDF_RESID_INFLATION_Y92">#REF!</definedName>
    <definedName name="_T_VDF_RESID_INFLATION_Y93">#REF!</definedName>
    <definedName name="_T_VDF_RESID_INFLATION_Y94">#REF!</definedName>
    <definedName name="_T_VDF_RESID_INFLATION_Y95">#REF!</definedName>
    <definedName name="_T_VDF_RESID_INFLATION_Y96">#REF!</definedName>
    <definedName name="_T_VDF_RESID_INFLATION_Y97">#REF!</definedName>
    <definedName name="_T_VDF_RESID_INFLATION_Y98">#REF!</definedName>
    <definedName name="_T_VDF_RESID_INFLATION_Y99">#REF!</definedName>
    <definedName name="_T_VDF_RESID_Y00">#REF!</definedName>
    <definedName name="_T_VDF_RESID_Y01">#REF!</definedName>
    <definedName name="_T_VDF_RESID_Y02">#REF!</definedName>
    <definedName name="_T_VDF_RESID_Y03">#REF!</definedName>
    <definedName name="_T_VDF_RESID_Y04">#REF!</definedName>
    <definedName name="_T_VDF_RESID_Y05">#REF!</definedName>
    <definedName name="_T_VDF_RESID_Y06">#REF!</definedName>
    <definedName name="_T_VDF_RESID_Y07">#REF!</definedName>
    <definedName name="_T_VDF_RESID_Y08">#REF!</definedName>
    <definedName name="_T_VDF_RESID_Y09">#REF!</definedName>
    <definedName name="_T_VDF_RESID_Y10">#REF!</definedName>
    <definedName name="_T_VDF_RESID_Y90">#REF!</definedName>
    <definedName name="_T_VDF_RESID_Y91">#REF!</definedName>
    <definedName name="_T_VDF_RESID_Y92">#REF!</definedName>
    <definedName name="_T_VDF_RESID_Y93">#REF!</definedName>
    <definedName name="_T_VDF_RESID_Y94">#REF!</definedName>
    <definedName name="_T_VDF_RESID_Y95">#REF!</definedName>
    <definedName name="_T_VDF_RESID_Y96">#REF!</definedName>
    <definedName name="_T_VDF_RESID_Y97">#REF!</definedName>
    <definedName name="_T_VDF_RESID_Y98">#REF!</definedName>
    <definedName name="_T_VDF_RESID_Y99">#REF!</definedName>
    <definedName name="_T_VDF_ROIC_Y00">#REF!</definedName>
    <definedName name="_T_VDF_ROIC_Y01">#REF!</definedName>
    <definedName name="_T_VDF_ROIC_Y02">#REF!</definedName>
    <definedName name="_T_VDF_ROIC_Y03">#REF!</definedName>
    <definedName name="_T_VDF_ROIC_Y04">#REF!</definedName>
    <definedName name="_T_VDF_ROIC_Y05">#REF!</definedName>
    <definedName name="_T_VDF_ROIC_Y06">#REF!</definedName>
    <definedName name="_T_VDF_ROIC_Y07">#REF!</definedName>
    <definedName name="_T_VDF_ROIC_Y08">#REF!</definedName>
    <definedName name="_T_VDF_ROIC_Y09">#REF!</definedName>
    <definedName name="_T_VDF_ROIC_Y10">#REF!</definedName>
    <definedName name="_T_VDF_ROIC_Y90">#REF!</definedName>
    <definedName name="_T_VDF_ROIC_Y91">#REF!</definedName>
    <definedName name="_T_VDF_ROIC_Y92">#REF!</definedName>
    <definedName name="_T_VDF_ROIC_Y93">#REF!</definedName>
    <definedName name="_T_VDF_ROIC_Y94">#REF!</definedName>
    <definedName name="_T_VDF_ROIC_Y95">#REF!</definedName>
    <definedName name="_T_VDF_ROIC_Y96">#REF!</definedName>
    <definedName name="_T_VDF_ROIC_Y97">#REF!</definedName>
    <definedName name="_T_VDF_ROIC_Y98">#REF!</definedName>
    <definedName name="_T_VDF_ROIC_Y99">#REF!</definedName>
    <definedName name="_T_VDF_SALES_GROWTH1">#REF!</definedName>
    <definedName name="_T_VDF_SALES_GROWTH2">#REF!</definedName>
    <definedName name="_T_VDF_SALES_GROWTH3">#REF!</definedName>
    <definedName name="_T_VDF_SALES_GROWTH4">#REF!</definedName>
    <definedName name="_T_VDF_SALES_GROWTH5">#REF!</definedName>
    <definedName name="_T_VDF_SALES_GROWTH6">#REF!</definedName>
    <definedName name="_T_VDF_SALES_Y00">#REF!</definedName>
    <definedName name="_T_VDF_SALES_Y01">#REF!</definedName>
    <definedName name="_T_VDF_SALES_Y02">#REF!</definedName>
    <definedName name="_T_VDF_SALES_Y03">#REF!</definedName>
    <definedName name="_T_VDF_SALES_Y04">#REF!</definedName>
    <definedName name="_T_VDF_SALES_Y05">#REF!</definedName>
    <definedName name="_T_VDF_SALES_Y06">#REF!</definedName>
    <definedName name="_T_VDF_SALES_Y07">#REF!</definedName>
    <definedName name="_T_VDF_SALES_Y08">#REF!</definedName>
    <definedName name="_T_VDF_SALES_Y09">#REF!</definedName>
    <definedName name="_T_VDF_SALES_Y10">#REF!</definedName>
    <definedName name="_T_VDF_SALES_Y90">#REF!</definedName>
    <definedName name="_T_VDF_SALES_Y91">#REF!</definedName>
    <definedName name="_T_VDF_SALES_Y92">#REF!</definedName>
    <definedName name="_T_VDF_SALES_Y93">#REF!</definedName>
    <definedName name="_T_VDF_SALES_Y94">#REF!</definedName>
    <definedName name="_T_VDF_SALES_Y95">#REF!</definedName>
    <definedName name="_T_VDF_SALES_Y96">#REF!</definedName>
    <definedName name="_T_VDF_SALES_Y97">#REF!</definedName>
    <definedName name="_T_VDF_SALES_Y98">#REF!</definedName>
    <definedName name="_T_VDF_SALES_Y99">#REF!</definedName>
    <definedName name="_T_VDF_SALES1_Y00">#REF!</definedName>
    <definedName name="_T_VDF_SALES1_Y01">#REF!</definedName>
    <definedName name="_T_VDF_SALES1_Y02">#REF!</definedName>
    <definedName name="_T_VDF_SALES1_Y03">#REF!</definedName>
    <definedName name="_T_VDF_SALES1_Y04">#REF!</definedName>
    <definedName name="_T_VDF_SALES1_Y05">#REF!</definedName>
    <definedName name="_T_VDF_SALES1_Y06">#REF!</definedName>
    <definedName name="_T_VDF_SALES1_Y07">#REF!</definedName>
    <definedName name="_T_VDF_SALES1_Y08">#REF!</definedName>
    <definedName name="_T_VDF_SALES1_Y09">#REF!</definedName>
    <definedName name="_T_VDF_SALES1_Y10">#REF!</definedName>
    <definedName name="_T_VDF_SALES1_Y90">#REF!</definedName>
    <definedName name="_T_VDF_SALES1_Y91">#REF!</definedName>
    <definedName name="_T_VDF_SALES1_Y92">#REF!</definedName>
    <definedName name="_T_VDF_SALES1_Y93">#REF!</definedName>
    <definedName name="_T_VDF_SALES1_Y94">#REF!</definedName>
    <definedName name="_T_VDF_SALES1_Y95">#REF!</definedName>
    <definedName name="_T_VDF_SALES1_Y96">#REF!</definedName>
    <definedName name="_T_VDF_SALES1_Y97">#REF!</definedName>
    <definedName name="_T_VDF_SALES1_Y98">#REF!</definedName>
    <definedName name="_T_VDF_SALES1_Y99">#REF!</definedName>
    <definedName name="_T_VDF_SHAREHOLD_EQ_Y00">#REF!</definedName>
    <definedName name="_T_VDF_SHAREHOLD_EQ_Y01">#REF!</definedName>
    <definedName name="_T_VDF_SHAREHOLD_EQ_Y02">#REF!</definedName>
    <definedName name="_T_VDF_SHAREHOLD_EQ_Y03">#REF!</definedName>
    <definedName name="_T_VDF_SHAREHOLD_EQ_Y04">#REF!</definedName>
    <definedName name="_T_VDF_SHAREHOLD_EQ_Y05">#REF!</definedName>
    <definedName name="_T_VDF_SHAREHOLD_EQ_Y06">#REF!</definedName>
    <definedName name="_T_VDF_SHAREHOLD_EQ_Y07">#REF!</definedName>
    <definedName name="_T_VDF_SHAREHOLD_EQ_Y08">#REF!</definedName>
    <definedName name="_T_VDF_SHAREHOLD_EQ_Y09">#REF!</definedName>
    <definedName name="_T_VDF_SHAREHOLD_EQ_Y10">#REF!</definedName>
    <definedName name="_T_VDF_SHAREHOLD_EQ_Y90">#REF!</definedName>
    <definedName name="_T_VDF_SHAREHOLD_EQ_Y91">#REF!</definedName>
    <definedName name="_T_VDF_SHAREHOLD_EQ_Y92">#REF!</definedName>
    <definedName name="_T_VDF_SHAREHOLD_EQ_Y93">#REF!</definedName>
    <definedName name="_T_VDF_SHAREHOLD_EQ_Y94">#REF!</definedName>
    <definedName name="_T_VDF_SHAREHOLD_EQ_Y95">#REF!</definedName>
    <definedName name="_T_VDF_SHAREHOLD_EQ_Y96">#REF!</definedName>
    <definedName name="_T_VDF_SHAREHOLD_EQ_Y97">#REF!</definedName>
    <definedName name="_T_VDF_SHAREHOLD_EQ_Y98">#REF!</definedName>
    <definedName name="_T_VDF_SHAREHOLD_EQ_Y99">#REF!</definedName>
    <definedName name="_T_VDF_SHAREHOLD_VAL_Y00">#REF!</definedName>
    <definedName name="_T_VDF_SHAREHOLD_VAL_Y01">#REF!</definedName>
    <definedName name="_T_VDF_SHAREHOLD_VAL_Y02">#REF!</definedName>
    <definedName name="_T_VDF_SHAREHOLD_VAL_Y03">#REF!</definedName>
    <definedName name="_T_VDF_SHAREHOLD_VAL_Y04">#REF!</definedName>
    <definedName name="_T_VDF_SHAREHOLD_VAL_Y05">#REF!</definedName>
    <definedName name="_T_VDF_SHAREHOLD_VAL_Y06">#REF!</definedName>
    <definedName name="_T_VDF_SHAREHOLD_VAL_Y07">#REF!</definedName>
    <definedName name="_T_VDF_SHAREHOLD_VAL_Y08">#REF!</definedName>
    <definedName name="_T_VDF_SHAREHOLD_VAL_Y09">#REF!</definedName>
    <definedName name="_T_VDF_SHAREHOLD_VAL_Y10">#REF!</definedName>
    <definedName name="_T_VDF_SHAREHOLD_VAL_Y90">#REF!</definedName>
    <definedName name="_T_VDF_SHAREHOLD_VAL_Y91">#REF!</definedName>
    <definedName name="_T_VDF_SHAREHOLD_VAL_Y92">#REF!</definedName>
    <definedName name="_T_VDF_SHAREHOLD_VAL_Y93">#REF!</definedName>
    <definedName name="_T_VDF_SHAREHOLD_VAL_Y94">#REF!</definedName>
    <definedName name="_T_VDF_SHAREHOLD_VAL_Y95">#REF!</definedName>
    <definedName name="_T_VDF_SHAREHOLD_VAL_Y96">#REF!</definedName>
    <definedName name="_T_VDF_SHAREHOLD_VAL_Y97">#REF!</definedName>
    <definedName name="_T_VDF_SHAREHOLD_VAL_Y98">#REF!</definedName>
    <definedName name="_T_VDF_SHAREHOLD_VAL_Y99">#REF!</definedName>
    <definedName name="_T_VDF_SHARES_Y00">#REF!</definedName>
    <definedName name="_T_VDF_SHARES_Y01">#REF!</definedName>
    <definedName name="_T_VDF_SHARES_Y02">#REF!</definedName>
    <definedName name="_T_VDF_SHARES_Y03">#REF!</definedName>
    <definedName name="_T_VDF_SHARES_Y04">#REF!</definedName>
    <definedName name="_T_VDF_SHARES_Y05">#REF!</definedName>
    <definedName name="_T_VDF_SHARES_Y06">#REF!</definedName>
    <definedName name="_T_VDF_SHARES_Y07">#REF!</definedName>
    <definedName name="_T_VDF_SHARES_Y08">#REF!</definedName>
    <definedName name="_T_VDF_SHARES_Y09">#REF!</definedName>
    <definedName name="_T_VDF_SHARES_Y10">#REF!</definedName>
    <definedName name="_T_VDF_SHARES_Y90">#REF!</definedName>
    <definedName name="_T_VDF_SHARES_Y91">#REF!</definedName>
    <definedName name="_T_VDF_SHARES_Y92">#REF!</definedName>
    <definedName name="_T_VDF_SHARES_Y93">#REF!</definedName>
    <definedName name="_T_VDF_SHARES_Y94">#REF!</definedName>
    <definedName name="_T_VDF_SHARES_Y95">#REF!</definedName>
    <definedName name="_T_VDF_SHARES_Y96">#REF!</definedName>
    <definedName name="_T_VDF_SHARES_Y97">#REF!</definedName>
    <definedName name="_T_VDF_SHARES_Y98">#REF!</definedName>
    <definedName name="_T_VDF_SHARES_Y99">#REF!</definedName>
    <definedName name="_T_VDF_SHAREVAL_INFLATION_Y00">#REF!</definedName>
    <definedName name="_T_VDF_SHAREVAL_INFLATION_Y01">#REF!</definedName>
    <definedName name="_T_VDF_SHAREVAL_INFLATION_Y02">#REF!</definedName>
    <definedName name="_T_VDF_SHAREVAL_INFLATION_Y03">#REF!</definedName>
    <definedName name="_T_VDF_SHAREVAL_INFLATION_Y04">#REF!</definedName>
    <definedName name="_T_VDF_SHAREVAL_INFLATION_Y05">#REF!</definedName>
    <definedName name="_T_VDF_SHAREVAL_INFLATION_Y06">#REF!</definedName>
    <definedName name="_T_VDF_SHAREVAL_INFLATION_Y07">#REF!</definedName>
    <definedName name="_T_VDF_SHAREVAL_INFLATION_Y08">#REF!</definedName>
    <definedName name="_T_VDF_SHAREVAL_INFLATION_Y09">#REF!</definedName>
    <definedName name="_T_VDF_SHAREVAL_INFLATION_Y10">#REF!</definedName>
    <definedName name="_T_VDF_SHAREVAL_INFLATION_Y90">#REF!</definedName>
    <definedName name="_T_VDF_SHAREVAL_INFLATION_Y91">#REF!</definedName>
    <definedName name="_T_VDF_SHAREVAL_INFLATION_Y92">#REF!</definedName>
    <definedName name="_T_VDF_SHAREVAL_INFLATION_Y93">#REF!</definedName>
    <definedName name="_T_VDF_SHAREVAL_INFLATION_Y94">#REF!</definedName>
    <definedName name="_T_VDF_SHAREVAL_INFLATION_Y95">#REF!</definedName>
    <definedName name="_T_VDF_SHAREVAL_INFLATION_Y96">#REF!</definedName>
    <definedName name="_T_VDF_SHAREVAL_INFLATION_Y97">#REF!</definedName>
    <definedName name="_T_VDF_SHAREVAL_INFLATION_Y98">#REF!</definedName>
    <definedName name="_T_VDF_SHAREVAL_INFLATION_Y99">#REF!</definedName>
    <definedName name="_T_VDF_SHAREVAL_Y00">#REF!</definedName>
    <definedName name="_T_VDF_SHAREVAL_Y01">#REF!</definedName>
    <definedName name="_T_VDF_SHAREVAL_Y02">#REF!</definedName>
    <definedName name="_T_VDF_SHAREVAL_Y03">#REF!</definedName>
    <definedName name="_T_VDF_SHAREVAL_Y04">#REF!</definedName>
    <definedName name="_T_VDF_SHAREVAL_Y05">#REF!</definedName>
    <definedName name="_T_VDF_SHAREVAL_Y06">#REF!</definedName>
    <definedName name="_T_VDF_SHAREVAL_Y07">#REF!</definedName>
    <definedName name="_T_VDF_SHAREVAL_Y08">#REF!</definedName>
    <definedName name="_T_VDF_SHAREVAL_Y09">#REF!</definedName>
    <definedName name="_T_VDF_SHAREVAL_Y10">#REF!</definedName>
    <definedName name="_T_VDF_SHAREVAL_Y90">#REF!</definedName>
    <definedName name="_T_VDF_SHAREVAL_Y91">#REF!</definedName>
    <definedName name="_T_VDF_SHAREVAL_Y92">#REF!</definedName>
    <definedName name="_T_VDF_SHAREVAL_Y93">#REF!</definedName>
    <definedName name="_T_VDF_SHAREVAL_Y94">#REF!</definedName>
    <definedName name="_T_VDF_SHAREVAL_Y95">#REF!</definedName>
    <definedName name="_T_VDF_SHAREVAL_Y96">#REF!</definedName>
    <definedName name="_T_VDF_SHAREVAL_Y97">#REF!</definedName>
    <definedName name="_T_VDF_SHAREVAL_Y98">#REF!</definedName>
    <definedName name="_T_VDF_SHAREVAL_Y99">#REF!</definedName>
    <definedName name="_T_VDF_TAXRATE_Y00">#REF!</definedName>
    <definedName name="_T_VDF_TAXRATE_Y01">#REF!</definedName>
    <definedName name="_T_VDF_TAXRATE_Y02">#REF!</definedName>
    <definedName name="_T_VDF_TAXRATE_Y03">#REF!</definedName>
    <definedName name="_T_VDF_TAXRATE_Y04">#REF!</definedName>
    <definedName name="_T_VDF_TAXRATE_Y05">#REF!</definedName>
    <definedName name="_T_VDF_TAXRATE_Y06">#REF!</definedName>
    <definedName name="_T_VDF_TAXRATE_Y07">#REF!</definedName>
    <definedName name="_T_VDF_TAXRATE_Y08">#REF!</definedName>
    <definedName name="_T_VDF_TAXRATE_Y09">#REF!</definedName>
    <definedName name="_T_VDF_TAXRATE_Y10">#REF!</definedName>
    <definedName name="_T_VDF_TAXRATE_Y90">#REF!</definedName>
    <definedName name="_T_VDF_TAXRATE_Y91">#REF!</definedName>
    <definedName name="_T_VDF_TAXRATE_Y92">#REF!</definedName>
    <definedName name="_T_VDF_TAXRATE_Y93">#REF!</definedName>
    <definedName name="_T_VDF_TAXRATE_Y94">#REF!</definedName>
    <definedName name="_T_VDF_TAXRATE_Y95">#REF!</definedName>
    <definedName name="_T_VDF_TAXRATE_Y96">#REF!</definedName>
    <definedName name="_T_VDF_TAXRATE_Y97">#REF!</definedName>
    <definedName name="_T_VDF_TAXRATE_Y98">#REF!</definedName>
    <definedName name="_T_VDF_TAXRATE_Y99">#REF!</definedName>
    <definedName name="_T_VDF_TOTAL_DEBT_Y00">#REF!</definedName>
    <definedName name="_T_VDF_TOTAL_DEBT_Y01">#REF!</definedName>
    <definedName name="_T_VDF_TOTAL_DEBT_Y02">#REF!</definedName>
    <definedName name="_T_VDF_TOTAL_DEBT_Y03">#REF!</definedName>
    <definedName name="_T_VDF_TOTAL_DEBT_Y04">#REF!</definedName>
    <definedName name="_T_VDF_TOTAL_DEBT_Y05">#REF!</definedName>
    <definedName name="_T_VDF_TOTAL_DEBT_Y06">#REF!</definedName>
    <definedName name="_T_VDF_TOTAL_DEBT_Y07">#REF!</definedName>
    <definedName name="_T_VDF_TOTAL_DEBT_Y08">#REF!</definedName>
    <definedName name="_T_VDF_TOTAL_DEBT_Y09">#REF!</definedName>
    <definedName name="_T_VDF_TOTAL_DEBT_Y10">#REF!</definedName>
    <definedName name="_T_VDF_TOTAL_DEBT_Y90">#REF!</definedName>
    <definedName name="_T_VDF_TOTAL_DEBT_Y91">#REF!</definedName>
    <definedName name="_T_VDF_TOTAL_DEBT_Y92">#REF!</definedName>
    <definedName name="_T_VDF_TOTAL_DEBT_Y93">#REF!</definedName>
    <definedName name="_T_VDF_TOTAL_DEBT_Y94">#REF!</definedName>
    <definedName name="_T_VDF_TOTAL_DEBT_Y95">#REF!</definedName>
    <definedName name="_T_VDF_TOTAL_DEBT_Y96">#REF!</definedName>
    <definedName name="_T_VDF_TOTAL_DEBT_Y97">#REF!</definedName>
    <definedName name="_T_VDF_TOTAL_DEBT_Y98">#REF!</definedName>
    <definedName name="_T_VDF_TOTAL_DEBT_Y99">#REF!</definedName>
    <definedName name="_T_VDF_TOTAL_DEBTA_Y00">#REF!</definedName>
    <definedName name="_T_VDF_TOTAL_DEBTA_Y01">#REF!</definedName>
    <definedName name="_T_VDF_TOTAL_DEBTA_Y02">#REF!</definedName>
    <definedName name="_T_VDF_TOTAL_DEBTA_Y03">#REF!</definedName>
    <definedName name="_T_VDF_TOTAL_DEBTA_Y04">#REF!</definedName>
    <definedName name="_T_VDF_TOTAL_DEBTA_Y05">#REF!</definedName>
    <definedName name="_T_VDF_TOTAL_DEBTA_Y06">#REF!</definedName>
    <definedName name="_T_VDF_TOTAL_DEBTA_Y07">#REF!</definedName>
    <definedName name="_T_VDF_TOTAL_DEBTA_Y08">#REF!</definedName>
    <definedName name="_T_VDF_TOTAL_DEBTA_Y09">#REF!</definedName>
    <definedName name="_T_VDF_TOTAL_DEBTA_Y10">#REF!</definedName>
    <definedName name="_T_VDF_TOTAL_DEBTA_Y90">#REF!</definedName>
    <definedName name="_T_VDF_TOTAL_DEBTA_Y91">#REF!</definedName>
    <definedName name="_T_VDF_TOTAL_DEBTA_Y92">#REF!</definedName>
    <definedName name="_T_VDF_TOTAL_DEBTA_Y93">#REF!</definedName>
    <definedName name="_T_VDF_TOTAL_DEBTA_Y94">#REF!</definedName>
    <definedName name="_T_VDF_TOTAL_DEBTA_Y95">#REF!</definedName>
    <definedName name="_T_VDF_TOTAL_DEBTA_Y96">#REF!</definedName>
    <definedName name="_T_VDF_TOTAL_DEBTA_Y97">#REF!</definedName>
    <definedName name="_T_VDF_TOTAL_DEBTA_Y98">#REF!</definedName>
    <definedName name="_T_VDF_TOTAL_DEBTA_Y99">#REF!</definedName>
    <definedName name="_T_VDF_TOTAL_REVENUE_Y00">#REF!</definedName>
    <definedName name="_T_VDF_TOTAL_REVENUE_Y01">#REF!</definedName>
    <definedName name="_T_VDF_TOTAL_REVENUE_Y02">#REF!</definedName>
    <definedName name="_T_VDF_TOTAL_REVENUE_Y03">#REF!</definedName>
    <definedName name="_T_VDF_TOTAL_REVENUE_Y04">#REF!</definedName>
    <definedName name="_T_VDF_TOTAL_REVENUE_Y05">#REF!</definedName>
    <definedName name="_T_VDF_TOTAL_REVENUE_Y06">#REF!</definedName>
    <definedName name="_T_VDF_TOTAL_REVENUE_Y07">#REF!</definedName>
    <definedName name="_T_VDF_TOTAL_REVENUE_Y08">#REF!</definedName>
    <definedName name="_T_VDF_TOTAL_REVENUE_Y09">#REF!</definedName>
    <definedName name="_T_VDF_TOTAL_REVENUE_Y10">#REF!</definedName>
    <definedName name="_T_VDF_TOTAL_REVENUE_Y90">#REF!</definedName>
    <definedName name="_T_VDF_TOTAL_REVENUE_Y91">#REF!</definedName>
    <definedName name="_T_VDF_TOTAL_REVENUE_Y92">#REF!</definedName>
    <definedName name="_T_VDF_TOTAL_REVENUE_Y93">#REF!</definedName>
    <definedName name="_T_VDF_TOTAL_REVENUE_Y94">#REF!</definedName>
    <definedName name="_T_VDF_TOTAL_REVENUE_Y95">#REF!</definedName>
    <definedName name="_T_VDF_TOTAL_REVENUE_Y96">#REF!</definedName>
    <definedName name="_T_VDF_TOTAL_REVENUE_Y97">#REF!</definedName>
    <definedName name="_T_VDF_TOTAL_REVENUE_Y98">#REF!</definedName>
    <definedName name="_T_VDF_TOTAL_REVENUE_Y99">#REF!</definedName>
    <definedName name="_T_VDF_UNREC_GW_Y00">#REF!</definedName>
    <definedName name="_T_VDF_UNREC_GW_Y01">#REF!</definedName>
    <definedName name="_T_VDF_UNREC_GW_Y02">#REF!</definedName>
    <definedName name="_T_VDF_UNREC_GW_Y03">#REF!</definedName>
    <definedName name="_T_VDF_UNREC_GW_Y04">#REF!</definedName>
    <definedName name="_T_VDF_UNREC_GW_Y05">#REF!</definedName>
    <definedName name="_T_VDF_UNREC_GW_Y06">#REF!</definedName>
    <definedName name="_T_VDF_UNREC_GW_Y07">#REF!</definedName>
    <definedName name="_T_VDF_UNREC_GW_Y08">#REF!</definedName>
    <definedName name="_T_VDF_UNREC_GW_Y09">#REF!</definedName>
    <definedName name="_T_VDF_UNREC_GW_Y10">#REF!</definedName>
    <definedName name="_T_VDF_UNREC_GW_Y90">#REF!</definedName>
    <definedName name="_T_VDF_UNREC_GW_Y91">#REF!</definedName>
    <definedName name="_T_VDF_UNREC_GW_Y92">#REF!</definedName>
    <definedName name="_T_VDF_UNREC_GW_Y93">#REF!</definedName>
    <definedName name="_T_VDF_UNREC_GW_Y94">#REF!</definedName>
    <definedName name="_T_VDF_UNREC_GW_Y95">#REF!</definedName>
    <definedName name="_T_VDF_UNREC_GW_Y96">#REF!</definedName>
    <definedName name="_T_VDF_UNREC_GW_Y97">#REF!</definedName>
    <definedName name="_T_VDF_UNREC_GW_Y98">#REF!</definedName>
    <definedName name="_T_VDF_UNREC_GW_Y99">#REF!</definedName>
    <definedName name="_T_VDF_WACC_BF_Y00">#REF!</definedName>
    <definedName name="_T_VDF_WACC_BF_Y01">#REF!</definedName>
    <definedName name="_T_VDF_WACC_BF_Y02">#REF!</definedName>
    <definedName name="_T_VDF_WACC_BF_Y03">#REF!</definedName>
    <definedName name="_T_VDF_WACC_BF_Y04">#REF!</definedName>
    <definedName name="_T_VDF_WACC_BF_Y05">#REF!</definedName>
    <definedName name="_T_VDF_WACC_BF_Y06">#REF!</definedName>
    <definedName name="_T_VDF_WACC_BF_Y07">#REF!</definedName>
    <definedName name="_T_VDF_WACC_BF_Y08">#REF!</definedName>
    <definedName name="_T_VDF_WACC_BF_Y09">#REF!</definedName>
    <definedName name="_T_VDF_WACC_BF_Y10">#REF!</definedName>
    <definedName name="_T_VDF_WACC_BF_Y90">#REF!</definedName>
    <definedName name="_T_VDF_WACC_BF_Y91">#REF!</definedName>
    <definedName name="_T_VDF_WACC_BF_Y92">#REF!</definedName>
    <definedName name="_T_VDF_WACC_BF_Y93">#REF!</definedName>
    <definedName name="_T_VDF_WACC_BF_Y94">#REF!</definedName>
    <definedName name="_T_VDF_WACC_BF_Y95">#REF!</definedName>
    <definedName name="_T_VDF_WACC_BF_Y96">#REF!</definedName>
    <definedName name="_T_VDF_WACC_BF_Y97">#REF!</definedName>
    <definedName name="_T_VDF_WACC_BF_Y98">#REF!</definedName>
    <definedName name="_T_VDF_WACC_BF_Y99">#REF!</definedName>
    <definedName name="_T_VDF_WACC_DEBTSPREAD_Y00">#REF!</definedName>
    <definedName name="_T_VDF_WACC_DEBTSPREAD_Y01">#REF!</definedName>
    <definedName name="_T_VDF_WACC_DEBTSPREAD_Y02">#REF!</definedName>
    <definedName name="_T_VDF_WACC_DEBTSPREAD_Y03">#REF!</definedName>
    <definedName name="_T_VDF_WACC_DEBTSPREAD_Y04">#REF!</definedName>
    <definedName name="_T_VDF_WACC_DEBTSPREAD_Y05">#REF!</definedName>
    <definedName name="_T_VDF_WACC_DEBTSPREAD_Y06">#REF!</definedName>
    <definedName name="_T_VDF_WACC_DEBTSPREAD_Y07">#REF!</definedName>
    <definedName name="_T_VDF_WACC_DEBTSPREAD_Y08">#REF!</definedName>
    <definedName name="_T_VDF_WACC_DEBTSPREAD_Y09">#REF!</definedName>
    <definedName name="_T_VDF_WACC_DEBTSPREAD_Y10">#REF!</definedName>
    <definedName name="_T_VDF_WACC_DEBTSPREAD_Y90">#REF!</definedName>
    <definedName name="_T_VDF_WACC_DEBTSPREAD_Y91">#REF!</definedName>
    <definedName name="_T_VDF_WACC_DEBTSPREAD_Y92">#REF!</definedName>
    <definedName name="_T_VDF_WACC_DEBTSPREAD_Y93">#REF!</definedName>
    <definedName name="_T_VDF_WACC_DEBTSPREAD_Y94">#REF!</definedName>
    <definedName name="_T_VDF_WACC_DEBTSPREAD_Y95">#REF!</definedName>
    <definedName name="_T_VDF_WACC_DEBTSPREAD_Y96">#REF!</definedName>
    <definedName name="_T_VDF_WACC_DEBTSPREAD_Y97">#REF!</definedName>
    <definedName name="_T_VDF_WACC_DEBTSPREAD_Y98">#REF!</definedName>
    <definedName name="_T_VDF_WACC_DEBTSPREAD_Y99">#REF!</definedName>
    <definedName name="_T_VDF_WACC_TARGETDEBTRATIO">#REF!</definedName>
    <definedName name="_T_VDF_WACC_TARGETDEBTSPREAD">#REF!</definedName>
    <definedName name="_T_VDF_WACC_TARGETFRANKRATE">#REF!</definedName>
    <definedName name="_T_VDF_WACC_TARGETFRANKUSED">#REF!</definedName>
    <definedName name="_T_VDF_WACC_TARGETTAXRATE">#REF!</definedName>
    <definedName name="_T_VDF_WACC_Y00">#REF!</definedName>
    <definedName name="_T_VDF_WACC_Y01">#REF!</definedName>
    <definedName name="_T_VDF_WACC_Y02">#REF!</definedName>
    <definedName name="_T_VDF_WACC_Y03">#REF!</definedName>
    <definedName name="_T_VDF_WACC_Y04">#REF!</definedName>
    <definedName name="_T_VDF_WACC_Y05">#REF!</definedName>
    <definedName name="_T_VDF_WACC_Y06">#REF!</definedName>
    <definedName name="_T_VDF_WACC_Y07">#REF!</definedName>
    <definedName name="_T_VDF_WACC_Y08">#REF!</definedName>
    <definedName name="_T_VDF_WACC_Y09">#REF!</definedName>
    <definedName name="_T_VDF_WACC_Y10">#REF!</definedName>
    <definedName name="_T_VDF_WACC_Y90">#REF!</definedName>
    <definedName name="_T_VDF_WACC_Y91">#REF!</definedName>
    <definedName name="_T_VDF_WACC_Y92">#REF!</definedName>
    <definedName name="_T_VDF_WACC_Y93">#REF!</definedName>
    <definedName name="_T_VDF_WACC_Y94">#REF!</definedName>
    <definedName name="_T_VDF_WACC_Y95">#REF!</definedName>
    <definedName name="_T_VDF_WACC_Y96">#REF!</definedName>
    <definedName name="_T_VDF_WACC_Y97">#REF!</definedName>
    <definedName name="_T_VDF_WACC_Y98">#REF!</definedName>
    <definedName name="_T_VDF_WACC_Y99">#REF!</definedName>
    <definedName name="_T_VDF_WC_TURN1">#REF!</definedName>
    <definedName name="_T_VDF_WC_TURN2">#REF!</definedName>
    <definedName name="_T_VDF_WC_TURN3">#REF!</definedName>
    <definedName name="_T_VDF_WC_TURN4">#REF!</definedName>
    <definedName name="_T_VDF_WC_TURN5">#REF!</definedName>
    <definedName name="_T_VDF_WC_TURN6">#REF!</definedName>
    <definedName name="_T_VDF_WCCHANGE_Y00">#REF!</definedName>
    <definedName name="_T_VDF_WCCHANGE_Y01">#REF!</definedName>
    <definedName name="_T_VDF_WCCHANGE_Y02">#REF!</definedName>
    <definedName name="_T_VDF_WCCHANGE_Y03">#REF!</definedName>
    <definedName name="_T_VDF_WCCHANGE_Y04">#REF!</definedName>
    <definedName name="_T_VDF_WCCHANGE_Y05">#REF!</definedName>
    <definedName name="_T_VDF_WCCHANGE_Y06">#REF!</definedName>
    <definedName name="_T_VDF_WCCHANGE_Y07">#REF!</definedName>
    <definedName name="_T_VDF_WCCHANGE_Y08">#REF!</definedName>
    <definedName name="_T_VDF_WCCHANGE_Y09">#REF!</definedName>
    <definedName name="_T_VDF_WCCHANGE_Y10">#REF!</definedName>
    <definedName name="_T_VDF_WCCHANGE_Y90">#REF!</definedName>
    <definedName name="_T_VDF_WCCHANGE_Y91">#REF!</definedName>
    <definedName name="_T_VDF_WCCHANGE_Y92">#REF!</definedName>
    <definedName name="_T_VDF_WCCHANGE_Y93">#REF!</definedName>
    <definedName name="_T_VDF_WCCHANGE_Y94">#REF!</definedName>
    <definedName name="_T_VDF_WCCHANGE_Y95">#REF!</definedName>
    <definedName name="_T_VDF_WCCHANGE_Y96">#REF!</definedName>
    <definedName name="_T_VDF_WCCHANGE_Y97">#REF!</definedName>
    <definedName name="_T_VDF_WCCHANGE_Y98">#REF!</definedName>
    <definedName name="_T_VDF_WCCHANGE_Y99">#REF!</definedName>
    <definedName name="_T_VDF_WORKING_CAP_Y00">#REF!</definedName>
    <definedName name="_T_VDF_WORKING_CAP_Y01">#REF!</definedName>
    <definedName name="_T_VDF_WORKING_CAP_Y02">#REF!</definedName>
    <definedName name="_T_VDF_WORKING_CAP_Y03">#REF!</definedName>
    <definedName name="_T_VDF_WORKING_CAP_Y04">#REF!</definedName>
    <definedName name="_T_VDF_WORKING_CAP_Y05">#REF!</definedName>
    <definedName name="_T_VDF_WORKING_CAP_Y06">#REF!</definedName>
    <definedName name="_T_VDF_WORKING_CAP_Y07">#REF!</definedName>
    <definedName name="_T_VDF_WORKING_CAP_Y08">#REF!</definedName>
    <definedName name="_T_VDF_WORKING_CAP_Y09">#REF!</definedName>
    <definedName name="_T_VDF_WORKING_CAP_Y10">#REF!</definedName>
    <definedName name="_T_VDF_WORKING_CAP_Y90">#REF!</definedName>
    <definedName name="_T_VDF_WORKING_CAP_Y91">#REF!</definedName>
    <definedName name="_T_VDF_WORKING_CAP_Y92">#REF!</definedName>
    <definedName name="_T_VDF_WORKING_CAP_Y93">#REF!</definedName>
    <definedName name="_T_VDF_WORKING_CAP_Y94">#REF!</definedName>
    <definedName name="_T_VDF_WORKING_CAP_Y95">#REF!</definedName>
    <definedName name="_T_VDF_WORKING_CAP_Y96">#REF!</definedName>
    <definedName name="_T_VDF_WORKING_CAP_Y97">#REF!</definedName>
    <definedName name="_T_VDF_WORKING_CAP_Y98">#REF!</definedName>
    <definedName name="_T_VDF_WORKING_CAP_Y99">#REF!</definedName>
    <definedName name="_T_VDF_YIF_Y00">#REF!</definedName>
    <definedName name="_T_VDF_YIF_Y01">#REF!</definedName>
    <definedName name="_T_VDF_YIF_Y02">#REF!</definedName>
    <definedName name="_T_VDF_YIF_Y03">#REF!</definedName>
    <definedName name="_T_VDF_YIF_Y04">#REF!</definedName>
    <definedName name="_T_VDF_YIF_Y05">#REF!</definedName>
    <definedName name="_T_VDF_YIF_Y06">#REF!</definedName>
    <definedName name="_T_VDF_YIF_Y07">#REF!</definedName>
    <definedName name="_T_VDF_YIF_Y08">#REF!</definedName>
    <definedName name="_T_VDF_YIF_Y09">#REF!</definedName>
    <definedName name="_T_VDF_YIF_Y10">#REF!</definedName>
    <definedName name="_T_VDF_YIF_Y90">#REF!</definedName>
    <definedName name="_T_VDF_YIF_Y91">#REF!</definedName>
    <definedName name="_T_VDF_YIF_Y92">#REF!</definedName>
    <definedName name="_T_VDF_YIF_Y93">#REF!</definedName>
    <definedName name="_T_VDF_YIF_Y94">#REF!</definedName>
    <definedName name="_T_VDF_YIF_Y95">#REF!</definedName>
    <definedName name="_T_VDF_YIF_Y96">#REF!</definedName>
    <definedName name="_T_VDF_YIF_Y97">#REF!</definedName>
    <definedName name="_T_VDF_YIF_Y98">#REF!</definedName>
    <definedName name="_T_VDF_YIF_Y99">#REF!</definedName>
    <definedName name="_T_WC_OVERRIDE_Y10">#REF!</definedName>
    <definedName name="_T_WCI_TOTAL_Y10">#REF!</definedName>
    <definedName name="_T_WCI1_Y10">#REF!</definedName>
    <definedName name="_T_WCI4_Y00">#REF!</definedName>
    <definedName name="_T_WCI4_Y01">#REF!</definedName>
    <definedName name="_T_WCI4_Y02">#REF!</definedName>
    <definedName name="_T_WCI4_Y03">#REF!</definedName>
    <definedName name="_T_WCI4_Y04">#REF!</definedName>
    <definedName name="_T_WCI4_Y05">#REF!</definedName>
    <definedName name="_T_WCI4_Y06">#REF!</definedName>
    <definedName name="_T_WCI4_Y07">#REF!</definedName>
    <definedName name="_T_WCI4_Y08">#REF!</definedName>
    <definedName name="_T_WCI4_Y09">#REF!</definedName>
    <definedName name="_T_WCI4_Y10">#REF!</definedName>
    <definedName name="_T_WCI4_Y90">#REF!</definedName>
    <definedName name="_T_WCI4_Y91">#REF!</definedName>
    <definedName name="_T_WCI4_Y92">#REF!</definedName>
    <definedName name="_T_WCI4_Y93">#REF!</definedName>
    <definedName name="_T_WCI4_Y94">#REF!</definedName>
    <definedName name="_T_WCI4_Y95">#REF!</definedName>
    <definedName name="_T_WCI4_Y96">#REF!</definedName>
    <definedName name="_T_WCI4_Y97">#REF!</definedName>
    <definedName name="_T_WCI4_Y98">#REF!</definedName>
    <definedName name="_T_WCI4_Y99">#REF!</definedName>
    <definedName name="_T_WCI5_Y00">#REF!</definedName>
    <definedName name="_T_WCI5_Y01">#REF!</definedName>
    <definedName name="_T_WCI5_Y02">#REF!</definedName>
    <definedName name="_T_WCI5_Y03">#REF!</definedName>
    <definedName name="_T_WCI5_Y04">#REF!</definedName>
    <definedName name="_T_WCI5_Y05">#REF!</definedName>
    <definedName name="_T_WCI5_Y06">#REF!</definedName>
    <definedName name="_T_WCI5_Y07">#REF!</definedName>
    <definedName name="_T_WCI5_Y08">#REF!</definedName>
    <definedName name="_T_WCI5_Y09">#REF!</definedName>
    <definedName name="_T_WCI5_Y10">#REF!</definedName>
    <definedName name="_T_WCI5_Y90">#REF!</definedName>
    <definedName name="_T_WCI5_Y91">#REF!</definedName>
    <definedName name="_T_WCI5_Y92">#REF!</definedName>
    <definedName name="_T_WCI5_Y93">#REF!</definedName>
    <definedName name="_T_WCI5_Y94">#REF!</definedName>
    <definedName name="_T_WCI5_Y95">#REF!</definedName>
    <definedName name="_T_WCI5_Y96">#REF!</definedName>
    <definedName name="_T_WCI5_Y97">#REF!</definedName>
    <definedName name="_T_WCI5_Y98">#REF!</definedName>
    <definedName name="_T_WCI5_Y99">#REF!</definedName>
    <definedName name="_T_WCO_TOTAL_Y10">#REF!</definedName>
    <definedName name="_T_WCO2_Y10">#REF!</definedName>
    <definedName name="_T_WCO5_Y00">#REF!</definedName>
    <definedName name="_T_WCO5_Y01">#REF!</definedName>
    <definedName name="_T_WCO5_Y02">#REF!</definedName>
    <definedName name="_T_WCO5_Y03">#REF!</definedName>
    <definedName name="_T_WCO5_Y04">#REF!</definedName>
    <definedName name="_T_WCO5_Y05">#REF!</definedName>
    <definedName name="_T_WCO5_Y06">#REF!</definedName>
    <definedName name="_T_WCO5_Y07">#REF!</definedName>
    <definedName name="_T_WCO5_Y08">#REF!</definedName>
    <definedName name="_T_WCO5_Y09">#REF!</definedName>
    <definedName name="_T_WCO5_Y10">#REF!</definedName>
    <definedName name="_T_WCO5_Y90">#REF!</definedName>
    <definedName name="_T_WCO5_Y91">#REF!</definedName>
    <definedName name="_T_WCO5_Y92">#REF!</definedName>
    <definedName name="_T_WCO5_Y93">#REF!</definedName>
    <definedName name="_T_WCO5_Y94">#REF!</definedName>
    <definedName name="_T_WCO5_Y95">#REF!</definedName>
    <definedName name="_T_WCO5_Y96">#REF!</definedName>
    <definedName name="_T_WCO5_Y97">#REF!</definedName>
    <definedName name="_T_WCO5_Y98">#REF!</definedName>
    <definedName name="_T_WCO5_Y99">#REF!</definedName>
    <definedName name="_T_WCO6_Y00">#REF!</definedName>
    <definedName name="_T_WCO6_Y01">#REF!</definedName>
    <definedName name="_T_WCO6_Y02">#REF!</definedName>
    <definedName name="_T_WCO6_Y03">#REF!</definedName>
    <definedName name="_T_WCO6_Y04">#REF!</definedName>
    <definedName name="_T_WCO6_Y05">#REF!</definedName>
    <definedName name="_T_WCO6_Y06">#REF!</definedName>
    <definedName name="_T_WCO6_Y07">#REF!</definedName>
    <definedName name="_T_WCO6_Y08">#REF!</definedName>
    <definedName name="_T_WCO6_Y09">#REF!</definedName>
    <definedName name="_T_WCO6_Y10">#REF!</definedName>
    <definedName name="_T_WCO6_Y90">#REF!</definedName>
    <definedName name="_T_WCO6_Y91">#REF!</definedName>
    <definedName name="_T_WCO6_Y92">#REF!</definedName>
    <definedName name="_T_WCO6_Y93">#REF!</definedName>
    <definedName name="_T_WCO6_Y94">#REF!</definedName>
    <definedName name="_T_WCO6_Y95">#REF!</definedName>
    <definedName name="_T_WCO6_Y96">#REF!</definedName>
    <definedName name="_T_WCO6_Y97">#REF!</definedName>
    <definedName name="_T_WCO6_Y98">#REF!</definedName>
    <definedName name="_T_WCO6_Y99">#REF!</definedName>
    <definedName name="_T_WCO7_Y00">#REF!</definedName>
    <definedName name="_T_WCO7_Y01">#REF!</definedName>
    <definedName name="_T_WCO7_Y02">#REF!</definedName>
    <definedName name="_T_WCO7_Y03">#REF!</definedName>
    <definedName name="_T_WCO7_Y04">#REF!</definedName>
    <definedName name="_T_WCO7_Y05">#REF!</definedName>
    <definedName name="_T_WCO7_Y06">#REF!</definedName>
    <definedName name="_T_WCO7_Y07">#REF!</definedName>
    <definedName name="_T_WCO7_Y08">#REF!</definedName>
    <definedName name="_T_WCO7_Y09">#REF!</definedName>
    <definedName name="_T_WCO7_Y10">#REF!</definedName>
    <definedName name="_T_WCO7_Y90">#REF!</definedName>
    <definedName name="_T_WCO7_Y91">#REF!</definedName>
    <definedName name="_T_WCO7_Y92">#REF!</definedName>
    <definedName name="_T_WCO7_Y93">#REF!</definedName>
    <definedName name="_T_WCO7_Y94">#REF!</definedName>
    <definedName name="_T_WCO7_Y95">#REF!</definedName>
    <definedName name="_T_WCO7_Y96">#REF!</definedName>
    <definedName name="_T_WCO7_Y97">#REF!</definedName>
    <definedName name="_T_WCO7_Y98">#REF!</definedName>
    <definedName name="_T_WCO7_Y99">#REF!</definedName>
    <definedName name="_T_WCO8_Y00">#REF!</definedName>
    <definedName name="_T_WCO8_Y01">#REF!</definedName>
    <definedName name="_T_WCO8_Y02">#REF!</definedName>
    <definedName name="_T_WCO8_Y03">#REF!</definedName>
    <definedName name="_T_WCO8_Y04">#REF!</definedName>
    <definedName name="_T_WCO8_Y05">#REF!</definedName>
    <definedName name="_T_WCO8_Y06">#REF!</definedName>
    <definedName name="_T_WCO8_Y07">#REF!</definedName>
    <definedName name="_T_WCO8_Y08">#REF!</definedName>
    <definedName name="_T_WCO8_Y09">#REF!</definedName>
    <definedName name="_T_WCO8_Y10">#REF!</definedName>
    <definedName name="_T_WCO8_Y90">#REF!</definedName>
    <definedName name="_T_WCO8_Y91">#REF!</definedName>
    <definedName name="_T_WCO8_Y92">#REF!</definedName>
    <definedName name="_T_WCO8_Y93">#REF!</definedName>
    <definedName name="_T_WCO8_Y94">#REF!</definedName>
    <definedName name="_T_WCO8_Y95">#REF!</definedName>
    <definedName name="_T_WCO8_Y96">#REF!</definedName>
    <definedName name="_T_WCO8_Y97">#REF!</definedName>
    <definedName name="_T_WCO8_Y98">#REF!</definedName>
    <definedName name="_T_WCO8_Y99">#REF!</definedName>
    <definedName name="_T_WCO9_Y10">#REF!</definedName>
    <definedName name="_tax01">[2]Sheet1!$M$46</definedName>
    <definedName name="_tax93">[2]Sheet1!$E$46</definedName>
    <definedName name="_tax94">[2]Sheet1!$F$46</definedName>
    <definedName name="_tax95">[2]Sheet1!$G$46</definedName>
    <definedName name="_tax96">[2]Sheet1!$H$46</definedName>
    <definedName name="_tax97">[2]Sheet1!$I$46</definedName>
    <definedName name="_tax98">[2]Sheet1!$J$46</definedName>
    <definedName name="_tax99">[2]Sheet1!$K$46</definedName>
    <definedName name="_TaxAdjAbnormals_TaxBreakDwn">#REF!</definedName>
    <definedName name="_TaxCashPercent_IncTaxBreakdown">#REF!</definedName>
    <definedName name="_TaxExp_IncTaxBreakdown">#REF!</definedName>
    <definedName name="_TaxExp_PL">#REF!</definedName>
    <definedName name="_TaxPaid_CF">#REF!</definedName>
    <definedName name="_TaxReportedPreAb_IncTaxBreakdwn">#REF!</definedName>
    <definedName name="_TotalAssets_BS">#REF!</definedName>
    <definedName name="_TotalEarn_Seg">#REF!</definedName>
    <definedName name="_TotalRev_BS">#REF!</definedName>
    <definedName name="_TotalSales_Seg">#REF!</definedName>
    <definedName name="_TotAmortisation_Sched">#REF!</definedName>
    <definedName name="_TotSharehlderFunds_BS">#REF!</definedName>
    <definedName name="_UnallocatedEarn_Seg">#REF!</definedName>
    <definedName name="_WorkingCap_WC">#REF!</definedName>
    <definedName name="A__US">#REF!</definedName>
    <definedName name="AbnAT">[3]Model!$A$138:$IV$138</definedName>
    <definedName name="AbnBT">[3]Model!$A$136:$IV$136</definedName>
    <definedName name="Abnormal_Items__000">#REF!</definedName>
    <definedName name="Abnormal_Items_After_Tax__000">#REF!</definedName>
    <definedName name="ABNORMAL_TAX">#REF!</definedName>
    <definedName name="Abnormal_Tax_Expense">#REF!</definedName>
    <definedName name="ABNORMALS">#REF!</definedName>
    <definedName name="AccAmor">[3]Model!$A$229:$IV$229</definedName>
    <definedName name="Accumulated_Losses">#REF!</definedName>
    <definedName name="Acid_Test_Ratio_x">#REF!</definedName>
    <definedName name="AcqEqInv">[3]Model!$A$178:$IV$178</definedName>
    <definedName name="AcquInv">#REF!</definedName>
    <definedName name="ACQUISITION">#REF!</definedName>
    <definedName name="ACQUISITIONS">#REF!</definedName>
    <definedName name="actionlist">#REF!</definedName>
    <definedName name="Actual_Paid">#REF!</definedName>
    <definedName name="Actual_Tax_Paid">#REF!</definedName>
    <definedName name="ActualEstimateFlag">[3]Model!$A$580:$IV$580</definedName>
    <definedName name="ADC">#REF!</definedName>
    <definedName name="ADR_EXRATE">#REF!</definedName>
    <definedName name="ADV">#REF!</definedName>
    <definedName name="Aero_Book">#REF!</definedName>
    <definedName name="Aero_Business">#REF!</definedName>
    <definedName name="Aero_Other">#REF!</definedName>
    <definedName name="Aero_Regional">#REF!</definedName>
    <definedName name="Aero_summary">#REF!</definedName>
    <definedName name="AFM">#REF!</definedName>
    <definedName name="alummodel">#REF!</definedName>
    <definedName name="Amor">[3]Model!$A$115:$IV$115</definedName>
    <definedName name="AmorGW">[3]Model!$A$113:$IV$113</definedName>
    <definedName name="AmorOth">[3]Model!$A$114:$IV$114</definedName>
    <definedName name="Amortisation">#REF!</definedName>
    <definedName name="Amortisation___Goodwill__000">#REF!</definedName>
    <definedName name="Amortisation___Non_G_will__000">#REF!</definedName>
    <definedName name="Amortisation_of_Goodwill">#REF!</definedName>
    <definedName name="Amortisation_of_Other_Intangible_Assets">#REF!</definedName>
    <definedName name="AnalystBeta">#REF!</definedName>
    <definedName name="ASB">#REF!</definedName>
    <definedName name="ASC">#REF!</definedName>
    <definedName name="AssDisc">#REF!</definedName>
    <definedName name="AssDiscName">#REF!</definedName>
    <definedName name="AssDiv1">#REF!</definedName>
    <definedName name="AssDiv1Name">#REF!</definedName>
    <definedName name="AssDiv2">#REF!</definedName>
    <definedName name="AssDiv2Name">#REF!</definedName>
    <definedName name="AssDiv3">#REF!</definedName>
    <definedName name="AssDiv3Name">#REF!</definedName>
    <definedName name="AssDiv4">#REF!</definedName>
    <definedName name="AssDiv4Name">#REF!</definedName>
    <definedName name="AssDiv5">#REF!</definedName>
    <definedName name="AssDiv5Name">#REF!</definedName>
    <definedName name="AssDiv6">#REF!</definedName>
    <definedName name="AssDiv6Name">#REF!</definedName>
    <definedName name="AssDiv7">#REF!</definedName>
    <definedName name="AssDiv7Name">#REF!</definedName>
    <definedName name="AssDiv8">#REF!</definedName>
    <definedName name="AssDiv8Name">#REF!</definedName>
    <definedName name="AssDiv9">#REF!</definedName>
    <definedName name="AssDiv9Name">#REF!</definedName>
    <definedName name="AssDivCorpOver">#REF!</definedName>
    <definedName name="Asset_Realisation">#REF!</definedName>
    <definedName name="Asset_Revaluation">#REF!</definedName>
    <definedName name="ASSET_SALES">#REF!</definedName>
    <definedName name="Assets___Liabilities_plus_SHF">#REF!</definedName>
    <definedName name="Assets_Liabs">#REF!</definedName>
    <definedName name="AssetSales">[3]Model!$A$289:$IV$289</definedName>
    <definedName name="AssocComDiv">#REF!</definedName>
    <definedName name="AssocCompPat1">#REF!</definedName>
    <definedName name="AssocCompPat10">#REF!</definedName>
    <definedName name="AssocCompPat10Name">#REF!</definedName>
    <definedName name="AssocCompPat1Name">#REF!</definedName>
    <definedName name="AssocCompPat2">#REF!</definedName>
    <definedName name="AssocCompPat2Name">#REF!</definedName>
    <definedName name="AssocCompPat3">#REF!</definedName>
    <definedName name="AssocCompPat3Name">#REF!</definedName>
    <definedName name="AssocCompPat4">#REF!</definedName>
    <definedName name="AssocCompPat4Name">#REF!</definedName>
    <definedName name="AssocCompPat5">#REF!</definedName>
    <definedName name="AssocCompPat5Name">#REF!</definedName>
    <definedName name="AssocCompPat6">#REF!</definedName>
    <definedName name="AssocCompPat6Name">#REF!</definedName>
    <definedName name="AssocCompPat7">#REF!</definedName>
    <definedName name="AssocCompPat7Name">#REF!</definedName>
    <definedName name="AssocCompPat8">#REF!</definedName>
    <definedName name="AssocCompPat8Name">#REF!</definedName>
    <definedName name="AssocCompPat9">#REF!</definedName>
    <definedName name="AssocCompPat9Name">#REF!</definedName>
    <definedName name="AssocDebt">#REF!</definedName>
    <definedName name="AssocEqu">#REF!</definedName>
    <definedName name="AssocOtherLiab">#REF!</definedName>
    <definedName name="AssocPat">#REF!</definedName>
    <definedName name="AssocSales">#REF!</definedName>
    <definedName name="AssocTotAss">#REF!</definedName>
    <definedName name="AssReg1">#REF!</definedName>
    <definedName name="AssReg1Name">#REF!</definedName>
    <definedName name="AssReg2">#REF!</definedName>
    <definedName name="AssReg2Name">#REF!</definedName>
    <definedName name="AssReg3">#REF!</definedName>
    <definedName name="AssReg3Name">#REF!</definedName>
    <definedName name="AssReg4">#REF!</definedName>
    <definedName name="AssReg4Name">#REF!</definedName>
    <definedName name="AssReg5">#REF!</definedName>
    <definedName name="AssReg5Name">#REF!</definedName>
    <definedName name="AssReg6">#REF!</definedName>
    <definedName name="AssReg6Name">#REF!</definedName>
    <definedName name="AssReg7">#REF!</definedName>
    <definedName name="AssReg7Name">#REF!</definedName>
    <definedName name="AssReg8">#REF!</definedName>
    <definedName name="AssReg8Name">#REF!</definedName>
    <definedName name="AssReg9">#REF!</definedName>
    <definedName name="AssReg9Name">#REF!</definedName>
    <definedName name="AssRegDisc">#REF!</definedName>
    <definedName name="AssRegDiscName">#REF!</definedName>
    <definedName name="AssRegDivCorpOver">#REF!</definedName>
    <definedName name="Assume">#REF!</definedName>
    <definedName name="Ast_Cother">#REF!</definedName>
    <definedName name="Ast_Debtors">#REF!</definedName>
    <definedName name="AST_Goodwill">#REF!</definedName>
    <definedName name="Ast_Inventories">#REF!</definedName>
    <definedName name="Ast_Investments">#REF!</definedName>
    <definedName name="Ast_NCother">#REF!</definedName>
    <definedName name="Ast_Total">#REF!</definedName>
    <definedName name="ASV">#REF!</definedName>
    <definedName name="ASXCode">#REF!</definedName>
    <definedName name="AUCK_DISC_INPUT">#REF!</definedName>
    <definedName name="AUCK_GROWTH_INPUT">#REF!</definedName>
    <definedName name="AUCK_TABLE_SENS">#REF!</definedName>
    <definedName name="AUCK_TABLE_SENS_result">#REF!</definedName>
    <definedName name="Ave._SHF">#REF!</definedName>
    <definedName name="Ave._SHF_Adjusted_minus_Intangibles">#REF!</definedName>
    <definedName name="Ave_Creditors">#REF!</definedName>
    <definedName name="Ave_Creditors_Sales">#REF!</definedName>
    <definedName name="Ave_Debtor_Sales">#REF!</definedName>
    <definedName name="Ave_Inventory">#REF!</definedName>
    <definedName name="Ave_Trade_Debtors">#REF!</definedName>
    <definedName name="Ave_Ttl_Liabilities">#REF!</definedName>
    <definedName name="Average_Total_Assets">#REF!</definedName>
    <definedName name="AVGASSET93">#REF!</definedName>
    <definedName name="AVGASSET94">#REF!</definedName>
    <definedName name="AVGASSET95">#REF!</definedName>
    <definedName name="AVGFDSHARES">#REF!</definedName>
    <definedName name="AVGSHARES">#REF!</definedName>
    <definedName name="Ba">#REF!</definedName>
    <definedName name="Backlog_and_New_Orders_Analysis">#REF!</definedName>
    <definedName name="Bal_Date">#REF!</definedName>
    <definedName name="BALANCE">#REF!</definedName>
    <definedName name="Balance_Date">#REF!</definedName>
    <definedName name="Balance_Sheet">#REF!</definedName>
    <definedName name="Balance_Sheet__000">#REF!</definedName>
    <definedName name="Balance_Sheet_Minorities">#REF!</definedName>
    <definedName name="Balancing_Item">#REF!</definedName>
    <definedName name="BaseName">#REF!</definedName>
    <definedName name="Bbg_Cd3">#REF!</definedName>
    <definedName name="BE">#REF!</definedName>
    <definedName name="BenefitPlans">#REF!</definedName>
    <definedName name="Beta">#REF!</definedName>
    <definedName name="bldgmodel">#REF!</definedName>
    <definedName name="block.Assumptions.blue">#REF!</definedName>
    <definedName name="block.Author.blue">#REF!</definedName>
    <definedName name="block.balancesheet.blue">#REF!</definedName>
    <definedName name="Block.BalSheet">#REF!</definedName>
    <definedName name="block.businessbackground.blue">#REF!</definedName>
    <definedName name="block.capitalhistory.blue">#REF!</definedName>
    <definedName name="Block.Cashflow">#REF!</definedName>
    <definedName name="block.cashflow.blue">#REF!</definedName>
    <definedName name="block.checksum.blue">#REF!</definedName>
    <definedName name="block.commentonlatestresults.blue">#REF!</definedName>
    <definedName name="Block.CorpStruct">#REF!</definedName>
    <definedName name="block.Discounted.blue">#REF!</definedName>
    <definedName name="block.DividendData.blue">#REF!</definedName>
    <definedName name="block.estbreakdownofpretax.blue">#REF!</definedName>
    <definedName name="block.estbreakdownofpretax.none">#REF!</definedName>
    <definedName name="block.estbreakdownofrevenue.blue">#REF!</definedName>
    <definedName name="block.estbreakdownofrevenue.none">#REF!</definedName>
    <definedName name="block.Expansion.blue">#REF!</definedName>
    <definedName name="block.expansionplans.blue">#REF!</definedName>
    <definedName name="block.forecastandratings.blue">#REF!</definedName>
    <definedName name="block.Forecasts.blue">#REF!</definedName>
    <definedName name="Block.Free">#REF!</definedName>
    <definedName name="block.HighsLows.blue">#REF!</definedName>
    <definedName name="block.identity.blue">#REF!</definedName>
    <definedName name="block.investments.blue">#REF!</definedName>
    <definedName name="block.mainpoints.red">#REF!</definedName>
    <definedName name="block.majorshareholders.blue">#REF!</definedName>
    <definedName name="block.Miscellaneous.none">#REF!</definedName>
    <definedName name="block.Other.blue">#REF!</definedName>
    <definedName name="block.outlook.blue">#REF!</definedName>
    <definedName name="block.pricechart.none">#REF!</definedName>
    <definedName name="Block.Profit">#REF!</definedName>
    <definedName name="block.profitbreakdown.blue">#REF!</definedName>
    <definedName name="block.profitforecastassumptions.blue">#REF!</definedName>
    <definedName name="Block.Ratios">#REF!</definedName>
    <definedName name="block.ratios.blue">#REF!</definedName>
    <definedName name="block.sharedata.blue">#REF!</definedName>
    <definedName name="block.Subsidiaries.blue">#REF!</definedName>
    <definedName name="block.tenyearrecord.blue">#REF!</definedName>
    <definedName name="block.Title.blue">#REF!</definedName>
    <definedName name="Bloomberg_Code">#REF!</definedName>
    <definedName name="BLPH11" hidden="1">#REF!</definedName>
    <definedName name="BLPH12" hidden="1">#REF!</definedName>
    <definedName name="BLR">#REF!</definedName>
    <definedName name="bm">#REF!</definedName>
    <definedName name="BMargin">#REF!</definedName>
    <definedName name="BofA_Operating_Diluted_EPS">#REF!</definedName>
    <definedName name="BOOK_ASSET_SALES">#REF!</definedName>
    <definedName name="Borrowings__l_t">#REF!</definedName>
    <definedName name="Borrowings__s_t">#REF!</definedName>
    <definedName name="Brandnames">#REF!</definedName>
    <definedName name="BrokerDetailsVal4">#REF!</definedName>
    <definedName name="BrokerStart">#REF!</definedName>
    <definedName name="BrokerValDetails">#REF!</definedName>
    <definedName name="BrokerValDetails1">#REF!</definedName>
    <definedName name="BrokerValDetails2">#REF!</definedName>
    <definedName name="BrokerValDetails3">#REF!</definedName>
    <definedName name="BrokerValStart">#REF!</definedName>
    <definedName name="BSheet">#REF!</definedName>
    <definedName name="BSMins">[3]Model!$A$347:$IV$347</definedName>
    <definedName name="BSRetEarn">[3]Model!$A$345:$IV$345</definedName>
    <definedName name="BVPS">#REF!</definedName>
    <definedName name="BW">#REF!</definedName>
    <definedName name="C_BORROWINGS">#REF!</definedName>
    <definedName name="C_CREDITORS">#REF!</definedName>
    <definedName name="CA">#REF!</definedName>
    <definedName name="CA_CASH">#REF!</definedName>
    <definedName name="CA_RECS">#REF!</definedName>
    <definedName name="CA_STK">#REF!</definedName>
    <definedName name="Cale">#REF!</definedName>
    <definedName name="Capex">#REF!</definedName>
    <definedName name="Capex_to_Depreciation_Assumption">#REF!</definedName>
    <definedName name="CapExSC">[3]Model!$A$287:$IV$287</definedName>
    <definedName name="Capitalised_Interest">#REF!</definedName>
    <definedName name="CapMixCopy">#REF!</definedName>
    <definedName name="CapMixStart">#REF!</definedName>
    <definedName name="Cash">[3]Model!$A$224:$IV$224</definedName>
    <definedName name="CASH_ASSET_SALES">#REF!</definedName>
    <definedName name="Cash_at_Bank">#REF!</definedName>
    <definedName name="Cash_CurrAssets">#REF!</definedName>
    <definedName name="Cash_Earnings">#REF!</definedName>
    <definedName name="Cash_EBIT">#REF!</definedName>
    <definedName name="cash_rate">#REF!</definedName>
    <definedName name="Cash_Sales">#REF!</definedName>
    <definedName name="cashflow">#REF!</definedName>
    <definedName name="Cashflow_Statement">#REF!</definedName>
    <definedName name="CashflowDCF1">#REF!</definedName>
    <definedName name="CashForecastYears">#REF!</definedName>
    <definedName name="CashLiquid">#REF!</definedName>
    <definedName name="CashRaisedTot">[3]Model!$A$575:$IV$575</definedName>
    <definedName name="CBFPO">[3]Model!$A$387:$IV$387</definedName>
    <definedName name="CBFPOTot">[3]Model!$A$398:$IV$398</definedName>
    <definedName name="CE">#REF!</definedName>
    <definedName name="CenterHorizontal">#REF!</definedName>
    <definedName name="CenterVertically">#REF!</definedName>
    <definedName name="centre.1">#REF!</definedName>
    <definedName name="centre.2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EBDITA">#REF!</definedName>
    <definedName name="CFooter">#REF!</definedName>
    <definedName name="CFPS">#REF!</definedName>
    <definedName name="Change_in_Deprec_Amort.Exp.">#REF!</definedName>
    <definedName name="Change_in_Dividends_Paid">#REF!</definedName>
    <definedName name="Change_in_Net_Cash_or_Debt">#REF!</definedName>
    <definedName name="Change_in_Net_Profit">#REF!</definedName>
    <definedName name="Change_in_Retained_Earnings">#REF!</definedName>
    <definedName name="Change_in_Share_Capital">#REF!</definedName>
    <definedName name="Change_in_Share_Premium_Reserve">#REF!</definedName>
    <definedName name="Change_in_SHF">#REF!</definedName>
    <definedName name="Change_in_staff_numbers">#REF!</definedName>
    <definedName name="Change_in_Working_Capital">#REF!</definedName>
    <definedName name="Change_Sales_Revenue">#REF!</definedName>
    <definedName name="CHeader">#REF!</definedName>
    <definedName name="CHECKLIST">#REF!</definedName>
    <definedName name="Chg_in_Net_Interest_Expense">#REF!</definedName>
    <definedName name="ChgBorr">[3]Model!$A$295:$IV$295</definedName>
    <definedName name="ChgCashSC">[3]Model!$A$297:$IV$297</definedName>
    <definedName name="Chge_in_Provisions">#REF!</definedName>
    <definedName name="ChgInvest">[3]Model!$A$581:$IV$581</definedName>
    <definedName name="ChgWorkCap">[3]Model!$A$282:$IV$282</definedName>
    <definedName name="CL">#REF!</definedName>
    <definedName name="CL_DEBT">#REF!</definedName>
    <definedName name="CL_MIN_INT">#REF!</definedName>
    <definedName name="CL_PAY">#REF!</definedName>
    <definedName name="CleanArea">#REF!,#REF!</definedName>
    <definedName name="cmp">#REF!</definedName>
    <definedName name="CN">[3]Model!$A$333:$IV$333</definedName>
    <definedName name="CN_IntExp">[3]Model!$A$122:$IV$122</definedName>
    <definedName name="CODE">#N/A</definedName>
    <definedName name="COMBO">#REF!</definedName>
    <definedName name="COMBO_BAR_TITLE">#REF!</definedName>
    <definedName name="COMBO_CHART_TITLE">#REF!</definedName>
    <definedName name="COMBO_GOTO">#REF!</definedName>
    <definedName name="COMBO_LINE_TITLE">#REF!</definedName>
    <definedName name="comments">[3]Download!$B$270:$B$273</definedName>
    <definedName name="COMPANY_CODE">#REF!</definedName>
    <definedName name="Company_Funded_R_and_D_to_Sales_Assumption">#REF!</definedName>
    <definedName name="COMPANY_GOTO">#REF!</definedName>
    <definedName name="Company_Live">#REF!</definedName>
    <definedName name="Company_Name">#REF!</definedName>
    <definedName name="company_summary">[3]Download!$A$266:$I$268</definedName>
    <definedName name="CompanyCodeName">#REF!</definedName>
    <definedName name="CompanyExchangeCode">#REF!</definedName>
    <definedName name="CompanyName">#REF!</definedName>
    <definedName name="Components_of">#REF!</definedName>
    <definedName name="ConsAdjProf">#REF!</definedName>
    <definedName name="Conv_Notes">#REF!</definedName>
    <definedName name="Convertible_Notes_on_Issue">#REF!</definedName>
    <definedName name="CONVERTIBLES">#REF!</definedName>
    <definedName name="ConvertiblesOthers">#REF!</definedName>
    <definedName name="ConvertNote">#REF!</definedName>
    <definedName name="ConvertPrefShares">#REF!</definedName>
    <definedName name="COST_DEBT">#REF!</definedName>
    <definedName name="Cost_of_Goods_Sold__000">#REF!</definedName>
    <definedName name="COSTOFDEBT">#REF!</definedName>
    <definedName name="CostOfGoodsSold">#REF!</definedName>
    <definedName name="CPI">#REF!</definedName>
    <definedName name="CProvEmplEnt">[3]Model!$A$213:$IV$213</definedName>
    <definedName name="Creditors_Sales">#REF!</definedName>
    <definedName name="csrmodel">#REF!</definedName>
    <definedName name="CurFinLea">[3]Model!$A$241:$IV$241</definedName>
    <definedName name="CurrAss">#REF!</definedName>
    <definedName name="CurrAssOther">#REF!</definedName>
    <definedName name="CurrDebt">#REF!</definedName>
    <definedName name="Current_Assets">#REF!</definedName>
    <definedName name="Current_Liabilities">#REF!</definedName>
    <definedName name="Current_Ratio_x">#REF!</definedName>
    <definedName name="CurrInvestments">#REF!</definedName>
    <definedName name="CurrLiab">#REF!</definedName>
    <definedName name="CurrProvisions">#REF!</definedName>
    <definedName name="CurrTradeCredit">#REF!</definedName>
    <definedName name="CustomFreeformTableTitle">#REF!</definedName>
    <definedName name="D">#REF!</definedName>
    <definedName name="D_IntExp">[3]Model!$A$123:$IV$123</definedName>
    <definedName name="DataEvent">#REF!</definedName>
    <definedName name="DataFundAction">#REF!</definedName>
    <definedName name="DataPreRec">#REF!</definedName>
    <definedName name="DataRecNow">#REF!</definedName>
    <definedName name="Datastream_Code">#REF!</definedName>
    <definedName name="Datatypes_Live">#REF!</definedName>
    <definedName name="DATE">#REF!</definedName>
    <definedName name="dates">#REF!,#REF!,#REF!,#REF!</definedName>
    <definedName name="Days_Creditors__days">#REF!</definedName>
    <definedName name="Days_Debtors__days">#REF!</definedName>
    <definedName name="DCF">#REF!</definedName>
    <definedName name="DCF_Target_Share_Price_Exc_Perpetuity">#REF!</definedName>
    <definedName name="DCF_Target_Share_Price_Inc_Perpetuity">#REF!</definedName>
    <definedName name="DDMRate">#REF!</definedName>
    <definedName name="Debt">#REF!</definedName>
    <definedName name="DEBT_CAP">#REF!</definedName>
    <definedName name="DEBT_EBITDA">#REF!</definedName>
    <definedName name="DebtMove">#REF!</definedName>
    <definedName name="DEBTORS">#REF!</definedName>
    <definedName name="Debtors_Sales">#REF!</definedName>
    <definedName name="debtreturn">#REF!</definedName>
    <definedName name="DEBTS">#REF!</definedName>
    <definedName name="Deferred_Exp.">#REF!</definedName>
    <definedName name="Deferred_Tax_Charge">#REF!</definedName>
    <definedName name="Deferred_Tax_Losses">#REF!</definedName>
    <definedName name="DeferredTax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p00">[2]Sheet1!$L$126</definedName>
    <definedName name="Depn">[3]Model!$A$112:$IV$112</definedName>
    <definedName name="DEPR">#REF!</definedName>
    <definedName name="Depreciation">#REF!</definedName>
    <definedName name="Depreciation_Charge">#REF!</definedName>
    <definedName name="Depreciation_Expense">#REF!</definedName>
    <definedName name="Depreciation_Expense__000">#REF!</definedName>
    <definedName name="Depreciation_to_Sales_Assumption">#REF!</definedName>
    <definedName name="DerivHedg">#REF!</definedName>
    <definedName name="DES">#REF!</definedName>
    <definedName name="Difference">#REF!</definedName>
    <definedName name="DIR">#N/A</definedName>
    <definedName name="DISPOSAL_SEG">#REF!</definedName>
    <definedName name="DIV_PAID">#REF!</definedName>
    <definedName name="DIV_PD">#REF!</definedName>
    <definedName name="DIV_REC">#REF!</definedName>
    <definedName name="Div10Name">[3]Model!$B$662</definedName>
    <definedName name="Div1Name">[3]Model!$B$653</definedName>
    <definedName name="Div2Name">[3]Model!$B$654</definedName>
    <definedName name="Div3Name">[3]Model!$B$655</definedName>
    <definedName name="Div4Name">[3]Model!$B$656</definedName>
    <definedName name="Div5Name">[3]Model!$B$657</definedName>
    <definedName name="Div6Name">[3]Model!$B$658</definedName>
    <definedName name="Div7Name">[3]Model!$B$659</definedName>
    <definedName name="Div8Name">[3]Model!$B$660</definedName>
    <definedName name="Div9Name">[3]Model!$B$661</definedName>
    <definedName name="DivdsPd">[3]Model!$A$294:$IV$294</definedName>
    <definedName name="DivdsRec">[3]Model!$A$592:$IV$592</definedName>
    <definedName name="DivestSaleInv">[3]Model!$A$179:$IV$179</definedName>
    <definedName name="Dividend_Cover">#REF!</definedName>
    <definedName name="Dividend_Cover_Assumption">#REF!</definedName>
    <definedName name="Dividend_Final">#REF!</definedName>
    <definedName name="Dividend_Growth_Rate_Assumption">#REF!</definedName>
    <definedName name="Dividend_Interim">#REF!</definedName>
    <definedName name="DIVIDEND_PAYOUT">#REF!</definedName>
    <definedName name="Dividend_Payout_Ratio">#REF!</definedName>
    <definedName name="Dividend_Per_Common_Equity_Share">#REF!</definedName>
    <definedName name="Dividends_Provided_for_or_Paid">#REF!</definedName>
    <definedName name="DivPaid">#REF!</definedName>
    <definedName name="Dj">#REF!</definedName>
    <definedName name="DPS">#REF!</definedName>
    <definedName name="DPS_2001">#REF!</definedName>
    <definedName name="DPS_Range">#REF!</definedName>
    <definedName name="dps00">[2]Sheet1!$L$14</definedName>
    <definedName name="DPSBasicAnn">[3]Model!$A$569:$IV$569</definedName>
    <definedName name="DPSBasicSemi">[3]Model!$A$371:$IV$371</definedName>
    <definedName name="DPSDilAnn">[3]Model!$A$568:$IV$568</definedName>
    <definedName name="DPSDilSemi">[3]Model!$A$362:$IV$362</definedName>
    <definedName name="dpsf00">[2]Sheet1!$L$13</definedName>
    <definedName name="dpsf01">[2]Sheet1!$M$13</definedName>
    <definedName name="dpsf93">[2]Sheet1!$E$13</definedName>
    <definedName name="dpsf94">[2]Sheet1!$F$13</definedName>
    <definedName name="dpsf95">[2]Sheet1!$G$13</definedName>
    <definedName name="dpsf96">[2]Sheet1!$H$13</definedName>
    <definedName name="dpsf97">[2]Sheet1!$I$13</definedName>
    <definedName name="dpsf98">[2]Sheet1!$J$13</definedName>
    <definedName name="dpsf99">[2]Sheet1!$K$13</definedName>
    <definedName name="dpsi00">[2]Sheet1!$L$12</definedName>
    <definedName name="dpsi01">[2]Sheet1!$M$12</definedName>
    <definedName name="dpsi93">[2]Sheet1!$E$12</definedName>
    <definedName name="dpsi94">[2]Sheet1!$F$12</definedName>
    <definedName name="dpsi95">[2]Sheet1!$G$12</definedName>
    <definedName name="dpsi96">[2]Sheet1!$H$12</definedName>
    <definedName name="dpsi97">[2]Sheet1!$I$12</definedName>
    <definedName name="dpsi98">[2]Sheet1!$J$12</definedName>
    <definedName name="dpsi99">[2]Sheet1!$K$12</definedName>
    <definedName name="Draft">#REF!</definedName>
    <definedName name="DRP">#REF!</definedName>
    <definedName name="DRP_DISCOUNT">#REF!</definedName>
    <definedName name="DRP_ISSUES">#REF!</definedName>
    <definedName name="DRP_PARTICIPATION">#REF!</definedName>
    <definedName name="DRP_PRICE">#REF!</definedName>
    <definedName name="DRPDisc">#REF!</definedName>
    <definedName name="DRPPat">#REF!</definedName>
    <definedName name="Dupont">#REF!</definedName>
    <definedName name="DuPont_ROA">#REF!</definedName>
    <definedName name="DuPont_ROE">#REF!</definedName>
    <definedName name="DValPref">[3]Model!$A$572:$IV$572</definedName>
    <definedName name="E">#REF!</definedName>
    <definedName name="earn_summary">[3]Download!$A$1:$X$261</definedName>
    <definedName name="Earnings_Per_Share_pre_Abs___Dil">#REF!</definedName>
    <definedName name="EBDITOther">#REF!</definedName>
    <definedName name="EBIT">[3]Model!$A$120:$IV$120</definedName>
    <definedName name="EBIT_">#REF!</definedName>
    <definedName name="EBIT__Pre_Abnormals">#REF!</definedName>
    <definedName name="EBIT_D1">[3]Model!$A$670:$IV$670</definedName>
    <definedName name="EBIT_D10">[3]Model!$A$679:$IV$679</definedName>
    <definedName name="EBIT_D2">[3]Model!$A$671:$IV$671</definedName>
    <definedName name="EBIT_D3">[3]Model!$A$672:$IV$672</definedName>
    <definedName name="EBIT_D4">[3]Model!$A$673:$IV$673</definedName>
    <definedName name="EBIT_D5">[3]Model!$A$674:$IV$674</definedName>
    <definedName name="EBIT_D6">[3]Model!$A$675:$IV$675</definedName>
    <definedName name="EBIT_D7">[3]Model!$A$676:$IV$676</definedName>
    <definedName name="EBIT_D8">[3]Model!$A$677:$IV$677</definedName>
    <definedName name="EBIT_D9">[3]Model!$A$678:$IV$678</definedName>
    <definedName name="EBIT_InterSegElim">[3]Model!$A$680:$IV$680</definedName>
    <definedName name="EBIT_Sales">#REF!</definedName>
    <definedName name="EBIT_SegUnallocated">[3]Model!$A$681:$IV$681</definedName>
    <definedName name="ebit00">[2]Sheet1!$L$41</definedName>
    <definedName name="ebit01">[2]Sheet1!$M$41</definedName>
    <definedName name="ebit93">[2]Sheet1!$E$41</definedName>
    <definedName name="ebit94">[2]Sheet1!$F$41</definedName>
    <definedName name="ebit95">[2]Sheet1!$G$41</definedName>
    <definedName name="ebit96">[2]Sheet1!$H$41</definedName>
    <definedName name="ebit97">[2]Sheet1!$I$41</definedName>
    <definedName name="ebit98">[2]Sheet1!$J$41</definedName>
    <definedName name="ebit99">[2]Sheet1!$K$41</definedName>
    <definedName name="EBITConsol">#REF!</definedName>
    <definedName name="EBITDA">#REF!</definedName>
    <definedName name="EBITDA_INT">#REF!</definedName>
    <definedName name="EBITDA_MAR">#REF!</definedName>
    <definedName name="EBITDAP">#REF!</definedName>
    <definedName name="EBITDAxSC">[3]Model!$A$357:$IV$357</definedName>
    <definedName name="EBITDisc">#REF!</definedName>
    <definedName name="EBITDiscName">#REF!</definedName>
    <definedName name="EBITDiv1">#REF!</definedName>
    <definedName name="EBITDiv1Name">#REF!</definedName>
    <definedName name="EBITDiv2">#REF!</definedName>
    <definedName name="EBITDiv2Name">#REF!</definedName>
    <definedName name="EBITDiv3">#REF!</definedName>
    <definedName name="EBITDiv3Name">#REF!</definedName>
    <definedName name="EBITDiv4">#REF!</definedName>
    <definedName name="EBITDiv4Name">#REF!</definedName>
    <definedName name="EBITDiv5">#REF!</definedName>
    <definedName name="EBITDiv5Name">#REF!</definedName>
    <definedName name="EBITDiv6">#REF!</definedName>
    <definedName name="EBITDiv6Name">#REF!</definedName>
    <definedName name="EBITDiv7">#REF!</definedName>
    <definedName name="EBITDiv7Name">#REF!</definedName>
    <definedName name="EBITDiv8">#REF!</definedName>
    <definedName name="EBITDiv8Name">#REF!</definedName>
    <definedName name="EBITDiv9">#REF!</definedName>
    <definedName name="EBITDiv9Name">#REF!</definedName>
    <definedName name="EBITDivCorpOver">#REF!</definedName>
    <definedName name="ebitdps00">[2]Sheet1!$L$17</definedName>
    <definedName name="ebitdps01">[2]Sheet1!$M$17</definedName>
    <definedName name="ebitdps93">[2]Sheet1!$E$17</definedName>
    <definedName name="ebitdps94">[2]Sheet1!$F$17</definedName>
    <definedName name="ebitdps95">[2]Sheet1!$G$17</definedName>
    <definedName name="ebitdps96">[2]Sheet1!$H$17</definedName>
    <definedName name="ebitdps97">[2]Sheet1!$I$17</definedName>
    <definedName name="ebitdps98">[2]Sheet1!$J$17</definedName>
    <definedName name="ebitdps99">[2]Sheet1!$K$17</definedName>
    <definedName name="EBITMarg">[3]Model!$A$69:$IV$69</definedName>
    <definedName name="EBITNonRecur">#REF!</definedName>
    <definedName name="EBITReg1">#REF!</definedName>
    <definedName name="EBITReg1Name">#REF!</definedName>
    <definedName name="EBITReg2">#REF!</definedName>
    <definedName name="EBITReg2Name">#REF!</definedName>
    <definedName name="EBITReg3">#REF!</definedName>
    <definedName name="EBITReg3Name">#REF!</definedName>
    <definedName name="EBITReg4">#REF!</definedName>
    <definedName name="EBITReg4Name">#REF!</definedName>
    <definedName name="EBITReg5">#REF!</definedName>
    <definedName name="EBITReg5Name">#REF!</definedName>
    <definedName name="EBITReg6">#REF!</definedName>
    <definedName name="EBITReg6Name">#REF!</definedName>
    <definedName name="EBITReg7">#REF!</definedName>
    <definedName name="EBITReg7Name">#REF!</definedName>
    <definedName name="EBITReg8">#REF!</definedName>
    <definedName name="EBITReg8Name">#REF!</definedName>
    <definedName name="EBITReg9">#REF!</definedName>
    <definedName name="EBITReg9Name">#REF!</definedName>
    <definedName name="EBITRegDisc">#REF!</definedName>
    <definedName name="EBITRegDiscName">#REF!</definedName>
    <definedName name="EBITRegDivCorpOver">#REF!</definedName>
    <definedName name="EBITShareAssocNetProf">#REF!</definedName>
    <definedName name="EBITxSC">[3]Model!$A$358:$IV$358</definedName>
    <definedName name="EBITxSGARA">#REF!</definedName>
    <definedName name="Ebt_AUS">#REF!</definedName>
    <definedName name="Ebt_C1">#REF!</definedName>
    <definedName name="Ebt_C2">#REF!</definedName>
    <definedName name="Ebt_C3">#REF!</definedName>
    <definedName name="Ebt_C4">#REF!</definedName>
    <definedName name="Ebt_Ctotal">#REF!</definedName>
    <definedName name="economicprofit">#REF!</definedName>
    <definedName name="EFPO">#REF!</definedName>
    <definedName name="EFPOWA">#REF!</definedName>
    <definedName name="Employee_Provisions">#REF!</definedName>
    <definedName name="EmployeeNumbers">#REF!</definedName>
    <definedName name="EmpShareOpt">#REF!</definedName>
    <definedName name="EPS">#REF!</definedName>
    <definedName name="eps_1998">#REF!</definedName>
    <definedName name="eps_1999">#REF!</definedName>
    <definedName name="eps_2000">#REF!</definedName>
    <definedName name="eps_2001">#REF!</definedName>
    <definedName name="eps_2002">#REF!</definedName>
    <definedName name="eps_2003">#REF!</definedName>
    <definedName name="EPS_Core_2001">#REF!</definedName>
    <definedName name="EPS_Core_2002">#REF!</definedName>
    <definedName name="EPS_Core_2003">#REF!</definedName>
    <definedName name="EPS_Growth">#REF!</definedName>
    <definedName name="EPS_ProfitAdj">#REF!</definedName>
    <definedName name="EPS_Rep_2001">#REF!</definedName>
    <definedName name="EPS_Rep_2002">#REF!</definedName>
    <definedName name="EPS_Rep_2003">#REF!</definedName>
    <definedName name="EPSBadjTot">[3]Model!$A$412:$IV$412</definedName>
    <definedName name="EPSDilAnn">[3]Model!$A$567:$IV$567</definedName>
    <definedName name="EPSDilSemi">[3]Model!$A$355:$IV$355</definedName>
    <definedName name="EqRaisedSC">[3]Model!$A$293:$IV$293</definedName>
    <definedName name="EquAbnor">#REF!</definedName>
    <definedName name="EquAdjProf">#REF!</definedName>
    <definedName name="EquAssocComp">#REF!</definedName>
    <definedName name="EQUINET1">#N/A</definedName>
    <definedName name="EQUINET2">#N/A</definedName>
    <definedName name="EQUINET3">#N/A</definedName>
    <definedName name="EQUINET4">#N/A</definedName>
    <definedName name="EQUITY">#REF!</definedName>
    <definedName name="Equity_Del_Item">[4]!Equity_Del_Item</definedName>
    <definedName name="Equity_Ins_Item">[4]!Equity_Ins_Item</definedName>
    <definedName name="Equity_Profit__000">#REF!</definedName>
    <definedName name="Equity_Share_Dividends_Expense">#REF!</definedName>
    <definedName name="equityreturn">#REF!</definedName>
    <definedName name="EquMove">#REF!</definedName>
    <definedName name="EquProfContrib">#REF!</definedName>
    <definedName name="ERP">#REF!</definedName>
    <definedName name="ESP_DISCOUNT">#REF!</definedName>
    <definedName name="ESP_ISSUES">#REF!</definedName>
    <definedName name="ESP_PARTICIPATION">#REF!</definedName>
    <definedName name="ESP_PRICE">#REF!</definedName>
    <definedName name="EUR_Per_USD_Assumption">#REF!</definedName>
    <definedName name="EVA">#REF!</definedName>
    <definedName name="EVA_Target_Share_Price">#REF!</definedName>
    <definedName name="EVA_TOTCAP">#REF!</definedName>
    <definedName name="event">#REF!</definedName>
    <definedName name="EX_EBITDA_INT">#REF!</definedName>
    <definedName name="EXCEP_ITEMS">#REF!</definedName>
    <definedName name="Exceptionals">#REF!</definedName>
    <definedName name="EXER_OPTION">#REF!</definedName>
    <definedName name="EXER_OPTION_STRIKE">#REF!</definedName>
    <definedName name="Exp_Total">#REF!</definedName>
    <definedName name="ExpansionaryCapex">#REF!</definedName>
    <definedName name="ExtAT">[3]Model!$A$142:$IV$142</definedName>
    <definedName name="ExtBT">[3]Model!$A$140:$IV$140</definedName>
    <definedName name="EXTRA_ITEMS">#REF!</definedName>
    <definedName name="EXTRAORD">#REF!</definedName>
    <definedName name="Extraordinary_Items">#REF!</definedName>
    <definedName name="Extraordinary_Items__000">#REF!</definedName>
    <definedName name="Extraordinary_Items_After_Tax__000">#REF!</definedName>
    <definedName name="F04_Egwth">#REF!</definedName>
    <definedName name="F04_EPgwth">#REF!</definedName>
    <definedName name="F04_NP">#REF!</definedName>
    <definedName name="FA">#REF!</definedName>
    <definedName name="FA_ASSOC">#REF!</definedName>
    <definedName name="FA_INV">#REF!</definedName>
    <definedName name="FCE">#REF!</definedName>
    <definedName name="FD_EPS">#REF!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9_1_aS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HARES">#REF!</definedName>
    <definedName name="Ferrous_scrap_price___A">#REF!</definedName>
    <definedName name="Ferrous_scrap_price___US">#REF!</definedName>
    <definedName name="FinalYear">#REF!</definedName>
    <definedName name="FirstPageNo">#REF!</definedName>
    <definedName name="FirstYear">#REF!</definedName>
    <definedName name="FITB">[3]Model!$A$320:$IV$320</definedName>
    <definedName name="FITB_s">#REF!</definedName>
    <definedName name="FixAss">#REF!</definedName>
    <definedName name="FixCost">#REF!</definedName>
    <definedName name="Fixed_Asset_Sale_Proceeds">#REF!</definedName>
    <definedName name="FLOW">#REF!</definedName>
    <definedName name="FMargin">#REF!</definedName>
    <definedName name="ForEx">#REF!</definedName>
    <definedName name="ForexGainsLosses">#REF!</definedName>
    <definedName name="FR_COM_ABBR">" "</definedName>
    <definedName name="FR_COM_ABBR_LINK">#REF!</definedName>
    <definedName name="FR_COM_AGG">0</definedName>
    <definedName name="FR_COM_NAME_LINK">" "</definedName>
    <definedName name="FR_COU_ABBR">" "</definedName>
    <definedName name="FR_COU_ABBR_LINK">" "</definedName>
    <definedName name="FR_COU_NAME_LINK">" "</definedName>
    <definedName name="FR_END_DATE">" "</definedName>
    <definedName name="FR_LINKS_OVERRUN">TRUE</definedName>
    <definedName name="FR_SHOW_LINK_MARKER">TRUE</definedName>
    <definedName name="FR_START_DATE">" "</definedName>
    <definedName name="FR_USE_DIMFAC">TRUE</definedName>
    <definedName name="FR_USE_LOCAL_CCY">TRUE</definedName>
    <definedName name="Frank">#REF!</definedName>
    <definedName name="frank00">[2]Sheet1!$L$22</definedName>
    <definedName name="frank01">[2]Sheet1!$M$22</definedName>
    <definedName name="frank93">[2]Sheet1!$E$22</definedName>
    <definedName name="frank94">[2]Sheet1!$F$22</definedName>
    <definedName name="frank95">[2]Sheet1!$G$22</definedName>
    <definedName name="frank96">[2]Sheet1!$H$22</definedName>
    <definedName name="frank97">[2]Sheet1!$I$22</definedName>
    <definedName name="frank98">[2]Sheet1!$J$22</definedName>
    <definedName name="frank99">[2]Sheet1!$K$22</definedName>
    <definedName name="FrankAccountVal">#REF!</definedName>
    <definedName name="FrankAmount">#REF!</definedName>
    <definedName name="FRANKING">#REF!</definedName>
    <definedName name="FRANKING_PREF">#REF!</definedName>
    <definedName name="Franking_Range">#REF!</definedName>
    <definedName name="Franking_Rate">#REF!</definedName>
    <definedName name="FRANKING_RATE_PREF">#REF!</definedName>
    <definedName name="FrankingTaxRate">[3]Model!$A$377:$IV$377</definedName>
    <definedName name="FREC">#N/A</definedName>
    <definedName name="Free_Cashflow">#REF!</definedName>
    <definedName name="Free_Float">#REF!</definedName>
    <definedName name="FREEFLOAT">#REF!</definedName>
    <definedName name="FreeFloatPer">#REF!</definedName>
    <definedName name="FREEFORM">#REF!</definedName>
    <definedName name="FREEFORM_GOTO">#REF!</definedName>
    <definedName name="FREEFORM_TEXT_TITLE">#REF!</definedName>
    <definedName name="FreeformHeader">[3]Model!$B$614</definedName>
    <definedName name="FreeformRow1">[3]Model!$A$615:$IV$615</definedName>
    <definedName name="FreeformRow10">[3]Model!$A$624:$IV$624</definedName>
    <definedName name="FreeformRow10Title">[3]Model!$B$624</definedName>
    <definedName name="FreeformRow11">[3]Model!$A$625:$IV$625</definedName>
    <definedName name="FreeformRow11Title">[3]Model!$B$625</definedName>
    <definedName name="FreeformRow12">[3]Model!$A$626:$IV$626</definedName>
    <definedName name="FreeformRow12Title">[3]Model!$B$626</definedName>
    <definedName name="FreeformRow13">[3]Model!$A$627:$IV$627</definedName>
    <definedName name="FreeformRow13Title">[3]Model!$B$627</definedName>
    <definedName name="FreeformRow14">[3]Model!$A$628:$IV$628</definedName>
    <definedName name="FreeformRow14Title">[3]Model!$B$628</definedName>
    <definedName name="FreeformRow15">[3]Model!$A$629:$IV$629</definedName>
    <definedName name="FreeformRow15Title">[3]Model!$B$629</definedName>
    <definedName name="FreeformRow16">[3]Model!$A$630:$IV$630</definedName>
    <definedName name="FreeformRow16Title">[3]Model!$B$630</definedName>
    <definedName name="FreeformRow17">[3]Model!$A$631:$IV$631</definedName>
    <definedName name="FreeformRow17Title">[3]Model!$B$631</definedName>
    <definedName name="FreeformRow18">[3]Model!$A$632:$IV$632</definedName>
    <definedName name="FreeformRow18Title">[3]Model!$B$632</definedName>
    <definedName name="FreeformRow19">[3]Model!$A$633:$IV$633</definedName>
    <definedName name="FreeformRow19Title">[3]Model!$B$633</definedName>
    <definedName name="FreeformRow1Title">[3]Model!$B$615</definedName>
    <definedName name="FreeformRow2">[3]Model!$A$616:$IV$616</definedName>
    <definedName name="FreeformRow20">[3]Model!$A$634:$IV$634</definedName>
    <definedName name="FreeformRow20Title">[3]Model!$B$634</definedName>
    <definedName name="FreeformRow21">[3]Model!$A$635:$IV$635</definedName>
    <definedName name="FreeformRow21Title">[3]Model!$B$635</definedName>
    <definedName name="FreeformRow22">[3]Model!$A$636:$IV$636</definedName>
    <definedName name="FreeformRow22Title">[3]Model!$B$636</definedName>
    <definedName name="FreeformRow23">[3]Model!$A$637:$IV$637</definedName>
    <definedName name="FreeformRow23Title">[3]Model!$B$637</definedName>
    <definedName name="FreeformRow24">[3]Model!$A$638:$IV$638</definedName>
    <definedName name="FreeformRow24Title">[3]Model!$B$638</definedName>
    <definedName name="FreeformRow25">[3]Model!$A$639:$IV$639</definedName>
    <definedName name="FreeformRow25Title">[3]Model!$B$639</definedName>
    <definedName name="FreeformRow26">[3]Model!$A$640:$IV$640</definedName>
    <definedName name="FreeformRow26Title">[3]Model!$B$640</definedName>
    <definedName name="FreeformRow27">[3]Model!$A$641:$IV$641</definedName>
    <definedName name="FreeformRow27Title">[3]Model!$B$641</definedName>
    <definedName name="FreeformRow28">[3]Model!$A$642:$IV$642</definedName>
    <definedName name="FreeformRow28Title">[3]Model!$B$642</definedName>
    <definedName name="FreeformRow29">[3]Model!$A$643:$IV$643</definedName>
    <definedName name="FreeformRow29Title">[3]Model!$B$643</definedName>
    <definedName name="FreeformRow2Title">[3]Model!$B$616</definedName>
    <definedName name="FreeformRow3">[3]Model!$A$617:$IV$617</definedName>
    <definedName name="FreeformRow3Title">[3]Model!$B$617</definedName>
    <definedName name="FreeformRow4">[3]Model!$A$618:$IV$618</definedName>
    <definedName name="FreeformRow4Title">[3]Model!$B$618</definedName>
    <definedName name="FreeformRow5">[3]Model!$A$619:$IV$619</definedName>
    <definedName name="FreeformRow5Title">[3]Model!$B$619</definedName>
    <definedName name="FreeformRow6">[3]Model!$A$620:$IV$620</definedName>
    <definedName name="FreeformRow6Title">[3]Model!$B$620</definedName>
    <definedName name="FreeformRow7">[3]Model!$A$621:$IV$621</definedName>
    <definedName name="FreeformRow7Title">[3]Model!$B$621</definedName>
    <definedName name="FreeformRow8">[3]Model!$A$622:$IV$622</definedName>
    <definedName name="FreeformRow8Title">[3]Model!$B$622</definedName>
    <definedName name="FreeformRow9">[3]Model!$A$623:$IV$623</definedName>
    <definedName name="FreeformRow9Title">[3]Model!$B$623</definedName>
    <definedName name="Fully_Paid_shares_at_the_Beginning_of_the_Year">#REF!</definedName>
    <definedName name="fund">#REF!</definedName>
    <definedName name="FundsBorrow">#REF!</definedName>
    <definedName name="FX_Divisor">[5]Data!$F$27</definedName>
    <definedName name="FXEarnings">#REF!</definedName>
    <definedName name="FY">#REF!</definedName>
    <definedName name="FY00EPS">#REF!</definedName>
    <definedName name="FY01EPS">#REF!</definedName>
    <definedName name="FY02EPS">#REF!</definedName>
    <definedName name="FY03EPS">#REF!</definedName>
    <definedName name="FY04_EPS">#REF!</definedName>
    <definedName name="FY04_EVEB">#REF!</definedName>
    <definedName name="FY04_PER">#REF!</definedName>
    <definedName name="FY04_Turn">#REF!</definedName>
    <definedName name="FY04_yld">#REF!</definedName>
    <definedName name="FY04EPS">#REF!</definedName>
    <definedName name="g">#REF!</definedName>
    <definedName name="Gamma">#REF!</definedName>
    <definedName name="GBP_Per_EUR_Assumption">#REF!</definedName>
    <definedName name="GBP_per_EURO">'[6]FX Rates'!#REF!</definedName>
    <definedName name="GBP_Per_USD_Assumption">#REF!</definedName>
    <definedName name="GDP_growth">#REF!</definedName>
    <definedName name="GDR_EXRATE">#REF!</definedName>
    <definedName name="General">#REF!</definedName>
    <definedName name="Goodwill">#REF!</definedName>
    <definedName name="Goodwill__less_acc.amort.">#REF!</definedName>
    <definedName name="Goodwill_at_cost">#REF!</definedName>
    <definedName name="GotoAssumptions">[7]!GotoAssumptions</definedName>
    <definedName name="GotoModel">[7]!GotoModel</definedName>
    <definedName name="GoToReference">[0]!Macro.GoToReference</definedName>
    <definedName name="Gross_Margin">#REF!</definedName>
    <definedName name="Gross_Margin_Assumption">#REF!</definedName>
    <definedName name="GrossCashFlow">#REF!</definedName>
    <definedName name="GrossIntExp">#REF!</definedName>
    <definedName name="GrossIntInc">#REF!</definedName>
    <definedName name="GrossProfit">#REF!</definedName>
    <definedName name="growth">#REF!</definedName>
    <definedName name="HAS_BEEN_UPDATED" hidden="1">[2]Sheet1!$A$1</definedName>
    <definedName name="Hist.Year">#REF!</definedName>
    <definedName name="Historical_Values_Other">#REF!</definedName>
    <definedName name="HMargin">#REF!</definedName>
    <definedName name="HorizonCash1">#REF!</definedName>
    <definedName name="HorizonYears">#REF!</definedName>
    <definedName name="IDS">#REF!</definedName>
    <definedName name="IFRS_IntExpense">#REF!</definedName>
    <definedName name="IFRSCurrAss">#REF!</definedName>
    <definedName name="IFRSCurrLiab">#REF!</definedName>
    <definedName name="IFRSImpairment">#REF!</definedName>
    <definedName name="IFRSNonCurrAss">#REF!</definedName>
    <definedName name="IFRSNonCurrLiab">#REF!</definedName>
    <definedName name="IFRSOther">#REF!</definedName>
    <definedName name="IFRSRetEarn">#REF!</definedName>
    <definedName name="IFRSTax">#REF!</definedName>
    <definedName name="Inc_DivsRec">#REF!</definedName>
    <definedName name="Inc_EqProfit">#REF!</definedName>
    <definedName name="Inc_NTProfit">#REF!</definedName>
    <definedName name="Inc_OpProfit">#REF!</definedName>
    <definedName name="Inc_PtProfit">#REF!</definedName>
    <definedName name="inc_reportedNPAT">#REF!</definedName>
    <definedName name="income">#REF!</definedName>
    <definedName name="Income_Effect_on_Abnorms">#REF!</definedName>
    <definedName name="Incorp.Cost">#REF!</definedName>
    <definedName name="Increase_In_Provisions">#REF!</definedName>
    <definedName name="Increase_in_Retained_Earnings">#REF!</definedName>
    <definedName name="IncWorkCap">#REF!</definedName>
    <definedName name="input_anything_relevant">#REF!</definedName>
    <definedName name="InsEvent">#REF!</definedName>
    <definedName name="InsFreeform">#REF!</definedName>
    <definedName name="insight_table">#REF!</definedName>
    <definedName name="InsValuationMulti">#REF!</definedName>
    <definedName name="INT_COV">#REF!</definedName>
    <definedName name="INT_EXP">#REF!</definedName>
    <definedName name="INT_INC">#REF!</definedName>
    <definedName name="INT_PAID">#REF!</definedName>
    <definedName name="INT_REC">#REF!</definedName>
    <definedName name="int00">[2]Sheet1!$L$44</definedName>
    <definedName name="IntangGW">[3]Model!$A$318:$IV$318</definedName>
    <definedName name="Intangible_Assets">#REF!</definedName>
    <definedName name="INTANGIBLES">#REF!</definedName>
    <definedName name="IntangOth">[3]Model!$A$319:$IV$319</definedName>
    <definedName name="IntCapSC">[3]Model!$A$63:$IV$63</definedName>
    <definedName name="IntercompanyLoans">[3]Model!$A$291:$IV$291</definedName>
    <definedName name="interest">#REF!</definedName>
    <definedName name="Interest_Cover_Assumption">#REF!</definedName>
    <definedName name="Interest_Paid__000">#REF!</definedName>
    <definedName name="Interest_Rate_Assumption">#REF!</definedName>
    <definedName name="Interest_Received__000">#REF!</definedName>
    <definedName name="InterestCapitalised">#REF!</definedName>
    <definedName name="IntInc">[3]Model!$A$97:$IV$97</definedName>
    <definedName name="IntSens">#REF!</definedName>
    <definedName name="Inv">#REF!</definedName>
    <definedName name="Inv_AssetSale">#REF!</definedName>
    <definedName name="INVENTORIES">#REF!</definedName>
    <definedName name="Inventory">[3]Model!$A$308:$IV$308</definedName>
    <definedName name="Inventory_Sales_Rev">#REF!</definedName>
    <definedName name="Inventory_T.Over__x">#REF!</definedName>
    <definedName name="Invest">[3]Model!$A$314:$IV$314</definedName>
    <definedName name="Invested_Capital">#REF!</definedName>
    <definedName name="investedcapital">#REF!</definedName>
    <definedName name="Investments">#REF!</definedName>
    <definedName name="iQShowHideColumns" hidden="1">"iQShowAnnual"</definedName>
    <definedName name="irr">#REF!</definedName>
    <definedName name="IssCap">[3]Model!$A$342:$IV$342</definedName>
    <definedName name="ISSHRS">#N/A</definedName>
    <definedName name="issued_shares">#REF!</definedName>
    <definedName name="ITEM1">#N/A</definedName>
    <definedName name="ITEM2">#N/A</definedName>
    <definedName name="ITEM3">#N/A</definedName>
    <definedName name="ITEM4">#N/A</definedName>
    <definedName name="ITEMUNIT">#REF!</definedName>
    <definedName name="KN_CFPS">[3]Model!$A$360:$IV$360</definedName>
    <definedName name="KN_Franking">[3]Model!$A$364:$IV$364</definedName>
    <definedName name="LastListUpdate">0</definedName>
    <definedName name="LastUpdated">#REF!</definedName>
    <definedName name="LastYear">#REF!</definedName>
    <definedName name="LEASES">#REF!</definedName>
    <definedName name="LegendCompareFailure">#REF!</definedName>
    <definedName name="LegendMandatory">#REF!</definedName>
    <definedName name="LegendOptional">#REF!</definedName>
    <definedName name="LegendProtected">#REF!</definedName>
    <definedName name="LegendUpload">#REF!</definedName>
    <definedName name="LegendValidateFailure">#REF!</definedName>
    <definedName name="LFooter">#REF!</definedName>
    <definedName name="LHeader">#REF!</definedName>
    <definedName name="Lia_cCreditors">#REF!</definedName>
    <definedName name="Lia_cOther">#REF!</definedName>
    <definedName name="Lia_ncCreditors">#REF!</definedName>
    <definedName name="Lia_ncOther">#REF!</definedName>
    <definedName name="Lia_Total">#REF!</definedName>
    <definedName name="LMargin">#REF!</definedName>
    <definedName name="LNGf">[8]MISC!#REF!</definedName>
    <definedName name="long_awe">#REF!</definedName>
    <definedName name="long_cpi">#REF!</definedName>
    <definedName name="long_term_growth">[9]NPV!$M$28</definedName>
    <definedName name="lstexchcodes">"Drop Down 22"</definedName>
    <definedName name="LT_INV">#REF!</definedName>
    <definedName name="lt_recomm">#REF!</definedName>
    <definedName name="lt_target">#REF!</definedName>
    <definedName name="LTAss">#REF!</definedName>
    <definedName name="LTAssOther">#REF!</definedName>
    <definedName name="LTBorr">[3]Model!$A$248:$IV$248</definedName>
    <definedName name="LTL">#REF!</definedName>
    <definedName name="LTL_CAP">#REF!</definedName>
    <definedName name="LTL_DEBT">#REF!</definedName>
    <definedName name="LTL_TAX">#REF!</definedName>
    <definedName name="LVal">#REF!</definedName>
    <definedName name="Lvr_Total">#REF!</definedName>
    <definedName name="m">#REF!</definedName>
    <definedName name="MaintenanceCapex">#REF!</definedName>
    <definedName name="MAJ_GOTO">#REF!</definedName>
    <definedName name="MAJ_SH_NM">#REF!</definedName>
    <definedName name="margin">#REF!</definedName>
    <definedName name="market_cap">#REF!</definedName>
    <definedName name="marketreturn">#REF!</definedName>
    <definedName name="medium_awe">#REF!</definedName>
    <definedName name="medium_cpi">#REF!</definedName>
    <definedName name="MIN_INT">#REF!</definedName>
    <definedName name="MinIntA">#REF!</definedName>
    <definedName name="MinIntP">#REF!</definedName>
    <definedName name="MINORITIES_BS">#REF!</definedName>
    <definedName name="MINOTITIES_PL">#REF!</definedName>
    <definedName name="Mkt_Value">#REF!</definedName>
    <definedName name="MKTCAP">#N/A</definedName>
    <definedName name="Mobile_Rev">#REF!</definedName>
    <definedName name="MODEL">#N/A</definedName>
    <definedName name="ModelASXCode">#REF!</definedName>
    <definedName name="Module.GotoAssumptions">[10]!Module.GotoAssumptions</definedName>
    <definedName name="Module.GotoModel">[10]!Module.GotoModel</definedName>
    <definedName name="MRP">#REF!</definedName>
    <definedName name="n">#N/A</definedName>
    <definedName name="NAME">#REF!</definedName>
    <definedName name="NAV">#REF!</definedName>
    <definedName name="NC_BORROWINGS">#REF!</definedName>
    <definedName name="NC_INVESTMENTS">#REF!</definedName>
    <definedName name="NC_OTHER_FINANCIAL">#REF!</definedName>
    <definedName name="NC_RECEIV">#REF!</definedName>
    <definedName name="NCFinLease">[3]Model!$A$247:$IV$247</definedName>
    <definedName name="NCProvEmplEnt">[3]Model!$A$218:$IV$218</definedName>
    <definedName name="NCProvOth">[3]Model!$A$219:$IV$219</definedName>
    <definedName name="NCTrdCred">[3]Model!$A$331:$IV$331</definedName>
    <definedName name="ND_EQ">#REF!</definedName>
    <definedName name="nde00">[2]Sheet1!$L$150</definedName>
    <definedName name="NDEratio">#REF!</definedName>
    <definedName name="NEAA">[3]Model!$A$139:$IV$139</definedName>
    <definedName name="NEAAssocs">[3]Model!$A$135:$IV$135</definedName>
    <definedName name="NEAE">[3]Model!$A$143:$IV$143</definedName>
    <definedName name="Net_Change">#REF!</definedName>
    <definedName name="NET_DEBT">#REF!</definedName>
    <definedName name="NET_INT">#REF!</definedName>
    <definedName name="Net_Interest_Note_Total">#REF!</definedName>
    <definedName name="Net_Interest_plus_Capitalised_Interest">#REF!</definedName>
    <definedName name="Net_Inventory">#REF!</definedName>
    <definedName name="Net_Inventory_Note_Total">#REF!</definedName>
    <definedName name="Net_Profit_Attributable">#REF!</definedName>
    <definedName name="Net_Property_Plant_and_Equip">#REF!</definedName>
    <definedName name="Net_Tangible_Fixed_Assets">#REF!</definedName>
    <definedName name="NetAbnor">#REF!</definedName>
    <definedName name="NetCashBorrowMove">#REF!</definedName>
    <definedName name="NetCashFinance">#REF!</definedName>
    <definedName name="NetCashInvest">#REF!</definedName>
    <definedName name="NetCashInvestOther">#REF!</definedName>
    <definedName name="NetCashOpAct">#REF!</definedName>
    <definedName name="NetCashOpActOther">#REF!</definedName>
    <definedName name="NetEarn">[3]Model!$A$133:$IV$133</definedName>
    <definedName name="NetExchDiff">#REF!</definedName>
    <definedName name="NetExtra">#REF!</definedName>
    <definedName name="NetIncCash">#REF!</definedName>
    <definedName name="NetIncCashAdjust">#REF!</definedName>
    <definedName name="NetIntang">[3]Model!$A$317:$IV$317</definedName>
    <definedName name="NetIntExp">[3]Model!$A$124:$IV$124</definedName>
    <definedName name="NetIntPaid">#REF!</definedName>
    <definedName name="NetPPE">[3]Model!$A$313:$IV$313</definedName>
    <definedName name="NetProf">#REF!</definedName>
    <definedName name="New_Orders">#REF!</definedName>
    <definedName name="NEWSHRCAPITAL">#REF!</definedName>
    <definedName name="No._Employees">#REF!</definedName>
    <definedName name="No._Of_Ord_Shares_on_Issue">#REF!</definedName>
    <definedName name="No._of_Shares_on_Issue___Share_Capital">#REF!</definedName>
    <definedName name="Non_Conv._Pref_Shares">#REF!</definedName>
    <definedName name="Non_Current_Assets">#REF!</definedName>
    <definedName name="Non_ferrous_scrap_price___A">#REF!</definedName>
    <definedName name="Non_ferrous_scrap_price___US">#REF!</definedName>
    <definedName name="Non_Interest_Bearing_Liabs">#REF!</definedName>
    <definedName name="Non_res_building">#REF!</definedName>
    <definedName name="Non_res_engineering">#REF!</definedName>
    <definedName name="Non_wage_inflation">#REF!</definedName>
    <definedName name="NonAssocDivRec">#REF!</definedName>
    <definedName name="NonCurrConvDebt">#REF!</definedName>
    <definedName name="NonCurrDebt">#REF!</definedName>
    <definedName name="NonCurrLiab">#REF!</definedName>
    <definedName name="NonCurrProvisions">#REF!</definedName>
    <definedName name="NonCurrTradeCredit">#REF!</definedName>
    <definedName name="NONREDEEM_PREF">#REF!</definedName>
    <definedName name="NONREDEEM_PREF_PAR">#REF!</definedName>
    <definedName name="noplat">#REF!</definedName>
    <definedName name="Normalised_Earnings__pre_Abs___Extraords">#REF!</definedName>
    <definedName name="Notional_R_and_D_Amortisation_Period_Assumption">#REF!</definedName>
    <definedName name="NotionalIntAdj">#REF!</definedName>
    <definedName name="NP">#REF!</definedName>
    <definedName name="NPAT__000__Post_Abnormals">#REF!</definedName>
    <definedName name="NPAT__Pre_Abnormals">#REF!</definedName>
    <definedName name="NPAT_Sales">#REF!</definedName>
    <definedName name="NPATAdjsSC">[3]Model!$A$134:$IV$134</definedName>
    <definedName name="NPATFX">#REF!</definedName>
    <definedName name="NPATxSGARA">#REF!</definedName>
    <definedName name="NPBM">[3]Model!$A$573:$IV$573</definedName>
    <definedName name="NPBT">[3]Model!$A$126:$IV$126</definedName>
    <definedName name="NPBT__000__Post_Abnormals">#REF!</definedName>
    <definedName name="NPBT__000__Pre_Abnormals">#REF!</definedName>
    <definedName name="NPV">#REF!</definedName>
    <definedName name="NPVDisc">#REF!</definedName>
    <definedName name="NTA">#N/A</definedName>
    <definedName name="nta00">[2]Sheet1!$L$16</definedName>
    <definedName name="NTAAdju">#REF!</definedName>
    <definedName name="NTAPerSHDil">[3]Model!$A$365:$IV$365</definedName>
    <definedName name="Number_of_Employees">#REF!</definedName>
    <definedName name="NumShares">[11]Quarterly!$C$69</definedName>
    <definedName name="OBS">#REF!</definedName>
    <definedName name="OCA">[3]Model!$A$564:$IV$564</definedName>
    <definedName name="OCF">[3]Model!$A$285:$IV$285</definedName>
    <definedName name="OCL">[3]Model!$A$244:$IV$244</definedName>
    <definedName name="OEI">#REF!</definedName>
    <definedName name="OEI_in_Profits">#REF!</definedName>
    <definedName name="ONCA">[3]Model!$A$565:$IV$565</definedName>
    <definedName name="ONCL">[3]Model!$A$566:$IV$566</definedName>
    <definedName name="Op_Profit_Exc_Amort_of_Goodwill">#REF!</definedName>
    <definedName name="Op_Profit_Inc_Amort_of_Goodwill">#REF!</definedName>
    <definedName name="OPER_MARGIN">#REF!</definedName>
    <definedName name="OPER_PROFIT">#REF!</definedName>
    <definedName name="Operating_Cashflow">#REF!</definedName>
    <definedName name="OpLease">#REF!</definedName>
    <definedName name="OpLeaseRent">#REF!</definedName>
    <definedName name="Opr_Deprec">#REF!</definedName>
    <definedName name="Opr_Margin">#REF!</definedName>
    <definedName name="Opr_NonCash">#REF!</definedName>
    <definedName name="Opr_Other">#REF!</definedName>
    <definedName name="Opr_PtProfit">#REF!</definedName>
    <definedName name="Opr_TaxPaid">#REF!</definedName>
    <definedName name="Opr_WorkCap">#REF!</definedName>
    <definedName name="Options">#REF!</definedName>
    <definedName name="Options_Exercised">#REF!</definedName>
    <definedName name="OptionsMoney">#REF!</definedName>
    <definedName name="Optus_DCF">#REF!</definedName>
    <definedName name="Optus_EVM">#REF!</definedName>
    <definedName name="ORD_DIV">#REF!</definedName>
    <definedName name="ORD_PAR">#REF!</definedName>
    <definedName name="ORD_SHARES">#REF!</definedName>
    <definedName name="OrdDivdPd">[3]Model!$A$147:$IV$147</definedName>
    <definedName name="OrdEqu">#REF!</definedName>
    <definedName name="Order">#REF!</definedName>
    <definedName name="Ordinary">#REF!</definedName>
    <definedName name="Ordinary_Shares_on_Issue">#REF!</definedName>
    <definedName name="OrdShares">#REF!</definedName>
    <definedName name="Orient">#REF!</definedName>
    <definedName name="other">#REF!</definedName>
    <definedName name="Other_000">#REF!</definedName>
    <definedName name="OTHER_C_RECEIV">#REF!</definedName>
    <definedName name="OTHER_CL">#REF!</definedName>
    <definedName name="OTHER_INC">#REF!</definedName>
    <definedName name="OTHER_ISSUES">#REF!</definedName>
    <definedName name="OTHER_ISSUES_PRICE">#REF!</definedName>
    <definedName name="Other_Liabs">#REF!</definedName>
    <definedName name="OTHER_NCA">#REF!</definedName>
    <definedName name="OTHER_NCL">#REF!</definedName>
    <definedName name="Other_Operating_Assets">#REF!</definedName>
    <definedName name="OTHER_REV">#REF!</definedName>
    <definedName name="Other_Revenue__000">#REF!</definedName>
    <definedName name="Other_Total">#REF!</definedName>
    <definedName name="OtherAmortisation">#REF!</definedName>
    <definedName name="OtherCurrLiab">#REF!</definedName>
    <definedName name="OtherInv">#REF!</definedName>
    <definedName name="OtherNonCurrLiab">#REF!</definedName>
    <definedName name="OtherNonTradeProf">#REF!</definedName>
    <definedName name="OtherOperatingExpenses">#REF!</definedName>
    <definedName name="OtherPretaxIncExp">#REF!</definedName>
    <definedName name="OtherRev">#REF!</definedName>
    <definedName name="OthIncExp">[3]Model!$A$95:$IV$95</definedName>
    <definedName name="OUT">#REF!</definedName>
    <definedName name="OVERDRAFT">#REF!</definedName>
    <definedName name="P_and_L_Part_1">#REF!</definedName>
    <definedName name="P_and_L_Part_2">#REF!</definedName>
    <definedName name="PABackTot">[3]Model!$A$415:$IV$415</definedName>
    <definedName name="page1">#REF!</definedName>
    <definedName name="page2">#REF!</definedName>
    <definedName name="PAID_UP_AMOUNT">#REF!</definedName>
    <definedName name="PaperSize">#REF!</definedName>
    <definedName name="Partial">#REF!</definedName>
    <definedName name="PARTLY_PAID">#REF!</definedName>
    <definedName name="PartPaidShare">#REF!</definedName>
    <definedName name="PAYMENTS">#REF!</definedName>
    <definedName name="Payout_Ratio">#REF!</definedName>
    <definedName name="PE_rel_norm">#REF!</definedName>
    <definedName name="PE_rel_target">#REF!</definedName>
    <definedName name="Penchalagrowth">[12]TimeTel!#REF!</definedName>
    <definedName name="Penchalamix">[12]TimeTel!#REF!</definedName>
    <definedName name="Penchalarevenue">[12]TimeTel!#REF!</definedName>
    <definedName name="Penchalatollrate">[12]TimeTel!#REF!</definedName>
    <definedName name="Penchalatraffic">[12]TimeTel!#REF!</definedName>
    <definedName name="Pension_Income">#REF!</definedName>
    <definedName name="PER">#REF!</definedName>
    <definedName name="PER_Rel___Associated_industry">#REF!</definedName>
    <definedName name="PER_Rel__All_Indust.ex_banks">#REF!</definedName>
    <definedName name="Pershr">#REF!</definedName>
    <definedName name="PIE">#REF!</definedName>
    <definedName name="PIE_CHART">#REF!</definedName>
    <definedName name="PIE_CHART_TITLE">#REF!</definedName>
    <definedName name="PIE_GOTO">#REF!</definedName>
    <definedName name="PL_ASSOC">#REF!</definedName>
    <definedName name="PL_oei">#REF!</definedName>
    <definedName name="PLANT_EQUIP">#REF!</definedName>
    <definedName name="PLAssocs">[3]Model!$A$132:$IV$132</definedName>
    <definedName name="PLMins">[3]Model!$A$130:$IV$130</definedName>
    <definedName name="PLRetEarn">[3]Model!$A$574:$IV$574</definedName>
    <definedName name="PLS">#REF!</definedName>
    <definedName name="PLTaxRate">[3]Model!$A$71:$IV$71</definedName>
    <definedName name="POSITION_CELL">#REF!</definedName>
    <definedName name="PRE_EPS">#REF!</definedName>
    <definedName name="PRE_NP">#REF!</definedName>
    <definedName name="Pre_Paid_Expenses">#REF!</definedName>
    <definedName name="Pre_Tax_Profit_Inc_Amort_of_Goodwill">#REF!</definedName>
    <definedName name="PREF_DIV">#REF!</definedName>
    <definedName name="PREF_REDEM">#REF!</definedName>
    <definedName name="Pref_Shares">#REF!</definedName>
    <definedName name="Pref_Shares_Dividend">#REF!</definedName>
    <definedName name="PrefCap">#REF!</definedName>
    <definedName name="PrefDiv">#REF!</definedName>
    <definedName name="PrefDivDebt">#REF!</definedName>
    <definedName name="PrefDivdPd">[3]Model!$A$131:$IV$131</definedName>
    <definedName name="PrefDivEquity">#REF!</definedName>
    <definedName name="Preference_Share_Dividends_Expense">#REF!</definedName>
    <definedName name="Preferencediv">#REF!</definedName>
    <definedName name="PrefShare">#REF!</definedName>
    <definedName name="PRETAX">#REF!</definedName>
    <definedName name="PreTaxProf">#REF!</definedName>
    <definedName name="PREV_NETCASH">#REF!</definedName>
    <definedName name="prevreclist">#REF!</definedName>
    <definedName name="prevtarget">#REF!</definedName>
    <definedName name="Price">#REF!</definedName>
    <definedName name="pricenta">#REF!</definedName>
    <definedName name="Principal_Currency">#REF!</definedName>
    <definedName name="Principal_Currency_Name_and_Denomination">#REF!</definedName>
    <definedName name="_xlnm.Print_Area">#REF!</definedName>
    <definedName name="PRINT_AREA_MI">[13]RNAV!#REF!</definedName>
    <definedName name="PRINT_CF">#REF!</definedName>
    <definedName name="PRINT_E">#REF!</definedName>
    <definedName name="PRINT_EDI">#REF!</definedName>
    <definedName name="PRINT_I">#REF!</definedName>
    <definedName name="PRINT_MP">#REF!</definedName>
    <definedName name="PRINT_NA">#REF!</definedName>
    <definedName name="PRINT_R">#REF!</definedName>
    <definedName name="PrintArea">#REF!</definedName>
    <definedName name="PrintComments">#REF!</definedName>
    <definedName name="PrintGridlines">#REF!</definedName>
    <definedName name="PrintHeadings">#REF!</definedName>
    <definedName name="PrintQuality">#REF!</definedName>
    <definedName name="PrintTitleColumns">#REF!</definedName>
    <definedName name="PrintTitleRows">#REF!</definedName>
    <definedName name="PrintZone">#REF!,#REF!</definedName>
    <definedName name="PROC_BORROW">#REF!</definedName>
    <definedName name="PROC_SHARE_ISSUES">#REF!</definedName>
    <definedName name="ProcBusInv">#REF!</definedName>
    <definedName name="ProcPPE">#REF!</definedName>
    <definedName name="ProfAssetSale">#REF!</definedName>
    <definedName name="PROFIT">#REF!</definedName>
    <definedName name="PROFIT___LOSS">#REF!</definedName>
    <definedName name="PROFIT_PRE_ABN">#REF!</definedName>
    <definedName name="PROFIT_SENSITIVITY">[14]FORECAST!#REF!</definedName>
    <definedName name="proforma">#REF!</definedName>
    <definedName name="ProformaType">#REF!</definedName>
    <definedName name="PROP_PLANT_EQUIP">#REF!</definedName>
    <definedName name="PROPERTY">#REF!</definedName>
    <definedName name="Property__Plant___Equipment">#REF!</definedName>
    <definedName name="PROV_C_OTHER">#REF!</definedName>
    <definedName name="PROV_DIT">#REF!</definedName>
    <definedName name="PROV_DIV">#REF!</definedName>
    <definedName name="PROV_NC_OTHER">#REF!</definedName>
    <definedName name="PROV_TAX">#REF!</definedName>
    <definedName name="Prov_Trade_Debtors">#REF!</definedName>
    <definedName name="ProvDefTax">[3]Model!$A$217:$IV$217</definedName>
    <definedName name="ProvFinDivd">[3]Model!$A$214:$IV$214</definedName>
    <definedName name="Provisions">#REF!</definedName>
    <definedName name="Provisions_Doubtful_debts">#REF!</definedName>
    <definedName name="Provisions_to_Sales_Assumption">#REF!</definedName>
    <definedName name="ProvOth">[3]Model!$A$215:$IV$215</definedName>
    <definedName name="ProvTax">[3]Model!$A$212:$IV$212</definedName>
    <definedName name="Psd_CFPS">#REF!</definedName>
    <definedName name="Psd_Dps">#REF!</definedName>
    <definedName name="Psd_Frank">#REF!</definedName>
    <definedName name="Psd_Shares">#REF!</definedName>
    <definedName name="Psd_Taxloss">#REF!</definedName>
    <definedName name="PURCHASE_INTANGIBLE">#REF!</definedName>
    <definedName name="PURCHASE_INVESTMENTS">#REF!</definedName>
    <definedName name="PurchaseSaleIntang">[3]Model!$A$290:$IV$290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VCashFlows">#REF!</definedName>
    <definedName name="QLYPAGE">#N/A</definedName>
    <definedName name="QUESTION">#REF!</definedName>
    <definedName name="rangeBoldFontArea1">#REF!,#REF!,#REF!,#REF!,#REF!,#REF!,#REF!,#REF!,#REF!,#REF!,#REF!,#REF!,#REF!,#REF!</definedName>
    <definedName name="rangeBoldFontArea2">#REF!,#REF!,#REF!,#REF!,#REF!,#REF!,#REF!,#REF!,#REF!,#REF!,#REF!,#REF!,#REF!,#REF!,#REF!,#REF!,#REF!</definedName>
    <definedName name="rangeBorderMedium">#REF!,#REF!,#REF!,#REF!,#REF!,#REF!,#REF!,#REF!,#REF!,#REF!</definedName>
    <definedName name="rangeBorderThin">#REF!</definedName>
    <definedName name="rangeFiscalYears">#REF!</definedName>
    <definedName name="rangeFormatDate">#REF!</definedName>
    <definedName name="rangeFormatGeneral">#REF!,#REF!,#REF!</definedName>
    <definedName name="rangeFormatNumber1">#REF!,#REF!,#REF!,#REF!,#REF!,#REF!,#REF!,#REF!,#REF!,#REF!,#REF!,#REF!,#REF!,#REF!,#REF!,#REF!,#REF!,#REF!</definedName>
    <definedName name="rangeFormatNumber2">#REF!,#REF!,#REF!,#REF!,#REF!,#REF!,#REF!,#REF!,#REF!,#REF!,#REF!,#REF!,#REF!,#REF!,#REF!,#REF!,#REF!</definedName>
    <definedName name="rangeFormatNumber3">#REF!,#REF!,#REF!,#REF!,#REF!,#REF!,#REF!,#REF!,#REF!,#REF!,#REF!,#REF!,#REF!,#REF!,#REF!,#REF!,#REF!</definedName>
    <definedName name="rangeFormatNumber4">#REF!</definedName>
    <definedName name="rangeFormatPercent">#REF!,#REF!,#REF!,#REF!,#REF!</definedName>
    <definedName name="rangeLoad1">#REF!</definedName>
    <definedName name="rangeLoad2">#REF!,#REF!,#REF!,#REF!,#REF!,#REF!,#REF!,#REF!,#REF!</definedName>
    <definedName name="rangeLoad3">#REF!,#REF!,#REF!,#REF!,#REF!,#REF!,#REF!,#REF!,#REF!,#REF!</definedName>
    <definedName name="rangeLoad4">#REF!,#REF!,#REF!,#REF!,#REF!,#REF!,#REF!,#REF!,#REF!,#REF!,#REF!,#REF!,#REF!,#REF!,#REF!</definedName>
    <definedName name="rangeLoad5">#REF!,#REF!,#REF!,#REF!,#REF!</definedName>
    <definedName name="rangeProtectedArea">#REF!,#REF!</definedName>
    <definedName name="rangeSubmitArea1">#REF!</definedName>
    <definedName name="rangeSubmitArea2">#REF!,#REF!,#REF!,#REF!,#REF!,#REF!,#REF!,#REF!,#REF!,#REF!,#REF!,#REF!</definedName>
    <definedName name="rangeSubmitArea3">#REF!,#REF!,#REF!,#REF!,#REF!,#REF!,#REF!,#REF!,#REF!,#REF!,#REF!,#REF!,#REF!,#REF!,#REF!,#REF!,#REF!</definedName>
    <definedName name="rangeSubmitArea4">#REF!,#REF!,#REF!,#REF!,#REF!,#REF!,#REF!,#REF!,#REF!,#REF!,#REF!,#REF!,#REF!,#REF!,#REF!,#REF!,#REF!</definedName>
    <definedName name="rangeSubmitArea5">#REF!</definedName>
    <definedName name="rangeSummary">#REF!</definedName>
    <definedName name="rangeYears">#REF!</definedName>
    <definedName name="RATEG">#N/A</definedName>
    <definedName name="RATEM">#N/A</definedName>
    <definedName name="RATER">#N/A</definedName>
    <definedName name="ratios">#REF!</definedName>
    <definedName name="Rd">#REF!</definedName>
    <definedName name="Re">#REF!</definedName>
    <definedName name="RECEIPTS">#REF!</definedName>
    <definedName name="Receivables">#REF!</definedName>
    <definedName name="Recomm">#REF!</definedName>
    <definedName name="REDEEM_PREF">#REF!</definedName>
    <definedName name="REDEEM_PREF_PAR">#REF!</definedName>
    <definedName name="RELATED_PARTY_LOANS">#REF!</definedName>
    <definedName name="REPAY_BORROW">#REF!</definedName>
    <definedName name="RepayBorrow">#REF!</definedName>
    <definedName name="REPAYMENT_RPL">#REF!</definedName>
    <definedName name="Reported_Diluted_EPS">#REF!</definedName>
    <definedName name="RepProf">#REF!</definedName>
    <definedName name="Res_construction">#REF!</definedName>
    <definedName name="ResDevCap">#REF!</definedName>
    <definedName name="ResDevExp">#REF!</definedName>
    <definedName name="Reserves">#REF!</definedName>
    <definedName name="RestExp">#REF!</definedName>
    <definedName name="Retained_Profit">#REF!</definedName>
    <definedName name="Retained_Profits">#REF!</definedName>
    <definedName name="RetEarn">#REF!</definedName>
    <definedName name="Retention_Rate">#REF!</definedName>
    <definedName name="Return_on_Assets">#REF!</definedName>
    <definedName name="Return_on_Equity">#REF!</definedName>
    <definedName name="Reuters_RIC">#REF!</definedName>
    <definedName name="rev_environ">#REF!</definedName>
    <definedName name="rev_india">#REF!</definedName>
    <definedName name="rev_malaysia">#REF!</definedName>
    <definedName name="rev_medical_centres">#REF!</definedName>
    <definedName name="Rev_Other">#REF!</definedName>
    <definedName name="rev_path_aus">#REF!</definedName>
    <definedName name="rev_path_vet">#REF!</definedName>
    <definedName name="rev_radiology">#REF!</definedName>
    <definedName name="Rev_Sales">#REF!</definedName>
    <definedName name="rev_southbank">#REF!</definedName>
    <definedName name="RevDisc">#REF!</definedName>
    <definedName name="RevDiscName">#REF!</definedName>
    <definedName name="RevDiv1">#REF!</definedName>
    <definedName name="RevDiv1Name">#REF!</definedName>
    <definedName name="RevDiv2">#REF!</definedName>
    <definedName name="RevDiv2Name">#REF!</definedName>
    <definedName name="RevDiv3">#REF!</definedName>
    <definedName name="RevDiv3Name">#REF!</definedName>
    <definedName name="RevDiv4">#REF!</definedName>
    <definedName name="RevDiv4Name">#REF!</definedName>
    <definedName name="RevDiv5">#REF!</definedName>
    <definedName name="RevDiv5Name">#REF!</definedName>
    <definedName name="RevDiv6">#REF!</definedName>
    <definedName name="RevDiv6Name">#REF!</definedName>
    <definedName name="RevDiv7">#REF!</definedName>
    <definedName name="RevDiv7Name">#REF!</definedName>
    <definedName name="RevDiv8">#REF!</definedName>
    <definedName name="RevDiv8Name">#REF!</definedName>
    <definedName name="RevDiv9">#REF!</definedName>
    <definedName name="RevDiv9Name">#REF!</definedName>
    <definedName name="RevDivCorpOver">#REF!</definedName>
    <definedName name="REVENUE">#REF!</definedName>
    <definedName name="Revision">#REF!</definedName>
    <definedName name="RevReg1">#REF!</definedName>
    <definedName name="RevReg1Name">#REF!</definedName>
    <definedName name="RevReg2">#REF!</definedName>
    <definedName name="RevReg2Name">#REF!</definedName>
    <definedName name="RevReg3">#REF!</definedName>
    <definedName name="RevReg3Name">#REF!</definedName>
    <definedName name="RevReg4">#REF!</definedName>
    <definedName name="RevReg4Name">#REF!</definedName>
    <definedName name="RevReg5">#REF!</definedName>
    <definedName name="RevReg5Name">#REF!</definedName>
    <definedName name="RevReg6">#REF!</definedName>
    <definedName name="RevReg6Name">#REF!</definedName>
    <definedName name="RevReg7">#REF!</definedName>
    <definedName name="RevReg7Name">#REF!</definedName>
    <definedName name="RevReg8">#REF!</definedName>
    <definedName name="RevReg8Name">#REF!</definedName>
    <definedName name="RevReg9">#REF!</definedName>
    <definedName name="RevReg9Name">#REF!</definedName>
    <definedName name="RevRegDisc">#REF!</definedName>
    <definedName name="RevRegDiscName">#REF!</definedName>
    <definedName name="RevRegDivCorpOver">#REF!</definedName>
    <definedName name="Rf">#REF!</definedName>
    <definedName name="RFooter">#REF!</definedName>
    <definedName name="RFR">#REF!</definedName>
    <definedName name="RFRATE">#REF!</definedName>
    <definedName name="RHeader">#REF!</definedName>
    <definedName name="risk_free">#REF!</definedName>
    <definedName name="RMargin">#REF!</definedName>
    <definedName name="rngeFrcstMandatory1">#REF!</definedName>
    <definedName name="rngeFrcstMandatory2">#REF!,#REF!,#REF!,#REF!,#REF!,#REF!,#REF!,#REF!,#REF!,#REF!,#REF!,#REF!,#REF!,#REF!,#REF!,#REF!,#REF!,#REF!</definedName>
    <definedName name="rngeFrcstMandatory3">#REF!,#REF!,#REF!,#REF!,#REF!,#REF!,#REF!,#REF!,#REF!,#REF!,#REF!,#REF!,#REF!,#REF!,#REF!,#REF!,#REF!</definedName>
    <definedName name="rngeFrcstMandatory4">#REF!,#REF!,#REF!,#REF!,#REF!,#REF!,#REF!</definedName>
    <definedName name="rngeFrcstOptional1">#REF!</definedName>
    <definedName name="rngeFrcstOptional2">#REF!,#REF!,#REF!,#REF!,#REF!,#REF!,#REF!,#REF!,#REF!,#REF!,#REF!,#REF!,#REF!,#REF!,#REF!,#REF!</definedName>
    <definedName name="rngeFrcstOptional3">#REF!,#REF!,#REF!,#REF!,#REF!,#REF!,#REF!,#REF!,#REF!,#REF!,#REF!,#REF!,#REF!,#REF!,#REF!</definedName>
    <definedName name="rngeFrcstOptional4">#REF!,#REF!,#REF!,#REF!</definedName>
    <definedName name="rngeHstrMandatory11">#REF!,#REF!,#REF!,#REF!,#REF!,#REF!,#REF!,#REF!,#REF!,#REF!,#REF!,#REF!,#REF!,#REF!,#REF!,#REF!,#REF!,#REF!,#REF!,#REF!,#REF!,#REF!,#REF!</definedName>
    <definedName name="rngeHstrMandatory12">#REF!,#REF!,#REF!,#REF!,#REF!,#REF!,#REF!,#REF!,#REF!,#REF!,#REF!,#REF!,#REF!,#REF!,#REF!,#REF!,#REF!,#REF!</definedName>
    <definedName name="rngeHstrMandatory21">#REF!,#REF!,#REF!,#REF!,#REF!,#REF!,#REF!,#REF!,#REF!,#REF!,#REF!,#REF!,#REF!,#REF!,#REF!,#REF!,#REF!,#REF!,#REF!,#REF!,#REF!,#REF!,#REF!</definedName>
    <definedName name="rngeHstrMandatory22">#REF!,#REF!,#REF!,#REF!,#REF!,#REF!,#REF!,#REF!,#REF!,#REF!,#REF!,#REF!,#REF!,#REF!,#REF!,#REF!,#REF!,#REF!</definedName>
    <definedName name="rngeHstrMandatory31">#REF!,#REF!,#REF!,#REF!,#REF!,#REF!,#REF!,#REF!,#REF!,#REF!,#REF!,#REF!,#REF!,#REF!,#REF!,#REF!,#REF!,#REF!,#REF!,#REF!,#REF!,#REF!,#REF!</definedName>
    <definedName name="rngeHstrMandatory32">#REF!,#REF!,#REF!,#REF!,#REF!,#REF!,#REF!,#REF!,#REF!,#REF!,#REF!,#REF!,#REF!,#REF!,#REF!,#REF!,#REF!,#REF!</definedName>
    <definedName name="rngeHstrOptional11">#REF!</definedName>
    <definedName name="rngeHstrOptional12">#REF!,#REF!,#REF!,#REF!,#REF!,#REF!,#REF!,#REF!,#REF!,#REF!,#REF!,#REF!,#REF!,#REF!,#REF!,#REF!,#REF!,#REF!,#REF!</definedName>
    <definedName name="rngeHstrOptional13">#REF!,#REF!,#REF!,#REF!,#REF!,#REF!,#REF!,#REF!,#REF!,#REF!,#REF!,#REF!</definedName>
    <definedName name="rngeHstrOptional21">#REF!</definedName>
    <definedName name="rngeHstrOptional22">#REF!,#REF!,#REF!,#REF!,#REF!,#REF!,#REF!,#REF!,#REF!,#REF!,#REF!,#REF!,#REF!,#REF!,#REF!,#REF!,#REF!,#REF!,#REF!</definedName>
    <definedName name="rngeHstrOptional23">#REF!,#REF!,#REF!,#REF!,#REF!,#REF!,#REF!,#REF!,#REF!,#REF!,#REF!,#REF!</definedName>
    <definedName name="rngeHstrOptional31">#REF!</definedName>
    <definedName name="rngeHstrOptional32">#REF!,#REF!,#REF!,#REF!,#REF!,#REF!,#REF!,#REF!,#REF!,#REF!,#REF!,#REF!,#REF!,#REF!,#REF!,#REF!,#REF!,#REF!,#REF!</definedName>
    <definedName name="rngeHstrOptional33">#REF!,#REF!,#REF!,#REF!,#REF!,#REF!,#REF!,#REF!,#REF!,#REF!,#REF!,#REF!</definedName>
    <definedName name="roa00">[2]Sheet1!$L$155</definedName>
    <definedName name="ROAA">#REF!</definedName>
    <definedName name="ROAE">#REF!</definedName>
    <definedName name="ROCE">#REF!</definedName>
    <definedName name="roe00">[2]Sheet1!$L$154</definedName>
    <definedName name="roic">#REF!</definedName>
    <definedName name="Row10Col1">#REF!</definedName>
    <definedName name="Row10Col2">#REF!</definedName>
    <definedName name="Row10Col3">#REF!</definedName>
    <definedName name="Row10Col4">#REF!</definedName>
    <definedName name="Row10Col5">#REF!</definedName>
    <definedName name="Row10Format">#REF!</definedName>
    <definedName name="Row11Col1">#REF!</definedName>
    <definedName name="Row11Col2">#REF!</definedName>
    <definedName name="Row11Col3">#REF!</definedName>
    <definedName name="Row11Col4">#REF!</definedName>
    <definedName name="Row11Col5">#REF!</definedName>
    <definedName name="Row11Format">#REF!</definedName>
    <definedName name="Row12Col1">#REF!</definedName>
    <definedName name="Row12Col2">#REF!</definedName>
    <definedName name="Row12Col3">#REF!</definedName>
    <definedName name="Row12Col4">#REF!</definedName>
    <definedName name="Row12Col5">#REF!</definedName>
    <definedName name="Row12Format">#REF!</definedName>
    <definedName name="Row13Col1">#REF!</definedName>
    <definedName name="Row13Col2">#REF!</definedName>
    <definedName name="Row13Col3">#REF!</definedName>
    <definedName name="Row13Col4">#REF!</definedName>
    <definedName name="Row13Col5">#REF!</definedName>
    <definedName name="Row13Format">#REF!</definedName>
    <definedName name="Row14Col1">#REF!</definedName>
    <definedName name="Row14Col2">#REF!</definedName>
    <definedName name="Row14Col3">#REF!</definedName>
    <definedName name="Row14Col4">#REF!</definedName>
    <definedName name="Row14Col5">#REF!</definedName>
    <definedName name="Row15Col1">#REF!</definedName>
    <definedName name="Row15Col2">#REF!</definedName>
    <definedName name="Row15Col3">#REF!</definedName>
    <definedName name="Row15Col4">#REF!</definedName>
    <definedName name="Row15Col5">#REF!</definedName>
    <definedName name="Row1Col1">#REF!</definedName>
    <definedName name="Row1Col2">#REF!</definedName>
    <definedName name="Row1Col3">#REF!</definedName>
    <definedName name="Row1Col4">#REF!</definedName>
    <definedName name="Row1Col5">#REF!</definedName>
    <definedName name="Row1Format">#REF!</definedName>
    <definedName name="Row2Col1">#REF!</definedName>
    <definedName name="Row2Col2">#REF!</definedName>
    <definedName name="Row2Col3">#REF!</definedName>
    <definedName name="Row2Col4">#REF!</definedName>
    <definedName name="Row2Col5">#REF!</definedName>
    <definedName name="Row2Format">#REF!</definedName>
    <definedName name="Row3Col1">#REF!</definedName>
    <definedName name="Row3Col2">#REF!</definedName>
    <definedName name="Row3Col3">#REF!</definedName>
    <definedName name="Row3Col4">#REF!</definedName>
    <definedName name="Row3Col5">#REF!</definedName>
    <definedName name="Row3Format">#REF!</definedName>
    <definedName name="Row4Col1">#REF!</definedName>
    <definedName name="Row4Col2">#REF!</definedName>
    <definedName name="Row4Col3">#REF!</definedName>
    <definedName name="Row4Col4">#REF!</definedName>
    <definedName name="Row4Col5">#REF!</definedName>
    <definedName name="Row4Format">#REF!</definedName>
    <definedName name="Row5Col1">#REF!</definedName>
    <definedName name="Row5Col2">#REF!</definedName>
    <definedName name="Row5Col3">#REF!</definedName>
    <definedName name="Row5Col4">#REF!</definedName>
    <definedName name="Row5Col5">#REF!</definedName>
    <definedName name="Row5Format">#REF!</definedName>
    <definedName name="Row6Col1">#REF!</definedName>
    <definedName name="Row6Col2">#REF!</definedName>
    <definedName name="Row6Col3">#REF!</definedName>
    <definedName name="Row6Col4">#REF!</definedName>
    <definedName name="Row6Col5">#REF!</definedName>
    <definedName name="Row6Format">#REF!</definedName>
    <definedName name="Row7Col1">#REF!</definedName>
    <definedName name="Row7Col2">#REF!</definedName>
    <definedName name="Row7Col3">#REF!</definedName>
    <definedName name="Row7Col4">#REF!</definedName>
    <definedName name="Row7Col5">#REF!</definedName>
    <definedName name="Row7Format">#REF!</definedName>
    <definedName name="Row8Col1">#REF!</definedName>
    <definedName name="Row8Col2">#REF!</definedName>
    <definedName name="Row8Col3">#REF!</definedName>
    <definedName name="Row8Col4">#REF!</definedName>
    <definedName name="Row8Col5">#REF!</definedName>
    <definedName name="Row8Format">#REF!</definedName>
    <definedName name="Row9Col1">#REF!</definedName>
    <definedName name="Row9Col2">#REF!</definedName>
    <definedName name="Row9Col3">#REF!</definedName>
    <definedName name="Row9Col4">#REF!</definedName>
    <definedName name="Row9Col5">#REF!</definedName>
    <definedName name="Row9Format">#REF!</definedName>
    <definedName name="SALE_PROPERTY">#REF!</definedName>
    <definedName name="Sales">#REF!</definedName>
    <definedName name="Sales_Growth">#REF!</definedName>
    <definedName name="Sales_Profit_and_Sales_Destination_Analysis">#REF!</definedName>
    <definedName name="Sales_Profit_Backlog_and_Destination_Analysis">#REF!</definedName>
    <definedName name="Sales_Revenue">#REF!</definedName>
    <definedName name="sales00">[2]Sheet1!$L$33</definedName>
    <definedName name="sales01">[2]Sheet1!$M$33</definedName>
    <definedName name="sales93">[2]Sheet1!$E$33</definedName>
    <definedName name="sales94">[2]Sheet1!$F$33</definedName>
    <definedName name="sales95">[2]Sheet1!$G$33</definedName>
    <definedName name="sales96">[2]Sheet1!$H$33</definedName>
    <definedName name="sales97">[2]Sheet1!$I$33</definedName>
    <definedName name="sales98">[2]Sheet1!$J$33</definedName>
    <definedName name="sales99">[2]Sheet1!$K$33</definedName>
    <definedName name="SalesRev">#REF!</definedName>
    <definedName name="SalesRev_D1">[3]Model!$A$653:$IV$653</definedName>
    <definedName name="SalesRev_D10">[3]Model!$A$662:$IV$662</definedName>
    <definedName name="SalesRev_D2">[3]Model!$A$654:$IV$654</definedName>
    <definedName name="SalesRev_D3">[3]Model!$A$655:$IV$655</definedName>
    <definedName name="SalesRev_D4">[3]Model!$A$656:$IV$656</definedName>
    <definedName name="SalesRev_D5">[3]Model!$A$657:$IV$657</definedName>
    <definedName name="SalesRev_D6">[3]Model!$A$658:$IV$658</definedName>
    <definedName name="SalesRev_D7">[3]Model!$A$659:$IV$659</definedName>
    <definedName name="SalesRev_D8">[3]Model!$A$660:$IV$660</definedName>
    <definedName name="SalesRev_D9">[3]Model!$A$661:$IV$661</definedName>
    <definedName name="SalesRev_InterSegElim">[3]Model!$A$663:$IV$663</definedName>
    <definedName name="SalesRev_SegOther">[3]Model!$A$666:$IV$666</definedName>
    <definedName name="SalesRev_SegUnallocated">[3]Model!$A$664:$IV$664</definedName>
    <definedName name="SalesRevenue">#REF!</definedName>
    <definedName name="SECTOR">#N/A</definedName>
    <definedName name="SECURITIES">#REF!</definedName>
    <definedName name="Segmental_Perf_Analysis">#REF!</definedName>
    <definedName name="Selected_Currency">#REF!</definedName>
    <definedName name="SEN_GOTO">#REF!</definedName>
    <definedName name="sencount" hidden="1">1</definedName>
    <definedName name="sens">[0]!sens</definedName>
    <definedName name="Sens_3">[15]Input!#REF!</definedName>
    <definedName name="SENSITIVIT">#REF!</definedName>
    <definedName name="SGA">#REF!</definedName>
    <definedName name="SGARARevenue">#REF!</definedName>
    <definedName name="SGARATax">#REF!</definedName>
    <definedName name="Share_Capital">#REF!</definedName>
    <definedName name="Share_Premium">#REF!</definedName>
    <definedName name="share_price">[16]Summary!$AA$1</definedName>
    <definedName name="ShareAssocNetProfMem">#REF!</definedName>
    <definedName name="Shareholder_Equity">#REF!</definedName>
    <definedName name="Shareholders_Equity">#REF!</definedName>
    <definedName name="ShareHoldFund">#REF!</definedName>
    <definedName name="SHARES">#REF!</definedName>
    <definedName name="Shares_1998">#REF!</definedName>
    <definedName name="Shares_2001">#REF!</definedName>
    <definedName name="Shares_FullyDiluted">#REF!</definedName>
    <definedName name="Shares_issue_via_conversion_of_conv._notes">#REF!</definedName>
    <definedName name="Shares_Range">#REF!</definedName>
    <definedName name="She_Capital">#REF!</definedName>
    <definedName name="She_Minor">#REF!</definedName>
    <definedName name="She_Reserves">#REF!</definedName>
    <definedName name="She_RetProfit">#REF!</definedName>
    <definedName name="SHF">[3]Model!$A$348:$IV$348</definedName>
    <definedName name="SHF___Liabs___Assets">#REF!</definedName>
    <definedName name="SHF_Adjusted">#REF!</definedName>
    <definedName name="ShowCustomFreeform">#REF!</definedName>
    <definedName name="shr_conv">#REF!</definedName>
    <definedName name="Shr_end">#REF!</definedName>
    <definedName name="shr_opt">#REF!</definedName>
    <definedName name="shr_Ord">#REF!</definedName>
    <definedName name="shr_other">#REF!</definedName>
    <definedName name="shr_PPS">#REF!</definedName>
    <definedName name="shr_pref">#REF!</definedName>
    <definedName name="shr_total">#REF!</definedName>
    <definedName name="shr_WAC">#REF!</definedName>
    <definedName name="ShrPremOthRes">[3]Model!$A$256:$IV$256</definedName>
    <definedName name="solver_adj" localSheetId="1" hidden="1">IS!$AT$72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in" hidden="1">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um" hidden="1">0</definedName>
    <definedName name="solver_nwt" localSheetId="1" hidden="1">1</definedName>
    <definedName name="solver_opt" localSheetId="1" hidden="1">IS!$AX$51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typ" hidden="1">3</definedName>
    <definedName name="solver_val" localSheetId="1" hidden="1">3.3</definedName>
    <definedName name="solver_val" hidden="1">5.05</definedName>
    <definedName name="solver_ver" localSheetId="1" hidden="1">3</definedName>
    <definedName name="SpecialDPS">#REF!</definedName>
    <definedName name="st_recomm">#REF!</definedName>
    <definedName name="st_target">#REF!</definedName>
    <definedName name="Staff_Share_Plan">#REF!</definedName>
    <definedName name="Stats1">#REF!</definedName>
    <definedName name="Stats2">#REF!</definedName>
    <definedName name="Statutory_Tax_Rate">#REF!</definedName>
    <definedName name="STBorr">[3]Model!$A$242:$IV$242</definedName>
    <definedName name="Stock_Rating">#REF!</definedName>
    <definedName name="Stock_Recommendation">#REF!</definedName>
    <definedName name="Stockcode">#REF!</definedName>
    <definedName name="StockOnOff">#REF!</definedName>
    <definedName name="StockPrice">#REF!</definedName>
    <definedName name="sugarmodel">#REF!</definedName>
    <definedName name="Sum_Curr___NC_Assets">#REF!</definedName>
    <definedName name="Sundry_Debtors">#REF!</definedName>
    <definedName name="Super">#REF!</definedName>
    <definedName name="swap_rate">#REF!</definedName>
    <definedName name="system_sales">#REF!</definedName>
    <definedName name="t">#REF!</definedName>
    <definedName name="TA">#REF!</definedName>
    <definedName name="Table1">#REF!</definedName>
    <definedName name="Table2">#REF!</definedName>
    <definedName name="Target_Price">#REF!</definedName>
    <definedName name="targetprice">#REF!</definedName>
    <definedName name="TAX">#REF!</definedName>
    <definedName name="Tax___Stat_Rate">#REF!</definedName>
    <definedName name="TAX_ATTR_ABN">#REF!</definedName>
    <definedName name="Tax_Expenses__000">#REF!</definedName>
    <definedName name="Tax_on_Extraordinary_Items__000">#REF!</definedName>
    <definedName name="TAX_PAID">#REF!</definedName>
    <definedName name="TAX_RATE">#REF!</definedName>
    <definedName name="Tax_Rate_Assumption">#REF!</definedName>
    <definedName name="tax00">[2]Sheet1!$L$46</definedName>
    <definedName name="TaxConsolidated">#REF!</definedName>
    <definedName name="TaxExceptionals">#REF!</definedName>
    <definedName name="TaxNonRecur">#REF!</definedName>
    <definedName name="TaxOnAbns">[3]Model!$A$137:$IV$137</definedName>
    <definedName name="TaxOnExt">[3]Model!$A$141:$IV$141</definedName>
    <definedName name="TaxPaid">#REF!</definedName>
    <definedName name="TaxPd">[3]Model!$A$280:$IV$280</definedName>
    <definedName name="taxrate">#REF!</definedName>
    <definedName name="Tc">#REF!</definedName>
    <definedName name="TEMP">#N/A</definedName>
    <definedName name="TemplateVersion">2</definedName>
    <definedName name="TemplateVersionCSR">2.01</definedName>
    <definedName name="Terminal_Growth">#REF!</definedName>
    <definedName name="TGR">#REF!</definedName>
    <definedName name="Ti">#REF!</definedName>
    <definedName name="Ticker_Symbol">#REF!</definedName>
    <definedName name="timbermodel">#REF!</definedName>
    <definedName name="title.balancesheet">#REF!</definedName>
    <definedName name="title.businessbackground">#REF!</definedName>
    <definedName name="title.capitalhistory">#REF!</definedName>
    <definedName name="title.cashflow">#REF!</definedName>
    <definedName name="title.comments">#REF!</definedName>
    <definedName name="title.dividenddata">#REF!</definedName>
    <definedName name="title.expansionplans">#REF!</definedName>
    <definedName name="title.forecastandratings">#REF!</definedName>
    <definedName name="title.mainpoints">#REF!</definedName>
    <definedName name="title.majorshareholders">#REF!</definedName>
    <definedName name="title.miscellaneous">#REF!</definedName>
    <definedName name="title.outlook">#REF!</definedName>
    <definedName name="title.pricechart">#REF!</definedName>
    <definedName name="title.profitbreakdown">#REF!</definedName>
    <definedName name="title.profitforecasts">#REF!</definedName>
    <definedName name="title.ratioanalysis">#REF!</definedName>
    <definedName name="title.sharedata">#REF!</definedName>
    <definedName name="title.subsiaries">#REF!</definedName>
    <definedName name="Tj">#REF!</definedName>
    <definedName name="TMargin">#REF!</definedName>
    <definedName name="tmp_1473" hidden="1">#REF!</definedName>
    <definedName name="tmp_1475" hidden="1">#REF!</definedName>
    <definedName name="tmp_1552" hidden="1">#REF!</definedName>
    <definedName name="tmp_1553" hidden="1">#REF!</definedName>
    <definedName name="tmp_1554" hidden="1">#REF!</definedName>
    <definedName name="tmp_1555" hidden="1">#REF!</definedName>
    <definedName name="tmp_194" hidden="1">#REF!</definedName>
    <definedName name="tmp_410" hidden="1">#REF!</definedName>
    <definedName name="tmp_92" hidden="1">#REF!</definedName>
    <definedName name="tmpLoadSedol" hidden="1">#REF!</definedName>
    <definedName name="toll_sp">'[17]consolidation FY06'!$N$2</definedName>
    <definedName name="Total_Amortisation">#REF!</definedName>
    <definedName name="Total_Assets">#REF!</definedName>
    <definedName name="Total_Backlog">#REF!</definedName>
    <definedName name="Total_Current_Assets">#REF!</definedName>
    <definedName name="Total_Current_Liabilities">#REF!</definedName>
    <definedName name="Total_Depre_Amort">#REF!</definedName>
    <definedName name="Total_Dividend">#REF!</definedName>
    <definedName name="Total_Liabilities">#REF!</definedName>
    <definedName name="Total_Non_Current_Liabs">#REF!</definedName>
    <definedName name="Total_R_and_D_to_Sales_Assumption">#REF!</definedName>
    <definedName name="Total_Revenue__000">#REF!</definedName>
    <definedName name="Total_Share_Capital">#REF!</definedName>
    <definedName name="Total_Shareholders_Equity">#REF!</definedName>
    <definedName name="Total_Shareholders_Funds">#REF!</definedName>
    <definedName name="Total_SHF__Total_Liabs">#REF!</definedName>
    <definedName name="Total_SHF_Reserves">#REF!</definedName>
    <definedName name="Total_Tangible_Assets">#REF!</definedName>
    <definedName name="TotalData_Live">#REF!</definedName>
    <definedName name="TotAss">#REF!</definedName>
    <definedName name="TotAssets">[3]Model!$A$323:$IV$323</definedName>
    <definedName name="TotCA">[3]Model!$A$310:$IV$310</definedName>
    <definedName name="TotCL">[3]Model!$A$329:$IV$329</definedName>
    <definedName name="TotEBIT">#REF!</definedName>
    <definedName name="TotL">[3]Model!$A$337:$IV$337</definedName>
    <definedName name="TotLiab">#REF!</definedName>
    <definedName name="TotNCA">[3]Model!$A$322:$IV$322</definedName>
    <definedName name="TotNCL">[3]Model!$A$336:$IV$336</definedName>
    <definedName name="TotRev">#REF!</definedName>
    <definedName name="TotShareHoldFund">#REF!</definedName>
    <definedName name="TotTaxExp">#REF!</definedName>
    <definedName name="Trade_Creditors">#REF!</definedName>
    <definedName name="Trade_Debtors">#REF!</definedName>
    <definedName name="TradeDebt">#REF!</definedName>
    <definedName name="TradeDebtNonCurr">#REF!</definedName>
    <definedName name="TradingIncome">#REF!</definedName>
    <definedName name="trc_BloombergCode">#REF!</definedName>
    <definedName name="trc_CompanyName">#REF!</definedName>
    <definedName name="trc_CountryName">#REF!</definedName>
    <definedName name="trc_Currency">#REF!</definedName>
    <definedName name="trc_ISIN">#REF!</definedName>
    <definedName name="trc_RIC">#REF!</definedName>
    <definedName name="trc_Sedol">#REF!</definedName>
    <definedName name="trc_Sedol2">#REF!</definedName>
    <definedName name="trc_Sedol3">#REF!</definedName>
    <definedName name="trc_XLS_DATASHEET_ProtectDate">36815.6470486111</definedName>
    <definedName name="trc_Y1Accruals">#REF!</definedName>
    <definedName name="trc_Y1AcquisDisp">#REF!</definedName>
    <definedName name="trc_Y1AcquisGW">#REF!</definedName>
    <definedName name="trc_Y1AmortGW">#REF!</definedName>
    <definedName name="trc_Y1AmortGWAftTax">#REF!</definedName>
    <definedName name="Trc_Y1AmortGWFA">#REF!</definedName>
    <definedName name="trc_Y1AmortOth">#REF!</definedName>
    <definedName name="trc_Y1AnnounceDate">#REF!</definedName>
    <definedName name="trc_Y1ARPU">#REF!</definedName>
    <definedName name="trc_Y1ASP">#REF!</definedName>
    <definedName name="Trc_Y1AssDisp">#REF!</definedName>
    <definedName name="trc_Y1AssetMngmnt">#REF!</definedName>
    <definedName name="trc_Y1AssocAftTax">#REF!</definedName>
    <definedName name="trc_Y1AssocB4Tax">#REF!</definedName>
    <definedName name="trc_Y1AssocCoCEM">#REF!</definedName>
    <definedName name="Trc_Y1AssOth">#REF!</definedName>
    <definedName name="Trc_Y1AssTotNet">#REF!</definedName>
    <definedName name="trc_Y1BadDebCharge">#REF!</definedName>
    <definedName name="trc_Y1BoANetProfit">#REF!</definedName>
    <definedName name="trc_Y1BoANormEPS">#REF!</definedName>
    <definedName name="trc_Y1BoANormPTP">#REF!</definedName>
    <definedName name="trc_Y1BookValue">#REF!</definedName>
    <definedName name="trc_Y1CapExp">#REF!</definedName>
    <definedName name="trc_Y1CapitalGains">#REF!</definedName>
    <definedName name="Trc_Y1CashB4Finance">#REF!</definedName>
    <definedName name="trc_Y1CashDebtCh">#REF!</definedName>
    <definedName name="Trc_Y1CashEqChange">#REF!</definedName>
    <definedName name="trc_Y1CashFlowFDTo">#REF!</definedName>
    <definedName name="trc_Y1CashNear">#REF!</definedName>
    <definedName name="trc_Y1CashPS">#REF!</definedName>
    <definedName name="trc_Y1CogsRep">#REF!</definedName>
    <definedName name="trc_Y1CommitOther">#REF!</definedName>
    <definedName name="trc_Y1CorpsLarge">#REF!</definedName>
    <definedName name="Trc_Y1CreditorChange">#REF!</definedName>
    <definedName name="Trc_Y1CurrAssNet">#REF!</definedName>
    <definedName name="trc_Y1CurrAssOth">#REF!</definedName>
    <definedName name="trc_Y1CurrAssTot">#REF!</definedName>
    <definedName name="trc_Y1CurrInvest">#REF!</definedName>
    <definedName name="Trc_Y1CurrLiabOth">#REF!</definedName>
    <definedName name="Trc_Y1CurrLiabTot">#REF!</definedName>
    <definedName name="trc_Y1CurrTax">#REF!</definedName>
    <definedName name="Trc_Y1Debt">#REF!</definedName>
    <definedName name="Trc_Y1DebtAdjCflow">#REF!</definedName>
    <definedName name="Trc_Y1DebtorsChange">#REF!</definedName>
    <definedName name="trc_Y1DebtOth">#REF!</definedName>
    <definedName name="trc_Y1DebtTot">#REF!</definedName>
    <definedName name="trc_Y1DefLiabOth">#REF!</definedName>
    <definedName name="trc_Y1DefTax">#REF!</definedName>
    <definedName name="trc_Y1Deposits">#REF!</definedName>
    <definedName name="Trc_Y1DeprecAmort">#REF!</definedName>
    <definedName name="trc_Y1Depreciation">#REF!</definedName>
    <definedName name="Trc_Y1DepreciationFA">#REF!</definedName>
    <definedName name="trc_Y1DevCostsNet">#REF!</definedName>
    <definedName name="trc_Y1DiffRevenues">#REF!</definedName>
    <definedName name="trc_Y1DiscOper">#REF!</definedName>
    <definedName name="Trc_Y1DiscOperNC">#REF!</definedName>
    <definedName name="Trc_Y1Div2Equity">#REF!</definedName>
    <definedName name="trc_Y1Dividend">#REF!</definedName>
    <definedName name="Trc_Y1Dividends">#REF!</definedName>
    <definedName name="Trc_Y1DivOth">#REF!</definedName>
    <definedName name="trc_Y1Domestic">#REF!</definedName>
    <definedName name="trc_Y1DPSGross">#REF!</definedName>
    <definedName name="trc_Y1DPSGrossAdj">#REF!</definedName>
    <definedName name="trc_Y1DPSNet">#REF!</definedName>
    <definedName name="trc_Y1DPSNetAdj">#REF!</definedName>
    <definedName name="trc_Y1DSO">#REF!</definedName>
    <definedName name="trc_Y1EBIT">#REF!</definedName>
    <definedName name="trc_Y1EBITAG">#REF!</definedName>
    <definedName name="trc_Y1EBITDa">#REF!</definedName>
    <definedName name="trc_Y1EBITDAAM">#REF!</definedName>
    <definedName name="trc_Y1Employees">#REF!</definedName>
    <definedName name="trc_Y1EPSActNetIIMR">#REF!</definedName>
    <definedName name="trc_Y1EpsAdj">#REF!</definedName>
    <definedName name="trc_Y1EPSDil">#REF!</definedName>
    <definedName name="trc_Y1EPSRep">#REF!</definedName>
    <definedName name="trc_Y1EquityCost">#REF!</definedName>
    <definedName name="trc_Y1EquityExc">#REF!</definedName>
    <definedName name="Trc_Y1EquityTot">#REF!</definedName>
    <definedName name="trc_Y1ExceptItem">#REF!</definedName>
    <definedName name="trc_Y1Exploration">#REF!</definedName>
    <definedName name="trc_Y1ExtraordItem">#REF!</definedName>
    <definedName name="trc_Y1ExtraordOth">#REF!</definedName>
    <definedName name="trc_Y1FeeInc">#REF!</definedName>
    <definedName name="trc_Y1FinanceCharge">#REF!</definedName>
    <definedName name="trc_Y1FinAssOth">#REF!</definedName>
    <definedName name="trc_Y1FinAssTot">#REF!</definedName>
    <definedName name="Trc_Y1FinInflowTot">#REF!</definedName>
    <definedName name="trc_Y1FixAssTotNet">#REF!</definedName>
    <definedName name="trc_Y1FixAssUncl">#REF!</definedName>
    <definedName name="Trc_Y1FreeCashFlow">#REF!</definedName>
    <definedName name="trc_Y1FreeFloat">#REF!</definedName>
    <definedName name="trc_Y1FyEndDate">#REF!</definedName>
    <definedName name="trc_Y1GenAdmin">#REF!</definedName>
    <definedName name="trc_Y1GrossProfit">#REF!</definedName>
    <definedName name="trc_Y1HeldAssResale">#REF!</definedName>
    <definedName name="trc_Y1HoldInd">#REF!</definedName>
    <definedName name="Trc_Y1IIRChange">#REF!</definedName>
    <definedName name="Trc_Y1InflowOperCash">#REF!</definedName>
    <definedName name="Trc_Y1InflowOth">#REF!</definedName>
    <definedName name="Trc_Y1InflowOthFI">#REF!</definedName>
    <definedName name="Trc_Y1IntAssChange">#REF!</definedName>
    <definedName name="trc_Y1IntAssOth">#REF!</definedName>
    <definedName name="Trc_Y1IntDivOth">#REF!</definedName>
    <definedName name="trc_Y1InterestExp">#REF!</definedName>
    <definedName name="trc_Y1InterestIncome">#REF!</definedName>
    <definedName name="trc_Y1IntFixAssTotNe">#REF!</definedName>
    <definedName name="trc_Y1InvBanking">#REF!</definedName>
    <definedName name="trc_Y1InvestIncome">#REF!</definedName>
    <definedName name="trc_Y1InvestTotal">#REF!</definedName>
    <definedName name="Trc_Y1InvOthChange">#REF!</definedName>
    <definedName name="trc_Y1LiabTotNet">#REF!</definedName>
    <definedName name="trc_Y1LifeIns">#REF!</definedName>
    <definedName name="Trc_Y1LiqFundMove">#REF!</definedName>
    <definedName name="trc_Y1Loans">#REF!</definedName>
    <definedName name="trc_Y1LoansIG">#REF!</definedName>
    <definedName name="trc_Y1LoansLT">#REF!</definedName>
    <definedName name="trc_Y1LoansST">#REF!</definedName>
    <definedName name="trc_Y1LTDebtors">#REF!</definedName>
    <definedName name="trc_Y1LTLiabOth">#REF!</definedName>
    <definedName name="trc_Y1ManLiqResFin">#REF!</definedName>
    <definedName name="trc_Y1MarketDev">#REF!</definedName>
    <definedName name="trc_Y1MarketEmerg">#REF!</definedName>
    <definedName name="trc_Y1MinorityIntBS">#REF!</definedName>
    <definedName name="trc_Y1MinorityIntPL">#REF!</definedName>
    <definedName name="trc_Y1MisPriceCur">#REF!</definedName>
    <definedName name="trc_Y1NAVPS">#REF!</definedName>
    <definedName name="trc_Y1NetAssets">#REF!</definedName>
    <definedName name="Trc_Y1NetDebt">#REF!</definedName>
    <definedName name="trc_Y1NetDebtBS">#REF!</definedName>
    <definedName name="Trc_Y1NetDebtMove">#REF!</definedName>
    <definedName name="trc_Y1NetFinancial">#REF!</definedName>
    <definedName name="trc_Y1NetGW">#REF!</definedName>
    <definedName name="trc_Y1NetIntInc">#REF!</definedName>
    <definedName name="Trc_Y1NonCashAdjTot">#REF!</definedName>
    <definedName name="Trc_Y1NonCashOth">#REF!</definedName>
    <definedName name="trc_Y1NonLifeIns">#REF!</definedName>
    <definedName name="trc_Y1NormNetPft">#REF!</definedName>
    <definedName name="trc_Y1NormPftAftTax">#REF!</definedName>
    <definedName name="trc_Y1NormTax">#REF!</definedName>
    <definedName name="trc_Y1OperCostOther">#REF!</definedName>
    <definedName name="trc_Y1OperCostXDA">#REF!</definedName>
    <definedName name="trc_Y1OperIncOther">#REF!</definedName>
    <definedName name="trc_Y1OtherAftTax">#REF!</definedName>
    <definedName name="trc_Y1OtherCharges">#REF!</definedName>
    <definedName name="trc_Y1OtherGW">#REF!</definedName>
    <definedName name="trc_Y1OtherIncome">#REF!</definedName>
    <definedName name="trc_Y1OtherInvest">#REF!</definedName>
    <definedName name="trc_Y1OthPretaxAdj">#REF!</definedName>
    <definedName name="trc_Y1OthTax">#REF!</definedName>
    <definedName name="trc_Y1OtTotPreTaxI">#REF!</definedName>
    <definedName name="Trc_Y1PbtAsia">#REF!</definedName>
    <definedName name="Trc_Y1PbtByMarket">#REF!</definedName>
    <definedName name="Trc_Y1PbtEurope">#REF!</definedName>
    <definedName name="Trc_Y1PbtHM">#REF!</definedName>
    <definedName name="Trc_Y1PbtIntraGroup">#REF!</definedName>
    <definedName name="Trc_Y1PbtJapan">#REF!</definedName>
    <definedName name="Trc_Y1PbtMideast">#REF!</definedName>
    <definedName name="Trc_Y1PbtNAM">#REF!</definedName>
    <definedName name="Trc_Y1PbtRestWorld">#REF!</definedName>
    <definedName name="Trc_Y1PbtSoEast">#REF!</definedName>
    <definedName name="trc_Y1PBVFair">#REF!</definedName>
    <definedName name="trc_Y1PensIncom">#REF!</definedName>
    <definedName name="trc_Y1PensProv">#REF!</definedName>
    <definedName name="trc_Y1PPDebtors">#REF!</definedName>
    <definedName name="trc_Y1PrefDiv">#REF!</definedName>
    <definedName name="trc_Y1PreTaxAdj">#REF!</definedName>
    <definedName name="trc_Y1PriceFair">#REF!</definedName>
    <definedName name="trc_Y1ProfitAftTax">#REF!</definedName>
    <definedName name="Trc_Y1ProfitCashFlow">#REF!</definedName>
    <definedName name="trc_Y1ProfitNet">#REF!</definedName>
    <definedName name="trc_Y1ProfitNetIIMR">#REF!</definedName>
    <definedName name="trc_Y1ProfitPreTax">#REF!</definedName>
    <definedName name="trc_Y1ProfitRet">#REF!</definedName>
    <definedName name="trc_Y1PropertyNet">#REF!</definedName>
    <definedName name="trc_Y1Provisions">#REF!</definedName>
    <definedName name="trc_Y1ProvisionsST">#REF!</definedName>
    <definedName name="trc_Y1PVdivs">#REF!</definedName>
    <definedName name="trc_Y1PVNAV">#REF!</definedName>
    <definedName name="trc_Y1RD">#REF!</definedName>
    <definedName name="trc_Y1Reinsurance">#REF!</definedName>
    <definedName name="Trc_Y1ReserveEqOth">#REF!</definedName>
    <definedName name="Trc_Y1ReserveGW">#REF!</definedName>
    <definedName name="Trc_Y1ReserveLegal">#REF!</definedName>
    <definedName name="Trc_Y1ReserveMGR">#REF!</definedName>
    <definedName name="trc_Y1Retail">#REF!</definedName>
    <definedName name="trc_Y1Revenue">#REF!</definedName>
    <definedName name="trc_Y1ROEAdj">#REF!</definedName>
    <definedName name="trc_Y1ROENormal">#REF!</definedName>
    <definedName name="trc_Y1SGA">#REF!</definedName>
    <definedName name="Trc_Y1ShareCapital">#REF!</definedName>
    <definedName name="trc_Y1SharesDilYE">#REF!</definedName>
    <definedName name="trc_Y1SharesOrd">#REF!</definedName>
    <definedName name="Trc_Y1SharesOthEq">#REF!</definedName>
    <definedName name="trc_Y1SharesOutBAL">#REF!</definedName>
    <definedName name="trc_Y1SharesOutDIL">#REF!</definedName>
    <definedName name="trc_Y1SharesOutWA">#REF!</definedName>
    <definedName name="Trc_Y1SharesOwn">#REF!</definedName>
    <definedName name="Trc_Y1SharesPref">#REF!</definedName>
    <definedName name="Trc_Y1SharesPremium">#REF!</definedName>
    <definedName name="Trc_Y1SharesTotCap">#REF!</definedName>
    <definedName name="Trc_Y1SlsAsia">#REF!</definedName>
    <definedName name="Trc_Y1SlsByMarket">#REF!</definedName>
    <definedName name="Trc_Y1SlsEurope">#REF!</definedName>
    <definedName name="Trc_Y1SlsHM">#REF!</definedName>
    <definedName name="Trc_Y1SlsIntraGroup">#REF!</definedName>
    <definedName name="Trc_Y1SlsJapan">#REF!</definedName>
    <definedName name="Trc_Y1SlsMideast">#REF!</definedName>
    <definedName name="Trc_Y1SlsNAM">#REF!</definedName>
    <definedName name="Trc_Y1SlsOthEur">#REF!</definedName>
    <definedName name="Trc_Y1SlsOthEurope">#REF!</definedName>
    <definedName name="Trc_Y1SlsRestWorld">#REF!</definedName>
    <definedName name="Trc_Y1SlsSoEast">#REF!</definedName>
    <definedName name="trc_Y1StaffCost">#REF!</definedName>
    <definedName name="Trc_Y1Stocks">#REF!</definedName>
    <definedName name="Trc_Y1StocksChangeNC">#REF!</definedName>
    <definedName name="trc_Y1Subscribers">#REF!</definedName>
    <definedName name="Trc_Y1TanAssChange">#REF!</definedName>
    <definedName name="trc_Y1TanAssLeased">#REF!</definedName>
    <definedName name="trc_Y1TanFixAssOthGr">#REF!</definedName>
    <definedName name="trc_Y1TanFixAssOthNe">#REF!</definedName>
    <definedName name="trc_Y1TanFixAssTotNe">#REF!</definedName>
    <definedName name="trc_Y1TargetPriceFin">#REF!</definedName>
    <definedName name="trc_Y1TargetRtrn">#REF!</definedName>
    <definedName name="trc_Y1Tax">#REF!</definedName>
    <definedName name="Trc_Y1TaxCL">#REF!</definedName>
    <definedName name="Trc_Y1TaxFD">#REF!</definedName>
    <definedName name="trc_Y1TotAftTaxI">#REF!</definedName>
    <definedName name="trc_Y1TotalAssets">#REF!</definedName>
    <definedName name="trc_Y1TotalBM">#REF!</definedName>
    <definedName name="trc_Y1TotalDeprAM">#REF!</definedName>
    <definedName name="trc_Y1TotalFinExp">#REF!</definedName>
    <definedName name="trc_Y1TotalFinInc">#REF!</definedName>
    <definedName name="trc_Y1TotalGM">#REF!</definedName>
    <definedName name="trc_Y1TotDefLTLiab">#REF!</definedName>
    <definedName name="trc_Y1TotDividends">#REF!</definedName>
    <definedName name="trc_Y1TradeCreditors">#REF!</definedName>
    <definedName name="trc_Y1TradeInv">#REF!</definedName>
    <definedName name="trc_Y1TradingInc">#REF!</definedName>
    <definedName name="Trc_Y1WCAdjOth">#REF!</definedName>
    <definedName name="trc_y1Year">#REF!</definedName>
    <definedName name="trc_Y2Accruals">#REF!</definedName>
    <definedName name="Trc_Y2AcquisDisp">#REF!</definedName>
    <definedName name="trc_Y2AcquisGW">#REF!</definedName>
    <definedName name="trc_Y2AmortGW">#REF!</definedName>
    <definedName name="trc_Y2AmortGWAftTax">#REF!</definedName>
    <definedName name="Trc_Y2AmortGWFA">#REF!</definedName>
    <definedName name="trc_Y2AmortOth">#REF!</definedName>
    <definedName name="trc_Y2AnnounceDate">#REF!</definedName>
    <definedName name="trc_Y2ARPU">#REF!</definedName>
    <definedName name="trc_Y2ASP">#REF!</definedName>
    <definedName name="Trc_Y2AssDisp">#REF!</definedName>
    <definedName name="trc_Y2AssetMngmnt">#REF!</definedName>
    <definedName name="trc_Y2AssocAftTax">#REF!</definedName>
    <definedName name="trc_Y2AssocB4Tax">#REF!</definedName>
    <definedName name="trc_Y2AssocCoCEM">#REF!</definedName>
    <definedName name="Trc_Y2AssOth">#REF!</definedName>
    <definedName name="Trc_Y2AssTotNet">#REF!</definedName>
    <definedName name="trc_Y2BadDebCharge">#REF!</definedName>
    <definedName name="trc_Y2BoANetProfit">#REF!</definedName>
    <definedName name="trc_Y2BoANormEPS">#REF!</definedName>
    <definedName name="trc_Y2BoANormPTP">#REF!</definedName>
    <definedName name="trc_Y2BookValue">#REF!</definedName>
    <definedName name="trc_Y2CapExp">#REF!</definedName>
    <definedName name="trc_Y2CapitalGains">#REF!</definedName>
    <definedName name="Trc_Y2CashB4Finance">#REF!</definedName>
    <definedName name="trc_Y2CashDebtCh">#REF!</definedName>
    <definedName name="Trc_Y2CashEqChange">#REF!</definedName>
    <definedName name="trc_Y2CashFlowFDTo">#REF!</definedName>
    <definedName name="trc_Y2CashNear">#REF!</definedName>
    <definedName name="trc_Y2CashPS">#REF!</definedName>
    <definedName name="trc_Y2CogsRep">#REF!</definedName>
    <definedName name="trc_Y2CommitOther">#REF!</definedName>
    <definedName name="trc_Y2CorpsLarge">#REF!</definedName>
    <definedName name="Trc_Y2CreditorChange">#REF!</definedName>
    <definedName name="Trc_Y2CurrAssNet">#REF!</definedName>
    <definedName name="trc_Y2CurrAssOth">#REF!</definedName>
    <definedName name="trc_Y2CurrAssTot">#REF!</definedName>
    <definedName name="trc_Y2CurrInvest">#REF!</definedName>
    <definedName name="Trc_Y2CurrLiabOth">#REF!</definedName>
    <definedName name="Trc_Y2CurrLiabTot">#REF!</definedName>
    <definedName name="trc_Y2CurrTax">#REF!</definedName>
    <definedName name="Trc_Y2Debt">#REF!</definedName>
    <definedName name="Trc_Y2DebtAdjCflow">#REF!</definedName>
    <definedName name="Trc_Y2DebtorsChange">#REF!</definedName>
    <definedName name="trc_Y2DebtOth">#REF!</definedName>
    <definedName name="trc_Y2DebtTot">#REF!</definedName>
    <definedName name="trc_Y2DefLiabOth">#REF!</definedName>
    <definedName name="trc_Y2DefTax">#REF!</definedName>
    <definedName name="trc_Y2Deposits">#REF!</definedName>
    <definedName name="Trc_Y2DeprecAmort">#REF!</definedName>
    <definedName name="trc_Y2Depreciation">#REF!</definedName>
    <definedName name="Trc_Y2DepreciationFA">#REF!</definedName>
    <definedName name="trc_Y2DevCostsNet">#REF!</definedName>
    <definedName name="trc_Y2DiffRevenues">#REF!</definedName>
    <definedName name="trc_Y2DiscOper">#REF!</definedName>
    <definedName name="Trc_Y2DiscOperNC">#REF!</definedName>
    <definedName name="Trc_Y2Div2Equity">#REF!</definedName>
    <definedName name="trc_Y2Dividend">#REF!</definedName>
    <definedName name="Trc_Y2Dividends">#REF!</definedName>
    <definedName name="Trc_Y2DivOth">#REF!</definedName>
    <definedName name="trc_Y2Domestic">#REF!</definedName>
    <definedName name="trc_Y2DPSGross">#REF!</definedName>
    <definedName name="trc_Y2DPSGrossAdj">#REF!</definedName>
    <definedName name="trc_Y2DPSNet">#REF!</definedName>
    <definedName name="trc_Y2DPSNetAdj">#REF!</definedName>
    <definedName name="trc_Y2DSO">#REF!</definedName>
    <definedName name="trc_Y2EBIT">#REF!</definedName>
    <definedName name="trc_Y2EBITAG">#REF!</definedName>
    <definedName name="trc_Y2EBITDa">#REF!</definedName>
    <definedName name="trc_Y2EBITDAAM">#REF!</definedName>
    <definedName name="trc_Y2Employees">#REF!</definedName>
    <definedName name="trc_Y2EPSActNetIIMR">#REF!</definedName>
    <definedName name="trc_Y2EpsAdj">#REF!</definedName>
    <definedName name="trc_Y2EPSDil">#REF!</definedName>
    <definedName name="trc_Y2EPSRep">#REF!</definedName>
    <definedName name="trc_Y2EquityCost">#REF!</definedName>
    <definedName name="trc_Y2EquityExc">#REF!</definedName>
    <definedName name="Trc_Y2EquityTot">#REF!</definedName>
    <definedName name="trc_Y2ExceptItem">#REF!</definedName>
    <definedName name="trc_Y2Exploration">#REF!</definedName>
    <definedName name="trc_Y2ExtraordItem">#REF!</definedName>
    <definedName name="trc_Y2ExtraordOth">#REF!</definedName>
    <definedName name="trc_Y2FeeInc">#REF!</definedName>
    <definedName name="trc_Y2FinanceCharge">#REF!</definedName>
    <definedName name="trc_Y2FinAssOth">#REF!</definedName>
    <definedName name="trc_Y2FinAssTot">#REF!</definedName>
    <definedName name="trc_Y2FinInflowTot">#REF!</definedName>
    <definedName name="trc_Y2FixAssTotNet">#REF!</definedName>
    <definedName name="trc_Y2FixAssUncl">#REF!</definedName>
    <definedName name="Trc_Y2FreeCashFlow">#REF!</definedName>
    <definedName name="trc_Y2FreeFloat">#REF!</definedName>
    <definedName name="trc_Y2FyEndDate">#REF!</definedName>
    <definedName name="trc_Y2GenAdmin">#REF!</definedName>
    <definedName name="trc_Y2GrossProfit">#REF!</definedName>
    <definedName name="trc_Y2HeldAssResale">#REF!</definedName>
    <definedName name="trc_Y2HoldInd">#REF!</definedName>
    <definedName name="Trc_Y2IIRChange">#REF!</definedName>
    <definedName name="Trc_Y2InflowOperCash">#REF!</definedName>
    <definedName name="Trc_Y2InflowOth">#REF!</definedName>
    <definedName name="Trc_Y2InflowOthFI">#REF!</definedName>
    <definedName name="Trc_Y2IntAssChange">#REF!</definedName>
    <definedName name="trc_Y2IntAssOth">#REF!</definedName>
    <definedName name="Trc_Y2IntDivOth">#REF!</definedName>
    <definedName name="trc_Y2InterestExp">#REF!</definedName>
    <definedName name="trc_Y2InterestIncome">#REF!</definedName>
    <definedName name="trc_Y2IntFixAssTotNe">#REF!</definedName>
    <definedName name="trc_Y2InvBanking">#REF!</definedName>
    <definedName name="trc_Y2InvestIncome">#REF!</definedName>
    <definedName name="trc_Y2InvestTotal">#REF!</definedName>
    <definedName name="Trc_Y2InvOthChange">#REF!</definedName>
    <definedName name="trc_Y2LiabTotNet">#REF!</definedName>
    <definedName name="trc_Y2LifeIns">#REF!</definedName>
    <definedName name="Trc_Y2LiqFundMove">#REF!</definedName>
    <definedName name="trc_Y2Loans">#REF!</definedName>
    <definedName name="trc_Y2LoansIG">#REF!</definedName>
    <definedName name="trc_Y2LoansLT">#REF!</definedName>
    <definedName name="trc_Y2LoansST">#REF!</definedName>
    <definedName name="trc_Y2LTDebtors">#REF!</definedName>
    <definedName name="trc_Y2LTLiabOth">#REF!</definedName>
    <definedName name="trc_Y2ManLiqResFin">#REF!</definedName>
    <definedName name="trc_Y2MarketDev">#REF!</definedName>
    <definedName name="trc_Y2MarketEmerg">#REF!</definedName>
    <definedName name="trc_Y2MinorityIntBS">#REF!</definedName>
    <definedName name="trc_Y2MinorityIntPL">#REF!</definedName>
    <definedName name="trc_Y2MisPriceCur">#REF!</definedName>
    <definedName name="trc_Y2NAVPS">#REF!</definedName>
    <definedName name="trc_Y2NetAssets">#REF!</definedName>
    <definedName name="Trc_Y2NetDebt">#REF!</definedName>
    <definedName name="trc_Y2NetDebtBS">#REF!</definedName>
    <definedName name="Trc_Y2NetDebtMove">#REF!</definedName>
    <definedName name="trc_Y2NetFinancial">#REF!</definedName>
    <definedName name="trc_Y2NetGW">#REF!</definedName>
    <definedName name="trc_Y2NetIntInc">#REF!</definedName>
    <definedName name="Trc_Y2NonCashAdjTot">#REF!</definedName>
    <definedName name="Trc_Y2NonCashOth">#REF!</definedName>
    <definedName name="trc_Y2NonLifeIns">#REF!</definedName>
    <definedName name="trc_Y2NormNetPft">#REF!</definedName>
    <definedName name="trc_Y2NormPftAftTax">#REF!</definedName>
    <definedName name="trc_Y2NormTax">#REF!</definedName>
    <definedName name="trc_Y2OperCostOther">#REF!</definedName>
    <definedName name="trc_Y2OperCostXDA">#REF!</definedName>
    <definedName name="trc_Y2OperIncOther">#REF!</definedName>
    <definedName name="trc_Y2OtherAftTax">#REF!</definedName>
    <definedName name="trc_Y2OtherCharges">#REF!</definedName>
    <definedName name="trc_Y2OtherGW">#REF!</definedName>
    <definedName name="trc_Y2OtherIncome">#REF!</definedName>
    <definedName name="trc_Y2OtherInvest">#REF!</definedName>
    <definedName name="trc_Y2OthPretaxAdj">#REF!</definedName>
    <definedName name="trc_Y2OthTax">#REF!</definedName>
    <definedName name="trc_Y2OtTotPreTaxI">#REF!</definedName>
    <definedName name="Trc_Y2PbtAsia">#REF!</definedName>
    <definedName name="Trc_Y2PbtByMarket">#REF!</definedName>
    <definedName name="Trc_Y2PbtEurope">#REF!</definedName>
    <definedName name="Trc_Y2PbtHM">#REF!</definedName>
    <definedName name="Trc_Y2PbtIntraGroup">#REF!</definedName>
    <definedName name="Trc_Y2PbtJapan">#REF!</definedName>
    <definedName name="Trc_Y2PbtMideast">#REF!</definedName>
    <definedName name="Trc_Y2PbtNAM">#REF!</definedName>
    <definedName name="Trc_Y2PbtRestWorld">#REF!</definedName>
    <definedName name="Trc_Y2PbtSoEast">#REF!</definedName>
    <definedName name="trc_Y2PBVFair">#REF!</definedName>
    <definedName name="trc_Y2PensIncom">#REF!</definedName>
    <definedName name="trc_Y2PensProv">#REF!</definedName>
    <definedName name="trc_Y2PPDebtors">#REF!</definedName>
    <definedName name="trc_Y2PrefDiv">#REF!</definedName>
    <definedName name="trc_Y2PreTaxAdj">#REF!</definedName>
    <definedName name="trc_Y2PriceFair">#REF!</definedName>
    <definedName name="trc_Y2ProfitAftTax">#REF!</definedName>
    <definedName name="Trc_Y2ProfitCashFlow">#REF!</definedName>
    <definedName name="trc_Y2ProfitNet">#REF!</definedName>
    <definedName name="trc_Y2ProfitNetIIMR">#REF!</definedName>
    <definedName name="trc_Y2ProfitPreTax">#REF!</definedName>
    <definedName name="trc_Y2ProfitRet">#REF!</definedName>
    <definedName name="trc_Y2PropertyNet">#REF!</definedName>
    <definedName name="trc_Y2Provisions">#REF!</definedName>
    <definedName name="trc_Y2ProvisionsST">#REF!</definedName>
    <definedName name="trc_Y2PVdivs">#REF!</definedName>
    <definedName name="trc_Y2PVNAV">#REF!</definedName>
    <definedName name="trc_Y2RD">#REF!</definedName>
    <definedName name="trc_Y2Reinsurance">#REF!</definedName>
    <definedName name="Trc_Y2ReserveEqOth">#REF!</definedName>
    <definedName name="Trc_Y2ReserveGW">#REF!</definedName>
    <definedName name="Trc_Y2ReserveLegal">#REF!</definedName>
    <definedName name="Trc_Y2ReserveMGR">#REF!</definedName>
    <definedName name="trc_Y2Retail">#REF!</definedName>
    <definedName name="trc_Y2Revenue">#REF!</definedName>
    <definedName name="trc_Y2ROEAdj">#REF!</definedName>
    <definedName name="trc_Y2ROENormal">#REF!</definedName>
    <definedName name="trc_Y2SGA">#REF!</definedName>
    <definedName name="Trc_Y2ShareCapital">#REF!</definedName>
    <definedName name="trc_Y2SharesDilYE">#REF!</definedName>
    <definedName name="trc_Y2SharesOrd">#REF!</definedName>
    <definedName name="Trc_Y2SharesOthEq">#REF!</definedName>
    <definedName name="trc_Y2SharesOutBAL">#REF!</definedName>
    <definedName name="trc_Y2SharesOutDIL">#REF!</definedName>
    <definedName name="trc_Y2SharesOutWA">#REF!</definedName>
    <definedName name="Trc_Y2SharesOwn">#REF!</definedName>
    <definedName name="Trc_Y2SharesPref">#REF!</definedName>
    <definedName name="Trc_Y2SharesPremium">#REF!</definedName>
    <definedName name="Trc_Y2SharesTotCap">#REF!</definedName>
    <definedName name="Trc_Y2SlsAsia">#REF!</definedName>
    <definedName name="Trc_Y2SlsByMarket">#REF!</definedName>
    <definedName name="Trc_Y2SlsEurope">#REF!</definedName>
    <definedName name="Trc_Y2SlsHM">#REF!</definedName>
    <definedName name="Trc_Y2SlsIntraGroup">#REF!</definedName>
    <definedName name="Trc_Y2SlsJapan">#REF!</definedName>
    <definedName name="Trc_Y2SlsMideast">#REF!</definedName>
    <definedName name="Trc_Y2SlsNAM">#REF!</definedName>
    <definedName name="Trc_Y2SlsRestWorld">#REF!</definedName>
    <definedName name="Trc_Y2SlsSoEast">#REF!</definedName>
    <definedName name="trc_Y2StaffCost">#REF!</definedName>
    <definedName name="Trc_Y2Stocks">#REF!</definedName>
    <definedName name="Trc_Y2StocksChangeNC">#REF!</definedName>
    <definedName name="trc_Y2Subscribers">#REF!</definedName>
    <definedName name="Trc_Y2TanAssChange">#REF!</definedName>
    <definedName name="trc_Y2TanAssLeased">#REF!</definedName>
    <definedName name="trc_Y2TanFixAssOthGr">#REF!</definedName>
    <definedName name="trc_Y2TanFixAssOthNe">#REF!</definedName>
    <definedName name="trc_Y2TanFixAssTotNe">#REF!</definedName>
    <definedName name="trc_Y2TargetPriceFin">#REF!</definedName>
    <definedName name="trc_Y2TargetRtrn">#REF!</definedName>
    <definedName name="trc_Y2Tax">#REF!</definedName>
    <definedName name="Trc_Y2TaxCL">#REF!</definedName>
    <definedName name="Trc_Y2TaxFD">#REF!</definedName>
    <definedName name="trc_Y2TotAftTaxI">#REF!</definedName>
    <definedName name="trc_Y2TotalAssets">#REF!</definedName>
    <definedName name="trc_Y2TotalBM">#REF!</definedName>
    <definedName name="trc_Y2TotalDeprAM">#REF!</definedName>
    <definedName name="trc_Y2TotalFinExp">#REF!</definedName>
    <definedName name="trc_Y2TotalFinInc">#REF!</definedName>
    <definedName name="trc_Y2TotalGM">#REF!</definedName>
    <definedName name="trc_Y2TotDefLTLiab">#REF!</definedName>
    <definedName name="trc_Y2TotDividends">#REF!</definedName>
    <definedName name="trc_Y2TradeCreditors">#REF!</definedName>
    <definedName name="trc_Y2TradeInv">#REF!</definedName>
    <definedName name="trc_Y2TradingInc">#REF!</definedName>
    <definedName name="Trc_Y2WCAdjOth">#REF!</definedName>
    <definedName name="trc_y2Year">#REF!</definedName>
    <definedName name="trc_Y3Accruals">#REF!</definedName>
    <definedName name="Trc_Y3AcquisDisp">#REF!</definedName>
    <definedName name="trc_Y3AcquisGW">#REF!</definedName>
    <definedName name="trc_Y3AmortGW">#REF!</definedName>
    <definedName name="trc_Y3AmortGWAftTax">#REF!</definedName>
    <definedName name="Trc_Y3AmortGWFA">#REF!</definedName>
    <definedName name="trc_Y3AmortOth">#REF!</definedName>
    <definedName name="trc_Y3AnnounceDate">#REF!</definedName>
    <definedName name="trc_Y3ARPU">#REF!</definedName>
    <definedName name="trc_Y3ASP">#REF!</definedName>
    <definedName name="Trc_Y3AssDisp">#REF!</definedName>
    <definedName name="trc_Y3AssetMngmnt">#REF!</definedName>
    <definedName name="trc_Y3AssocAftTax">#REF!</definedName>
    <definedName name="trc_Y3AssocB4Tax">#REF!</definedName>
    <definedName name="trc_Y3AssocCoCEM">#REF!</definedName>
    <definedName name="Trc_Y3AssOth">#REF!</definedName>
    <definedName name="Trc_Y3AssTotNet">#REF!</definedName>
    <definedName name="trc_Y3BadDebCharge">#REF!</definedName>
    <definedName name="trc_Y3BoANetProfit">#REF!</definedName>
    <definedName name="trc_Y3BoANormEPS">#REF!</definedName>
    <definedName name="trc_Y3BoANormPTP">#REF!</definedName>
    <definedName name="trc_Y3BookValue">#REF!</definedName>
    <definedName name="trc_Y3CapExp">#REF!</definedName>
    <definedName name="trc_Y3CapitalGains">#REF!</definedName>
    <definedName name="Trc_Y3CashB4Finance">#REF!</definedName>
    <definedName name="trc_Y3CashDebtCh">#REF!</definedName>
    <definedName name="trc_Y3CashEqChange">#REF!</definedName>
    <definedName name="trc_Y3CashFlowFDTo">#REF!</definedName>
    <definedName name="trc_Y3CashNear">#REF!</definedName>
    <definedName name="trc_Y3CashPS">#REF!</definedName>
    <definedName name="trc_Y3CogsRep">#REF!</definedName>
    <definedName name="trc_Y3CommitOther">#REF!</definedName>
    <definedName name="trc_Y3CorpsLarge">#REF!</definedName>
    <definedName name="Trc_Y3CreditorChange">#REF!</definedName>
    <definedName name="Trc_Y3CurrAssNet">#REF!</definedName>
    <definedName name="trc_Y3CurrAssOth">#REF!</definedName>
    <definedName name="trc_Y3CurrAssTot">#REF!</definedName>
    <definedName name="trc_Y3CurrInvest">#REF!</definedName>
    <definedName name="Trc_Y3CurrLiabOth">#REF!</definedName>
    <definedName name="Trc_Y3CurrLiabTot">#REF!</definedName>
    <definedName name="trc_Y3CurrTax">#REF!</definedName>
    <definedName name="Trc_Y3Debt">#REF!</definedName>
    <definedName name="Trc_Y3DebtAdjCflow">#REF!</definedName>
    <definedName name="Trc_Y3DebtorsChange">#REF!</definedName>
    <definedName name="trc_Y3DebtOth">#REF!</definedName>
    <definedName name="trc_Y3DebtTot">#REF!</definedName>
    <definedName name="trc_Y3DefLiabOth">#REF!</definedName>
    <definedName name="trc_Y3DefTax">#REF!</definedName>
    <definedName name="trc_Y3Deposits">#REF!</definedName>
    <definedName name="Trc_Y3DeprecAmort">#REF!</definedName>
    <definedName name="trc_Y3Depreciation">#REF!</definedName>
    <definedName name="Trc_Y3DepreciationFA">#REF!</definedName>
    <definedName name="trc_Y3DevCostsNet">#REF!</definedName>
    <definedName name="trc_Y3DiffRevenues">#REF!</definedName>
    <definedName name="trc_Y3DiscOper">#REF!</definedName>
    <definedName name="Trc_Y3DiscOperNC">#REF!</definedName>
    <definedName name="Trc_Y3Div2Equity">#REF!</definedName>
    <definedName name="trc_Y3Dividend">#REF!</definedName>
    <definedName name="Trc_Y3Dividends">#REF!</definedName>
    <definedName name="Trc_Y3DivOth">#REF!</definedName>
    <definedName name="trc_Y3Domestic">#REF!</definedName>
    <definedName name="trc_Y3DPSGross">#REF!</definedName>
    <definedName name="trc_Y3DPSGrossAdj">#REF!</definedName>
    <definedName name="trc_Y3DPSNet">#REF!</definedName>
    <definedName name="trc_Y3DPSNetAdj">#REF!</definedName>
    <definedName name="trc_Y3DSO">#REF!</definedName>
    <definedName name="trc_Y3EBIT">#REF!</definedName>
    <definedName name="trc_Y3EBITAG">#REF!</definedName>
    <definedName name="trc_Y3EBITDa">#REF!</definedName>
    <definedName name="trc_Y3EBITDAAM">#REF!</definedName>
    <definedName name="trc_Y3Employees">#REF!</definedName>
    <definedName name="trc_Y3EPSActNetIIMR">#REF!</definedName>
    <definedName name="trc_Y3EpsAdj">#REF!</definedName>
    <definedName name="trc_Y3EPSDil">#REF!</definedName>
    <definedName name="trc_Y3EPSRep">#REF!</definedName>
    <definedName name="trc_Y3EquityCost">#REF!</definedName>
    <definedName name="trc_Y3EquityExc">#REF!</definedName>
    <definedName name="Trc_Y3EquityTot">#REF!</definedName>
    <definedName name="trc_Y3ExceptItem">#REF!</definedName>
    <definedName name="trc_Y3Exploration">#REF!</definedName>
    <definedName name="trc_Y3ExtraordItem">#REF!</definedName>
    <definedName name="trc_Y3ExtraordOth">#REF!</definedName>
    <definedName name="trc_Y3FeeInc">#REF!</definedName>
    <definedName name="trc_Y3FinanceCharge">#REF!</definedName>
    <definedName name="trc_Y3FinAssOth">#REF!</definedName>
    <definedName name="trc_Y3FinAssTot">#REF!</definedName>
    <definedName name="trc_Y3FinInflowTot">#REF!</definedName>
    <definedName name="trc_Y3FixAssTotNet">#REF!</definedName>
    <definedName name="trc_Y3FixAssUncl">#REF!</definedName>
    <definedName name="Trc_Y3FreeCashFlow">#REF!</definedName>
    <definedName name="trc_Y3FreeFloat">#REF!</definedName>
    <definedName name="trc_Y3FyEndDate">#REF!</definedName>
    <definedName name="trc_Y3GenAdmin">#REF!</definedName>
    <definedName name="trc_Y3GrossProfit">#REF!</definedName>
    <definedName name="trc_Y3HeldAssResale">#REF!</definedName>
    <definedName name="trc_Y3HoldInd">#REF!</definedName>
    <definedName name="Trc_Y3IIRChange">#REF!</definedName>
    <definedName name="Trc_Y3InflowOperCash">#REF!</definedName>
    <definedName name="Trc_Y3InflowOth">#REF!</definedName>
    <definedName name="Trc_Y3InflowOthFI">#REF!</definedName>
    <definedName name="Trc_Y3IntAssChange">#REF!</definedName>
    <definedName name="trc_Y3IntAssOth">#REF!</definedName>
    <definedName name="Trc_Y3IntDivOth">#REF!</definedName>
    <definedName name="trc_Y3InterestExp">#REF!</definedName>
    <definedName name="trc_Y3InterestIncome">#REF!</definedName>
    <definedName name="trc_Y3IntFixAssTotNe">#REF!</definedName>
    <definedName name="trc_Y3InvBanking">#REF!</definedName>
    <definedName name="trc_Y3InvestIncome">#REF!</definedName>
    <definedName name="trc_Y3InvestTotal">#REF!</definedName>
    <definedName name="Trc_Y3InvOthChange">#REF!</definedName>
    <definedName name="trc_Y3LiabTotNet">#REF!</definedName>
    <definedName name="trc_Y3LifeIns">#REF!</definedName>
    <definedName name="Trc_Y3LiqFundMove">#REF!</definedName>
    <definedName name="trc_Y3Loans">#REF!</definedName>
    <definedName name="trc_Y3LoansIG">#REF!</definedName>
    <definedName name="trc_Y3LoansLT">#REF!</definedName>
    <definedName name="trc_Y3LoansST">#REF!</definedName>
    <definedName name="trc_Y3LTDebtors">#REF!</definedName>
    <definedName name="trc_Y3LTLiabOth">#REF!</definedName>
    <definedName name="trc_Y3ManLiqResFin">#REF!</definedName>
    <definedName name="trc_Y3MarketDev">#REF!</definedName>
    <definedName name="trc_Y3MarketEmerg">#REF!</definedName>
    <definedName name="trc_Y3MinorityIntBS">#REF!</definedName>
    <definedName name="trc_Y3MinorityIntPL">#REF!</definedName>
    <definedName name="trc_Y3MisPriceCur">#REF!</definedName>
    <definedName name="trc_Y3NAVPS">#REF!</definedName>
    <definedName name="trc_Y3NetAssets">#REF!</definedName>
    <definedName name="Trc_Y3NetDebt">#REF!</definedName>
    <definedName name="trc_Y3NetDebtBS">#REF!</definedName>
    <definedName name="Trc_Y3NetDebtMove">#REF!</definedName>
    <definedName name="trc_Y3NetFinancial">#REF!</definedName>
    <definedName name="trc_Y3NetGW">#REF!</definedName>
    <definedName name="trc_Y3NetIntInc">#REF!</definedName>
    <definedName name="Trc_Y3NonCashAdjTot">#REF!</definedName>
    <definedName name="Trc_Y3NonCashOth">#REF!</definedName>
    <definedName name="trc_Y3NonLifeIns">#REF!</definedName>
    <definedName name="trc_Y3NormNetPft">#REF!</definedName>
    <definedName name="trc_Y3NormPftAftTax">#REF!</definedName>
    <definedName name="trc_Y3NormTax">#REF!</definedName>
    <definedName name="trc_Y3OperCostOther">#REF!</definedName>
    <definedName name="trc_Y3OperCostXDA">#REF!</definedName>
    <definedName name="trc_Y3OperIncOther">#REF!</definedName>
    <definedName name="trc_Y3OtherAftTax">#REF!</definedName>
    <definedName name="trc_Y3OtherCharges">#REF!</definedName>
    <definedName name="trc_Y3OtherGW">#REF!</definedName>
    <definedName name="trc_Y3OtherIncome">#REF!</definedName>
    <definedName name="trc_Y3OtherInvest">#REF!</definedName>
    <definedName name="trc_Y3OthPretaxAdj">#REF!</definedName>
    <definedName name="trc_Y3OthTax">#REF!</definedName>
    <definedName name="trc_Y3OtTotPreTaxI">#REF!</definedName>
    <definedName name="Trc_Y3PbtAsia">#REF!</definedName>
    <definedName name="Trc_Y3PbtByMarket">#REF!</definedName>
    <definedName name="Trc_Y3PbtEurope">#REF!</definedName>
    <definedName name="Trc_Y3PbtHM">#REF!</definedName>
    <definedName name="Trc_Y3PbtIntraGroup">#REF!</definedName>
    <definedName name="Trc_Y3PbtJapan">#REF!</definedName>
    <definedName name="Trc_Y3PbtMideast">#REF!</definedName>
    <definedName name="Trc_Y3PbtNAM">#REF!</definedName>
    <definedName name="Trc_Y3PbtRestWorld">#REF!</definedName>
    <definedName name="Trc_Y3PbtSoEast">#REF!</definedName>
    <definedName name="trc_Y3PBVFair">#REF!</definedName>
    <definedName name="trc_Y3PensIncom">#REF!</definedName>
    <definedName name="trc_Y3PensProv">#REF!</definedName>
    <definedName name="trc_Y3PPDebtors">#REF!</definedName>
    <definedName name="trc_Y3PrefDiv">#REF!</definedName>
    <definedName name="trc_Y3PreTaxAdj">#REF!</definedName>
    <definedName name="trc_Y3PriceFair">#REF!</definedName>
    <definedName name="trc_Y3ProfitAftTax">#REF!</definedName>
    <definedName name="Trc_Y3ProfitCashFlow">#REF!</definedName>
    <definedName name="trc_Y3ProfitNet">#REF!</definedName>
    <definedName name="trc_Y3ProfitNetIIMR">#REF!</definedName>
    <definedName name="trc_Y3ProfitPreTax">#REF!</definedName>
    <definedName name="trc_Y3ProfitRet">#REF!</definedName>
    <definedName name="trc_Y3PropertyNet">#REF!</definedName>
    <definedName name="trc_Y3Provisions">#REF!</definedName>
    <definedName name="trc_Y3ProvisionsST">#REF!</definedName>
    <definedName name="trc_Y3PVdivs">#REF!</definedName>
    <definedName name="trc_Y3PVNAV">#REF!</definedName>
    <definedName name="trc_Y3RD">#REF!</definedName>
    <definedName name="trc_Y3Reinsurance">#REF!</definedName>
    <definedName name="Trc_Y3ReserveEqOth">#REF!</definedName>
    <definedName name="Trc_Y3ReserveGW">#REF!</definedName>
    <definedName name="Trc_Y3ReserveLegal">#REF!</definedName>
    <definedName name="Trc_Y3ReserveMGR">#REF!</definedName>
    <definedName name="trc_Y3Retail">#REF!</definedName>
    <definedName name="trc_Y3Revenue">#REF!</definedName>
    <definedName name="trc_Y3ROEAdj">#REF!</definedName>
    <definedName name="trc_Y3ROENormal">#REF!</definedName>
    <definedName name="trc_Y3SGA">#REF!</definedName>
    <definedName name="Trc_Y3ShareCapital">#REF!</definedName>
    <definedName name="trc_Y3SharesDilYE">#REF!</definedName>
    <definedName name="trc_Y3SharesOrd">#REF!</definedName>
    <definedName name="Trc_Y3SharesOthEq">#REF!</definedName>
    <definedName name="trc_Y3SharesOutBAL">#REF!</definedName>
    <definedName name="trc_Y3SharesOutDIL">#REF!</definedName>
    <definedName name="trc_Y3SharesOutWA">#REF!</definedName>
    <definedName name="Trc_Y3SharesOwn">#REF!</definedName>
    <definedName name="Trc_Y3SharesPref">#REF!</definedName>
    <definedName name="Trc_Y3SharesPremium">#REF!</definedName>
    <definedName name="Trc_Y3SharesTotCap">#REF!</definedName>
    <definedName name="Trc_Y3SlsAsia">#REF!</definedName>
    <definedName name="Trc_Y3SlsByMarket">#REF!</definedName>
    <definedName name="Trc_Y3SlsEurope">#REF!</definedName>
    <definedName name="Trc_Y3SlsHM">#REF!</definedName>
    <definedName name="Trc_Y3SlsIntraGroup">#REF!</definedName>
    <definedName name="Trc_Y3SlsJapan">#REF!</definedName>
    <definedName name="Trc_Y3SlsMideast">#REF!</definedName>
    <definedName name="Trc_Y3SlsNAM">#REF!</definedName>
    <definedName name="Trc_Y3SlsRestWorld">#REF!</definedName>
    <definedName name="Trc_Y3SlsSoEast">#REF!</definedName>
    <definedName name="trc_Y3StaffCost">#REF!</definedName>
    <definedName name="Trc_Y3Stocks">#REF!</definedName>
    <definedName name="Trc_Y3StocksChangeNC">#REF!</definedName>
    <definedName name="trc_Y3Subscribers">#REF!</definedName>
    <definedName name="Trc_Y3TanAssChange">#REF!</definedName>
    <definedName name="trc_Y3TanAssLeased">#REF!</definedName>
    <definedName name="trc_Y3TanFixAssOthGr">#REF!</definedName>
    <definedName name="trc_Y3TanFixAssOthNe">#REF!</definedName>
    <definedName name="trc_Y3TanFixAssTotNe">#REF!</definedName>
    <definedName name="trc_Y3TargetPriceFin">#REF!</definedName>
    <definedName name="trc_Y3TargetRtrn">#REF!</definedName>
    <definedName name="trc_Y3Tax">#REF!</definedName>
    <definedName name="Trc_Y3TaxCL">#REF!</definedName>
    <definedName name="Trc_Y3TaxFD">#REF!</definedName>
    <definedName name="trc_Y3TotAftTaxI">#REF!</definedName>
    <definedName name="trc_Y3TotalAssets">#REF!</definedName>
    <definedName name="trc_Y3TotalBM">#REF!</definedName>
    <definedName name="trc_Y3TotalDeprAM">#REF!</definedName>
    <definedName name="trc_Y3TotalFinExp">#REF!</definedName>
    <definedName name="trc_Y3TotalFinInc">#REF!</definedName>
    <definedName name="trc_Y3TotalGM">#REF!</definedName>
    <definedName name="trc_Y3TotDefLTLiab">#REF!</definedName>
    <definedName name="trc_Y3TotDividends">#REF!</definedName>
    <definedName name="trc_Y3TradeCreditors">#REF!</definedName>
    <definedName name="trc_Y3TradeInv">#REF!</definedName>
    <definedName name="trc_Y3TradingInc">#REF!</definedName>
    <definedName name="Trc_Y3WCAdjOth">#REF!</definedName>
    <definedName name="trc_y3Year">#REF!</definedName>
    <definedName name="trc_Y4Accruals">#REF!</definedName>
    <definedName name="Trc_Y4AcquisDisp">#REF!</definedName>
    <definedName name="trc_Y4AcquisGW">#REF!</definedName>
    <definedName name="trc_Y4AmortGW">#REF!</definedName>
    <definedName name="trc_Y4AmortGWAftTax">#REF!</definedName>
    <definedName name="Trc_Y4AmortGWFA">#REF!</definedName>
    <definedName name="trc_Y4AmortOth">#REF!</definedName>
    <definedName name="trc_Y4AnnounceDate">#REF!</definedName>
    <definedName name="trc_Y4ARPU">#REF!</definedName>
    <definedName name="trc_Y4ASP">#REF!</definedName>
    <definedName name="Trc_Y4AssDisp">#REF!</definedName>
    <definedName name="trc_Y4AssetMngmnt">#REF!</definedName>
    <definedName name="trc_Y4AssocAftTax">#REF!</definedName>
    <definedName name="trc_Y4AssocB4Tax">#REF!</definedName>
    <definedName name="trc_Y4AssocCoCEM">#REF!</definedName>
    <definedName name="Trc_Y4AssOth">#REF!</definedName>
    <definedName name="Trc_Y4AssTotNet">#REF!</definedName>
    <definedName name="trc_Y4BadDebCharge">#REF!</definedName>
    <definedName name="trc_Y4BoANetProfit">#REF!</definedName>
    <definedName name="trc_Y4BoANormEPS">#REF!</definedName>
    <definedName name="trc_Y4BoANormPTP">#REF!</definedName>
    <definedName name="trc_Y4BookValue">#REF!</definedName>
    <definedName name="trc_Y4CapExp">#REF!</definedName>
    <definedName name="trc_Y4CapitalGains">#REF!</definedName>
    <definedName name="Trc_Y4CashB4Finance">#REF!</definedName>
    <definedName name="trc_Y4CashDebtCh">#REF!</definedName>
    <definedName name="trc_Y4CashEqChange">#REF!</definedName>
    <definedName name="trc_Y4CashFlowFDTo">#REF!</definedName>
    <definedName name="trc_Y4CashNear">#REF!</definedName>
    <definedName name="trc_Y4CashPS">#REF!</definedName>
    <definedName name="trc_Y4CogsRep">#REF!</definedName>
    <definedName name="trc_Y4CommitOther">#REF!</definedName>
    <definedName name="trc_Y4CorpsLarge">#REF!</definedName>
    <definedName name="Trc_Y4CreditorChange">#REF!</definedName>
    <definedName name="Trc_Y4CurrAssNet">#REF!</definedName>
    <definedName name="trc_Y4CurrAssOth">#REF!</definedName>
    <definedName name="trc_Y4CurrAssTot">#REF!</definedName>
    <definedName name="trc_Y4CurrInvest">#REF!</definedName>
    <definedName name="Trc_Y4CurrLiabOth">#REF!</definedName>
    <definedName name="Trc_Y4CurrLiabTot">#REF!</definedName>
    <definedName name="trc_Y4CurrTax">#REF!</definedName>
    <definedName name="Trc_Y4Debt">#REF!</definedName>
    <definedName name="Trc_Y4DebtAdjCflow">#REF!</definedName>
    <definedName name="Trc_Y4DebtorsChange">#REF!</definedName>
    <definedName name="trc_Y4DebtOth">#REF!</definedName>
    <definedName name="trc_Y4DebtTot">#REF!</definedName>
    <definedName name="trc_Y4DefLiabOth">#REF!</definedName>
    <definedName name="trc_Y4DefTax">#REF!</definedName>
    <definedName name="trc_Y4Deposits">#REF!</definedName>
    <definedName name="Trc_Y4DeprecAmort">#REF!</definedName>
    <definedName name="trc_Y4Depreciation">#REF!</definedName>
    <definedName name="Trc_Y4DepreciationFA">#REF!</definedName>
    <definedName name="trc_Y4DevCostsNet">#REF!</definedName>
    <definedName name="trc_Y4DiffRevenues">#REF!</definedName>
    <definedName name="trc_Y4DiscOper">#REF!</definedName>
    <definedName name="Trc_Y4DiscOperNC">#REF!</definedName>
    <definedName name="Trc_Y4Div2Equity">#REF!</definedName>
    <definedName name="trc_Y4Dividend">#REF!</definedName>
    <definedName name="Trc_Y4Dividends">#REF!</definedName>
    <definedName name="Trc_Y4DivOth">#REF!</definedName>
    <definedName name="trc_Y4Domestic">#REF!</definedName>
    <definedName name="trc_Y4DPSGross">#REF!</definedName>
    <definedName name="trc_Y4DPSGrossAdj">#REF!</definedName>
    <definedName name="trc_Y4DPSNet">#REF!</definedName>
    <definedName name="trc_Y4DPSNetAdj">#REF!</definedName>
    <definedName name="trc_Y4DSO">#REF!</definedName>
    <definedName name="trc_Y4EBIT">#REF!</definedName>
    <definedName name="trc_Y4EBITAG">#REF!</definedName>
    <definedName name="trc_Y4EBITDa">#REF!</definedName>
    <definedName name="trc_Y4EBITDAAM">#REF!</definedName>
    <definedName name="trc_Y4Employees">#REF!</definedName>
    <definedName name="trc_Y4EPSActNetIIMR">#REF!</definedName>
    <definedName name="trc_Y4EpsAdj">#REF!</definedName>
    <definedName name="trc_Y4EPSDil">#REF!</definedName>
    <definedName name="trc_Y4EPSRep">#REF!</definedName>
    <definedName name="trc_Y4EquityCost">#REF!</definedName>
    <definedName name="trc_Y4EquityExc">#REF!</definedName>
    <definedName name="Trc_Y4EquityTot">#REF!</definedName>
    <definedName name="trc_Y4ExceptItem">#REF!</definedName>
    <definedName name="trc_Y4Exploration">#REF!</definedName>
    <definedName name="trc_Y4ExtraordItem">#REF!</definedName>
    <definedName name="trc_Y4ExtraordOth">#REF!</definedName>
    <definedName name="trc_Y4FeeInc">#REF!</definedName>
    <definedName name="trc_Y4FinanceCharge">#REF!</definedName>
    <definedName name="trc_Y4FinAssOth">#REF!</definedName>
    <definedName name="trc_Y4FinAssTot">#REF!</definedName>
    <definedName name="trc_Y4FinInflowTot">#REF!</definedName>
    <definedName name="trc_Y4FixAssTotNet">#REF!</definedName>
    <definedName name="trc_Y4FixAssUncl">#REF!</definedName>
    <definedName name="Trc_Y4FreeCashFlow">#REF!</definedName>
    <definedName name="trc_Y4FreeFloat">#REF!</definedName>
    <definedName name="trc_Y4FyEndDate">#REF!</definedName>
    <definedName name="trc_Y4GenAdmin">#REF!</definedName>
    <definedName name="trc_Y4GrossProfit">#REF!</definedName>
    <definedName name="trc_Y4HeldAssResale">#REF!</definedName>
    <definedName name="trc_Y4HoldInd">#REF!</definedName>
    <definedName name="Trc_Y4IIRChange">#REF!</definedName>
    <definedName name="Trc_Y4InflowOperCash">#REF!</definedName>
    <definedName name="Trc_Y4InflowOth">#REF!</definedName>
    <definedName name="Trc_Y4InflowOthFI">#REF!</definedName>
    <definedName name="Trc_Y4IntAssChange">#REF!</definedName>
    <definedName name="trc_Y4IntAssOth">#REF!</definedName>
    <definedName name="Trc_Y4IntDivOth">#REF!</definedName>
    <definedName name="trc_Y4InterestExp">#REF!</definedName>
    <definedName name="trc_Y4InterestIncome">#REF!</definedName>
    <definedName name="trc_Y4IntFixAssTotNe">#REF!</definedName>
    <definedName name="trc_Y4InvBanking">#REF!</definedName>
    <definedName name="trc_Y4InvestIncome">#REF!</definedName>
    <definedName name="trc_Y4InvestTotal">#REF!</definedName>
    <definedName name="Trc_Y4InvOthChange">#REF!</definedName>
    <definedName name="trc_Y4LiabTotNet">#REF!</definedName>
    <definedName name="trc_Y4LifeIns">#REF!</definedName>
    <definedName name="Trc_Y4LiqFundMove">#REF!</definedName>
    <definedName name="trc_Y4Loans">#REF!</definedName>
    <definedName name="trc_Y4LoansIG">#REF!</definedName>
    <definedName name="trc_Y4LoansLT">#REF!</definedName>
    <definedName name="trc_Y4LoansST">#REF!</definedName>
    <definedName name="trc_Y4LTDebtors">#REF!</definedName>
    <definedName name="trc_Y4LTLiabOth">#REF!</definedName>
    <definedName name="trc_Y4ManLiqResFin">#REF!</definedName>
    <definedName name="trc_Y4MarketDev">#REF!</definedName>
    <definedName name="trc_Y4MarketEmerg">#REF!</definedName>
    <definedName name="trc_Y4MinorityIntBS">#REF!</definedName>
    <definedName name="trc_Y4MinorityIntPL">#REF!</definedName>
    <definedName name="trc_Y4MisPriceCur">#REF!</definedName>
    <definedName name="trc_Y4NAVPS">#REF!</definedName>
    <definedName name="trc_Y4NetAssets">#REF!</definedName>
    <definedName name="Trc_Y4NetDebt">#REF!</definedName>
    <definedName name="trc_Y4NetDebtBS">#REF!</definedName>
    <definedName name="Trc_Y4NetDebtMove">#REF!</definedName>
    <definedName name="trc_Y4NetFinancial">#REF!</definedName>
    <definedName name="trc_Y4NetGW">#REF!</definedName>
    <definedName name="trc_Y4NetIntInc">#REF!</definedName>
    <definedName name="Trc_Y4NonCashAdjTot">#REF!</definedName>
    <definedName name="Trc_Y4NonCashOth">#REF!</definedName>
    <definedName name="trc_Y4NonLifeIns">#REF!</definedName>
    <definedName name="trc_Y4NormNetPft">#REF!</definedName>
    <definedName name="trc_Y4NormPftAftTax">#REF!</definedName>
    <definedName name="trc_Y4NormTax">#REF!</definedName>
    <definedName name="trc_Y4OperCostOther">#REF!</definedName>
    <definedName name="trc_Y4OperCostXDA">#REF!</definedName>
    <definedName name="trc_Y4OperIncOther">#REF!</definedName>
    <definedName name="trc_Y4OtherAftTax">#REF!</definedName>
    <definedName name="trc_Y4OtherCharges">#REF!</definedName>
    <definedName name="trc_Y4OtherGW">#REF!</definedName>
    <definedName name="trc_Y4OtherIncome">#REF!</definedName>
    <definedName name="trc_Y4OtherInvest">#REF!</definedName>
    <definedName name="trc_Y4OthPretaxAdj">#REF!</definedName>
    <definedName name="trc_Y4OthTax">#REF!</definedName>
    <definedName name="trc_Y4OtTotPreTaxI">#REF!</definedName>
    <definedName name="Trc_Y4PbtAsia">#REF!</definedName>
    <definedName name="Trc_Y4PbtByMarket">#REF!</definedName>
    <definedName name="Trc_Y4PbtEurope">#REF!</definedName>
    <definedName name="Trc_Y4PbtHM">#REF!</definedName>
    <definedName name="Trc_Y4PbtIntraGroup">#REF!</definedName>
    <definedName name="Trc_Y4PbtJapan">#REF!</definedName>
    <definedName name="Trc_Y4PbtMideast">#REF!</definedName>
    <definedName name="Trc_Y4PbtNAM">#REF!</definedName>
    <definedName name="Trc_Y4PbtRestWorld">#REF!</definedName>
    <definedName name="Trc_Y4PbtSoEast">#REF!</definedName>
    <definedName name="trc_Y4PBVFair">#REF!</definedName>
    <definedName name="trc_Y4PensIncom">#REF!</definedName>
    <definedName name="trc_Y4PensProv">#REF!</definedName>
    <definedName name="trc_Y4PPDebtors">#REF!</definedName>
    <definedName name="trc_Y4PrefDiv">#REF!</definedName>
    <definedName name="trc_Y4PreTaxAdj">#REF!</definedName>
    <definedName name="trc_Y4PriceFair">#REF!</definedName>
    <definedName name="trc_Y4ProfitAftTax">#REF!</definedName>
    <definedName name="Trc_Y4ProfitCashFlow">#REF!</definedName>
    <definedName name="trc_Y4ProfitNet">#REF!</definedName>
    <definedName name="trc_Y4ProfitNetIIMR">#REF!</definedName>
    <definedName name="trc_Y4ProfitPreTax">#REF!</definedName>
    <definedName name="trc_Y4ProfitRet">#REF!</definedName>
    <definedName name="trc_Y4PropertyNet">#REF!</definedName>
    <definedName name="trc_Y4Provisions">#REF!</definedName>
    <definedName name="trc_Y4ProvisionsST">#REF!</definedName>
    <definedName name="trc_Y4PVdivs">#REF!</definedName>
    <definedName name="trc_Y4PVNAV">#REF!</definedName>
    <definedName name="trc_Y4RD">#REF!</definedName>
    <definedName name="trc_Y4Reinsurance">#REF!</definedName>
    <definedName name="Trc_Y4ReserveEqOth">#REF!</definedName>
    <definedName name="Trc_Y4ReserveGW">#REF!</definedName>
    <definedName name="Trc_Y4ReserveLegal">#REF!</definedName>
    <definedName name="Trc_Y4ReserveMGR">#REF!</definedName>
    <definedName name="trc_Y4Retail">#REF!</definedName>
    <definedName name="trc_Y4Revenue">#REF!</definedName>
    <definedName name="trc_Y4ROEAdj">#REF!</definedName>
    <definedName name="trc_Y4ROENormal">#REF!</definedName>
    <definedName name="trc_Y4SGA">#REF!</definedName>
    <definedName name="Trc_Y4ShareCapital">#REF!</definedName>
    <definedName name="trc_Y4SharesDilYE">#REF!</definedName>
    <definedName name="trc_Y4SharesOrd">#REF!</definedName>
    <definedName name="Trc_Y4SharesOthEq">#REF!</definedName>
    <definedName name="trc_Y4SharesOutBAL">#REF!</definedName>
    <definedName name="trc_Y4SharesOutDIL">#REF!</definedName>
    <definedName name="trc_Y4SharesOutWA">#REF!</definedName>
    <definedName name="Trc_Y4SharesOwn">#REF!</definedName>
    <definedName name="Trc_Y4SharesPref">#REF!</definedName>
    <definedName name="Trc_Y4SharesPremium">#REF!</definedName>
    <definedName name="Trc_Y4SharesTotCap">#REF!</definedName>
    <definedName name="Trc_Y4SlsAsia">#REF!</definedName>
    <definedName name="Trc_Y4SlsByMarket">#REF!</definedName>
    <definedName name="Trc_Y4SlsEurope">#REF!</definedName>
    <definedName name="Trc_Y4SlsHM">#REF!</definedName>
    <definedName name="Trc_Y4SlsIntraGroup">#REF!</definedName>
    <definedName name="Trc_Y4SlsJapan">#REF!</definedName>
    <definedName name="Trc_Y4SlsMideast">#REF!</definedName>
    <definedName name="Trc_Y4SlsNAM">#REF!</definedName>
    <definedName name="Trc_Y4SlsRestWorld">#REF!</definedName>
    <definedName name="Trc_Y4SlsSoEast">#REF!</definedName>
    <definedName name="trc_Y4StaffCost">#REF!</definedName>
    <definedName name="Trc_Y4Stocks">#REF!</definedName>
    <definedName name="Trc_Y4StocksChangeNC">#REF!</definedName>
    <definedName name="trc_Y4Subscribers">#REF!</definedName>
    <definedName name="Trc_Y4TanAssChange">#REF!</definedName>
    <definedName name="trc_Y4TanAssLeased">#REF!</definedName>
    <definedName name="trc_Y4TanFixAssOthGr">#REF!</definedName>
    <definedName name="trc_Y4TanFixAssOthNe">#REF!</definedName>
    <definedName name="trc_Y4TanFixAssTotNe">#REF!</definedName>
    <definedName name="trc_Y4TargetPriceFin">#REF!</definedName>
    <definedName name="trc_Y4TargetRtrn">#REF!</definedName>
    <definedName name="trc_Y4Tax">#REF!</definedName>
    <definedName name="Trc_Y4TaxCL">#REF!</definedName>
    <definedName name="Trc_Y4TaxFD">#REF!</definedName>
    <definedName name="trc_Y4TotAftTaxI">#REF!</definedName>
    <definedName name="trc_Y4TotalAssets">#REF!</definedName>
    <definedName name="trc_Y4TotalBM">#REF!</definedName>
    <definedName name="trc_Y4TotalDeprAM">#REF!</definedName>
    <definedName name="trc_Y4TotalFinExp">#REF!</definedName>
    <definedName name="trc_Y4TotalFinInc">#REF!</definedName>
    <definedName name="trc_Y4TotalGM">#REF!</definedName>
    <definedName name="trc_Y4TotDefLTLiab">#REF!</definedName>
    <definedName name="trc_Y4TotDividends">#REF!</definedName>
    <definedName name="trc_Y4TradeCreditors">#REF!</definedName>
    <definedName name="trc_Y4TradeInv">#REF!</definedName>
    <definedName name="trc_Y4TradingInc">#REF!</definedName>
    <definedName name="Trc_Y4WCAdjOth">#REF!</definedName>
    <definedName name="trc_y4Year">#REF!</definedName>
    <definedName name="trc_Y5Accruals">#REF!</definedName>
    <definedName name="Trc_Y5AcquisDisp">#REF!</definedName>
    <definedName name="trc_Y5AcquisGW">#REF!</definedName>
    <definedName name="trc_Y5AmortGW">#REF!</definedName>
    <definedName name="trc_Y5AmortGWAftTax">#REF!</definedName>
    <definedName name="Trc_Y5AmortGWFA">#REF!</definedName>
    <definedName name="trc_Y5AmortOth">#REF!</definedName>
    <definedName name="trc_Y5AnnounceDate">#REF!</definedName>
    <definedName name="trc_Y5ARPU">#REF!</definedName>
    <definedName name="trc_Y5ASP">#REF!</definedName>
    <definedName name="Trc_Y5AssDisp">#REF!</definedName>
    <definedName name="trc_Y5AssetMngmnt">#REF!</definedName>
    <definedName name="trc_Y5AssocAftTax">#REF!</definedName>
    <definedName name="trc_Y5AssocB4Tax">#REF!</definedName>
    <definedName name="trc_Y5AssocCoCEM">#REF!</definedName>
    <definedName name="Trc_Y5AssOth">#REF!</definedName>
    <definedName name="Trc_Y5AssTotNet">#REF!</definedName>
    <definedName name="trc_Y5BadDebCharge">#REF!</definedName>
    <definedName name="trc_Y5BoANetProfit">#REF!</definedName>
    <definedName name="trc_Y5BoANormEPS">#REF!</definedName>
    <definedName name="trc_Y5BoANormPTP">#REF!</definedName>
    <definedName name="trc_Y5BookValue">#REF!</definedName>
    <definedName name="trc_Y5CapExp">#REF!</definedName>
    <definedName name="trc_Y5CapitalGains">#REF!</definedName>
    <definedName name="Trc_Y5CashB4Finance">#REF!</definedName>
    <definedName name="trc_Y5CashDebtCh">#REF!</definedName>
    <definedName name="trc_Y5CashEqChange">#REF!</definedName>
    <definedName name="trc_Y5CashFlowFDTo">#REF!</definedName>
    <definedName name="trc_Y5CashNear">#REF!</definedName>
    <definedName name="trc_Y5CashPS">#REF!</definedName>
    <definedName name="trc_Y5CogsRep">#REF!</definedName>
    <definedName name="trc_Y5CommitOther">#REF!</definedName>
    <definedName name="trc_Y5CorpsLarge">#REF!</definedName>
    <definedName name="Trc_Y5CreditorChange">#REF!</definedName>
    <definedName name="Trc_Y5CurrAssNet">#REF!</definedName>
    <definedName name="trc_Y5CurrAssOth">#REF!</definedName>
    <definedName name="trc_Y5CurrAssTot">#REF!</definedName>
    <definedName name="trc_Y5CurrInvest">#REF!</definedName>
    <definedName name="Trc_Y5CurrLiabOth">#REF!</definedName>
    <definedName name="Trc_Y5CurrLiabTot">#REF!</definedName>
    <definedName name="trc_Y5CurrTax">#REF!</definedName>
    <definedName name="Trc_Y5Debt">#REF!</definedName>
    <definedName name="Trc_Y5DebtAdjCflow">#REF!</definedName>
    <definedName name="Trc_Y5DebtorsChange">#REF!</definedName>
    <definedName name="trc_Y5DebtOth">#REF!</definedName>
    <definedName name="trc_Y5DebtTot">#REF!</definedName>
    <definedName name="trc_Y5DefLiabOth">#REF!</definedName>
    <definedName name="trc_Y5DefTax">#REF!</definedName>
    <definedName name="trc_Y5Deposits">#REF!</definedName>
    <definedName name="Trc_Y5DeprecAmort">#REF!</definedName>
    <definedName name="trc_Y5Depreciation">#REF!</definedName>
    <definedName name="Trc_Y5DepreciationFA">#REF!</definedName>
    <definedName name="trc_Y5DevCostsNet">#REF!</definedName>
    <definedName name="trc_Y5DiffRevenues">#REF!</definedName>
    <definedName name="trc_Y5DiscOper">#REF!</definedName>
    <definedName name="Trc_Y5DiscOperNC">#REF!</definedName>
    <definedName name="Trc_Y5Div2Equity">#REF!</definedName>
    <definedName name="trc_Y5Dividend">#REF!</definedName>
    <definedName name="Trc_Y5Dividends">#REF!</definedName>
    <definedName name="Trc_Y5DivOth">#REF!</definedName>
    <definedName name="trc_Y5Domestic">#REF!</definedName>
    <definedName name="trc_Y5DPSGross">#REF!</definedName>
    <definedName name="trc_Y5DPSGrossAdj">#REF!</definedName>
    <definedName name="trc_Y5DPSNet">#REF!</definedName>
    <definedName name="trc_Y5DPSNetAdj">#REF!</definedName>
    <definedName name="trc_Y5DSO">#REF!</definedName>
    <definedName name="trc_Y5EBIT">#REF!</definedName>
    <definedName name="trc_Y5EBITAG">#REF!</definedName>
    <definedName name="trc_Y5EBITDA">#REF!</definedName>
    <definedName name="trc_Y5EBITDAAM">#REF!</definedName>
    <definedName name="trc_Y5Employees">#REF!</definedName>
    <definedName name="trc_Y5EPSActNetIIMR">#REF!</definedName>
    <definedName name="trc_Y5EpsAdj">#REF!</definedName>
    <definedName name="trc_Y5EPSDil">#REF!</definedName>
    <definedName name="trc_Y5EPSRep">#REF!</definedName>
    <definedName name="trc_Y5EquityCost">#REF!</definedName>
    <definedName name="trc_Y5EquityExc">#REF!</definedName>
    <definedName name="Trc_Y5EquityTot">#REF!</definedName>
    <definedName name="trc_Y5ExceptItem">#REF!</definedName>
    <definedName name="trc_Y5Exploration">#REF!</definedName>
    <definedName name="trc_Y5ExtraordItem">#REF!</definedName>
    <definedName name="trc_Y5ExtraordOth">#REF!</definedName>
    <definedName name="trc_Y5FeeInc">#REF!</definedName>
    <definedName name="trc_Y5FinanceCharge">#REF!</definedName>
    <definedName name="trc_Y5FinAssOth">#REF!</definedName>
    <definedName name="trc_Y5FinAssTot">#REF!</definedName>
    <definedName name="trc_Y5FinInflowTot">#REF!</definedName>
    <definedName name="trc_Y5FixAssTotNet">#REF!</definedName>
    <definedName name="trc_Y5FixAssUncl">#REF!</definedName>
    <definedName name="Trc_Y5FreeCashFlow">#REF!</definedName>
    <definedName name="trc_Y5FreeFloat">#REF!</definedName>
    <definedName name="trc_Y5FyEndDate">#REF!</definedName>
    <definedName name="trc_Y5GenAdmin">#REF!</definedName>
    <definedName name="trc_Y5GrossProfit">#REF!</definedName>
    <definedName name="trc_Y5HeldAssResale">#REF!</definedName>
    <definedName name="trc_Y5HoldInd">#REF!</definedName>
    <definedName name="Trc_Y5IIRChange">#REF!</definedName>
    <definedName name="Trc_Y5InflowOperCash">#REF!</definedName>
    <definedName name="Trc_Y5InflowOth">#REF!</definedName>
    <definedName name="Trc_Y5InflowOthFI">#REF!</definedName>
    <definedName name="Trc_Y5IntAssChange">#REF!</definedName>
    <definedName name="trc_Y5IntAssOth">#REF!</definedName>
    <definedName name="Trc_Y5IntDivOth">#REF!</definedName>
    <definedName name="trc_Y5InterestExp">#REF!</definedName>
    <definedName name="trc_Y5InterestIncome">#REF!</definedName>
    <definedName name="trc_Y5IntFixAssTotNe">#REF!</definedName>
    <definedName name="trc_Y5InvBanking">#REF!</definedName>
    <definedName name="trc_Y5InvestIncome">#REF!</definedName>
    <definedName name="trc_Y5InvestTotal">#REF!</definedName>
    <definedName name="Trc_Y5InvOthChange">#REF!</definedName>
    <definedName name="trc_Y5LiabTotNet">#REF!</definedName>
    <definedName name="trc_Y5LifeIns">#REF!</definedName>
    <definedName name="Trc_Y5LiqFundMove">#REF!</definedName>
    <definedName name="trc_Y5Loans">#REF!</definedName>
    <definedName name="trc_Y5LoansIG">#REF!</definedName>
    <definedName name="trc_Y5LoansLT">#REF!</definedName>
    <definedName name="trc_Y5LoansST">#REF!</definedName>
    <definedName name="trc_Y5LTDebtors">#REF!</definedName>
    <definedName name="trc_Y5LTLiabOth">#REF!</definedName>
    <definedName name="trc_Y5ManLiqResFin">#REF!</definedName>
    <definedName name="trc_Y5MarketDev">#REF!</definedName>
    <definedName name="trc_Y5MarketEmerg">#REF!</definedName>
    <definedName name="trc_Y5MinorityIntBS">#REF!</definedName>
    <definedName name="trc_Y5MinorityIntPL">#REF!</definedName>
    <definedName name="trc_Y5MisPriceCur">#REF!</definedName>
    <definedName name="trc_Y5NAVPS">#REF!</definedName>
    <definedName name="trc_Y5NetAssets">#REF!</definedName>
    <definedName name="Trc_Y5NetDebt">#REF!</definedName>
    <definedName name="trc_Y5NetDebtBS">#REF!</definedName>
    <definedName name="Trc_Y5NetDebtMove">#REF!</definedName>
    <definedName name="trc_Y5NetFinancial">#REF!</definedName>
    <definedName name="trc_Y5NetGW">#REF!</definedName>
    <definedName name="trc_Y5NetIntInc">#REF!</definedName>
    <definedName name="Trc_Y5NonCashAdjTot">#REF!</definedName>
    <definedName name="Trc_Y5NonCashOth">#REF!</definedName>
    <definedName name="trc_Y5NonLifeIns">#REF!</definedName>
    <definedName name="trc_Y5NormNetPft">#REF!</definedName>
    <definedName name="trc_Y5NormPftAftTax">#REF!</definedName>
    <definedName name="trc_Y5NormTax">#REF!</definedName>
    <definedName name="trc_Y5OperCostOther">#REF!</definedName>
    <definedName name="trc_Y5OperCostXDA">#REF!</definedName>
    <definedName name="trc_Y5OperIncOther">#REF!</definedName>
    <definedName name="trc_Y5OtherAftTax">#REF!</definedName>
    <definedName name="trc_Y5OtherCharges">#REF!</definedName>
    <definedName name="trc_Y5OtherGW">#REF!</definedName>
    <definedName name="trc_Y5OtherIncome">#REF!</definedName>
    <definedName name="trc_Y5OtherInvest">#REF!</definedName>
    <definedName name="trc_Y5OthPretaxAdj">#REF!</definedName>
    <definedName name="trc_Y5OthTax">#REF!</definedName>
    <definedName name="trc_Y5OtTotPreTaxI">#REF!</definedName>
    <definedName name="Trc_Y5PbtAsia">#REF!</definedName>
    <definedName name="Trc_Y5PbtByMarket">#REF!</definedName>
    <definedName name="Trc_Y5PbtEurope">#REF!</definedName>
    <definedName name="Trc_Y5PbtHM">#REF!</definedName>
    <definedName name="Trc_Y5PbtIntraGroup">#REF!</definedName>
    <definedName name="Trc_Y5PbtJapan">#REF!</definedName>
    <definedName name="Trc_Y5PbtMideast">#REF!</definedName>
    <definedName name="Trc_Y5PbtNAM">#REF!</definedName>
    <definedName name="Trc_Y5PbtRestWorld">#REF!</definedName>
    <definedName name="Trc_Y5PbtSoEast">#REF!</definedName>
    <definedName name="trc_Y5PBVFair">#REF!</definedName>
    <definedName name="trc_Y5PensIncom">#REF!</definedName>
    <definedName name="trc_Y5PensProv">#REF!</definedName>
    <definedName name="trc_Y5PPDebtors">#REF!</definedName>
    <definedName name="trc_Y5PrefDiv">#REF!</definedName>
    <definedName name="trc_Y5PreTaxAdj">#REF!</definedName>
    <definedName name="trc_Y5PriceFair">#REF!</definedName>
    <definedName name="trc_Y5ProfitAftTax">#REF!</definedName>
    <definedName name="Trc_Y5ProfitCashFlow">#REF!</definedName>
    <definedName name="trc_Y5ProfitNet">#REF!</definedName>
    <definedName name="trc_Y5ProfitNetIIMR">#REF!</definedName>
    <definedName name="trc_Y5ProfitPreTax">#REF!</definedName>
    <definedName name="trc_Y5ProfitRet">#REF!</definedName>
    <definedName name="trc_Y5PropertyNet">#REF!</definedName>
    <definedName name="trc_Y5Provisions">#REF!</definedName>
    <definedName name="trc_Y5ProvisionsST">#REF!</definedName>
    <definedName name="trc_Y5PVdivs">#REF!</definedName>
    <definedName name="trc_Y5PVNAV">#REF!</definedName>
    <definedName name="trc_Y5RD">#REF!</definedName>
    <definedName name="trc_Y5Reinsurance">#REF!</definedName>
    <definedName name="Trc_Y5ReserveEqOth">#REF!</definedName>
    <definedName name="Trc_Y5ReserveGW">#REF!</definedName>
    <definedName name="Trc_Y5ReserveLegal">#REF!</definedName>
    <definedName name="Trc_Y5ReserveMGR">#REF!</definedName>
    <definedName name="trc_Y5Retail">#REF!</definedName>
    <definedName name="trc_Y5Revenue">#REF!</definedName>
    <definedName name="trc_Y5ROEAdj">#REF!</definedName>
    <definedName name="trc_Y5ROENormal">#REF!</definedName>
    <definedName name="trc_Y5SGA">#REF!</definedName>
    <definedName name="Trc_Y5ShareCapital">#REF!</definedName>
    <definedName name="trc_Y5SharesDilYE">#REF!</definedName>
    <definedName name="trc_Y5SharesOrd">#REF!</definedName>
    <definedName name="Trc_Y5SharesOthEq">#REF!</definedName>
    <definedName name="trc_Y5SharesOutBAL">#REF!</definedName>
    <definedName name="trc_Y5SharesOutDIL">#REF!</definedName>
    <definedName name="trc_Y5SharesOutWA">#REF!</definedName>
    <definedName name="Trc_Y5SharesOwn">#REF!</definedName>
    <definedName name="Trc_Y5SharesPref">#REF!</definedName>
    <definedName name="Trc_Y5SharesPremium">#REF!</definedName>
    <definedName name="Trc_Y5SharesTotCap">#REF!</definedName>
    <definedName name="Trc_Y5SlsAsia">#REF!</definedName>
    <definedName name="Trc_Y5SlsByMarket">#REF!</definedName>
    <definedName name="Trc_Y5SlsEurope">#REF!</definedName>
    <definedName name="Trc_Y5SlsHM">#REF!</definedName>
    <definedName name="Trc_Y5SlsIntraGroup">#REF!</definedName>
    <definedName name="Trc_Y5SlsJapan">#REF!</definedName>
    <definedName name="Trc_Y5SlsMideast">#REF!</definedName>
    <definedName name="Trc_Y5SlsNAM">#REF!</definedName>
    <definedName name="Trc_Y5SlsRestWorld">#REF!</definedName>
    <definedName name="Trc_Y5SlsSoEast">#REF!</definedName>
    <definedName name="trc_Y5StaffCost">#REF!</definedName>
    <definedName name="Trc_Y5Stocks">#REF!</definedName>
    <definedName name="Trc_Y5StocksChangeNC">#REF!</definedName>
    <definedName name="trc_Y5Subscribers">#REF!</definedName>
    <definedName name="Trc_Y5TanAssChange">#REF!</definedName>
    <definedName name="trc_Y5TanAssLeased">#REF!</definedName>
    <definedName name="trc_Y5TanFixAssOthGr">#REF!</definedName>
    <definedName name="trc_Y5TanFixAssOthNe">#REF!</definedName>
    <definedName name="trc_Y5TanFixAssTotNe">#REF!</definedName>
    <definedName name="trc_Y5TargetPriceFin">#REF!</definedName>
    <definedName name="trc_Y5TargetRtrn">#REF!</definedName>
    <definedName name="trc_Y5Tax">#REF!</definedName>
    <definedName name="Trc_Y5TaxCL">#REF!</definedName>
    <definedName name="Trc_Y5TaxFD">#REF!</definedName>
    <definedName name="trc_Y5TotAftTaxI">#REF!</definedName>
    <definedName name="trc_Y5TotalAssets">#REF!</definedName>
    <definedName name="trc_Y5TotalBM">#REF!</definedName>
    <definedName name="trc_Y5TotalDeprAM">#REF!</definedName>
    <definedName name="trc_Y5TotalFinExp">#REF!</definedName>
    <definedName name="trc_Y5TotalFinInc">#REF!</definedName>
    <definedName name="trc_Y5TotalGM">#REF!</definedName>
    <definedName name="trc_Y5TotDefLTLiab">#REF!</definedName>
    <definedName name="trc_Y5TotDividends">#REF!</definedName>
    <definedName name="trc_Y5TradeCreditors">#REF!</definedName>
    <definedName name="trc_Y5TradeInv">#REF!</definedName>
    <definedName name="trc_Y5TradingInc">#REF!</definedName>
    <definedName name="Trc_Y5WCAdjOth">#REF!</definedName>
    <definedName name="trc_y5Year">#REF!</definedName>
    <definedName name="trc_Y6Accruals">#REF!</definedName>
    <definedName name="Trc_Y6AcquisDisp">#REF!</definedName>
    <definedName name="trc_Y6AcquisGW">#REF!</definedName>
    <definedName name="trc_Y6AmortGW">#REF!</definedName>
    <definedName name="trc_Y6AmortGWAftTax">#REF!</definedName>
    <definedName name="Trc_Y6AmortGWFA">#REF!</definedName>
    <definedName name="trc_Y6AmortOth">#REF!</definedName>
    <definedName name="trc_Y6AnnounceDate">#REF!</definedName>
    <definedName name="trc_Y6ARPU">#REF!</definedName>
    <definedName name="trc_Y6ASP">#REF!</definedName>
    <definedName name="Trc_Y6AssDisp">#REF!</definedName>
    <definedName name="trc_Y6AssetMngmnt">#REF!</definedName>
    <definedName name="trc_Y6AssocAftTax">#REF!</definedName>
    <definedName name="trc_Y6AssocB4Tax">#REF!</definedName>
    <definedName name="trc_Y6AssocCoCEM">#REF!</definedName>
    <definedName name="Trc_Y6AssOth">#REF!</definedName>
    <definedName name="Trc_Y6AssTotNet">#REF!</definedName>
    <definedName name="trc_Y6BadDebCharge">#REF!</definedName>
    <definedName name="trc_Y6BoANetProfit">#REF!</definedName>
    <definedName name="trc_Y6BoANormEPS">#REF!</definedName>
    <definedName name="trc_Y6BoANormPTP">#REF!</definedName>
    <definedName name="trc_Y6BookValue">#REF!</definedName>
    <definedName name="trc_Y6CapExp">#REF!</definedName>
    <definedName name="trc_Y6CapitalGains">#REF!</definedName>
    <definedName name="Trc_Y6CashB4Finance">#REF!</definedName>
    <definedName name="trc_Y6CashDebtCh">#REF!</definedName>
    <definedName name="trc_Y6CashEqChange">#REF!</definedName>
    <definedName name="trc_Y6CashFlowFDTo">#REF!</definedName>
    <definedName name="trc_Y6CashNear">#REF!</definedName>
    <definedName name="trc_Y6CashPS">#REF!</definedName>
    <definedName name="trc_Y6CogsRep">#REF!</definedName>
    <definedName name="trc_Y6CommitOther">#REF!</definedName>
    <definedName name="trc_Y6CorpsLarge">#REF!</definedName>
    <definedName name="Trc_Y6CreditorChange">#REF!</definedName>
    <definedName name="Trc_Y6CurrAssNet">#REF!</definedName>
    <definedName name="trc_Y6CurrAssOth">#REF!</definedName>
    <definedName name="trc_Y6CurrAssTot">#REF!</definedName>
    <definedName name="trc_Y6CurrInvest">#REF!</definedName>
    <definedName name="Trc_Y6CurrLiabOth">#REF!</definedName>
    <definedName name="Trc_Y6CurrLiabTot">#REF!</definedName>
    <definedName name="trc_Y6CurrTax">#REF!</definedName>
    <definedName name="Trc_Y6Debt">#REF!</definedName>
    <definedName name="Trc_Y6DebtAdjCflow">#REF!</definedName>
    <definedName name="Trc_Y6DebtorsChange">#REF!</definedName>
    <definedName name="trc_Y6DebtOth">#REF!</definedName>
    <definedName name="trc_Y6DebtTot">#REF!</definedName>
    <definedName name="trc_Y6DefLiabOth">#REF!</definedName>
    <definedName name="trc_Y6DefTax">#REF!</definedName>
    <definedName name="trc_Y6Deposits">#REF!</definedName>
    <definedName name="Trc_Y6DeprecAmort">#REF!</definedName>
    <definedName name="trc_Y6Depreciation">#REF!</definedName>
    <definedName name="Trc_Y6DepreciationFA">#REF!</definedName>
    <definedName name="trc_Y6DevCostsNet">#REF!</definedName>
    <definedName name="trc_Y6DiffRevenues">#REF!</definedName>
    <definedName name="trc_Y6DiscOper">#REF!</definedName>
    <definedName name="Trc_Y6DiscOperNC">#REF!</definedName>
    <definedName name="Trc_Y6Div2Equity">#REF!</definedName>
    <definedName name="trc_Y6Dividend">#REF!</definedName>
    <definedName name="Trc_Y6Dividends">#REF!</definedName>
    <definedName name="Trc_Y6DivOth">#REF!</definedName>
    <definedName name="trc_Y6Domestic">#REF!</definedName>
    <definedName name="trc_Y6DPSGross">#REF!</definedName>
    <definedName name="trc_Y6DPSGrossAdj">#REF!</definedName>
    <definedName name="trc_Y6DPSNet">#REF!</definedName>
    <definedName name="trc_Y6DPSNetAdj">#REF!</definedName>
    <definedName name="trc_Y6DSO">#REF!</definedName>
    <definedName name="trc_Y6EBIT">#REF!</definedName>
    <definedName name="trc_Y6EBITAG">#REF!</definedName>
    <definedName name="trc_Y6EBITDa">#REF!</definedName>
    <definedName name="trc_Y6EBITDAAM">#REF!</definedName>
    <definedName name="trc_Y6Employees">#REF!</definedName>
    <definedName name="trc_Y6EPSActNetIIMR">#REF!</definedName>
    <definedName name="trc_Y6EpsAdj">#REF!</definedName>
    <definedName name="trc_Y6EPSDil">#REF!</definedName>
    <definedName name="trc_Y6EPSRep">#REF!</definedName>
    <definedName name="trc_Y6EquityCost">#REF!</definedName>
    <definedName name="trc_Y6EquityExc">#REF!</definedName>
    <definedName name="Trc_Y6EquityTot">#REF!</definedName>
    <definedName name="trc_Y6ExceptItem">#REF!</definedName>
    <definedName name="trc_Y6Exploration">#REF!</definedName>
    <definedName name="trc_Y6ExtraordItem">#REF!</definedName>
    <definedName name="trc_Y6ExtraordOth">#REF!</definedName>
    <definedName name="trc_Y6FeeInc">#REF!</definedName>
    <definedName name="trc_Y6FinanceCharge">#REF!</definedName>
    <definedName name="trc_Y6FinAssOth">#REF!</definedName>
    <definedName name="trc_Y6FinAssTot">#REF!</definedName>
    <definedName name="trc_Y6FinInflowTot">#REF!</definedName>
    <definedName name="trc_Y6FixAssTotNet">#REF!</definedName>
    <definedName name="trc_Y6FixAssUncl">#REF!</definedName>
    <definedName name="Trc_Y6FreeCashFlow">#REF!</definedName>
    <definedName name="trc_Y6FreeFloat">#REF!</definedName>
    <definedName name="trc_Y6FyEndDate">#REF!</definedName>
    <definedName name="trc_Y6GenAdmin">#REF!</definedName>
    <definedName name="trc_Y6GrossProfit">#REF!</definedName>
    <definedName name="trc_Y6HeldAssResale">#REF!</definedName>
    <definedName name="trc_Y6HoldInd">#REF!</definedName>
    <definedName name="Trc_Y6IIRChange">#REF!</definedName>
    <definedName name="Trc_Y6InflowOperCash">#REF!</definedName>
    <definedName name="Trc_Y6InflowOth">#REF!</definedName>
    <definedName name="Trc_Y6InflowOthFI">#REF!</definedName>
    <definedName name="Trc_Y6IntAssChange">#REF!</definedName>
    <definedName name="trc_Y6IntAssOth">#REF!</definedName>
    <definedName name="Trc_Y6IntDivOth">#REF!</definedName>
    <definedName name="trc_Y6InterestExp">#REF!</definedName>
    <definedName name="trc_Y6InterestIncome">#REF!</definedName>
    <definedName name="trc_Y6IntFixAssTotNe">#REF!</definedName>
    <definedName name="trc_Y6InvBanking">#REF!</definedName>
    <definedName name="trc_Y6InvestIncome">#REF!</definedName>
    <definedName name="trc_Y6InvestTotal">#REF!</definedName>
    <definedName name="Trc_Y6InvOthChange">#REF!</definedName>
    <definedName name="trc_Y6LiabTotNet">#REF!</definedName>
    <definedName name="trc_Y6LifeIns">#REF!</definedName>
    <definedName name="Trc_Y6LiqFundMove">#REF!</definedName>
    <definedName name="trc_Y6Loans">#REF!</definedName>
    <definedName name="trc_Y6LoansIG">#REF!</definedName>
    <definedName name="trc_Y6LoansLT">#REF!</definedName>
    <definedName name="trc_Y6LoansST">#REF!</definedName>
    <definedName name="trc_Y6LTDebtors">#REF!</definedName>
    <definedName name="trc_Y6LTLiabOth">#REF!</definedName>
    <definedName name="trc_Y6ManLiqResFin">#REF!</definedName>
    <definedName name="trc_Y6MarketDev">#REF!</definedName>
    <definedName name="trc_Y6MarketEmerg">#REF!</definedName>
    <definedName name="trc_Y6MinorityIntBS">#REF!</definedName>
    <definedName name="trc_Y6MinorityIntPL">#REF!</definedName>
    <definedName name="trc_Y6MisPriceCur">#REF!</definedName>
    <definedName name="trc_Y6NAVPS">#REF!</definedName>
    <definedName name="trc_Y6NetAssets">#REF!</definedName>
    <definedName name="Trc_Y6NetDebt">#REF!</definedName>
    <definedName name="trc_Y6NetDebtBS">#REF!</definedName>
    <definedName name="Trc_Y6NetDebtMove">#REF!</definedName>
    <definedName name="trc_Y6NetFinancial">#REF!</definedName>
    <definedName name="trc_Y6NetGW">#REF!</definedName>
    <definedName name="trc_Y6NetIntInc">#REF!</definedName>
    <definedName name="Trc_Y6NonCashAdjTot">#REF!</definedName>
    <definedName name="Trc_Y6NonCashOth">#REF!</definedName>
    <definedName name="trc_Y6NonLifeIns">#REF!</definedName>
    <definedName name="trc_Y6NormNetPft">#REF!</definedName>
    <definedName name="trc_Y6NormPftAftTax">#REF!</definedName>
    <definedName name="trc_Y6NormTax">#REF!</definedName>
    <definedName name="trc_Y6OperCostOther">#REF!</definedName>
    <definedName name="trc_Y6OperCostXDA">#REF!</definedName>
    <definedName name="trc_Y6OperIncOther">#REF!</definedName>
    <definedName name="trc_Y6OtherAftTax">#REF!</definedName>
    <definedName name="trc_Y6OtherCharges">#REF!</definedName>
    <definedName name="trc_Y6OtherGW">#REF!</definedName>
    <definedName name="trc_Y6OtherIncome">#REF!</definedName>
    <definedName name="trc_Y6OtherInvest">#REF!</definedName>
    <definedName name="trc_Y6OthPretaxAdj">#REF!</definedName>
    <definedName name="trc_Y6OthTax">#REF!</definedName>
    <definedName name="trc_Y6OtTotPreTaxI">#REF!</definedName>
    <definedName name="Trc_Y6PbtAsia">#REF!</definedName>
    <definedName name="Trc_Y6PbtByMarket">#REF!</definedName>
    <definedName name="Trc_Y6PbtEurope">#REF!</definedName>
    <definedName name="Trc_Y6PbtHM">#REF!</definedName>
    <definedName name="Trc_Y6PbtIntraGroup">#REF!</definedName>
    <definedName name="Trc_Y6PbtJapan">#REF!</definedName>
    <definedName name="Trc_Y6PbtMideast">#REF!</definedName>
    <definedName name="Trc_Y6PbtNAM">#REF!</definedName>
    <definedName name="Trc_Y6PbtRestWorld">#REF!</definedName>
    <definedName name="Trc_Y6PbtSoEast">#REF!</definedName>
    <definedName name="trc_Y6PBVFair">#REF!</definedName>
    <definedName name="trc_Y6PensIncom">#REF!</definedName>
    <definedName name="trc_Y6PensProv">#REF!</definedName>
    <definedName name="trc_Y6PPDebtors">#REF!</definedName>
    <definedName name="trc_Y6PrefDiv">#REF!</definedName>
    <definedName name="trc_Y6PreTaxAdj">#REF!</definedName>
    <definedName name="trc_Y6PriceFair">#REF!</definedName>
    <definedName name="trc_Y6ProfitAftTax">#REF!</definedName>
    <definedName name="Trc_Y6ProfitCashFlow">#REF!</definedName>
    <definedName name="trc_Y6ProfitNet">#REF!</definedName>
    <definedName name="trc_Y6ProfitNetIIMR">#REF!</definedName>
    <definedName name="trc_Y6ProfitPreTax">#REF!</definedName>
    <definedName name="trc_Y6ProfitRet">#REF!</definedName>
    <definedName name="trc_Y6PropertyNet">#REF!</definedName>
    <definedName name="trc_Y6Provisions">#REF!</definedName>
    <definedName name="trc_Y6ProvisionsST">#REF!</definedName>
    <definedName name="trc_Y6PVdivs">#REF!</definedName>
    <definedName name="trc_Y6PVNAV">#REF!</definedName>
    <definedName name="trc_Y6RD">#REF!</definedName>
    <definedName name="trc_Y6Reinsurance">#REF!</definedName>
    <definedName name="Trc_Y6ReserveEqOth">#REF!</definedName>
    <definedName name="Trc_Y6ReserveGW">#REF!</definedName>
    <definedName name="Trc_Y6ReserveLegal">#REF!</definedName>
    <definedName name="Trc_Y6ReserveMGR">#REF!</definedName>
    <definedName name="trc_Y6Retail">#REF!</definedName>
    <definedName name="trc_Y6Revenue">#REF!</definedName>
    <definedName name="trc_Y6ROEAdj">#REF!</definedName>
    <definedName name="trc_Y6ROENormal">#REF!</definedName>
    <definedName name="trc_Y6SGA">#REF!</definedName>
    <definedName name="Trc_Y6ShareCapital">#REF!</definedName>
    <definedName name="trc_Y6SharesDilYE">#REF!</definedName>
    <definedName name="trc_Y6SharesOrd">#REF!</definedName>
    <definedName name="Trc_Y6SharesOthEq">#REF!</definedName>
    <definedName name="trc_Y6SharesOutBAL">#REF!</definedName>
    <definedName name="trc_Y6SharesOutDIL">#REF!</definedName>
    <definedName name="trc_Y6SharesOutWA">#REF!</definedName>
    <definedName name="Trc_Y6SharesOwn">#REF!</definedName>
    <definedName name="Trc_Y6SharesPref">#REF!</definedName>
    <definedName name="Trc_Y6SharesPremium">#REF!</definedName>
    <definedName name="Trc_Y6SharesTotCap">#REF!</definedName>
    <definedName name="Trc_Y6SlsAsia">#REF!</definedName>
    <definedName name="Trc_Y6SlsByMarket">#REF!</definedName>
    <definedName name="Trc_Y6SlsEurope">#REF!</definedName>
    <definedName name="Trc_Y6SlsHM">#REF!</definedName>
    <definedName name="Trc_Y6SlsIntraGroup">#REF!</definedName>
    <definedName name="Trc_Y6SlsJapan">#REF!</definedName>
    <definedName name="Trc_Y6SlsMideast">#REF!</definedName>
    <definedName name="Trc_Y6SlsNAM">#REF!</definedName>
    <definedName name="Trc_Y6SlsRestWorld">#REF!</definedName>
    <definedName name="Trc_Y6SlsSoEast">#REF!</definedName>
    <definedName name="trc_Y6StaffCost">#REF!</definedName>
    <definedName name="Trc_Y6Stocks">#REF!</definedName>
    <definedName name="Trc_Y6StocksChangeNC">#REF!</definedName>
    <definedName name="trc_Y6Subscribers">#REF!</definedName>
    <definedName name="Trc_Y6TanAssChange">#REF!</definedName>
    <definedName name="trc_Y6TanAssLeased">#REF!</definedName>
    <definedName name="trc_Y6TanFixAssOthGr">#REF!</definedName>
    <definedName name="trc_Y6TanFixAssOthNe">#REF!</definedName>
    <definedName name="trc_Y6TanFixAssTotNe">#REF!</definedName>
    <definedName name="trc_Y6TargetPriceFin">#REF!</definedName>
    <definedName name="trc_Y6TargetRtrn">#REF!</definedName>
    <definedName name="trc_Y6Tax">#REF!</definedName>
    <definedName name="Trc_Y6TaxCL">#REF!</definedName>
    <definedName name="Trc_Y6TaxFD">#REF!</definedName>
    <definedName name="trc_Y6TotAftTaxI">#REF!</definedName>
    <definedName name="trc_Y6TotalAssets">#REF!</definedName>
    <definedName name="trc_Y6TotalBM">#REF!</definedName>
    <definedName name="trc_Y6TotalDeprAM">#REF!</definedName>
    <definedName name="trc_Y6TotalFinExp">#REF!</definedName>
    <definedName name="trc_Y6TotalFinInc">#REF!</definedName>
    <definedName name="trc_Y6TotalGM">#REF!</definedName>
    <definedName name="trc_Y6TotDefLTLiab">#REF!</definedName>
    <definedName name="trc_Y6TotDividends">#REF!</definedName>
    <definedName name="trc_Y6TradeCreditors">#REF!</definedName>
    <definedName name="trc_Y6TradeInv">#REF!</definedName>
    <definedName name="trc_Y6TradingInc">#REF!</definedName>
    <definedName name="Trc_Y6WCAdjOth">#REF!</definedName>
    <definedName name="trc_y6Year">#REF!</definedName>
    <definedName name="trc_Y7Accruals">#REF!</definedName>
    <definedName name="Trc_Y7AcquisDisp">#REF!</definedName>
    <definedName name="trc_Y7AcquisGW">#REF!</definedName>
    <definedName name="trc_Y7AmortGW">#REF!</definedName>
    <definedName name="trc_Y7AmortGWAftTax">#REF!</definedName>
    <definedName name="Trc_Y7AmortGWFA">#REF!</definedName>
    <definedName name="trc_Y7AmortOth">#REF!</definedName>
    <definedName name="trc_Y7AnnounceDate">#REF!</definedName>
    <definedName name="trc_Y7ARPU">#REF!</definedName>
    <definedName name="trc_Y7ASP">#REF!</definedName>
    <definedName name="Trc_Y7AssDisp">#REF!</definedName>
    <definedName name="trc_Y7AssetMngmnt">#REF!</definedName>
    <definedName name="trc_Y7AssocAftTax">#REF!</definedName>
    <definedName name="trc_Y7AssocB4Tax">#REF!</definedName>
    <definedName name="trc_Y7AssocCoCEM">#REF!</definedName>
    <definedName name="Trc_Y7AssOth">#REF!</definedName>
    <definedName name="Trc_Y7AssTotNet">#REF!</definedName>
    <definedName name="trc_Y7BadDebCharge">#REF!</definedName>
    <definedName name="trc_Y7BoANetProfit">#REF!</definedName>
    <definedName name="trc_Y7BoANormEPS">#REF!</definedName>
    <definedName name="trc_Y7BoANormPTP">#REF!</definedName>
    <definedName name="trc_Y7BookValue">#REF!</definedName>
    <definedName name="trc_Y7CapExp">#REF!</definedName>
    <definedName name="trc_Y7CapitalGains">#REF!</definedName>
    <definedName name="Trc_Y7CashB4Finance">#REF!</definedName>
    <definedName name="trc_Y7CashDebtCh">#REF!</definedName>
    <definedName name="trc_Y7CashEqChange">#REF!</definedName>
    <definedName name="trc_Y7CashFlowFDTo">#REF!</definedName>
    <definedName name="trc_Y7CashNear">#REF!</definedName>
    <definedName name="trc_Y7CashPS">#REF!</definedName>
    <definedName name="trc_Y7CogsRep">#REF!</definedName>
    <definedName name="trc_Y7CommitOther">#REF!</definedName>
    <definedName name="trc_Y7CorpsLarge">#REF!</definedName>
    <definedName name="Trc_Y7CreditorChange">#REF!</definedName>
    <definedName name="Trc_Y7CurrAssNet">#REF!</definedName>
    <definedName name="trc_Y7CurrAssOth">#REF!</definedName>
    <definedName name="trc_Y7CurrAssTot">#REF!</definedName>
    <definedName name="trc_Y7CurrInvest">#REF!</definedName>
    <definedName name="Trc_Y7CurrLiabOth">#REF!</definedName>
    <definedName name="Trc_Y7CurrLiabTot">#REF!</definedName>
    <definedName name="trc_Y7CurrTax">#REF!</definedName>
    <definedName name="Trc_Y7Debt">#REF!</definedName>
    <definedName name="Trc_Y7DebtAdjCflow">#REF!</definedName>
    <definedName name="Trc_Y7DebtorsChange">#REF!</definedName>
    <definedName name="trc_Y7DebtOth">#REF!</definedName>
    <definedName name="trc_Y7DebtTot">#REF!</definedName>
    <definedName name="trc_Y7DefLiabOth">#REF!</definedName>
    <definedName name="trc_Y7DefTax">#REF!</definedName>
    <definedName name="trc_Y7Deposits">#REF!</definedName>
    <definedName name="Trc_Y7DeprecAmort">#REF!</definedName>
    <definedName name="trc_Y7Depreciation">#REF!</definedName>
    <definedName name="Trc_Y7DepreciationFA">#REF!</definedName>
    <definedName name="trc_Y7DevCostsNet">#REF!</definedName>
    <definedName name="trc_Y7DiffRevenues">#REF!</definedName>
    <definedName name="trc_Y7DiscOper">#REF!</definedName>
    <definedName name="Trc_Y7DiscOperNC">#REF!</definedName>
    <definedName name="Trc_Y7Div2Equity">#REF!</definedName>
    <definedName name="trc_Y7Dividend">#REF!</definedName>
    <definedName name="Trc_Y7Dividends">#REF!</definedName>
    <definedName name="Trc_Y7DivOth">#REF!</definedName>
    <definedName name="trc_Y7Domestic">#REF!</definedName>
    <definedName name="trc_Y7DPSGross">#REF!</definedName>
    <definedName name="trc_Y7DPSGrossAdj">#REF!</definedName>
    <definedName name="trc_Y7DPSNet">#REF!</definedName>
    <definedName name="trc_Y7DPSNetAdj">#REF!</definedName>
    <definedName name="trc_Y7DSO">#REF!</definedName>
    <definedName name="trc_Y7EBIT">#REF!</definedName>
    <definedName name="trc_Y7EBITAG">#REF!</definedName>
    <definedName name="trc_Y7EBITDA">#REF!</definedName>
    <definedName name="trc_Y7EBITDAAM">#REF!</definedName>
    <definedName name="trc_Y7Employees">#REF!</definedName>
    <definedName name="trc_Y7EpsAdj">#REF!</definedName>
    <definedName name="trc_Y7EPSDil">#REF!</definedName>
    <definedName name="trc_Y7EPSRep">#REF!</definedName>
    <definedName name="trc_Y7EquityCost">#REF!</definedName>
    <definedName name="trc_Y7EquityExc">#REF!</definedName>
    <definedName name="Trc_Y7EquityTot">#REF!</definedName>
    <definedName name="trc_Y7ExceptItem">#REF!</definedName>
    <definedName name="trc_Y7Exploration">#REF!</definedName>
    <definedName name="trc_Y7ExtraordItem">#REF!</definedName>
    <definedName name="trc_Y7ExtraordOth">#REF!</definedName>
    <definedName name="trc_Y7FeeInc">#REF!</definedName>
    <definedName name="trc_Y7FinanceCharge">#REF!</definedName>
    <definedName name="trc_Y7FinAssOth">#REF!</definedName>
    <definedName name="trc_Y7FinAssTot">#REF!</definedName>
    <definedName name="trc_Y7FinInflowTot">#REF!</definedName>
    <definedName name="trc_Y7FixAssTotNet">#REF!</definedName>
    <definedName name="trc_Y7FixAssUncl">#REF!</definedName>
    <definedName name="Trc_Y7FreeCashFlow">#REF!</definedName>
    <definedName name="trc_Y7FreeFloat">#REF!</definedName>
    <definedName name="trc_Y7FyEndDate">#REF!</definedName>
    <definedName name="trc_Y7GenAdmin">#REF!</definedName>
    <definedName name="trc_Y7GrossProfit">#REF!</definedName>
    <definedName name="trc_Y7HeldAssResale">#REF!</definedName>
    <definedName name="trc_Y7HoldInd">#REF!</definedName>
    <definedName name="Trc_Y7IIRChange">#REF!</definedName>
    <definedName name="Trc_Y7InflowOperCash">#REF!</definedName>
    <definedName name="Trc_Y7InflowOth">#REF!</definedName>
    <definedName name="Trc_Y7InflowOthFI">#REF!</definedName>
    <definedName name="Trc_Y7IntAssChange">#REF!</definedName>
    <definedName name="trc_Y7IntAssOth">#REF!</definedName>
    <definedName name="Trc_Y7IntDivOth">#REF!</definedName>
    <definedName name="trc_Y7InterestExp">#REF!</definedName>
    <definedName name="trc_Y7InterestIncome">#REF!</definedName>
    <definedName name="trc_Y7IntFixAssTotNe">#REF!</definedName>
    <definedName name="trc_Y7InvBanking">#REF!</definedName>
    <definedName name="trc_Y7InvestIncome">#REF!</definedName>
    <definedName name="trc_Y7InvestTotal">#REF!</definedName>
    <definedName name="Trc_Y7InvOthChange">#REF!</definedName>
    <definedName name="trc_Y7LiabTotNet">#REF!</definedName>
    <definedName name="trc_Y7LifeIns">#REF!</definedName>
    <definedName name="Trc_Y7LiqFundMove">#REF!</definedName>
    <definedName name="trc_Y7Loans">#REF!</definedName>
    <definedName name="trc_Y7LoansIG">#REF!</definedName>
    <definedName name="trc_Y7LoansLT">#REF!</definedName>
    <definedName name="trc_Y7LoansST">#REF!</definedName>
    <definedName name="trc_Y7LTDebtors">#REF!</definedName>
    <definedName name="trc_Y7LTLiabOth">#REF!</definedName>
    <definedName name="trc_Y7ManLiqResFin">#REF!</definedName>
    <definedName name="trc_Y7MarketDev">#REF!</definedName>
    <definedName name="trc_Y7MarketEmerg">#REF!</definedName>
    <definedName name="trc_Y7MinorityIntBS">#REF!</definedName>
    <definedName name="trc_Y7MinorityIntPL">#REF!</definedName>
    <definedName name="trc_Y7MisPriceCur">#REF!</definedName>
    <definedName name="trc_Y7NAVPS">#REF!</definedName>
    <definedName name="trc_Y7NetAssets">#REF!</definedName>
    <definedName name="trc_Y7NetDebtBS">#REF!</definedName>
    <definedName name="Trc_Y7NetDebtMove">#REF!</definedName>
    <definedName name="trc_Y7NetFinancial">#REF!</definedName>
    <definedName name="trc_Y7NetGW">#REF!</definedName>
    <definedName name="trc_Y7NetIntInc">#REF!</definedName>
    <definedName name="Trc_Y7NonCashAdjTot">#REF!</definedName>
    <definedName name="Trc_Y7NonCashOth">#REF!</definedName>
    <definedName name="trc_Y7NonLifeIns">#REF!</definedName>
    <definedName name="trc_Y7NormNetPft">#REF!</definedName>
    <definedName name="trc_Y7NormPftAftTax">#REF!</definedName>
    <definedName name="trc_Y7NormTax">#REF!</definedName>
    <definedName name="trc_Y7OperCostOther">#REF!</definedName>
    <definedName name="trc_Y7OperCostXDA">#REF!</definedName>
    <definedName name="trc_Y7OperIncOther">#REF!</definedName>
    <definedName name="trc_Y7OtherAftTax">#REF!</definedName>
    <definedName name="trc_Y7OtherCharges">#REF!</definedName>
    <definedName name="trc_Y7OtherGW">#REF!</definedName>
    <definedName name="trc_Y7OtherIncome">#REF!</definedName>
    <definedName name="trc_Y7OtherInvest">#REF!</definedName>
    <definedName name="trc_Y7OthPretaxAdj">#REF!</definedName>
    <definedName name="trc_Y7OthTax">#REF!</definedName>
    <definedName name="trc_Y7OtTotPreTaxI">#REF!</definedName>
    <definedName name="Trc_Y7PbtAsia">#REF!</definedName>
    <definedName name="Trc_Y7PbtByMarket">#REF!</definedName>
    <definedName name="Trc_Y7PbtEurope">#REF!</definedName>
    <definedName name="Trc_Y7PbtHM">#REF!</definedName>
    <definedName name="Trc_Y7PbtIntraGroup">#REF!</definedName>
    <definedName name="Trc_Y7PbtJapan">#REF!</definedName>
    <definedName name="Trc_Y7PbtMideast">#REF!</definedName>
    <definedName name="Trc_Y7PbtNAM">#REF!</definedName>
    <definedName name="Trc_Y7PbtRestWorld">#REF!</definedName>
    <definedName name="Trc_Y7PbtSoEast">#REF!</definedName>
    <definedName name="trc_Y7PBVFair">#REF!</definedName>
    <definedName name="trc_Y7PensIncom">#REF!</definedName>
    <definedName name="trc_Y7PensProv">#REF!</definedName>
    <definedName name="trc_Y7PPDebtors">#REF!</definedName>
    <definedName name="trc_Y7PrefDiv">#REF!</definedName>
    <definedName name="trc_Y7PreTaxAdj">#REF!</definedName>
    <definedName name="trc_Y7PriceFair">#REF!</definedName>
    <definedName name="trc_Y7ProfitAftTax">#REF!</definedName>
    <definedName name="Trc_Y7ProfitCashFlow">#REF!</definedName>
    <definedName name="trc_Y7ProfitNet">#REF!</definedName>
    <definedName name="trc_Y7ProfitPreTax">#REF!</definedName>
    <definedName name="trc_Y7ProfitRet">#REF!</definedName>
    <definedName name="trc_Y7PropertyNet">#REF!</definedName>
    <definedName name="trc_Y7Provisions">#REF!</definedName>
    <definedName name="trc_Y7ProvisionsST">#REF!</definedName>
    <definedName name="trc_Y7PVdivs">#REF!</definedName>
    <definedName name="trc_Y7PVNAV">#REF!</definedName>
    <definedName name="trc_Y7RD">#REF!</definedName>
    <definedName name="trc_Y7Reinsurance">#REF!</definedName>
    <definedName name="Trc_Y7ReserveEqOth">#REF!</definedName>
    <definedName name="Trc_Y7ReserveGW">#REF!</definedName>
    <definedName name="Trc_Y7ReserveLegal">#REF!</definedName>
    <definedName name="Trc_Y7ReserveMGR">#REF!</definedName>
    <definedName name="trc_Y7Retail">#REF!</definedName>
    <definedName name="trc_Y7Revenue">#REF!</definedName>
    <definedName name="trc_Y7ROEAdj">#REF!</definedName>
    <definedName name="trc_Y7ROENormal">#REF!</definedName>
    <definedName name="trc_Y7SGA">#REF!</definedName>
    <definedName name="Trc_Y7ShareCapital">#REF!</definedName>
    <definedName name="trc_Y7SharesDilYE">#REF!</definedName>
    <definedName name="trc_Y7SharesOrd">#REF!</definedName>
    <definedName name="Trc_Y7SharesOthEq">#REF!</definedName>
    <definedName name="trc_Y7SharesOutBAL">#REF!</definedName>
    <definedName name="trc_Y7SharesOutDIL">#REF!</definedName>
    <definedName name="trc_Y7SharesOutWA">#REF!</definedName>
    <definedName name="Trc_Y7SharesOwn">#REF!</definedName>
    <definedName name="Trc_Y7SharesPref">#REF!</definedName>
    <definedName name="Trc_Y7SharesPremium">#REF!</definedName>
    <definedName name="Trc_Y7SharesTotCap">#REF!</definedName>
    <definedName name="Trc_Y7SlsAsia">#REF!</definedName>
    <definedName name="Trc_Y7SlsByMarket">#REF!</definedName>
    <definedName name="Trc_Y7SlsEurope">#REF!</definedName>
    <definedName name="Trc_Y7SlsHM">#REF!</definedName>
    <definedName name="Trc_Y7SlsIntraGroup">#REF!</definedName>
    <definedName name="Trc_Y7SlsJapan">#REF!</definedName>
    <definedName name="Trc_Y7SlsMideast">#REF!</definedName>
    <definedName name="Trc_Y7SlsNAM">#REF!</definedName>
    <definedName name="Trc_Y7SlsRestWorld">#REF!</definedName>
    <definedName name="Trc_Y7SlsSoEast">#REF!</definedName>
    <definedName name="trc_Y7StaffCost">#REF!</definedName>
    <definedName name="Trc_Y7Stocks">#REF!</definedName>
    <definedName name="Trc_Y7StocksChangeNC">#REF!</definedName>
    <definedName name="trc_Y7Subscribers">#REF!</definedName>
    <definedName name="Trc_Y7TanAssChange">#REF!</definedName>
    <definedName name="trc_Y7TanAssLeased">#REF!</definedName>
    <definedName name="trc_Y7TanFixAssOthGr">#REF!</definedName>
    <definedName name="trc_Y7TanFixAssOthNe">#REF!</definedName>
    <definedName name="trc_Y7TanFixAssTotNe">#REF!</definedName>
    <definedName name="trc_Y7TargetPriceFin">#REF!</definedName>
    <definedName name="trc_Y7TargetRtrn">#REF!</definedName>
    <definedName name="trc_Y7Tax">#REF!</definedName>
    <definedName name="Trc_Y7TaxCL">#REF!</definedName>
    <definedName name="Trc_Y7TaxFD">#REF!</definedName>
    <definedName name="trc_Y7TotAftTaxI">#REF!</definedName>
    <definedName name="trc_Y7TotalAssets">#REF!</definedName>
    <definedName name="trc_Y7TotalBM">#REF!</definedName>
    <definedName name="trc_Y7TotalDeprAM">#REF!</definedName>
    <definedName name="trc_Y7TotalFinExp">#REF!</definedName>
    <definedName name="trc_Y7TotalFinInc">#REF!</definedName>
    <definedName name="trc_Y7TotalGM">#REF!</definedName>
    <definedName name="trc_Y7TotDefLTLiab">#REF!</definedName>
    <definedName name="trc_Y7TotDividends">#REF!</definedName>
    <definedName name="trc_Y7TradeCreditors">#REF!</definedName>
    <definedName name="trc_Y7TradeInv">#REF!</definedName>
    <definedName name="trc_Y7TradingInc">#REF!</definedName>
    <definedName name="Trc_Y7WCAdjOth">#REF!</definedName>
    <definedName name="trc_y7Year">#REF!</definedName>
    <definedName name="trc_Y8Accruals">#REF!</definedName>
    <definedName name="Trc_Y8AcquisDisp">#REF!</definedName>
    <definedName name="trc_Y8AcquisGW">#REF!</definedName>
    <definedName name="trc_Y8AmortGW">#REF!</definedName>
    <definedName name="trc_Y8AmortGWAftTax">#REF!</definedName>
    <definedName name="Trc_Y8AmortGWFA">#REF!</definedName>
    <definedName name="trc_Y8AmortOth">#REF!</definedName>
    <definedName name="trc_Y8AnnounceDate">#REF!</definedName>
    <definedName name="trc_Y8ARPU">#REF!</definedName>
    <definedName name="trc_Y8ASP">#REF!</definedName>
    <definedName name="Trc_Y8AssDisp">#REF!</definedName>
    <definedName name="trc_Y8AssetMngmnt">#REF!</definedName>
    <definedName name="trc_Y8AssocAftTax">#REF!</definedName>
    <definedName name="trc_Y8AssocB4Tax">#REF!</definedName>
    <definedName name="trc_Y8AssocCoCEM">#REF!</definedName>
    <definedName name="Trc_Y8AssOth">#REF!</definedName>
    <definedName name="Trc_Y8AssTotNet">#REF!</definedName>
    <definedName name="trc_Y8BadDebCharge">#REF!</definedName>
    <definedName name="trc_Y8BoANetProfit">#REF!</definedName>
    <definedName name="trc_Y8BoANormEPS">#REF!</definedName>
    <definedName name="trc_Y8BoANormPTP">#REF!</definedName>
    <definedName name="trc_Y8BookValue">#REF!</definedName>
    <definedName name="trc_Y8CapExp">#REF!</definedName>
    <definedName name="trc_Y8CapitalGains">#REF!</definedName>
    <definedName name="Trc_Y8CashB4Finance">#REF!</definedName>
    <definedName name="trc_Y8CashDebtCh">#REF!</definedName>
    <definedName name="trc_Y8CashEqChange">#REF!</definedName>
    <definedName name="trc_Y8CashFlowFDTo">#REF!</definedName>
    <definedName name="trc_Y8CashNear">#REF!</definedName>
    <definedName name="trc_Y8CashPS">#REF!</definedName>
    <definedName name="trc_Y8CogsRep">#REF!</definedName>
    <definedName name="trc_Y8CommitOther">#REF!</definedName>
    <definedName name="trc_Y8CorpsLarge">#REF!</definedName>
    <definedName name="Trc_Y8CreditorChange">#REF!</definedName>
    <definedName name="Trc_Y8CurrAssNet">#REF!</definedName>
    <definedName name="trc_Y8CurrAssOth">#REF!</definedName>
    <definedName name="trc_Y8CurrAssTot">#REF!</definedName>
    <definedName name="trc_Y8CurrInvest">#REF!</definedName>
    <definedName name="Trc_Y8CurrLiabOth">#REF!</definedName>
    <definedName name="Trc_Y8CurrLiabTot">#REF!</definedName>
    <definedName name="trc_Y8CurrTax">#REF!</definedName>
    <definedName name="Trc_Y8Debt">#REF!</definedName>
    <definedName name="Trc_Y8DebtAdjCflow">#REF!</definedName>
    <definedName name="Trc_Y8DebtorsChange">#REF!</definedName>
    <definedName name="trc_Y8DebtOth">#REF!</definedName>
    <definedName name="trc_Y8DebtTot">#REF!</definedName>
    <definedName name="trc_Y8DefLiabOth">#REF!</definedName>
    <definedName name="trc_Y8DefTax">#REF!</definedName>
    <definedName name="trc_Y8Deposits">#REF!</definedName>
    <definedName name="Trc_Y8DeprecAmort">#REF!</definedName>
    <definedName name="trc_Y8Depreciation">#REF!</definedName>
    <definedName name="Trc_Y8DepreciationFA">#REF!</definedName>
    <definedName name="trc_Y8DevCostsNet">#REF!</definedName>
    <definedName name="trc_Y8DiffRevenues">#REF!</definedName>
    <definedName name="trc_Y8DiscOper">#REF!</definedName>
    <definedName name="Trc_Y8DiscOperNC">#REF!</definedName>
    <definedName name="Trc_Y8Div2Equity">#REF!</definedName>
    <definedName name="trc_Y8Dividend">#REF!</definedName>
    <definedName name="Trc_Y8Dividends">#REF!</definedName>
    <definedName name="Trc_Y8DivOth">#REF!</definedName>
    <definedName name="trc_Y8Domestic">#REF!</definedName>
    <definedName name="trc_Y8DPSGross">#REF!</definedName>
    <definedName name="trc_Y8DPSGrossAdj">#REF!</definedName>
    <definedName name="trc_Y8DPSNet">#REF!</definedName>
    <definedName name="trc_Y8DPSNetAdj">#REF!</definedName>
    <definedName name="trc_Y8DSO">#REF!</definedName>
    <definedName name="trc_Y8EBIT">#REF!</definedName>
    <definedName name="trc_Y8EBITAG">#REF!</definedName>
    <definedName name="trc_Y8EBITDA">#REF!</definedName>
    <definedName name="trc_Y8EBITDAAM">#REF!</definedName>
    <definedName name="trc_Y8Employees">#REF!</definedName>
    <definedName name="trc_Y8EpsAdj">#REF!</definedName>
    <definedName name="trc_Y8EPSDil">#REF!</definedName>
    <definedName name="trc_Y8EPSRep">#REF!</definedName>
    <definedName name="trc_Y8EquityCost">#REF!</definedName>
    <definedName name="trc_Y8EquityExc">#REF!</definedName>
    <definedName name="Trc_Y8EquityTot">#REF!</definedName>
    <definedName name="trc_Y8ExceptItem">#REF!</definedName>
    <definedName name="trc_Y8Exploration">#REF!</definedName>
    <definedName name="trc_Y8ExtraordItem">#REF!</definedName>
    <definedName name="trc_Y8ExtraordOth">#REF!</definedName>
    <definedName name="trc_Y8FeeInc">#REF!</definedName>
    <definedName name="trc_Y8FinanceCharge">#REF!</definedName>
    <definedName name="trc_Y8FinAssOth">#REF!</definedName>
    <definedName name="trc_Y8FinAssTot">#REF!</definedName>
    <definedName name="trc_Y8FinInflowTot">#REF!</definedName>
    <definedName name="trc_Y8FixAssTotNet">#REF!</definedName>
    <definedName name="trc_Y8FixAssUncl">#REF!</definedName>
    <definedName name="Trc_Y8FreeCashFlow">#REF!</definedName>
    <definedName name="trc_Y8FreeFloat">#REF!</definedName>
    <definedName name="trc_Y8FyEndDate">#REF!</definedName>
    <definedName name="trc_Y8GenAdmin">#REF!</definedName>
    <definedName name="trc_Y8GrossProfit">#REF!</definedName>
    <definedName name="trc_Y8HeldAssResale">#REF!</definedName>
    <definedName name="trc_Y8HoldInd">#REF!</definedName>
    <definedName name="Trc_Y8IIRChange">#REF!</definedName>
    <definedName name="Trc_Y8InflowOperCash">#REF!</definedName>
    <definedName name="Trc_Y8InflowOth">#REF!</definedName>
    <definedName name="Trc_Y8InflowOthFI">#REF!</definedName>
    <definedName name="Trc_Y8IntAssChange">#REF!</definedName>
    <definedName name="trc_Y8IntAssOth">#REF!</definedName>
    <definedName name="Trc_Y8IntDivOth">#REF!</definedName>
    <definedName name="trc_Y8InterestExp">#REF!</definedName>
    <definedName name="trc_Y8InterestIncome">#REF!</definedName>
    <definedName name="trc_Y8IntFixAssTotNe">#REF!</definedName>
    <definedName name="trc_Y8InvBanking">#REF!</definedName>
    <definedName name="trc_Y8InvestIncome">#REF!</definedName>
    <definedName name="trc_Y8InvestTotal">#REF!</definedName>
    <definedName name="Trc_Y8InvOthChange">#REF!</definedName>
    <definedName name="trc_Y8LiabTotNet">#REF!</definedName>
    <definedName name="trc_Y8LifeIns">#REF!</definedName>
    <definedName name="Trc_Y8LiqFundMove">#REF!</definedName>
    <definedName name="trc_Y8Loans">#REF!</definedName>
    <definedName name="trc_Y8LoansIG">#REF!</definedName>
    <definedName name="trc_Y8LoansLT">#REF!</definedName>
    <definedName name="trc_Y8LoansST">#REF!</definedName>
    <definedName name="trc_Y8LTDebtors">#REF!</definedName>
    <definedName name="trc_Y8LTLiabOth">#REF!</definedName>
    <definedName name="trc_Y8ManLiqResFin">#REF!</definedName>
    <definedName name="trc_Y8MarketDev">#REF!</definedName>
    <definedName name="trc_Y8MarketEmerg">#REF!</definedName>
    <definedName name="trc_Y8MinorityIntBS">#REF!</definedName>
    <definedName name="trc_Y8MinorityIntPL">#REF!</definedName>
    <definedName name="trc_Y8MisPriceCur">#REF!</definedName>
    <definedName name="trc_Y8NAVPS">#REF!</definedName>
    <definedName name="trc_Y8NetAssets">#REF!</definedName>
    <definedName name="trc_Y8NetDebtBS">#REF!</definedName>
    <definedName name="Trc_Y8NetDebtMove">#REF!</definedName>
    <definedName name="trc_Y8NetFinancial">#REF!</definedName>
    <definedName name="trc_Y8NetGW">#REF!</definedName>
    <definedName name="trc_Y8NetIntInc">#REF!</definedName>
    <definedName name="Trc_Y8NonCashAdjTot">#REF!</definedName>
    <definedName name="Trc_Y8NonCashOth">#REF!</definedName>
    <definedName name="trc_Y8NonLifeIns">#REF!</definedName>
    <definedName name="trc_Y8NormNetPft">#REF!</definedName>
    <definedName name="trc_Y8NormPftAftTax">#REF!</definedName>
    <definedName name="trc_Y8NormTax">#REF!</definedName>
    <definedName name="trc_Y8OperCostOther">#REF!</definedName>
    <definedName name="trc_Y8OperCostXDA">#REF!</definedName>
    <definedName name="trc_Y8OperIncOther">#REF!</definedName>
    <definedName name="trc_Y8OtherAftTax">#REF!</definedName>
    <definedName name="trc_Y8OtherCharges">#REF!</definedName>
    <definedName name="trc_Y8OtherGW">#REF!</definedName>
    <definedName name="trc_Y8OtherIncome">#REF!</definedName>
    <definedName name="trc_Y8OtherInvest">#REF!</definedName>
    <definedName name="trc_Y8OthPretaxAdj">#REF!</definedName>
    <definedName name="trc_Y8OthTax">#REF!</definedName>
    <definedName name="trc_Y8OtTotPreTaxI">#REF!</definedName>
    <definedName name="Trc_Y8PbtAsia">#REF!</definedName>
    <definedName name="Trc_Y8PbtByMarket">#REF!</definedName>
    <definedName name="Trc_Y8PbtEurope">#REF!</definedName>
    <definedName name="Trc_Y8PbtHM">#REF!</definedName>
    <definedName name="Trc_Y8PbtIntraGroup">#REF!</definedName>
    <definedName name="Trc_Y8PbtJapan">#REF!</definedName>
    <definedName name="Trc_Y8PbtMideast">#REF!</definedName>
    <definedName name="Trc_Y8PbtNAM">#REF!</definedName>
    <definedName name="Trc_Y8PbtRestWorld">#REF!</definedName>
    <definedName name="Trc_Y8PbtSoEast">#REF!</definedName>
    <definedName name="trc_Y8PBVFair">#REF!</definedName>
    <definedName name="trc_Y8PensIncom">#REF!</definedName>
    <definedName name="trc_Y8PensProv">#REF!</definedName>
    <definedName name="trc_Y8PPDebtors">#REF!</definedName>
    <definedName name="trc_Y8PrefDiv">#REF!</definedName>
    <definedName name="trc_Y8PreTaxAdj">#REF!</definedName>
    <definedName name="trc_Y8PriceFair">#REF!</definedName>
    <definedName name="trc_Y8ProfitAftTax">#REF!</definedName>
    <definedName name="Trc_Y8ProfitCashFlow">#REF!</definedName>
    <definedName name="trc_Y8ProfitNet">#REF!</definedName>
    <definedName name="trc_Y8ProfitPreTax">#REF!</definedName>
    <definedName name="trc_Y8ProfitRet">#REF!</definedName>
    <definedName name="trc_Y8PropertyNet">#REF!</definedName>
    <definedName name="trc_Y8Provisions">#REF!</definedName>
    <definedName name="trc_Y8ProvisionsST">#REF!</definedName>
    <definedName name="trc_Y8PVdivs">#REF!</definedName>
    <definedName name="trc_Y8PVNAV">#REF!</definedName>
    <definedName name="trc_Y8RD">#REF!</definedName>
    <definedName name="trc_Y8Reinsurance">#REF!</definedName>
    <definedName name="Trc_Y8ReserveEqOth">#REF!</definedName>
    <definedName name="Trc_Y8ReserveGW">#REF!</definedName>
    <definedName name="Trc_Y8ReserveLegal">#REF!</definedName>
    <definedName name="Trc_Y8ReserveMGR">#REF!</definedName>
    <definedName name="trc_Y8Retail">#REF!</definedName>
    <definedName name="trc_Y8Revenue">#REF!</definedName>
    <definedName name="trc_Y8ROEAdj">#REF!</definedName>
    <definedName name="trc_Y8ROENormal">#REF!</definedName>
    <definedName name="trc_Y8SGA">#REF!</definedName>
    <definedName name="Trc_Y8ShareCapital">#REF!</definedName>
    <definedName name="trc_Y8SharesDilYE">#REF!</definedName>
    <definedName name="trc_Y8SharesOrd">#REF!</definedName>
    <definedName name="Trc_Y8SharesOthEq">#REF!</definedName>
    <definedName name="trc_Y8SharesOutBAL">#REF!</definedName>
    <definedName name="trc_Y8SharesOutDIL">#REF!</definedName>
    <definedName name="trc_Y8SharesOutWA">#REF!</definedName>
    <definedName name="Trc_Y8SharesOwn">#REF!</definedName>
    <definedName name="Trc_Y8SharesPref">#REF!</definedName>
    <definedName name="Trc_Y8SharesPremium">#REF!</definedName>
    <definedName name="Trc_Y8SharesTotCap">#REF!</definedName>
    <definedName name="Trc_Y8SlsAsia">#REF!</definedName>
    <definedName name="Trc_Y8SlsByMarket">#REF!</definedName>
    <definedName name="Trc_Y8SlsEurope">#REF!</definedName>
    <definedName name="Trc_Y8SlsHM">#REF!</definedName>
    <definedName name="Trc_Y8SlsIntraGroup">#REF!</definedName>
    <definedName name="Trc_Y8SlsJapan">#REF!</definedName>
    <definedName name="Trc_Y8SlsMideast">#REF!</definedName>
    <definedName name="Trc_Y8SlsNAM">#REF!</definedName>
    <definedName name="Trc_Y8SlsRestWorld">#REF!</definedName>
    <definedName name="Trc_Y8SlsSoEast">#REF!</definedName>
    <definedName name="trc_Y8StaffCost">#REF!</definedName>
    <definedName name="Trc_Y8Stocks">#REF!</definedName>
    <definedName name="Trc_Y8StocksChangeNC">#REF!</definedName>
    <definedName name="trc_Y8Subscribers">#REF!</definedName>
    <definedName name="Trc_Y8TanAssChange">#REF!</definedName>
    <definedName name="trc_Y8TanAssLeased">#REF!</definedName>
    <definedName name="trc_Y8TanFixAssOthGr">#REF!</definedName>
    <definedName name="trc_Y8TanFixAssOthNe">#REF!</definedName>
    <definedName name="trc_Y8TanFixAssTotNe">#REF!</definedName>
    <definedName name="trc_Y8TargetPriceFin">#REF!</definedName>
    <definedName name="trc_Y8TargetRtrn">#REF!</definedName>
    <definedName name="trc_Y8Tax">#REF!</definedName>
    <definedName name="Trc_Y8TaxCL">#REF!</definedName>
    <definedName name="Trc_Y8TaxFD">#REF!</definedName>
    <definedName name="trc_Y8TotAftTaxI">#REF!</definedName>
    <definedName name="trc_Y8TotalAssets">#REF!</definedName>
    <definedName name="trc_Y8TotalBM">#REF!</definedName>
    <definedName name="trc_Y8TotalDeprAM">#REF!</definedName>
    <definedName name="trc_Y8TotalFinExp">#REF!</definedName>
    <definedName name="trc_Y8TotalFinInc">#REF!</definedName>
    <definedName name="trc_Y8TotalGM">#REF!</definedName>
    <definedName name="trc_Y8TotDefLTLiab">#REF!</definedName>
    <definedName name="trc_Y8TotDividends">#REF!</definedName>
    <definedName name="trc_Y8TradeCreditors">#REF!</definedName>
    <definedName name="trc_Y8TradeInv">#REF!</definedName>
    <definedName name="trc_Y8TradingInc">#REF!</definedName>
    <definedName name="Trc_Y8WCAdjOth">#REF!</definedName>
    <definedName name="trc_y8Year">#REF!</definedName>
    <definedName name="TrdCred">[3]Model!$A$325:$IV$325</definedName>
    <definedName name="Trdgrange">#REF!</definedName>
    <definedName name="TREC">#N/A</definedName>
    <definedName name="TrfRes">[3]Model!$A$579:$IV$579</definedName>
    <definedName name="TrRec">[3]Model!$A$306:$IV$306</definedName>
    <definedName name="Underlying_Effective_Tax_Rate">#REF!</definedName>
    <definedName name="Underlying_Tax_Charge">#REF!</definedName>
    <definedName name="UNEXER_OPTION">#REF!</definedName>
    <definedName name="UNEXER_OPTION_STRIKE">#REF!</definedName>
    <definedName name="UNITS">#REF!</definedName>
    <definedName name="UnrealLossGainInvSC">[3]Model!$A$51:$IV$51</definedName>
    <definedName name="UPDPAGE">#N/A</definedName>
    <definedName name="usa">#REF!</definedName>
    <definedName name="USD_per_EUR">#REF!</definedName>
    <definedName name="USD_per_EURO">#REF!</definedName>
    <definedName name="USD_per_GBP">#REF!</definedName>
    <definedName name="UVal">#REF!</definedName>
    <definedName name="validate_Equity_Data">[4]!validate_Equity_Data</definedName>
    <definedName name="Validation">#REF!</definedName>
    <definedName name="ValProb">#REF!</definedName>
    <definedName name="VarCost">#REF!</definedName>
    <definedName name="vba_sp">'[17]consolidation FY06'!$N$4</definedName>
    <definedName name="ver1.0" hidden="1">#REF!</definedName>
    <definedName name="ver1.01" hidden="1">#REF!</definedName>
    <definedName name="ver1.1" hidden="1">#REF!</definedName>
    <definedName name="Version">1</definedName>
    <definedName name="wacc">#REF!</definedName>
    <definedName name="WACC_Assumption">#REF!</definedName>
    <definedName name="WAEqFPOTot">[3]Model!$A$410:$IV$410</definedName>
    <definedName name="Wage_inflation">#REF!</definedName>
    <definedName name="Warrants">#REF!</definedName>
    <definedName name="WAVFPO">[3]Model!$A$409:$IV$409</definedName>
    <definedName name="WC">#REF!</definedName>
    <definedName name="Web">#REF!</definedName>
    <definedName name="Weighted_Ave._Franking">#REF!</definedName>
    <definedName name="Weighted_Average_Basic_Shares_Out">#REF!</definedName>
    <definedName name="Weighted_Average_Diluted_Shares_Out">#REF!</definedName>
    <definedName name="WES">#REF!</definedName>
    <definedName name="WINEVAL_FBG">#REF!</definedName>
    <definedName name="wordWarrantsConvs">'[18]Sample Layout'!#REF!</definedName>
    <definedName name="Working_Capital">#REF!</definedName>
    <definedName name="Working_Capital_to_Sales_Assumption">#REF!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Divisional._.Summaries." hidden="1">{"Divisional summaries",#N/A,TRUE,"Model"}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_Client.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XRATE_ADJ">#REF!</definedName>
    <definedName name="xx">#REF!</definedName>
    <definedName name="Y1989H1">[3]Model!$E$1:$E$65536</definedName>
    <definedName name="Y1989H2">[3]Model!$F$1:$F$65536</definedName>
    <definedName name="Y1989Y1">[3]Model!$G$1:$G$65536</definedName>
    <definedName name="Y1990H1">[3]Model!$H$1:$H$65536</definedName>
    <definedName name="Y1990H2">[3]Model!$I$1:$I$65536</definedName>
    <definedName name="Y1990Y1">[3]Model!$J$1:$J$65536</definedName>
    <definedName name="Y1991H1">[3]Model!$K$1:$K$65536</definedName>
    <definedName name="Y1991H2">[3]Model!$L$1:$L$65536</definedName>
    <definedName name="Y1991Y1">[3]Model!$M$1:$M$65536</definedName>
    <definedName name="Y1992H1">[3]Model!$N$1:$N$65536</definedName>
    <definedName name="Y1992H2">[3]Model!$O$1:$O$65536</definedName>
    <definedName name="Y1992Y1">[3]Model!$P$1:$P$65536</definedName>
    <definedName name="Y1993H1">[3]Model!$Q$1:$Q$65536</definedName>
    <definedName name="Y1993H2">[3]Model!$R$1:$R$65536</definedName>
    <definedName name="Y1993Y1">[3]Model!$S$1:$S$65536</definedName>
    <definedName name="Y1994H1">[3]Model!$T$1:$T$65536</definedName>
    <definedName name="Y1994H2">[3]Model!$U$1:$U$65536</definedName>
    <definedName name="Y1994Y1">[3]Model!$V$1:$V$65536</definedName>
    <definedName name="Y1995H1">[3]Model!$W$1:$W$65536</definedName>
    <definedName name="Y1995H2">[3]Model!$X$1:$X$65536</definedName>
    <definedName name="Y1995Y1">[3]Model!$Y$1:$Y$65536</definedName>
    <definedName name="Y1996H1">[3]Model!$Z$1:$Z$65536</definedName>
    <definedName name="Y1996H2">[3]Model!$AA$1:$AA$65536</definedName>
    <definedName name="Y1996Y1">[3]Model!$AB$1:$AB$65536</definedName>
    <definedName name="Y1997H1">[3]Model!$AC$1:$AC$65536</definedName>
    <definedName name="Y1997H2">[3]Model!$AD$1:$AD$65536</definedName>
    <definedName name="Y1997Y1">[3]Model!$AE$1:$AE$65536</definedName>
    <definedName name="Y1998H1">[3]Model!$AF$1:$AF$65536</definedName>
    <definedName name="Y1998H2">[3]Model!$AG$1:$AG$65536</definedName>
    <definedName name="Y1998Y1">[3]Model!$AH$1:$AH$65536</definedName>
    <definedName name="Y1999H1">[3]Model!$AI$1:$AI$65536</definedName>
    <definedName name="Y1999H2">[3]Model!$AJ$1:$AJ$65536</definedName>
    <definedName name="Y1999Y1">[3]Model!$AK$1:$AK$65536</definedName>
    <definedName name="Y2000H1">[3]Model!$AL$1:$AL$65536</definedName>
    <definedName name="Y2000H2">[3]Model!$AM$1:$AM$65536</definedName>
    <definedName name="Y2000Y1">[3]Model!$AN$1:$AN$65536</definedName>
    <definedName name="Y2001H1">[3]Model!$AO$1:$AO$65536</definedName>
    <definedName name="Y2001H2">[3]Model!$AP$1:$AP$65536</definedName>
    <definedName name="Y2001Y1">[3]Model!$AQ$1:$AQ$65536</definedName>
    <definedName name="Y2002H1">[3]Model!$AR$1:$AR$65536</definedName>
    <definedName name="Y2002H2">[3]Model!$AS$1:$AS$65536</definedName>
    <definedName name="Y2002Y1">[3]Model!$AT$1:$AT$65536</definedName>
    <definedName name="Y2003H1">[3]Model!$AU$1:$AU$65536</definedName>
    <definedName name="Y2003H2">[3]Model!$AV$1:$AV$65536</definedName>
    <definedName name="Y2003Y1">[3]Model!$AW$1:$AW$65536</definedName>
    <definedName name="Y2004H1">[3]Model!$AX$1:$AX$65536</definedName>
    <definedName name="Y2004H2">[3]Model!$AY$1:$AY$65536</definedName>
    <definedName name="Y2004Y1">[3]Model!$AZ$1:$AZ$65536</definedName>
    <definedName name="Y2005H1">[3]Model!$BA$1:$BA$65536</definedName>
    <definedName name="Y2005H2">[3]Model!$BB$1:$BB$65536</definedName>
    <definedName name="Y2005Y1">[3]Model!$BC$1:$BC$65536</definedName>
    <definedName name="Y2006H1">[3]Model!$BD$1:$BD$65536</definedName>
    <definedName name="Y2006H2">[3]Model!$BE$1:$BE$65536</definedName>
    <definedName name="Y2006Y1">[3]Model!$BF$1:$BF$65536</definedName>
    <definedName name="Y2007H1">[3]Model!$BG$1:$BG$65536</definedName>
    <definedName name="Y2007H2">[3]Model!$BH$1:$BH$65536</definedName>
    <definedName name="Y2007Y1">[3]Model!$BI$1:$BI$65536</definedName>
    <definedName name="Y2008H1">[3]Model!$BJ$1:$BJ$65536</definedName>
    <definedName name="Y2008H2">[3]Model!$BK$1:$BK$65536</definedName>
    <definedName name="Y2008Y1">[3]Model!$BL$1:$BL$65536</definedName>
    <definedName name="Y2009H1">[3]Model!$BM$1:$BM$65536</definedName>
    <definedName name="Y2009H2">[3]Model!$BN$1:$BN$65536</definedName>
    <definedName name="Y2009Y1">[3]Model!$BO$1:$BO$65536</definedName>
    <definedName name="Y2010H1">[3]Model!$BP$1:$BP$65536</definedName>
    <definedName name="Y2010H2">[3]Model!$BQ$1:$BQ$65536</definedName>
    <definedName name="Y2010Y1">[3]Model!$BR$1:$BR$65536</definedName>
    <definedName name="Y2011H1">[19]Model!#REF!</definedName>
    <definedName name="Y2011H2">[19]Model!#REF!</definedName>
    <definedName name="Y2011Y1">[19]Model!#REF!</definedName>
    <definedName name="Y2012H1">[3]Model!$BS$1:$BS$65536</definedName>
    <definedName name="Y2012H2">[3]Model!$BT$1:$BT$65536</definedName>
    <definedName name="Y2012Y1">[3]Model!$BU$1:$BU$65536</definedName>
    <definedName name="Y2013H1">[3]Model!$BV$1:$BV$65536</definedName>
    <definedName name="Y2013H2">[3]Model!$BW$1:$BW$65536</definedName>
    <definedName name="Y2013Y1">[3]Model!$BX$1:$BX$65536</definedName>
    <definedName name="Year_End_Date">#REF!</definedName>
    <definedName name="Yearend">#REF!</definedName>
    <definedName name="YearSearch">#REF!</definedName>
    <definedName name="YearXgrowth">#REF!</definedName>
    <definedName name="YearXRate">#REF!</definedName>
    <definedName name="YREND">#N/A</definedName>
    <definedName name="yrendlist">#REF!</definedName>
    <definedName name="Zoo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43" i="25" l="1"/>
  <c r="AL43" i="25"/>
  <c r="AM43" i="25"/>
  <c r="AN43" i="25"/>
  <c r="AO43" i="25"/>
  <c r="AP43" i="25"/>
  <c r="AQ43" i="25"/>
  <c r="AR43" i="25"/>
  <c r="AS43" i="25"/>
  <c r="AT43" i="25"/>
  <c r="AU43" i="25"/>
  <c r="AV43" i="25"/>
  <c r="AW43" i="25"/>
  <c r="AX43" i="25"/>
  <c r="AY43" i="25"/>
  <c r="AZ43" i="25"/>
  <c r="BA43" i="25"/>
  <c r="BB43" i="25"/>
  <c r="BC43" i="25"/>
  <c r="BD43" i="25"/>
  <c r="BE43" i="25"/>
  <c r="BF43" i="25"/>
  <c r="BG43" i="25"/>
  <c r="BH43" i="25"/>
  <c r="BI43" i="25"/>
  <c r="BJ43" i="25"/>
  <c r="BK43" i="25"/>
  <c r="BL43" i="25"/>
  <c r="BM43" i="25"/>
  <c r="BN43" i="25"/>
  <c r="BO43" i="25"/>
  <c r="BP43" i="25"/>
  <c r="BQ43" i="25"/>
  <c r="BR43" i="25"/>
  <c r="AJ43" i="25"/>
  <c r="Z45" i="34" l="1"/>
  <c r="Y45" i="34"/>
  <c r="X45" i="34"/>
  <c r="Z44" i="34"/>
  <c r="Y44" i="34"/>
  <c r="X44" i="34"/>
  <c r="Z43" i="34"/>
  <c r="Y43" i="34"/>
  <c r="X43" i="34"/>
  <c r="Z37" i="34"/>
  <c r="Z36" i="34"/>
  <c r="Z34" i="34"/>
  <c r="Z32" i="34"/>
  <c r="Y37" i="34"/>
  <c r="Y36" i="34"/>
  <c r="Y34" i="34"/>
  <c r="Y32" i="34"/>
  <c r="BB5" i="34"/>
  <c r="BC5" i="34" s="1"/>
  <c r="BA5" i="34"/>
  <c r="AZ5" i="34"/>
  <c r="AZ4" i="34"/>
  <c r="BA4" i="34" s="1"/>
  <c r="BB3" i="34"/>
  <c r="BC3" i="34" s="1"/>
  <c r="BA3" i="34"/>
  <c r="AZ3" i="34"/>
  <c r="AZ2" i="34"/>
  <c r="BA2" i="34" s="1"/>
  <c r="BB2" i="34" s="1"/>
  <c r="BC2" i="34" s="1"/>
  <c r="AW5" i="34"/>
  <c r="AX5" i="34" s="1"/>
  <c r="AV5" i="34"/>
  <c r="AV4" i="34"/>
  <c r="AW4" i="34" s="1"/>
  <c r="AW3" i="34"/>
  <c r="AX3" i="34" s="1"/>
  <c r="AV3" i="34"/>
  <c r="AV2" i="34"/>
  <c r="AW2" i="34" s="1"/>
  <c r="AX2" i="34" s="1"/>
  <c r="AY2" i="34" s="1"/>
  <c r="BR35" i="29"/>
  <c r="BR34" i="29"/>
  <c r="BR33" i="29"/>
  <c r="BR32" i="29"/>
  <c r="BR31" i="29"/>
  <c r="BR26" i="29"/>
  <c r="BR25" i="29"/>
  <c r="BR24" i="29"/>
  <c r="BR23" i="29"/>
  <c r="BR27" i="29" s="1"/>
  <c r="BN22" i="29"/>
  <c r="BO22" i="29" s="1"/>
  <c r="BR21" i="29"/>
  <c r="BQ15" i="29"/>
  <c r="BP15" i="29"/>
  <c r="BO15" i="29"/>
  <c r="BN15" i="29"/>
  <c r="BR14" i="29"/>
  <c r="BR13" i="29"/>
  <c r="BR12" i="29"/>
  <c r="BR11" i="29"/>
  <c r="BR10" i="29"/>
  <c r="BQ9" i="29"/>
  <c r="BP9" i="29"/>
  <c r="BO9" i="29"/>
  <c r="BN9" i="29"/>
  <c r="BO8" i="29"/>
  <c r="BP8" i="29" s="1"/>
  <c r="BQ8" i="29" s="1"/>
  <c r="BN8" i="29"/>
  <c r="BR3" i="29"/>
  <c r="BM35" i="29"/>
  <c r="BM34" i="29"/>
  <c r="BM33" i="29"/>
  <c r="BM32" i="29"/>
  <c r="BM31" i="29"/>
  <c r="BM26" i="29"/>
  <c r="BM25" i="29"/>
  <c r="BM24" i="29"/>
  <c r="BM23" i="29"/>
  <c r="BI22" i="29"/>
  <c r="BJ22" i="29" s="1"/>
  <c r="BM21" i="29"/>
  <c r="BM27" i="29" s="1"/>
  <c r="BL15" i="29"/>
  <c r="BK15" i="29"/>
  <c r="BJ15" i="29"/>
  <c r="BI15" i="29"/>
  <c r="BM14" i="29"/>
  <c r="BM13" i="29"/>
  <c r="BM12" i="29"/>
  <c r="BM11" i="29"/>
  <c r="BM10" i="29"/>
  <c r="BL9" i="29"/>
  <c r="BK9" i="29"/>
  <c r="BJ9" i="29"/>
  <c r="BI9" i="29"/>
  <c r="BJ8" i="29"/>
  <c r="BK8" i="29" s="1"/>
  <c r="BL8" i="29" s="1"/>
  <c r="BI8" i="29"/>
  <c r="BM3" i="29"/>
  <c r="BO43" i="27"/>
  <c r="BP43" i="27" s="1"/>
  <c r="BQ43" i="27" s="1"/>
  <c r="BR43" i="27" s="1"/>
  <c r="BN43" i="27"/>
  <c r="BO41" i="27"/>
  <c r="BP41" i="27" s="1"/>
  <c r="BQ41" i="27" s="1"/>
  <c r="BR41" i="27" s="1"/>
  <c r="BN41" i="27"/>
  <c r="BN40" i="27"/>
  <c r="BO40" i="27" s="1"/>
  <c r="BO33" i="27"/>
  <c r="BP33" i="27" s="1"/>
  <c r="BQ33" i="27" s="1"/>
  <c r="BR33" i="27" s="1"/>
  <c r="BN33" i="27"/>
  <c r="BO21" i="27"/>
  <c r="BP21" i="27" s="1"/>
  <c r="BQ21" i="27" s="1"/>
  <c r="BR21" i="27" s="1"/>
  <c r="BN21" i="27"/>
  <c r="BN20" i="27"/>
  <c r="BO20" i="27" s="1"/>
  <c r="BP20" i="27" s="1"/>
  <c r="BQ20" i="27" s="1"/>
  <c r="BR20" i="27" s="1"/>
  <c r="BO19" i="27"/>
  <c r="BP19" i="27" s="1"/>
  <c r="BQ19" i="27" s="1"/>
  <c r="BR19" i="27" s="1"/>
  <c r="BN19" i="27"/>
  <c r="BR17" i="27"/>
  <c r="BR16" i="27"/>
  <c r="BO8" i="27"/>
  <c r="BP8" i="27" s="1"/>
  <c r="BQ8" i="27" s="1"/>
  <c r="BR8" i="27" s="1"/>
  <c r="BN8" i="27"/>
  <c r="BR3" i="27"/>
  <c r="BQ2" i="27"/>
  <c r="BP2" i="27"/>
  <c r="BO2" i="27"/>
  <c r="BN2" i="27"/>
  <c r="BJ43" i="27"/>
  <c r="BK43" i="27" s="1"/>
  <c r="BL43" i="27" s="1"/>
  <c r="BM43" i="27" s="1"/>
  <c r="BI43" i="27"/>
  <c r="BJ41" i="27"/>
  <c r="BK41" i="27" s="1"/>
  <c r="BL41" i="27" s="1"/>
  <c r="BM41" i="27" s="1"/>
  <c r="BI41" i="27"/>
  <c r="BI40" i="27"/>
  <c r="BJ40" i="27" s="1"/>
  <c r="BJ33" i="27"/>
  <c r="BK33" i="27" s="1"/>
  <c r="BL33" i="27" s="1"/>
  <c r="BM33" i="27" s="1"/>
  <c r="BI33" i="27"/>
  <c r="BJ21" i="27"/>
  <c r="BK21" i="27" s="1"/>
  <c r="BL21" i="27" s="1"/>
  <c r="BM21" i="27" s="1"/>
  <c r="BI21" i="27"/>
  <c r="BI20" i="27"/>
  <c r="BJ20" i="27" s="1"/>
  <c r="BK20" i="27" s="1"/>
  <c r="BL20" i="27" s="1"/>
  <c r="BM20" i="27" s="1"/>
  <c r="BJ19" i="27"/>
  <c r="BK19" i="27" s="1"/>
  <c r="BL19" i="27" s="1"/>
  <c r="BM19" i="27" s="1"/>
  <c r="BI19" i="27"/>
  <c r="BM17" i="27"/>
  <c r="BM16" i="27"/>
  <c r="BJ8" i="27"/>
  <c r="BK8" i="27" s="1"/>
  <c r="BL8" i="27" s="1"/>
  <c r="BI8" i="27"/>
  <c r="BM3" i="27"/>
  <c r="BL2" i="27"/>
  <c r="BK2" i="27"/>
  <c r="BJ2" i="27"/>
  <c r="BI2" i="27"/>
  <c r="BO75" i="25"/>
  <c r="BP75" i="25" s="1"/>
  <c r="BQ75" i="25" s="1"/>
  <c r="BO74" i="25"/>
  <c r="BP74" i="25" s="1"/>
  <c r="BQ74" i="25" s="1"/>
  <c r="BO72" i="25"/>
  <c r="BP72" i="25" s="1"/>
  <c r="BQ72" i="25" s="1"/>
  <c r="BR61" i="25"/>
  <c r="BQ61" i="25"/>
  <c r="BP61" i="25"/>
  <c r="BO61" i="25"/>
  <c r="BN61" i="25"/>
  <c r="BO47" i="25"/>
  <c r="BP47" i="25" s="1"/>
  <c r="BN41" i="25"/>
  <c r="BO41" i="25" s="1"/>
  <c r="BP41" i="25" s="1"/>
  <c r="BQ41" i="25" s="1"/>
  <c r="BN40" i="25"/>
  <c r="BO40" i="25" s="1"/>
  <c r="BP40" i="25" s="1"/>
  <c r="BQ40" i="25" s="1"/>
  <c r="BR17" i="25"/>
  <c r="BR74" i="25" s="1"/>
  <c r="BN10" i="25"/>
  <c r="BO10" i="25" s="1"/>
  <c r="BR3" i="25"/>
  <c r="BJ75" i="25"/>
  <c r="BJ74" i="25"/>
  <c r="BK74" i="25" s="1"/>
  <c r="BL74" i="25" s="1"/>
  <c r="BJ72" i="25"/>
  <c r="BK72" i="25" s="1"/>
  <c r="BL72" i="25" s="1"/>
  <c r="BM61" i="25"/>
  <c r="BL61" i="25"/>
  <c r="BK61" i="25"/>
  <c r="BJ61" i="25"/>
  <c r="BI61" i="25"/>
  <c r="BJ47" i="25"/>
  <c r="BI41" i="25"/>
  <c r="BJ41" i="25" s="1"/>
  <c r="BK41" i="25" s="1"/>
  <c r="BL41" i="25" s="1"/>
  <c r="BI40" i="25"/>
  <c r="BJ40" i="25" s="1"/>
  <c r="BK40" i="25" s="1"/>
  <c r="BL40" i="25" s="1"/>
  <c r="BM17" i="25"/>
  <c r="BM74" i="25" s="1"/>
  <c r="BI10" i="25"/>
  <c r="BJ10" i="25" s="1"/>
  <c r="BM3" i="25"/>
  <c r="AP6" i="34"/>
  <c r="AO6" i="34"/>
  <c r="AN6" i="34"/>
  <c r="AM6" i="34"/>
  <c r="AL6" i="34"/>
  <c r="AK6" i="34"/>
  <c r="AJ6" i="34"/>
  <c r="AP18" i="34"/>
  <c r="AN18" i="34"/>
  <c r="AN23" i="34" s="1"/>
  <c r="AM18" i="34"/>
  <c r="AM23" i="34" s="1"/>
  <c r="AL18" i="34"/>
  <c r="AL23" i="34" s="1"/>
  <c r="AK18" i="34"/>
  <c r="AK23" i="34" s="1"/>
  <c r="AP17" i="34"/>
  <c r="AP22" i="34" s="1"/>
  <c r="AN17" i="34"/>
  <c r="AN22" i="34" s="1"/>
  <c r="AM17" i="34"/>
  <c r="AM22" i="34" s="1"/>
  <c r="AL17" i="34"/>
  <c r="AL22" i="34" s="1"/>
  <c r="AK17" i="34"/>
  <c r="AK22" i="34" s="1"/>
  <c r="AP16" i="34"/>
  <c r="AP21" i="34" s="1"/>
  <c r="AN16" i="34"/>
  <c r="AN21" i="34" s="1"/>
  <c r="AM16" i="34"/>
  <c r="AM21" i="34" s="1"/>
  <c r="AL16" i="34"/>
  <c r="AL21" i="34" s="1"/>
  <c r="AK16" i="34"/>
  <c r="AK21" i="34" s="1"/>
  <c r="AP12" i="34"/>
  <c r="AO12" i="34"/>
  <c r="AN12" i="34"/>
  <c r="AM12" i="34"/>
  <c r="AL12" i="34"/>
  <c r="AK12" i="34"/>
  <c r="AP11" i="34"/>
  <c r="AO11" i="34"/>
  <c r="AN11" i="34"/>
  <c r="AM11" i="34"/>
  <c r="AL11" i="34"/>
  <c r="AK11" i="34"/>
  <c r="AP10" i="34"/>
  <c r="AO10" i="34"/>
  <c r="AN10" i="34"/>
  <c r="AM10" i="34"/>
  <c r="AL10" i="34"/>
  <c r="AK10" i="34"/>
  <c r="AW38" i="29"/>
  <c r="AW35" i="29"/>
  <c r="AW34" i="29"/>
  <c r="AW33" i="29"/>
  <c r="AW32" i="29"/>
  <c r="AW31" i="29"/>
  <c r="AW30" i="29"/>
  <c r="AW26" i="29"/>
  <c r="AW25" i="29"/>
  <c r="AW24" i="29"/>
  <c r="AW23" i="29"/>
  <c r="AW22" i="29"/>
  <c r="AW15" i="29"/>
  <c r="AW14" i="29"/>
  <c r="AW13" i="29"/>
  <c r="AW12" i="29"/>
  <c r="AW11" i="29"/>
  <c r="AW10" i="29"/>
  <c r="AW9" i="29"/>
  <c r="AW8" i="29"/>
  <c r="AW7" i="29"/>
  <c r="AW6" i="29"/>
  <c r="BA35" i="29"/>
  <c r="BA33" i="29"/>
  <c r="BA31" i="29"/>
  <c r="BA30" i="29"/>
  <c r="BA25" i="29"/>
  <c r="BA24" i="29"/>
  <c r="BA23" i="29"/>
  <c r="BA22" i="29"/>
  <c r="BA15" i="29"/>
  <c r="BA14" i="29"/>
  <c r="BA13" i="29"/>
  <c r="BA12" i="29"/>
  <c r="BA11" i="29"/>
  <c r="BA9" i="29"/>
  <c r="BA8" i="29"/>
  <c r="BA6" i="29"/>
  <c r="AV15" i="29"/>
  <c r="AV14" i="29"/>
  <c r="AV13" i="29"/>
  <c r="AV12" i="29"/>
  <c r="AV11" i="29"/>
  <c r="AV9" i="29"/>
  <c r="AV8" i="29"/>
  <c r="AV6" i="29"/>
  <c r="AV25" i="29"/>
  <c r="AV24" i="29"/>
  <c r="AV23" i="29"/>
  <c r="AV35" i="29"/>
  <c r="AV22" i="29"/>
  <c r="AV33" i="29"/>
  <c r="AV31" i="29"/>
  <c r="AV30" i="29"/>
  <c r="AZ35" i="29"/>
  <c r="AZ33" i="29"/>
  <c r="AZ31" i="29"/>
  <c r="AZ30" i="29"/>
  <c r="AZ25" i="29"/>
  <c r="AZ24" i="29"/>
  <c r="AZ23" i="29"/>
  <c r="AZ22" i="29"/>
  <c r="AZ15" i="29"/>
  <c r="AZ14" i="29"/>
  <c r="AZ13" i="29"/>
  <c r="AZ12" i="29"/>
  <c r="AZ11" i="29"/>
  <c r="AZ9" i="29"/>
  <c r="AZ8" i="29"/>
  <c r="AZ6" i="29"/>
  <c r="AU35" i="29"/>
  <c r="AU33" i="29"/>
  <c r="AU31" i="29"/>
  <c r="AU30" i="29"/>
  <c r="AU25" i="29"/>
  <c r="AU24" i="29"/>
  <c r="AU23" i="29"/>
  <c r="AU22" i="29"/>
  <c r="AU15" i="29"/>
  <c r="AU14" i="29"/>
  <c r="AU13" i="29"/>
  <c r="AU12" i="29"/>
  <c r="AU11" i="29"/>
  <c r="AU9" i="29"/>
  <c r="AU8" i="29"/>
  <c r="AU6" i="29"/>
  <c r="AT14" i="29"/>
  <c r="AT8" i="29"/>
  <c r="AY35" i="29"/>
  <c r="AY14" i="29"/>
  <c r="AT17" i="29"/>
  <c r="AT16" i="29"/>
  <c r="BA9" i="27"/>
  <c r="BA8" i="27"/>
  <c r="AZ27" i="27"/>
  <c r="AZ9" i="27"/>
  <c r="AZ8" i="27"/>
  <c r="AX45" i="27"/>
  <c r="AX44" i="27"/>
  <c r="AY27" i="27"/>
  <c r="AW27" i="27"/>
  <c r="AW9" i="27"/>
  <c r="AU27" i="27"/>
  <c r="AX47" i="25"/>
  <c r="AX40" i="25"/>
  <c r="BB54" i="25"/>
  <c r="BB53" i="25"/>
  <c r="BB47" i="25"/>
  <c r="BB10" i="25"/>
  <c r="AX54" i="25"/>
  <c r="AX53" i="25"/>
  <c r="AX45" i="25"/>
  <c r="AX41" i="25"/>
  <c r="AX17" i="25"/>
  <c r="AX10" i="25"/>
  <c r="AX9" i="25"/>
  <c r="AX8" i="25"/>
  <c r="AO18" i="34" s="1"/>
  <c r="AO23" i="34" s="1"/>
  <c r="AX7" i="25"/>
  <c r="AX6" i="25"/>
  <c r="AO17" i="34" s="1"/>
  <c r="AO22" i="34" s="1"/>
  <c r="AT58" i="25"/>
  <c r="AY11" i="25"/>
  <c r="AO16" i="34" l="1"/>
  <c r="AO21" i="34" s="1"/>
  <c r="BB4" i="34"/>
  <c r="AZ8" i="34"/>
  <c r="AZ13" i="34" s="1"/>
  <c r="BA8" i="34"/>
  <c r="BA13" i="34" s="1"/>
  <c r="BB8" i="34"/>
  <c r="BB13" i="34" s="1"/>
  <c r="AX4" i="34"/>
  <c r="AY3" i="34"/>
  <c r="AX8" i="34"/>
  <c r="AY5" i="34"/>
  <c r="AV8" i="34"/>
  <c r="AV13" i="34" s="1"/>
  <c r="AW8" i="34"/>
  <c r="AW13" i="34" s="1"/>
  <c r="BP22" i="29"/>
  <c r="BO27" i="29"/>
  <c r="BN27" i="29"/>
  <c r="BK22" i="29"/>
  <c r="BJ27" i="29"/>
  <c r="BI27" i="29"/>
  <c r="BP40" i="27"/>
  <c r="BM8" i="27"/>
  <c r="BK40" i="27"/>
  <c r="BP10" i="25"/>
  <c r="BQ47" i="25"/>
  <c r="BR47" i="25" s="1"/>
  <c r="BK10" i="25"/>
  <c r="BK47" i="25"/>
  <c r="BL47" i="25" s="1"/>
  <c r="BK75" i="25"/>
  <c r="AY19" i="25"/>
  <c r="AJ14" i="34"/>
  <c r="AJ12" i="34"/>
  <c r="AJ11" i="34"/>
  <c r="AJ10" i="34"/>
  <c r="AT74" i="25"/>
  <c r="AT73" i="25"/>
  <c r="AT72" i="25"/>
  <c r="AT71" i="25"/>
  <c r="BC4" i="34" l="1"/>
  <c r="AX13" i="34"/>
  <c r="AY4" i="34"/>
  <c r="BP27" i="29"/>
  <c r="BQ22" i="29"/>
  <c r="BQ27" i="29" s="1"/>
  <c r="BK27" i="29"/>
  <c r="BL22" i="29"/>
  <c r="BL27" i="29" s="1"/>
  <c r="BQ40" i="27"/>
  <c r="BL40" i="27"/>
  <c r="BQ10" i="25"/>
  <c r="BL75" i="25"/>
  <c r="BL10" i="25"/>
  <c r="BM47" i="25"/>
  <c r="AY44" i="25"/>
  <c r="AY21" i="25"/>
  <c r="AY24" i="25" s="1"/>
  <c r="BC8" i="34" l="1"/>
  <c r="BC13" i="34" s="1"/>
  <c r="AY8" i="34"/>
  <c r="AY13" i="34" s="1"/>
  <c r="BR40" i="27"/>
  <c r="BM40" i="27"/>
  <c r="AY48" i="25"/>
  <c r="BE72" i="25" l="1"/>
  <c r="BF72" i="25" s="1"/>
  <c r="BG72" i="25" s="1"/>
  <c r="AZ72" i="25" l="1"/>
  <c r="BA72" i="25" s="1"/>
  <c r="BB72" i="25" s="1"/>
  <c r="BE47" i="25"/>
  <c r="BF47" i="25" s="1"/>
  <c r="AI14" i="34"/>
  <c r="AI12" i="34"/>
  <c r="AI11" i="34"/>
  <c r="AI10" i="34"/>
  <c r="AI6" i="34"/>
  <c r="BH35" i="29"/>
  <c r="BH34" i="29"/>
  <c r="BH33" i="29"/>
  <c r="BH32" i="29"/>
  <c r="BH31" i="29"/>
  <c r="BH26" i="29"/>
  <c r="BH25" i="29"/>
  <c r="BH24" i="29"/>
  <c r="BH23" i="29"/>
  <c r="BD22" i="29"/>
  <c r="BE22" i="29" s="1"/>
  <c r="BH21" i="29"/>
  <c r="BH27" i="29" s="1"/>
  <c r="BG15" i="29"/>
  <c r="BF15" i="29"/>
  <c r="BE15" i="29"/>
  <c r="BD15" i="29"/>
  <c r="BH14" i="29"/>
  <c r="BH13" i="29"/>
  <c r="BH12" i="29"/>
  <c r="BH11" i="29"/>
  <c r="BH10" i="29"/>
  <c r="BG9" i="29"/>
  <c r="BF9" i="29"/>
  <c r="BE9" i="29"/>
  <c r="BD9" i="29"/>
  <c r="BD8" i="29"/>
  <c r="BE8" i="29" s="1"/>
  <c r="BF8" i="29" s="1"/>
  <c r="BG8" i="29" s="1"/>
  <c r="BH3" i="29"/>
  <c r="BH17" i="27"/>
  <c r="BH16" i="27"/>
  <c r="BH3" i="27"/>
  <c r="BE75" i="25"/>
  <c r="BE74" i="25"/>
  <c r="BF74" i="25" s="1"/>
  <c r="BG74" i="25" s="1"/>
  <c r="BH61" i="25"/>
  <c r="BG61" i="25"/>
  <c r="BF61" i="25"/>
  <c r="BE61" i="25"/>
  <c r="BD61" i="25"/>
  <c r="BD41" i="25"/>
  <c r="BE41" i="25" s="1"/>
  <c r="BF41" i="25" s="1"/>
  <c r="BG41" i="25" s="1"/>
  <c r="BD40" i="25"/>
  <c r="BE40" i="25" s="1"/>
  <c r="BF40" i="25" s="1"/>
  <c r="BG40" i="25" s="1"/>
  <c r="BH17" i="25"/>
  <c r="BH74" i="25" s="1"/>
  <c r="BD10" i="25"/>
  <c r="BE10" i="25" s="1"/>
  <c r="BH3" i="25"/>
  <c r="AR74" i="25"/>
  <c r="AR73" i="25"/>
  <c r="AR72" i="25"/>
  <c r="AR71" i="25"/>
  <c r="AS41" i="25"/>
  <c r="AS40" i="25"/>
  <c r="AS10" i="25"/>
  <c r="AS9" i="25"/>
  <c r="AS8" i="25"/>
  <c r="AS7" i="25"/>
  <c r="AS6" i="25"/>
  <c r="AR81" i="25" l="1"/>
  <c r="AJ17" i="34"/>
  <c r="AJ22" i="34" s="1"/>
  <c r="AQ82" i="25"/>
  <c r="AJ16" i="34"/>
  <c r="AJ21" i="34" s="1"/>
  <c r="AR83" i="25"/>
  <c r="AJ18" i="34"/>
  <c r="AJ23" i="34" s="1"/>
  <c r="AP83" i="25"/>
  <c r="AO83" i="25"/>
  <c r="BG47" i="25"/>
  <c r="BH47" i="25" s="1"/>
  <c r="BC47" i="25"/>
  <c r="BF22" i="29"/>
  <c r="BE27" i="29"/>
  <c r="BD27" i="29"/>
  <c r="BF10" i="25"/>
  <c r="BF75" i="25"/>
  <c r="AO82" i="25"/>
  <c r="AR82" i="25"/>
  <c r="AP81" i="25"/>
  <c r="AO81" i="25"/>
  <c r="AQ83" i="25"/>
  <c r="AP82" i="25"/>
  <c r="AQ81" i="25"/>
  <c r="AS35" i="29"/>
  <c r="AR17" i="29"/>
  <c r="AR16" i="29"/>
  <c r="AR7" i="29"/>
  <c r="AS26" i="29"/>
  <c r="AS14" i="29"/>
  <c r="AS8" i="29"/>
  <c r="AS44" i="27"/>
  <c r="AR8" i="27"/>
  <c r="BF27" i="29" l="1"/>
  <c r="BG22" i="29"/>
  <c r="BG27" i="29" s="1"/>
  <c r="BG10" i="25"/>
  <c r="BG75" i="25"/>
  <c r="AH14" i="34" l="1"/>
  <c r="AF14" i="34"/>
  <c r="AE14" i="34"/>
  <c r="AD14" i="34"/>
  <c r="AC14" i="34"/>
  <c r="AB14" i="34"/>
  <c r="AA14" i="34"/>
  <c r="Z14" i="34"/>
  <c r="Y14" i="34"/>
  <c r="X14" i="34"/>
  <c r="W14" i="34"/>
  <c r="V14" i="34"/>
  <c r="U14" i="34"/>
  <c r="T14" i="34"/>
  <c r="U32" i="34"/>
  <c r="AQ8" i="27"/>
  <c r="AH12" i="34"/>
  <c r="AH11" i="34"/>
  <c r="AH10" i="34"/>
  <c r="AH6" i="34"/>
  <c r="AQ74" i="25"/>
  <c r="AQ73" i="25"/>
  <c r="AQ72" i="25"/>
  <c r="AQ71" i="25"/>
  <c r="AS47" i="25" l="1"/>
  <c r="T6" i="34" l="1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C90" i="27"/>
  <c r="AP35" i="29"/>
  <c r="AP34" i="29"/>
  <c r="AP33" i="29"/>
  <c r="AP31" i="29"/>
  <c r="AP30" i="29"/>
  <c r="AP26" i="29"/>
  <c r="AP25" i="29"/>
  <c r="AP24" i="29"/>
  <c r="AP23" i="29"/>
  <c r="AG12" i="34"/>
  <c r="AG11" i="34"/>
  <c r="AG10" i="34"/>
  <c r="AP22" i="29"/>
  <c r="AP15" i="29"/>
  <c r="AP13" i="29"/>
  <c r="AP12" i="29"/>
  <c r="AP11" i="29"/>
  <c r="AP10" i="29"/>
  <c r="AP9" i="29"/>
  <c r="AP6" i="29"/>
  <c r="AP45" i="27"/>
  <c r="AP74" i="25"/>
  <c r="AP73" i="25"/>
  <c r="AP72" i="25"/>
  <c r="AP71" i="25"/>
  <c r="AQ13" i="29" l="1"/>
  <c r="AR13" i="29" s="1"/>
  <c r="AR26" i="29"/>
  <c r="AQ26" i="29"/>
  <c r="AQ25" i="29"/>
  <c r="AR25" i="29" s="1"/>
  <c r="AR30" i="29"/>
  <c r="AQ30" i="29"/>
  <c r="AQ23" i="29"/>
  <c r="AR23" i="29" s="1"/>
  <c r="AQ31" i="29"/>
  <c r="AR31" i="29" s="1"/>
  <c r="AQ11" i="29"/>
  <c r="AR11" i="29" s="1"/>
  <c r="AR15" i="29"/>
  <c r="AQ15" i="29"/>
  <c r="AQ22" i="29"/>
  <c r="AR22" i="29" s="1"/>
  <c r="AQ9" i="29"/>
  <c r="AR9" i="29" s="1"/>
  <c r="AQ33" i="29"/>
  <c r="AR33" i="29" s="1"/>
  <c r="AR12" i="29"/>
  <c r="AQ12" i="29"/>
  <c r="AQ6" i="29"/>
  <c r="AR6" i="29" s="1"/>
  <c r="AQ34" i="29"/>
  <c r="AR34" i="29" s="1"/>
  <c r="AU72" i="25"/>
  <c r="AV72" i="25" s="1"/>
  <c r="AW72" i="25" s="1"/>
  <c r="AF10" i="34"/>
  <c r="AF12" i="34"/>
  <c r="AF11" i="34"/>
  <c r="AF16" i="34"/>
  <c r="AF17" i="34"/>
  <c r="AF18" i="34"/>
  <c r="AO8" i="29"/>
  <c r="AO14" i="29"/>
  <c r="AO74" i="25"/>
  <c r="AO73" i="25"/>
  <c r="AO72" i="25"/>
  <c r="AO71" i="25"/>
  <c r="AO68" i="25"/>
  <c r="AO62" i="25"/>
  <c r="AO61" i="25"/>
  <c r="AO60" i="25"/>
  <c r="AO59" i="25"/>
  <c r="AO58" i="25"/>
  <c r="AP14" i="29" l="1"/>
  <c r="AR14" i="29"/>
  <c r="AQ14" i="29"/>
  <c r="AP8" i="29"/>
  <c r="AQ8" i="29"/>
  <c r="AR8" i="29" s="1"/>
  <c r="BC61" i="25"/>
  <c r="BB61" i="25"/>
  <c r="BA61" i="25"/>
  <c r="AZ61" i="25"/>
  <c r="AY61" i="25"/>
  <c r="AX61" i="25"/>
  <c r="AW61" i="25"/>
  <c r="AV61" i="25"/>
  <c r="AU61" i="25"/>
  <c r="AT61" i="25"/>
  <c r="AR61" i="25"/>
  <c r="AQ61" i="25"/>
  <c r="AP61" i="25"/>
  <c r="AM68" i="25" l="1"/>
  <c r="AL68" i="25"/>
  <c r="AK68" i="25"/>
  <c r="AJ68" i="25"/>
  <c r="AH68" i="25"/>
  <c r="AG68" i="25"/>
  <c r="AF68" i="25"/>
  <c r="AE68" i="25"/>
  <c r="AC68" i="25"/>
  <c r="AN10" i="25"/>
  <c r="AN8" i="25"/>
  <c r="AL83" i="25" s="1"/>
  <c r="AN7" i="25"/>
  <c r="AM82" i="25" s="1"/>
  <c r="AN6" i="25"/>
  <c r="AL81" i="25" s="1"/>
  <c r="AM58" i="25"/>
  <c r="AH58" i="25"/>
  <c r="AQ105" i="34"/>
  <c r="AP105" i="34"/>
  <c r="AO105" i="34"/>
  <c r="AN105" i="34"/>
  <c r="BC35" i="29"/>
  <c r="BC34" i="29"/>
  <c r="BC33" i="29"/>
  <c r="BC32" i="29"/>
  <c r="BC31" i="29"/>
  <c r="BC26" i="29"/>
  <c r="BC25" i="29"/>
  <c r="BC24" i="29"/>
  <c r="BC23" i="29"/>
  <c r="BC21" i="29"/>
  <c r="BB15" i="29"/>
  <c r="BC14" i="29"/>
  <c r="BC13" i="29"/>
  <c r="BC12" i="29"/>
  <c r="BC11" i="29"/>
  <c r="BC10" i="29"/>
  <c r="BB9" i="29"/>
  <c r="BC3" i="29"/>
  <c r="BC17" i="27"/>
  <c r="BC16" i="27"/>
  <c r="BC3" i="27"/>
  <c r="AZ74" i="25"/>
  <c r="BA74" i="25" s="1"/>
  <c r="BB74" i="25" s="1"/>
  <c r="BC17" i="25"/>
  <c r="BC74" i="25" s="1"/>
  <c r="BC3" i="25"/>
  <c r="AE12" i="34"/>
  <c r="AE11" i="34"/>
  <c r="AE10" i="34"/>
  <c r="AM34" i="29"/>
  <c r="AM33" i="29"/>
  <c r="AM17" i="29"/>
  <c r="AM19" i="29" s="1"/>
  <c r="AM16" i="29"/>
  <c r="AM10" i="29"/>
  <c r="AN35" i="29"/>
  <c r="AN30" i="29"/>
  <c r="AN14" i="29"/>
  <c r="AN8" i="29"/>
  <c r="AM73" i="25"/>
  <c r="AM72" i="25"/>
  <c r="AM71" i="25"/>
  <c r="AM60" i="25"/>
  <c r="AM59" i="25"/>
  <c r="AI68" i="25" l="1"/>
  <c r="AL82" i="25"/>
  <c r="AN68" i="25"/>
  <c r="BC27" i="29"/>
  <c r="AM83" i="25"/>
  <c r="AZ40" i="25"/>
  <c r="BB40" i="25" s="1"/>
  <c r="AY27" i="29"/>
  <c r="AZ41" i="25"/>
  <c r="BB41" i="25" s="1"/>
  <c r="AZ27" i="29"/>
  <c r="AM81" i="25"/>
  <c r="AN54" i="25"/>
  <c r="AN53" i="25"/>
  <c r="AD84" i="34"/>
  <c r="BB22" i="29" l="1"/>
  <c r="BA27" i="29"/>
  <c r="AD18" i="34"/>
  <c r="AD23" i="34" s="1"/>
  <c r="AD17" i="34"/>
  <c r="AD22" i="34" s="1"/>
  <c r="AD16" i="34"/>
  <c r="AD21" i="34" s="1"/>
  <c r="AD12" i="34"/>
  <c r="AD11" i="34"/>
  <c r="AD10" i="34"/>
  <c r="AL74" i="25"/>
  <c r="AL73" i="25"/>
  <c r="AL72" i="25"/>
  <c r="AL71" i="25"/>
  <c r="BB8" i="29" l="1"/>
  <c r="BB27" i="29"/>
  <c r="AK62" i="25" l="1"/>
  <c r="AJ62" i="25"/>
  <c r="AL61" i="25"/>
  <c r="AK61" i="25"/>
  <c r="AJ61" i="25"/>
  <c r="AK60" i="25"/>
  <c r="AJ60" i="25"/>
  <c r="AK59" i="25"/>
  <c r="AJ59" i="25"/>
  <c r="AK58" i="25"/>
  <c r="AJ58" i="25"/>
  <c r="AH62" i="25"/>
  <c r="AG62" i="25"/>
  <c r="AF62" i="25"/>
  <c r="AE62" i="25"/>
  <c r="AH61" i="25"/>
  <c r="AF61" i="25"/>
  <c r="AE61" i="25"/>
  <c r="AH60" i="25"/>
  <c r="AF60" i="25"/>
  <c r="AE60" i="25"/>
  <c r="AH59" i="25"/>
  <c r="AF59" i="25"/>
  <c r="AE59" i="25"/>
  <c r="AF58" i="25"/>
  <c r="AE58" i="25"/>
  <c r="AC62" i="25"/>
  <c r="AC10" i="34"/>
  <c r="AC11" i="34"/>
  <c r="AC12" i="34"/>
  <c r="AK35" i="29"/>
  <c r="AL35" i="29" s="1"/>
  <c r="AM35" i="29" s="1"/>
  <c r="AK31" i="29"/>
  <c r="AL31" i="29" s="1"/>
  <c r="AM31" i="29" s="1"/>
  <c r="AK30" i="29"/>
  <c r="AL30" i="29" s="1"/>
  <c r="AM30" i="29" s="1"/>
  <c r="AK25" i="29"/>
  <c r="AL25" i="29" s="1"/>
  <c r="AM25" i="29" s="1"/>
  <c r="AK23" i="29"/>
  <c r="AL23" i="29" s="1"/>
  <c r="AM23" i="29" s="1"/>
  <c r="AK22" i="29"/>
  <c r="AL22" i="29" s="1"/>
  <c r="AM22" i="29" s="1"/>
  <c r="AK15" i="29"/>
  <c r="AL15" i="29" s="1"/>
  <c r="AM15" i="29" s="1"/>
  <c r="AK14" i="29"/>
  <c r="AL14" i="29" s="1"/>
  <c r="AM14" i="29" s="1"/>
  <c r="AK13" i="29"/>
  <c r="AL13" i="29" s="1"/>
  <c r="AM13" i="29" s="1"/>
  <c r="AK12" i="29"/>
  <c r="AL12" i="29" s="1"/>
  <c r="AM12" i="29" s="1"/>
  <c r="AK11" i="29"/>
  <c r="AL11" i="29" s="1"/>
  <c r="AM11" i="29" s="1"/>
  <c r="AK9" i="29"/>
  <c r="AL9" i="29" s="1"/>
  <c r="AM9" i="29" s="1"/>
  <c r="AK8" i="29"/>
  <c r="AL8" i="29" s="1"/>
  <c r="AM8" i="29" s="1"/>
  <c r="AK6" i="29"/>
  <c r="AL6" i="29" s="1"/>
  <c r="AK74" i="25"/>
  <c r="AK73" i="25"/>
  <c r="AK72" i="25"/>
  <c r="AK71" i="25"/>
  <c r="AL18" i="29" l="1"/>
  <c r="AJ74" i="25"/>
  <c r="AJ73" i="25"/>
  <c r="AJ72" i="25"/>
  <c r="AJ71" i="25"/>
  <c r="AB82" i="34"/>
  <c r="AB91" i="27"/>
  <c r="AB92" i="27" l="1"/>
  <c r="AB12" i="34"/>
  <c r="AB11" i="34"/>
  <c r="AB10" i="34"/>
  <c r="AB93" i="27" l="1"/>
  <c r="AA12" i="34"/>
  <c r="AA11" i="34"/>
  <c r="AA10" i="34"/>
  <c r="AA16" i="34"/>
  <c r="AA21" i="34" s="1"/>
  <c r="AH24" i="29"/>
  <c r="AI55" i="25"/>
  <c r="AB94" i="27" l="1"/>
  <c r="AS33" i="27"/>
  <c r="AB95" i="27" l="1"/>
  <c r="AV27" i="29"/>
  <c r="AQ53" i="25"/>
  <c r="S36" i="34"/>
  <c r="R36" i="34"/>
  <c r="S37" i="34" s="1"/>
  <c r="S32" i="34"/>
  <c r="R32" i="34"/>
  <c r="AI41" i="25"/>
  <c r="Q16" i="34"/>
  <c r="R16" i="34"/>
  <c r="Q17" i="34"/>
  <c r="R17" i="34"/>
  <c r="Q18" i="34"/>
  <c r="R18" i="34"/>
  <c r="P18" i="34"/>
  <c r="P17" i="34"/>
  <c r="P16" i="34"/>
  <c r="S34" i="34"/>
  <c r="AX3" i="29"/>
  <c r="AU27" i="29"/>
  <c r="AT27" i="29"/>
  <c r="AX17" i="27"/>
  <c r="AX16" i="27"/>
  <c r="AX3" i="27"/>
  <c r="AM105" i="34"/>
  <c r="AL105" i="34"/>
  <c r="AK105" i="34"/>
  <c r="AJ105" i="34"/>
  <c r="AU74" i="25"/>
  <c r="AV74" i="25" s="1"/>
  <c r="AW74" i="25" s="1"/>
  <c r="AX74" i="25"/>
  <c r="AX3" i="25"/>
  <c r="AH34" i="29"/>
  <c r="AH32" i="29"/>
  <c r="AH26" i="29"/>
  <c r="AH17" i="29"/>
  <c r="AH16" i="29"/>
  <c r="AH10" i="29"/>
  <c r="AI14" i="29"/>
  <c r="AH74" i="25"/>
  <c r="AH73" i="25"/>
  <c r="AH72" i="25"/>
  <c r="AH71" i="25"/>
  <c r="S43" i="34" l="1"/>
  <c r="AB96" i="27"/>
  <c r="AX27" i="29"/>
  <c r="R43" i="34"/>
  <c r="AS53" i="25"/>
  <c r="AI7" i="25"/>
  <c r="AH82" i="25" s="1"/>
  <c r="AI8" i="25"/>
  <c r="AG83" i="25" s="1"/>
  <c r="AI9" i="25"/>
  <c r="AI10" i="25"/>
  <c r="AG11" i="29"/>
  <c r="AH11" i="29" s="1"/>
  <c r="R34" i="34"/>
  <c r="Z12" i="34"/>
  <c r="Z11" i="34"/>
  <c r="Z10" i="34"/>
  <c r="AG74" i="25"/>
  <c r="AG73" i="25"/>
  <c r="AG72" i="25"/>
  <c r="AG71" i="25"/>
  <c r="Y85" i="34"/>
  <c r="AY50" i="25" l="1"/>
  <c r="AB97" i="27"/>
  <c r="BB33" i="27"/>
  <c r="BD33" i="27" s="1"/>
  <c r="BE33" i="27" s="1"/>
  <c r="BF33" i="27" s="1"/>
  <c r="BG33" i="27" s="1"/>
  <c r="BH33" i="27" s="1"/>
  <c r="AW27" i="29"/>
  <c r="AF83" i="25"/>
  <c r="AH83" i="25"/>
  <c r="AF71" i="25"/>
  <c r="Y11" i="34"/>
  <c r="Y10" i="34"/>
  <c r="Y12" i="34"/>
  <c r="AF35" i="29"/>
  <c r="AG35" i="29" s="1"/>
  <c r="AH35" i="29" s="1"/>
  <c r="AF33" i="29"/>
  <c r="AG33" i="29" s="1"/>
  <c r="AH33" i="29" s="1"/>
  <c r="AF31" i="29"/>
  <c r="AG31" i="29" s="1"/>
  <c r="AH31" i="29" s="1"/>
  <c r="AF30" i="29"/>
  <c r="AG30" i="29" s="1"/>
  <c r="AH30" i="29" s="1"/>
  <c r="AF25" i="29"/>
  <c r="AG25" i="29" s="1"/>
  <c r="AH25" i="29" s="1"/>
  <c r="AF23" i="29"/>
  <c r="AG23" i="29" s="1"/>
  <c r="AH23" i="29" s="1"/>
  <c r="AF22" i="29"/>
  <c r="AG22" i="29" s="1"/>
  <c r="AH22" i="29" s="1"/>
  <c r="AF15" i="29"/>
  <c r="AG15" i="29" s="1"/>
  <c r="AH15" i="29" s="1"/>
  <c r="AF14" i="29"/>
  <c r="AG14" i="29" s="1"/>
  <c r="AH14" i="29" s="1"/>
  <c r="AF13" i="29"/>
  <c r="AG13" i="29" s="1"/>
  <c r="AH13" i="29" s="1"/>
  <c r="AF12" i="29"/>
  <c r="AG12" i="29" s="1"/>
  <c r="AH12" i="29" s="1"/>
  <c r="AF9" i="29"/>
  <c r="AG9" i="29" s="1"/>
  <c r="AH9" i="29" s="1"/>
  <c r="AF8" i="29"/>
  <c r="AG8" i="29" s="1"/>
  <c r="AH8" i="29" s="1"/>
  <c r="AF72" i="25"/>
  <c r="AF73" i="25"/>
  <c r="AF74" i="25"/>
  <c r="C61" i="34"/>
  <c r="C62" i="34" s="1"/>
  <c r="D62" i="34" s="1"/>
  <c r="X85" i="34"/>
  <c r="D60" i="34"/>
  <c r="AB98" i="27" l="1"/>
  <c r="BC33" i="27"/>
  <c r="AH36" i="29"/>
  <c r="AH27" i="29"/>
  <c r="C63" i="34"/>
  <c r="D63" i="34" s="1"/>
  <c r="X12" i="34"/>
  <c r="X11" i="34"/>
  <c r="X10" i="34"/>
  <c r="AE83" i="25"/>
  <c r="AE74" i="25"/>
  <c r="AE73" i="25"/>
  <c r="AE72" i="25"/>
  <c r="AE71" i="25"/>
  <c r="Y75" i="25"/>
  <c r="Y74" i="25"/>
  <c r="Y73" i="25"/>
  <c r="Y72" i="25"/>
  <c r="Y71" i="25"/>
  <c r="W75" i="25"/>
  <c r="V75" i="25"/>
  <c r="U75" i="25"/>
  <c r="T75" i="25"/>
  <c r="R75" i="25"/>
  <c r="Q75" i="25"/>
  <c r="P75" i="25"/>
  <c r="O75" i="25"/>
  <c r="M75" i="25"/>
  <c r="L75" i="25"/>
  <c r="K75" i="25"/>
  <c r="J75" i="25"/>
  <c r="W74" i="25"/>
  <c r="V74" i="25"/>
  <c r="U74" i="25"/>
  <c r="T74" i="25"/>
  <c r="R74" i="25"/>
  <c r="Q74" i="25"/>
  <c r="P74" i="25"/>
  <c r="O74" i="25"/>
  <c r="M74" i="25"/>
  <c r="L74" i="25"/>
  <c r="K74" i="25"/>
  <c r="J74" i="25"/>
  <c r="W73" i="25"/>
  <c r="V73" i="25"/>
  <c r="U73" i="25"/>
  <c r="T73" i="25"/>
  <c r="R73" i="25"/>
  <c r="Q73" i="25"/>
  <c r="P73" i="25"/>
  <c r="O73" i="25"/>
  <c r="M73" i="25"/>
  <c r="L73" i="25"/>
  <c r="K73" i="25"/>
  <c r="W72" i="25"/>
  <c r="V72" i="25"/>
  <c r="U72" i="25"/>
  <c r="T72" i="25"/>
  <c r="R72" i="25"/>
  <c r="Q72" i="25"/>
  <c r="P72" i="25"/>
  <c r="O72" i="25"/>
  <c r="M72" i="25"/>
  <c r="L72" i="25"/>
  <c r="K72" i="25"/>
  <c r="J72" i="25"/>
  <c r="W71" i="25"/>
  <c r="V71" i="25"/>
  <c r="U71" i="25"/>
  <c r="T71" i="25"/>
  <c r="R71" i="25"/>
  <c r="Q71" i="25"/>
  <c r="P71" i="25"/>
  <c r="O71" i="25"/>
  <c r="M71" i="25"/>
  <c r="L71" i="25"/>
  <c r="K71" i="25"/>
  <c r="J71" i="25"/>
  <c r="AC71" i="25"/>
  <c r="AC72" i="25"/>
  <c r="AC73" i="25"/>
  <c r="AC74" i="25"/>
  <c r="AD54" i="25"/>
  <c r="AD53" i="25"/>
  <c r="AD40" i="25"/>
  <c r="AD41" i="25"/>
  <c r="AC34" i="29"/>
  <c r="AD35" i="29"/>
  <c r="AC26" i="29"/>
  <c r="AD27" i="29"/>
  <c r="AC10" i="29"/>
  <c r="AC16" i="29"/>
  <c r="AD14" i="29"/>
  <c r="AD9" i="29"/>
  <c r="AC13" i="27"/>
  <c r="AC22" i="27" s="1"/>
  <c r="W10" i="34"/>
  <c r="W11" i="34"/>
  <c r="W12" i="34"/>
  <c r="AD18" i="25"/>
  <c r="AD16" i="25"/>
  <c r="AD15" i="25"/>
  <c r="AC19" i="25"/>
  <c r="AD7" i="25"/>
  <c r="AD8" i="25"/>
  <c r="AC83" i="25" s="1"/>
  <c r="AD9" i="25"/>
  <c r="AD6" i="25"/>
  <c r="AC81" i="25" s="1"/>
  <c r="AB17" i="29"/>
  <c r="AA17" i="29"/>
  <c r="W17" i="29"/>
  <c r="V17" i="29"/>
  <c r="R17" i="29"/>
  <c r="Q17" i="29"/>
  <c r="M17" i="29"/>
  <c r="L17" i="29"/>
  <c r="H17" i="29"/>
  <c r="G17" i="29"/>
  <c r="AB16" i="29"/>
  <c r="AA16" i="29"/>
  <c r="W16" i="29"/>
  <c r="V16" i="29"/>
  <c r="R16" i="29"/>
  <c r="Q16" i="29"/>
  <c r="M16" i="29"/>
  <c r="L16" i="29"/>
  <c r="H16" i="29"/>
  <c r="G16" i="29"/>
  <c r="D61" i="34"/>
  <c r="AB99" i="27" l="1"/>
  <c r="AD73" i="25"/>
  <c r="AA83" i="25"/>
  <c r="AA82" i="25"/>
  <c r="AD72" i="25"/>
  <c r="Z83" i="25"/>
  <c r="C64" i="34"/>
  <c r="Z82" i="25"/>
  <c r="AC82" i="25"/>
  <c r="R45" i="34"/>
  <c r="Q23" i="34"/>
  <c r="P23" i="34"/>
  <c r="O18" i="34"/>
  <c r="O23" i="34" s="1"/>
  <c r="N18" i="34"/>
  <c r="N23" i="34" s="1"/>
  <c r="L18" i="34"/>
  <c r="L23" i="34" s="1"/>
  <c r="K18" i="34"/>
  <c r="K23" i="34" s="1"/>
  <c r="J18" i="34"/>
  <c r="J23" i="34" s="1"/>
  <c r="I18" i="34"/>
  <c r="I23" i="34" s="1"/>
  <c r="G18" i="34"/>
  <c r="G23" i="34" s="1"/>
  <c r="F18" i="34"/>
  <c r="F23" i="34" s="1"/>
  <c r="E18" i="34"/>
  <c r="E23" i="34" s="1"/>
  <c r="Q22" i="34"/>
  <c r="P22" i="34"/>
  <c r="O17" i="34"/>
  <c r="O22" i="34" s="1"/>
  <c r="N17" i="34"/>
  <c r="N22" i="34" s="1"/>
  <c r="L17" i="34"/>
  <c r="L22" i="34" s="1"/>
  <c r="K17" i="34"/>
  <c r="K22" i="34" s="1"/>
  <c r="J17" i="34"/>
  <c r="J22" i="34" s="1"/>
  <c r="I17" i="34"/>
  <c r="I22" i="34" s="1"/>
  <c r="G17" i="34"/>
  <c r="G22" i="34" s="1"/>
  <c r="F17" i="34"/>
  <c r="F22" i="34" s="1"/>
  <c r="E17" i="34"/>
  <c r="E22" i="34" s="1"/>
  <c r="Q21" i="34"/>
  <c r="P21" i="34"/>
  <c r="O16" i="34"/>
  <c r="O21" i="34" s="1"/>
  <c r="N16" i="34"/>
  <c r="N21" i="34" s="1"/>
  <c r="L16" i="34"/>
  <c r="L21" i="34" s="1"/>
  <c r="K16" i="34"/>
  <c r="K21" i="34" s="1"/>
  <c r="J16" i="34"/>
  <c r="J21" i="34" s="1"/>
  <c r="I16" i="34"/>
  <c r="I21" i="34" s="1"/>
  <c r="G16" i="34"/>
  <c r="G21" i="34" s="1"/>
  <c r="F16" i="34"/>
  <c r="F21" i="34" s="1"/>
  <c r="E16" i="34"/>
  <c r="E21" i="34" s="1"/>
  <c r="T16" i="34"/>
  <c r="T18" i="34"/>
  <c r="T17" i="34"/>
  <c r="U18" i="34"/>
  <c r="U23" i="34" s="1"/>
  <c r="U17" i="34"/>
  <c r="U22" i="34" s="1"/>
  <c r="U16" i="34"/>
  <c r="U21" i="34" s="1"/>
  <c r="V18" i="34"/>
  <c r="V23" i="34" s="1"/>
  <c r="V17" i="34"/>
  <c r="V22" i="34" s="1"/>
  <c r="V16" i="34"/>
  <c r="V21" i="34" s="1"/>
  <c r="A18" i="34"/>
  <c r="A17" i="34"/>
  <c r="A16" i="34"/>
  <c r="U12" i="34"/>
  <c r="T12" i="34"/>
  <c r="S12" i="34"/>
  <c r="R12" i="34"/>
  <c r="Q12" i="34"/>
  <c r="P12" i="34"/>
  <c r="O12" i="34"/>
  <c r="N12" i="34"/>
  <c r="M12" i="34"/>
  <c r="L12" i="34"/>
  <c r="K12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V12" i="34"/>
  <c r="V11" i="34"/>
  <c r="V10" i="34"/>
  <c r="A10" i="34"/>
  <c r="A21" i="34" s="1"/>
  <c r="A11" i="34"/>
  <c r="A22" i="34" s="1"/>
  <c r="A12" i="34"/>
  <c r="A23" i="34" s="1"/>
  <c r="A13" i="34"/>
  <c r="D64" i="34"/>
  <c r="AB100" i="27" l="1"/>
  <c r="BB21" i="27"/>
  <c r="BD21" i="27" s="1"/>
  <c r="BE21" i="27" s="1"/>
  <c r="BF21" i="27" s="1"/>
  <c r="BG21" i="27" s="1"/>
  <c r="BH21" i="27" s="1"/>
  <c r="BD53" i="25"/>
  <c r="Q25" i="34"/>
  <c r="L25" i="34"/>
  <c r="L26" i="34"/>
  <c r="Q26" i="34"/>
  <c r="L27" i="34"/>
  <c r="Q27" i="34"/>
  <c r="T21" i="34"/>
  <c r="T23" i="34"/>
  <c r="T22" i="34"/>
  <c r="C65" i="34"/>
  <c r="D65" i="34" s="1"/>
  <c r="R44" i="34"/>
  <c r="BE53" i="25" l="1"/>
  <c r="BF53" i="25" s="1"/>
  <c r="BG53" i="25" s="1"/>
  <c r="BI53" i="25" s="1"/>
  <c r="AB101" i="27"/>
  <c r="BC21" i="27"/>
  <c r="BC53" i="25"/>
  <c r="Q28" i="34"/>
  <c r="L28" i="34"/>
  <c r="C66" i="34"/>
  <c r="D66" i="34" s="1"/>
  <c r="T85" i="34"/>
  <c r="V85" i="34"/>
  <c r="BJ53" i="25" l="1"/>
  <c r="BK53" i="25" s="1"/>
  <c r="BL53" i="25" s="1"/>
  <c r="BN53" i="25" s="1"/>
  <c r="BM53" i="25"/>
  <c r="BH53" i="25"/>
  <c r="AB102" i="27"/>
  <c r="C67" i="34"/>
  <c r="D67" i="34" s="1"/>
  <c r="BO53" i="25" l="1"/>
  <c r="BP53" i="25" s="1"/>
  <c r="BQ53" i="25" s="1"/>
  <c r="AB103" i="27"/>
  <c r="C68" i="34"/>
  <c r="D68" i="34" s="1"/>
  <c r="AA19" i="25"/>
  <c r="AA76" i="25" s="1"/>
  <c r="BR53" i="25" l="1"/>
  <c r="AB104" i="27"/>
  <c r="C69" i="34"/>
  <c r="AA44" i="25"/>
  <c r="Z24" i="25"/>
  <c r="AA71" i="25"/>
  <c r="AA72" i="25"/>
  <c r="F50" i="34"/>
  <c r="D69" i="34"/>
  <c r="AB105" i="27" l="1"/>
  <c r="C70" i="34"/>
  <c r="D70" i="34"/>
  <c r="AB106" i="27" l="1"/>
  <c r="C71" i="34"/>
  <c r="R37" i="34"/>
  <c r="Q37" i="34"/>
  <c r="Q39" i="34" s="1"/>
  <c r="P37" i="34"/>
  <c r="P39" i="34" s="1"/>
  <c r="D31" i="34"/>
  <c r="E31" i="34" s="1"/>
  <c r="F31" i="34" s="1"/>
  <c r="G31" i="34" s="1"/>
  <c r="H31" i="34" s="1"/>
  <c r="I31" i="34" s="1"/>
  <c r="J31" i="34" s="1"/>
  <c r="K31" i="34" s="1"/>
  <c r="L31" i="34" s="1"/>
  <c r="M31" i="34" s="1"/>
  <c r="N31" i="34" s="1"/>
  <c r="O31" i="34" s="1"/>
  <c r="P31" i="34" s="1"/>
  <c r="Q31" i="34" s="1"/>
  <c r="R31" i="34" s="1"/>
  <c r="S31" i="34" s="1"/>
  <c r="T31" i="34" s="1"/>
  <c r="U31" i="34" s="1"/>
  <c r="V31" i="34" s="1"/>
  <c r="AA67" i="25"/>
  <c r="Z67" i="25"/>
  <c r="AA66" i="25"/>
  <c r="Z66" i="25"/>
  <c r="AA65" i="25"/>
  <c r="Z65" i="25"/>
  <c r="U66" i="25"/>
  <c r="V66" i="25"/>
  <c r="W66" i="25"/>
  <c r="U67" i="25"/>
  <c r="V67" i="25"/>
  <c r="W67" i="25"/>
  <c r="V65" i="25"/>
  <c r="W65" i="25"/>
  <c r="U65" i="25"/>
  <c r="D71" i="34"/>
  <c r="AB107" i="27" l="1"/>
  <c r="C72" i="34"/>
  <c r="G107" i="34"/>
  <c r="W83" i="25"/>
  <c r="V83" i="25"/>
  <c r="U83" i="25"/>
  <c r="W82" i="25"/>
  <c r="V82" i="25"/>
  <c r="U82" i="25"/>
  <c r="W81" i="25"/>
  <c r="V81" i="25"/>
  <c r="U81" i="25"/>
  <c r="R83" i="25"/>
  <c r="Q83" i="25"/>
  <c r="P83" i="25"/>
  <c r="R82" i="25"/>
  <c r="Q82" i="25"/>
  <c r="P82" i="25"/>
  <c r="R81" i="25"/>
  <c r="Q81" i="25"/>
  <c r="P81" i="25"/>
  <c r="M83" i="25"/>
  <c r="L83" i="25"/>
  <c r="K83" i="25"/>
  <c r="M82" i="25"/>
  <c r="L82" i="25"/>
  <c r="K82" i="25"/>
  <c r="M81" i="25"/>
  <c r="L81" i="25"/>
  <c r="K81" i="25"/>
  <c r="I83" i="25"/>
  <c r="H82" i="25"/>
  <c r="H83" i="25"/>
  <c r="H81" i="25"/>
  <c r="G83" i="25"/>
  <c r="G82" i="25"/>
  <c r="G81" i="25"/>
  <c r="F83" i="25"/>
  <c r="F82" i="25"/>
  <c r="F81" i="25"/>
  <c r="AD17" i="25"/>
  <c r="AD74" i="25" s="1"/>
  <c r="AI17" i="25"/>
  <c r="AI74" i="25" s="1"/>
  <c r="AN17" i="25"/>
  <c r="AS17" i="25"/>
  <c r="AS74" i="25" s="1"/>
  <c r="Q62" i="25"/>
  <c r="P62" i="25"/>
  <c r="M62" i="25"/>
  <c r="AA75" i="25"/>
  <c r="Z75" i="25"/>
  <c r="AA74" i="25"/>
  <c r="Z74" i="25"/>
  <c r="AA73" i="25"/>
  <c r="Z73" i="25"/>
  <c r="Z72" i="25"/>
  <c r="Z71" i="25"/>
  <c r="AA63" i="25"/>
  <c r="Z63" i="25"/>
  <c r="AA61" i="25"/>
  <c r="Z61" i="25"/>
  <c r="AA60" i="25"/>
  <c r="Z60" i="25"/>
  <c r="AA59" i="25"/>
  <c r="Z59" i="25"/>
  <c r="AA58" i="25"/>
  <c r="Z58" i="25"/>
  <c r="W63" i="25"/>
  <c r="V63" i="25"/>
  <c r="U63" i="25"/>
  <c r="W61" i="25"/>
  <c r="V61" i="25"/>
  <c r="U61" i="25"/>
  <c r="W60" i="25"/>
  <c r="V60" i="25"/>
  <c r="U60" i="25"/>
  <c r="W59" i="25"/>
  <c r="V59" i="25"/>
  <c r="U59" i="25"/>
  <c r="W58" i="25"/>
  <c r="V58" i="25"/>
  <c r="U58" i="25"/>
  <c r="R63" i="25"/>
  <c r="Q63" i="25"/>
  <c r="P63" i="25"/>
  <c r="R61" i="25"/>
  <c r="Q61" i="25"/>
  <c r="P61" i="25"/>
  <c r="R60" i="25"/>
  <c r="Q60" i="25"/>
  <c r="P60" i="25"/>
  <c r="R59" i="25"/>
  <c r="Q59" i="25"/>
  <c r="P59" i="25"/>
  <c r="R58" i="25"/>
  <c r="Q58" i="25"/>
  <c r="P58" i="25"/>
  <c r="L58" i="25"/>
  <c r="M58" i="25"/>
  <c r="L59" i="25"/>
  <c r="M59" i="25"/>
  <c r="L60" i="25"/>
  <c r="M60" i="25"/>
  <c r="L61" i="25"/>
  <c r="M61" i="25"/>
  <c r="G71" i="25"/>
  <c r="H71" i="25"/>
  <c r="G72" i="25"/>
  <c r="H72" i="25"/>
  <c r="G73" i="25"/>
  <c r="H73" i="25"/>
  <c r="I73" i="25"/>
  <c r="G74" i="25"/>
  <c r="H74" i="25"/>
  <c r="G75" i="25"/>
  <c r="H75" i="25"/>
  <c r="F75" i="25"/>
  <c r="F74" i="25"/>
  <c r="F72" i="25"/>
  <c r="F73" i="25"/>
  <c r="F71" i="25"/>
  <c r="K58" i="25"/>
  <c r="K59" i="25"/>
  <c r="K60" i="25"/>
  <c r="K61" i="25"/>
  <c r="D72" i="34"/>
  <c r="AB108" i="27" l="1"/>
  <c r="C73" i="34"/>
  <c r="G93" i="34"/>
  <c r="F93" i="34"/>
  <c r="F92" i="34"/>
  <c r="AI105" i="34"/>
  <c r="AH105" i="34"/>
  <c r="AG105" i="34"/>
  <c r="AF105" i="34"/>
  <c r="AE105" i="34"/>
  <c r="AD105" i="34"/>
  <c r="AC105" i="34"/>
  <c r="AB105" i="34"/>
  <c r="AA105" i="34"/>
  <c r="Z105" i="34"/>
  <c r="Y105" i="34"/>
  <c r="X105" i="34"/>
  <c r="X8" i="34"/>
  <c r="W105" i="34"/>
  <c r="V105" i="34"/>
  <c r="U105" i="34"/>
  <c r="T105" i="34"/>
  <c r="V97" i="34"/>
  <c r="U97" i="34"/>
  <c r="T97" i="34"/>
  <c r="W8" i="34"/>
  <c r="V8" i="34"/>
  <c r="U8" i="34"/>
  <c r="T8" i="34"/>
  <c r="S105" i="34"/>
  <c r="R105" i="34"/>
  <c r="Q105" i="34"/>
  <c r="P105" i="34"/>
  <c r="S97" i="34"/>
  <c r="R97" i="34"/>
  <c r="Q97" i="34"/>
  <c r="P97" i="34"/>
  <c r="S8" i="34"/>
  <c r="R8" i="34"/>
  <c r="Q8" i="34"/>
  <c r="P8" i="34"/>
  <c r="AA10" i="25"/>
  <c r="Z10" i="25"/>
  <c r="W10" i="25"/>
  <c r="W62" i="25" s="1"/>
  <c r="V10" i="25"/>
  <c r="V62" i="25" s="1"/>
  <c r="U10" i="25"/>
  <c r="U62" i="25" s="1"/>
  <c r="R10" i="25"/>
  <c r="R62" i="25" s="1"/>
  <c r="G95" i="34"/>
  <c r="F95" i="34"/>
  <c r="J8" i="34"/>
  <c r="H97" i="34"/>
  <c r="E105" i="34"/>
  <c r="F105" i="34"/>
  <c r="G105" i="34"/>
  <c r="H105" i="34"/>
  <c r="I105" i="34"/>
  <c r="J105" i="34"/>
  <c r="K105" i="34"/>
  <c r="L105" i="34"/>
  <c r="M105" i="34"/>
  <c r="N105" i="34"/>
  <c r="O105" i="34"/>
  <c r="E97" i="34"/>
  <c r="I97" i="34"/>
  <c r="J97" i="34"/>
  <c r="K97" i="34"/>
  <c r="L97" i="34"/>
  <c r="M97" i="34"/>
  <c r="N97" i="34"/>
  <c r="O97" i="34"/>
  <c r="E8" i="34"/>
  <c r="F8" i="34"/>
  <c r="G8" i="34"/>
  <c r="H8" i="34"/>
  <c r="I8" i="34"/>
  <c r="K8" i="34"/>
  <c r="L8" i="34"/>
  <c r="M8" i="34"/>
  <c r="N8" i="34"/>
  <c r="O8" i="34"/>
  <c r="D8" i="34"/>
  <c r="D97" i="34"/>
  <c r="D105" i="34"/>
  <c r="E2" i="34"/>
  <c r="X15" i="25"/>
  <c r="X16" i="25"/>
  <c r="X17" i="25"/>
  <c r="X18" i="25"/>
  <c r="X14" i="25"/>
  <c r="Y19" i="25"/>
  <c r="Y76" i="25" s="1"/>
  <c r="X7" i="25"/>
  <c r="X8" i="25"/>
  <c r="X9" i="25"/>
  <c r="X6" i="25"/>
  <c r="S15" i="25"/>
  <c r="S16" i="25"/>
  <c r="S17" i="25"/>
  <c r="S18" i="25"/>
  <c r="S14" i="25"/>
  <c r="S7" i="25"/>
  <c r="M16" i="34" s="1"/>
  <c r="M21" i="34" s="1"/>
  <c r="S8" i="25"/>
  <c r="M18" i="34" s="1"/>
  <c r="M23" i="34" s="1"/>
  <c r="S9" i="25"/>
  <c r="S6" i="25"/>
  <c r="M17" i="34" s="1"/>
  <c r="M22" i="34" s="1"/>
  <c r="T19" i="25"/>
  <c r="T76" i="25" s="1"/>
  <c r="O19" i="25"/>
  <c r="O76" i="25" s="1"/>
  <c r="N18" i="25"/>
  <c r="N17" i="25"/>
  <c r="N16" i="25"/>
  <c r="N15" i="25"/>
  <c r="N14" i="25"/>
  <c r="N7" i="25"/>
  <c r="H16" i="34" s="1"/>
  <c r="H21" i="34" s="1"/>
  <c r="N8" i="25"/>
  <c r="H18" i="34" s="1"/>
  <c r="H23" i="34" s="1"/>
  <c r="N9" i="25"/>
  <c r="N10" i="25"/>
  <c r="N6" i="25"/>
  <c r="H17" i="34" s="1"/>
  <c r="H22" i="34" s="1"/>
  <c r="J19" i="25"/>
  <c r="J76" i="25" s="1"/>
  <c r="I18" i="25"/>
  <c r="I17" i="25"/>
  <c r="I15" i="25"/>
  <c r="I14" i="25"/>
  <c r="I9" i="25"/>
  <c r="I7" i="25"/>
  <c r="I82" i="25" s="1"/>
  <c r="I6" i="25"/>
  <c r="Z19" i="25"/>
  <c r="W19" i="25"/>
  <c r="W76" i="25" s="1"/>
  <c r="V19" i="25"/>
  <c r="V76" i="25" s="1"/>
  <c r="U19" i="25"/>
  <c r="U76" i="25" s="1"/>
  <c r="R19" i="25"/>
  <c r="R76" i="25" s="1"/>
  <c r="Q19" i="25"/>
  <c r="Q76" i="25" s="1"/>
  <c r="P19" i="25"/>
  <c r="P76" i="25" s="1"/>
  <c r="L19" i="25"/>
  <c r="L76" i="25" s="1"/>
  <c r="M19" i="25"/>
  <c r="M76" i="25" s="1"/>
  <c r="K19" i="25"/>
  <c r="K76" i="25" s="1"/>
  <c r="G19" i="25"/>
  <c r="G76" i="25" s="1"/>
  <c r="H19" i="25"/>
  <c r="H76" i="25" s="1"/>
  <c r="F19" i="25"/>
  <c r="F76" i="25" s="1"/>
  <c r="D73" i="34"/>
  <c r="AB72" i="25" l="1"/>
  <c r="AB73" i="25"/>
  <c r="AB58" i="25"/>
  <c r="AB81" i="25"/>
  <c r="AG58" i="25"/>
  <c r="AC61" i="25"/>
  <c r="AG61" i="25"/>
  <c r="AB61" i="25"/>
  <c r="AB71" i="25"/>
  <c r="AB19" i="25"/>
  <c r="AB60" i="25"/>
  <c r="AB83" i="25"/>
  <c r="AG60" i="25"/>
  <c r="AG59" i="25"/>
  <c r="AB59" i="25"/>
  <c r="AB82" i="25"/>
  <c r="AB74" i="25"/>
  <c r="S73" i="25"/>
  <c r="W13" i="34"/>
  <c r="AB109" i="27"/>
  <c r="N74" i="25"/>
  <c r="S72" i="25"/>
  <c r="R21" i="34"/>
  <c r="R25" i="34" s="1"/>
  <c r="AC59" i="25"/>
  <c r="S16" i="34"/>
  <c r="S21" i="34" s="1"/>
  <c r="V25" i="34" s="1"/>
  <c r="X74" i="25"/>
  <c r="F2" i="34"/>
  <c r="G2" i="34" s="1"/>
  <c r="H2" i="34" s="1"/>
  <c r="I2" i="34" s="1"/>
  <c r="J2" i="34" s="1"/>
  <c r="K2" i="34" s="1"/>
  <c r="L2" i="34" s="1"/>
  <c r="M2" i="34" s="1"/>
  <c r="N2" i="34" s="1"/>
  <c r="O2" i="34" s="1"/>
  <c r="P2" i="34" s="1"/>
  <c r="Q2" i="34" s="1"/>
  <c r="R2" i="34" s="1"/>
  <c r="S2" i="34" s="1"/>
  <c r="T2" i="34" s="1"/>
  <c r="U2" i="34" s="1"/>
  <c r="V2" i="34" s="1"/>
  <c r="W2" i="34" s="1"/>
  <c r="X2" i="34" s="1"/>
  <c r="Y2" i="34" s="1"/>
  <c r="Z2" i="34" s="1"/>
  <c r="AA2" i="34" s="1"/>
  <c r="AB2" i="34" s="1"/>
  <c r="AC2" i="34" s="1"/>
  <c r="AD2" i="34" s="1"/>
  <c r="AE2" i="34" s="1"/>
  <c r="AF2" i="34" s="1"/>
  <c r="AG2" i="34" s="1"/>
  <c r="AH2" i="34" s="1"/>
  <c r="AI2" i="34" s="1"/>
  <c r="AJ2" i="34" s="1"/>
  <c r="AK2" i="34" s="1"/>
  <c r="AL2" i="34" s="1"/>
  <c r="AM2" i="34" s="1"/>
  <c r="AN2" i="34" s="1"/>
  <c r="AO2" i="34" s="1"/>
  <c r="AP2" i="34" s="1"/>
  <c r="AQ2" i="34" s="1"/>
  <c r="AR2" i="34" s="1"/>
  <c r="AS2" i="34" s="1"/>
  <c r="AT2" i="34" s="1"/>
  <c r="AU2" i="34" s="1"/>
  <c r="E60" i="34"/>
  <c r="F60" i="34" s="1"/>
  <c r="N71" i="25"/>
  <c r="R22" i="34"/>
  <c r="AC58" i="25"/>
  <c r="S17" i="34"/>
  <c r="S22" i="34" s="1"/>
  <c r="V26" i="34" s="1"/>
  <c r="X73" i="25"/>
  <c r="R23" i="34"/>
  <c r="AC60" i="25"/>
  <c r="S18" i="34"/>
  <c r="S23" i="34" s="1"/>
  <c r="V27" i="34" s="1"/>
  <c r="X13" i="34"/>
  <c r="K27" i="34"/>
  <c r="H27" i="34"/>
  <c r="J27" i="34"/>
  <c r="I27" i="34"/>
  <c r="P27" i="34"/>
  <c r="N27" i="34"/>
  <c r="M27" i="34"/>
  <c r="O27" i="34"/>
  <c r="P25" i="34"/>
  <c r="P29" i="34" s="1"/>
  <c r="M25" i="34"/>
  <c r="O25" i="34"/>
  <c r="N25" i="34"/>
  <c r="K26" i="34"/>
  <c r="I26" i="34"/>
  <c r="H26" i="34"/>
  <c r="J26" i="34"/>
  <c r="K25" i="34"/>
  <c r="K28" i="34" s="1"/>
  <c r="J25" i="34"/>
  <c r="I25" i="34"/>
  <c r="H25" i="34"/>
  <c r="P26" i="34"/>
  <c r="N26" i="34"/>
  <c r="O26" i="34"/>
  <c r="M26" i="34"/>
  <c r="C74" i="34"/>
  <c r="N73" i="25"/>
  <c r="Z44" i="25"/>
  <c r="AD19" i="25"/>
  <c r="Z76" i="25"/>
  <c r="S71" i="25"/>
  <c r="N72" i="25"/>
  <c r="S74" i="25"/>
  <c r="X71" i="25"/>
  <c r="X72" i="25"/>
  <c r="Q13" i="34"/>
  <c r="W16" i="34"/>
  <c r="X16" i="34"/>
  <c r="W18" i="34"/>
  <c r="M13" i="34"/>
  <c r="E13" i="34"/>
  <c r="J13" i="34"/>
  <c r="V13" i="34"/>
  <c r="K13" i="34"/>
  <c r="N13" i="34"/>
  <c r="L13" i="34"/>
  <c r="O13" i="34"/>
  <c r="F13" i="34"/>
  <c r="P13" i="34"/>
  <c r="G13" i="34"/>
  <c r="H13" i="34"/>
  <c r="I13" i="34"/>
  <c r="U13" i="34"/>
  <c r="T13" i="34"/>
  <c r="S13" i="34"/>
  <c r="R13" i="34"/>
  <c r="Z81" i="25"/>
  <c r="AA81" i="25"/>
  <c r="N62" i="25"/>
  <c r="X82" i="25"/>
  <c r="X59" i="25"/>
  <c r="S59" i="25"/>
  <c r="S82" i="25"/>
  <c r="X58" i="25"/>
  <c r="X81" i="25"/>
  <c r="N58" i="25"/>
  <c r="N81" i="25"/>
  <c r="N82" i="25"/>
  <c r="N59" i="25"/>
  <c r="S81" i="25"/>
  <c r="S58" i="25"/>
  <c r="I72" i="25"/>
  <c r="G92" i="34"/>
  <c r="G97" i="34" s="1"/>
  <c r="I81" i="25"/>
  <c r="I71" i="25"/>
  <c r="N19" i="25"/>
  <c r="I74" i="25"/>
  <c r="Z68" i="25"/>
  <c r="Z62" i="25"/>
  <c r="N60" i="25"/>
  <c r="N83" i="25"/>
  <c r="X60" i="25"/>
  <c r="X83" i="25"/>
  <c r="AV83" i="25" s="1"/>
  <c r="AA68" i="25"/>
  <c r="AA62" i="25"/>
  <c r="S60" i="25"/>
  <c r="S83" i="25"/>
  <c r="X61" i="25"/>
  <c r="S61" i="25"/>
  <c r="N61" i="25"/>
  <c r="F97" i="34"/>
  <c r="X19" i="25"/>
  <c r="S19" i="25"/>
  <c r="I19" i="25"/>
  <c r="D74" i="34"/>
  <c r="E65" i="34" l="1"/>
  <c r="F65" i="34" s="1"/>
  <c r="U25" i="34"/>
  <c r="U29" i="34" s="1"/>
  <c r="T27" i="34"/>
  <c r="R27" i="34"/>
  <c r="E72" i="34"/>
  <c r="F72" i="34" s="1"/>
  <c r="T26" i="34"/>
  <c r="S27" i="34"/>
  <c r="AB110" i="27"/>
  <c r="E67" i="34"/>
  <c r="F67" i="34" s="1"/>
  <c r="E73" i="34"/>
  <c r="F73" i="34" s="1"/>
  <c r="U26" i="34"/>
  <c r="U27" i="34"/>
  <c r="E71" i="34"/>
  <c r="F71" i="34" s="1"/>
  <c r="E63" i="34"/>
  <c r="F63" i="34" s="1"/>
  <c r="E69" i="34"/>
  <c r="F69" i="34" s="1"/>
  <c r="E61" i="34"/>
  <c r="F61" i="34" s="1"/>
  <c r="R26" i="34"/>
  <c r="V28" i="34"/>
  <c r="E68" i="34"/>
  <c r="F68" i="34" s="1"/>
  <c r="E64" i="34"/>
  <c r="F64" i="34" s="1"/>
  <c r="S25" i="34"/>
  <c r="S29" i="34" s="1"/>
  <c r="S26" i="34"/>
  <c r="T25" i="34"/>
  <c r="E70" i="34"/>
  <c r="F70" i="34" s="1"/>
  <c r="E66" i="34"/>
  <c r="F66" i="34" s="1"/>
  <c r="E62" i="34"/>
  <c r="F62" i="34" s="1"/>
  <c r="J28" i="34"/>
  <c r="M28" i="34"/>
  <c r="Q29" i="34"/>
  <c r="O29" i="34"/>
  <c r="R29" i="34"/>
  <c r="V29" i="34"/>
  <c r="I28" i="34"/>
  <c r="O28" i="34"/>
  <c r="P28" i="34"/>
  <c r="H28" i="34"/>
  <c r="N28" i="34"/>
  <c r="W23" i="34"/>
  <c r="R38" i="34"/>
  <c r="W21" i="34"/>
  <c r="R33" i="34"/>
  <c r="X21" i="34"/>
  <c r="C75" i="34"/>
  <c r="E74" i="34"/>
  <c r="F74" i="34" s="1"/>
  <c r="W17" i="34"/>
  <c r="Y18" i="34"/>
  <c r="X18" i="34"/>
  <c r="Z18" i="34"/>
  <c r="X17" i="34"/>
  <c r="D75" i="34"/>
  <c r="R39" i="34" l="1"/>
  <c r="T28" i="34"/>
  <c r="R28" i="34"/>
  <c r="S28" i="34"/>
  <c r="U28" i="34"/>
  <c r="AB111" i="27"/>
  <c r="T29" i="34"/>
  <c r="W27" i="34"/>
  <c r="X25" i="34"/>
  <c r="X29" i="34" s="1"/>
  <c r="W25" i="34"/>
  <c r="W29" i="34" s="1"/>
  <c r="X22" i="34"/>
  <c r="W22" i="34"/>
  <c r="R35" i="34"/>
  <c r="X23" i="34"/>
  <c r="C76" i="34"/>
  <c r="D76" i="34" s="1"/>
  <c r="E75" i="34"/>
  <c r="F75" i="34" s="1"/>
  <c r="AE11" i="25"/>
  <c r="AD14" i="25"/>
  <c r="AD71" i="25" s="1"/>
  <c r="AB112" i="27" l="1"/>
  <c r="AE75" i="25"/>
  <c r="AE67" i="25"/>
  <c r="AE66" i="25"/>
  <c r="AE65" i="25"/>
  <c r="AE63" i="25"/>
  <c r="R40" i="34"/>
  <c r="X26" i="34"/>
  <c r="W26" i="34"/>
  <c r="W28" i="34" s="1"/>
  <c r="X27" i="34"/>
  <c r="E76" i="34"/>
  <c r="F76" i="34" s="1"/>
  <c r="C77" i="34"/>
  <c r="D77" i="34" s="1"/>
  <c r="AB113" i="27" l="1"/>
  <c r="X28" i="34"/>
  <c r="C78" i="34"/>
  <c r="D78" i="34" s="1"/>
  <c r="E77" i="34"/>
  <c r="F77" i="34" s="1"/>
  <c r="AE19" i="25"/>
  <c r="AB114" i="27" l="1"/>
  <c r="C79" i="34"/>
  <c r="E78" i="34"/>
  <c r="F78" i="34" s="1"/>
  <c r="AE76" i="25"/>
  <c r="AB115" i="27" l="1"/>
  <c r="C80" i="34"/>
  <c r="E79" i="34"/>
  <c r="D79" i="34"/>
  <c r="AB116" i="27" l="1"/>
  <c r="C81" i="34"/>
  <c r="F79" i="34"/>
  <c r="D80" i="34"/>
  <c r="AB117" i="27" l="1"/>
  <c r="C82" i="34"/>
  <c r="AS21" i="29"/>
  <c r="AN21" i="29"/>
  <c r="AD20" i="27"/>
  <c r="AD19" i="27"/>
  <c r="AS17" i="27"/>
  <c r="AS16" i="27"/>
  <c r="AN17" i="27"/>
  <c r="AN16" i="27"/>
  <c r="AI17" i="27"/>
  <c r="AI16" i="27"/>
  <c r="AD41" i="27"/>
  <c r="AD43" i="27"/>
  <c r="AD40" i="27"/>
  <c r="AD16" i="27"/>
  <c r="AD17" i="27"/>
  <c r="AD8" i="27"/>
  <c r="AE44" i="25"/>
  <c r="AE78" i="25" s="1"/>
  <c r="AN40" i="25"/>
  <c r="AI40" i="25"/>
  <c r="AA77" i="25"/>
  <c r="Z77" i="25"/>
  <c r="W77" i="25"/>
  <c r="V77" i="25"/>
  <c r="U77" i="25"/>
  <c r="R77" i="25"/>
  <c r="Q77" i="25"/>
  <c r="P77" i="25"/>
  <c r="M77" i="25"/>
  <c r="L77" i="25"/>
  <c r="K77" i="25"/>
  <c r="G77" i="25"/>
  <c r="H77" i="25"/>
  <c r="F77" i="25"/>
  <c r="L63" i="25"/>
  <c r="M63" i="25"/>
  <c r="K63" i="25"/>
  <c r="AA35" i="29"/>
  <c r="AA33" i="29"/>
  <c r="AA31" i="29"/>
  <c r="AB31" i="29" s="1"/>
  <c r="AC31" i="29" s="1"/>
  <c r="AA30" i="29"/>
  <c r="AB30" i="29" s="1"/>
  <c r="AC30" i="29" s="1"/>
  <c r="AA25" i="29"/>
  <c r="AA24" i="29"/>
  <c r="AA23" i="29"/>
  <c r="AA22" i="29"/>
  <c r="AB22" i="29" s="1"/>
  <c r="AC22" i="29" s="1"/>
  <c r="AA14" i="29"/>
  <c r="AB14" i="29" s="1"/>
  <c r="AC14" i="29" s="1"/>
  <c r="AA15" i="29"/>
  <c r="AA13" i="29"/>
  <c r="AA12" i="29"/>
  <c r="AB12" i="29" s="1"/>
  <c r="AC12" i="29" s="1"/>
  <c r="AA11" i="29"/>
  <c r="AA9" i="29"/>
  <c r="AB9" i="29" s="1"/>
  <c r="AC9" i="29" s="1"/>
  <c r="AA8" i="29"/>
  <c r="Y35" i="29"/>
  <c r="Y14" i="29"/>
  <c r="Y15" i="29"/>
  <c r="Y8" i="29"/>
  <c r="X53" i="25"/>
  <c r="V35" i="29"/>
  <c r="V33" i="29"/>
  <c r="V31" i="29"/>
  <c r="W31" i="29" s="1"/>
  <c r="V30" i="29"/>
  <c r="V25" i="29"/>
  <c r="V23" i="29"/>
  <c r="V22" i="29"/>
  <c r="V15" i="29"/>
  <c r="V13" i="29"/>
  <c r="W13" i="29" s="1"/>
  <c r="V12" i="29"/>
  <c r="V11" i="29"/>
  <c r="V9" i="29"/>
  <c r="W9" i="29" s="1"/>
  <c r="X9" i="29" s="1"/>
  <c r="V8" i="29"/>
  <c r="U14" i="29"/>
  <c r="V14" i="29" s="1"/>
  <c r="W14" i="29" s="1"/>
  <c r="T35" i="29"/>
  <c r="T36" i="29" s="1"/>
  <c r="T24" i="29"/>
  <c r="T27" i="29" s="1"/>
  <c r="T14" i="29"/>
  <c r="T15" i="29"/>
  <c r="T8" i="29"/>
  <c r="T23" i="25"/>
  <c r="T24" i="25" s="1"/>
  <c r="T44" i="25" s="1"/>
  <c r="T48" i="25" s="1"/>
  <c r="Q35" i="29"/>
  <c r="Q33" i="29"/>
  <c r="Q31" i="29"/>
  <c r="R31" i="29" s="1"/>
  <c r="Q30" i="29"/>
  <c r="R30" i="29" s="1"/>
  <c r="Q26" i="29"/>
  <c r="R26" i="29" s="1"/>
  <c r="S26" i="29" s="1"/>
  <c r="Q25" i="29"/>
  <c r="R25" i="29" s="1"/>
  <c r="Q24" i="29"/>
  <c r="Q23" i="29"/>
  <c r="Q22" i="29"/>
  <c r="Q21" i="29"/>
  <c r="Q15" i="29"/>
  <c r="Q13" i="29"/>
  <c r="R13" i="29" s="1"/>
  <c r="S13" i="29" s="1"/>
  <c r="Q12" i="29"/>
  <c r="R12" i="29" s="1"/>
  <c r="S12" i="29" s="1"/>
  <c r="Q11" i="29"/>
  <c r="Q9" i="29"/>
  <c r="R9" i="29" s="1"/>
  <c r="Q8" i="29"/>
  <c r="R24" i="25"/>
  <c r="Q24" i="25"/>
  <c r="P14" i="29"/>
  <c r="Q14" i="29" s="1"/>
  <c r="R14" i="29" s="1"/>
  <c r="O35" i="29"/>
  <c r="O36" i="29" s="1"/>
  <c r="O21" i="29"/>
  <c r="O27" i="29" s="1"/>
  <c r="O15" i="29"/>
  <c r="O14" i="29"/>
  <c r="O8" i="29"/>
  <c r="X34" i="29"/>
  <c r="X32" i="29"/>
  <c r="X26" i="29"/>
  <c r="X24" i="29"/>
  <c r="X21" i="29"/>
  <c r="X10" i="29"/>
  <c r="S34" i="29"/>
  <c r="S32" i="29"/>
  <c r="S10" i="29"/>
  <c r="N34" i="29"/>
  <c r="N32" i="29"/>
  <c r="N10" i="29"/>
  <c r="X8" i="27"/>
  <c r="X7" i="27"/>
  <c r="S8" i="27"/>
  <c r="S7" i="27"/>
  <c r="N8" i="27"/>
  <c r="N7" i="27"/>
  <c r="N53" i="25"/>
  <c r="M26" i="29"/>
  <c r="N26" i="29" s="1"/>
  <c r="L8" i="29"/>
  <c r="M8" i="29" s="1"/>
  <c r="L33" i="29"/>
  <c r="L31" i="29"/>
  <c r="M31" i="29" s="1"/>
  <c r="N31" i="29" s="1"/>
  <c r="L30" i="29"/>
  <c r="L25" i="29"/>
  <c r="L24" i="29"/>
  <c r="L23" i="29"/>
  <c r="L22" i="29"/>
  <c r="L15" i="29"/>
  <c r="L13" i="29"/>
  <c r="M13" i="29" s="1"/>
  <c r="N13" i="29" s="1"/>
  <c r="L12" i="29"/>
  <c r="M12" i="29" s="1"/>
  <c r="N12" i="29" s="1"/>
  <c r="L11" i="29"/>
  <c r="L9" i="29"/>
  <c r="M9" i="29" s="1"/>
  <c r="N9" i="29" s="1"/>
  <c r="K35" i="29"/>
  <c r="K21" i="29"/>
  <c r="K27" i="29" s="1"/>
  <c r="K14" i="29"/>
  <c r="L14" i="29" s="1"/>
  <c r="M14" i="29" s="1"/>
  <c r="AQ27" i="29"/>
  <c r="AO27" i="29"/>
  <c r="AL27" i="29"/>
  <c r="AJ27" i="29"/>
  <c r="Z36" i="29"/>
  <c r="Z27" i="29"/>
  <c r="U36" i="29"/>
  <c r="Y27" i="29"/>
  <c r="U27" i="29"/>
  <c r="P36" i="29"/>
  <c r="P27" i="29"/>
  <c r="J40" i="29"/>
  <c r="J35" i="29"/>
  <c r="I35" i="29" s="1"/>
  <c r="F36" i="29"/>
  <c r="J30" i="29"/>
  <c r="J21" i="29"/>
  <c r="J27" i="29" s="1"/>
  <c r="J15" i="29"/>
  <c r="J8" i="29"/>
  <c r="AB45" i="27"/>
  <c r="AA45" i="27"/>
  <c r="Z45" i="27"/>
  <c r="AB30" i="27"/>
  <c r="AA30" i="27"/>
  <c r="Z30" i="27"/>
  <c r="AB13" i="27"/>
  <c r="AA13" i="27"/>
  <c r="Z13" i="27"/>
  <c r="Y45" i="27"/>
  <c r="W45" i="27"/>
  <c r="V45" i="27"/>
  <c r="U45" i="27"/>
  <c r="X43" i="27"/>
  <c r="X42" i="27"/>
  <c r="X41" i="27"/>
  <c r="X40" i="27"/>
  <c r="X35" i="27"/>
  <c r="X34" i="27"/>
  <c r="X33" i="27"/>
  <c r="X32" i="27"/>
  <c r="Y30" i="27"/>
  <c r="Y36" i="27" s="1"/>
  <c r="W30" i="27"/>
  <c r="V30" i="27"/>
  <c r="U30" i="27"/>
  <c r="X29" i="27"/>
  <c r="X28" i="27"/>
  <c r="X27" i="27"/>
  <c r="X26" i="27"/>
  <c r="X21" i="27"/>
  <c r="X20" i="27"/>
  <c r="X19" i="27"/>
  <c r="X18" i="27"/>
  <c r="X17" i="27"/>
  <c r="X16" i="27"/>
  <c r="X15" i="27"/>
  <c r="Y13" i="27"/>
  <c r="Y22" i="27" s="1"/>
  <c r="W13" i="27"/>
  <c r="V13" i="27"/>
  <c r="U13" i="27"/>
  <c r="X12" i="27"/>
  <c r="X11" i="27"/>
  <c r="X10" i="27"/>
  <c r="X9" i="27"/>
  <c r="T45" i="27"/>
  <c r="R45" i="27"/>
  <c r="Q45" i="27"/>
  <c r="P45" i="27"/>
  <c r="S43" i="27"/>
  <c r="S42" i="27"/>
  <c r="S41" i="27"/>
  <c r="S40" i="27"/>
  <c r="S35" i="27"/>
  <c r="S34" i="27"/>
  <c r="S33" i="27"/>
  <c r="S32" i="27"/>
  <c r="T30" i="27"/>
  <c r="T36" i="27" s="1"/>
  <c r="R30" i="27"/>
  <c r="Q30" i="27"/>
  <c r="P30" i="27"/>
  <c r="S29" i="27"/>
  <c r="S28" i="27"/>
  <c r="S27" i="27"/>
  <c r="S26" i="27"/>
  <c r="S21" i="27"/>
  <c r="S20" i="27"/>
  <c r="S19" i="27"/>
  <c r="S18" i="27"/>
  <c r="S17" i="27"/>
  <c r="S16" i="27"/>
  <c r="S15" i="27"/>
  <c r="T13" i="27"/>
  <c r="T22" i="27" s="1"/>
  <c r="R13" i="27"/>
  <c r="Q13" i="27"/>
  <c r="P13" i="27"/>
  <c r="S12" i="27"/>
  <c r="S11" i="27"/>
  <c r="S10" i="27"/>
  <c r="S9" i="27"/>
  <c r="N43" i="27"/>
  <c r="N42" i="27"/>
  <c r="N41" i="27"/>
  <c r="N40" i="27"/>
  <c r="N35" i="27"/>
  <c r="N34" i="27"/>
  <c r="N33" i="27"/>
  <c r="N32" i="27"/>
  <c r="N29" i="27"/>
  <c r="N28" i="27"/>
  <c r="N27" i="27"/>
  <c r="N26" i="27"/>
  <c r="N21" i="27"/>
  <c r="N20" i="27"/>
  <c r="N19" i="27"/>
  <c r="N18" i="27"/>
  <c r="N17" i="27"/>
  <c r="N16" i="27"/>
  <c r="N15" i="27"/>
  <c r="N12" i="27"/>
  <c r="N11" i="27"/>
  <c r="N10" i="27"/>
  <c r="N9" i="27"/>
  <c r="O45" i="27"/>
  <c r="M45" i="27"/>
  <c r="L45" i="27"/>
  <c r="K45" i="27"/>
  <c r="O30" i="27"/>
  <c r="O36" i="27" s="1"/>
  <c r="O47" i="27" s="1"/>
  <c r="M30" i="27"/>
  <c r="L30" i="27"/>
  <c r="K30" i="27"/>
  <c r="O13" i="27"/>
  <c r="O22" i="27" s="1"/>
  <c r="M13" i="27"/>
  <c r="L13" i="27"/>
  <c r="K13" i="27"/>
  <c r="J45" i="27"/>
  <c r="I41" i="27"/>
  <c r="I42" i="27"/>
  <c r="I43" i="27"/>
  <c r="I40" i="27"/>
  <c r="I33" i="27"/>
  <c r="I34" i="27"/>
  <c r="I35" i="27"/>
  <c r="I32" i="27"/>
  <c r="I27" i="27"/>
  <c r="I28" i="27"/>
  <c r="I29" i="27"/>
  <c r="I26" i="27"/>
  <c r="J30" i="27"/>
  <c r="J36" i="27" s="1"/>
  <c r="I16" i="27"/>
  <c r="I17" i="27"/>
  <c r="I18" i="27"/>
  <c r="I19" i="27"/>
  <c r="I20" i="27"/>
  <c r="I21" i="27"/>
  <c r="I15" i="27"/>
  <c r="I8" i="27"/>
  <c r="I9" i="27"/>
  <c r="I10" i="27"/>
  <c r="I11" i="27"/>
  <c r="I12" i="27"/>
  <c r="I7" i="27"/>
  <c r="J13" i="27"/>
  <c r="J22" i="27" s="1"/>
  <c r="X54" i="25"/>
  <c r="X45" i="25"/>
  <c r="X41" i="25"/>
  <c r="X40" i="25"/>
  <c r="X21" i="25"/>
  <c r="X11" i="25"/>
  <c r="S54" i="25"/>
  <c r="S45" i="25"/>
  <c r="S41" i="25"/>
  <c r="S40" i="25"/>
  <c r="S21" i="25"/>
  <c r="S11" i="25"/>
  <c r="N54" i="25"/>
  <c r="N45" i="25"/>
  <c r="N41" i="25"/>
  <c r="N40" i="25"/>
  <c r="N21" i="25"/>
  <c r="N11" i="25"/>
  <c r="H32" i="29"/>
  <c r="I32" i="29" s="1"/>
  <c r="H21" i="29"/>
  <c r="AA24" i="25"/>
  <c r="Y24" i="25"/>
  <c r="Y44" i="25" s="1"/>
  <c r="W24" i="25"/>
  <c r="V24" i="25"/>
  <c r="U24" i="25"/>
  <c r="P24" i="25"/>
  <c r="O24" i="25"/>
  <c r="O44" i="25" s="1"/>
  <c r="O48" i="25" s="1"/>
  <c r="M24" i="25"/>
  <c r="L24" i="25"/>
  <c r="K24" i="25"/>
  <c r="I54" i="25"/>
  <c r="I45" i="25"/>
  <c r="I41" i="25"/>
  <c r="I40" i="25"/>
  <c r="I21" i="25"/>
  <c r="I11" i="25"/>
  <c r="I76" i="25" s="1"/>
  <c r="J24" i="25"/>
  <c r="J44" i="25" s="1"/>
  <c r="J48" i="25" s="1"/>
  <c r="H24" i="25"/>
  <c r="G31" i="29"/>
  <c r="H31" i="29" s="1"/>
  <c r="I31" i="29" s="1"/>
  <c r="G34" i="29"/>
  <c r="H34" i="29" s="1"/>
  <c r="I34" i="29" s="1"/>
  <c r="G33" i="29"/>
  <c r="G30" i="29"/>
  <c r="F27" i="29"/>
  <c r="G26" i="29"/>
  <c r="H26" i="29" s="1"/>
  <c r="I26" i="29" s="1"/>
  <c r="G25" i="29"/>
  <c r="G24" i="29"/>
  <c r="G23" i="29"/>
  <c r="G22" i="29"/>
  <c r="G15" i="29"/>
  <c r="G13" i="29"/>
  <c r="H13" i="29" s="1"/>
  <c r="I13" i="29" s="1"/>
  <c r="G12" i="29"/>
  <c r="H12" i="29" s="1"/>
  <c r="I12" i="29" s="1"/>
  <c r="G11" i="29"/>
  <c r="G10" i="29"/>
  <c r="H10" i="29" s="1"/>
  <c r="I10" i="29" s="1"/>
  <c r="G9" i="29"/>
  <c r="H9" i="29" s="1"/>
  <c r="I9" i="29" s="1"/>
  <c r="G8" i="29"/>
  <c r="G45" i="27"/>
  <c r="H45" i="27"/>
  <c r="F45" i="27"/>
  <c r="G30" i="27"/>
  <c r="H30" i="27"/>
  <c r="F30" i="27"/>
  <c r="G13" i="27"/>
  <c r="H13" i="27"/>
  <c r="F13" i="27"/>
  <c r="G24" i="25"/>
  <c r="F24" i="25"/>
  <c r="D81" i="34"/>
  <c r="AB24" i="25" l="1"/>
  <c r="AB77" i="25"/>
  <c r="AB63" i="25"/>
  <c r="AB10" i="25"/>
  <c r="AD10" i="25" s="1"/>
  <c r="AD11" i="25" s="1"/>
  <c r="AB75" i="25"/>
  <c r="AB65" i="25"/>
  <c r="AB66" i="25"/>
  <c r="AB67" i="25"/>
  <c r="AB76" i="25"/>
  <c r="AB44" i="25"/>
  <c r="J47" i="27"/>
  <c r="S14" i="29"/>
  <c r="AB118" i="27"/>
  <c r="AB24" i="29"/>
  <c r="G22" i="27"/>
  <c r="I30" i="27"/>
  <c r="Q27" i="29"/>
  <c r="R33" i="29"/>
  <c r="I13" i="27"/>
  <c r="W30" i="29"/>
  <c r="AB22" i="27"/>
  <c r="AX2" i="25"/>
  <c r="K17" i="29"/>
  <c r="I17" i="29"/>
  <c r="J17" i="29" s="1"/>
  <c r="P36" i="27"/>
  <c r="AA22" i="27"/>
  <c r="H22" i="27"/>
  <c r="K22" i="27"/>
  <c r="K36" i="27"/>
  <c r="S16" i="29"/>
  <c r="U16" i="29"/>
  <c r="Q36" i="27"/>
  <c r="X16" i="29"/>
  <c r="Z16" i="29"/>
  <c r="AD16" i="29" s="1"/>
  <c r="V22" i="27"/>
  <c r="Z17" i="29"/>
  <c r="X17" i="29"/>
  <c r="W36" i="27"/>
  <c r="Z36" i="27"/>
  <c r="W11" i="29"/>
  <c r="C83" i="34"/>
  <c r="P22" i="27"/>
  <c r="S30" i="27"/>
  <c r="AB36" i="27"/>
  <c r="G36" i="27"/>
  <c r="H24" i="29"/>
  <c r="K16" i="29"/>
  <c r="I16" i="29"/>
  <c r="J16" i="29" s="1"/>
  <c r="L22" i="27"/>
  <c r="L36" i="27"/>
  <c r="N16" i="29"/>
  <c r="P16" i="29"/>
  <c r="P17" i="29"/>
  <c r="N17" i="29"/>
  <c r="R22" i="27"/>
  <c r="U17" i="29"/>
  <c r="S17" i="29"/>
  <c r="R36" i="27"/>
  <c r="W22" i="27"/>
  <c r="M11" i="29"/>
  <c r="R15" i="29"/>
  <c r="AB15" i="29"/>
  <c r="AB33" i="29"/>
  <c r="F22" i="27"/>
  <c r="U22" i="27"/>
  <c r="V36" i="27"/>
  <c r="M25" i="29"/>
  <c r="N25" i="29" s="1"/>
  <c r="N14" i="29"/>
  <c r="R23" i="29"/>
  <c r="AC24" i="29"/>
  <c r="F36" i="27"/>
  <c r="H36" i="27"/>
  <c r="I45" i="27"/>
  <c r="M22" i="27"/>
  <c r="M36" i="27"/>
  <c r="Q22" i="27"/>
  <c r="U36" i="27"/>
  <c r="X45" i="27"/>
  <c r="Z22" i="27"/>
  <c r="AA36" i="27"/>
  <c r="R21" i="29"/>
  <c r="X14" i="29"/>
  <c r="AI27" i="29"/>
  <c r="S75" i="25"/>
  <c r="S76" i="25"/>
  <c r="N75" i="25"/>
  <c r="N76" i="25"/>
  <c r="X75" i="25"/>
  <c r="X76" i="25"/>
  <c r="Y48" i="25"/>
  <c r="Y50" i="25" s="1"/>
  <c r="Y78" i="25"/>
  <c r="AI8" i="27"/>
  <c r="H25" i="29"/>
  <c r="S25" i="29"/>
  <c r="AK27" i="29"/>
  <c r="AP27" i="29"/>
  <c r="H30" i="29"/>
  <c r="I21" i="29"/>
  <c r="L35" i="29"/>
  <c r="L36" i="29" s="1"/>
  <c r="M23" i="29"/>
  <c r="AE27" i="29"/>
  <c r="N8" i="29"/>
  <c r="R11" i="29"/>
  <c r="R24" i="29"/>
  <c r="W15" i="29"/>
  <c r="W25" i="29"/>
  <c r="X25" i="29" s="1"/>
  <c r="W35" i="29"/>
  <c r="AB11" i="29"/>
  <c r="AB25" i="29"/>
  <c r="AB35" i="29"/>
  <c r="H15" i="29"/>
  <c r="H33" i="29"/>
  <c r="H8" i="29"/>
  <c r="H23" i="29"/>
  <c r="L21" i="29"/>
  <c r="L27" i="29" s="1"/>
  <c r="M30" i="29"/>
  <c r="AF27" i="29"/>
  <c r="H11" i="29"/>
  <c r="H22" i="29"/>
  <c r="M15" i="29"/>
  <c r="AG27" i="29"/>
  <c r="M24" i="29"/>
  <c r="W8" i="29"/>
  <c r="W23" i="29"/>
  <c r="W33" i="29"/>
  <c r="K36" i="29"/>
  <c r="M22" i="29"/>
  <c r="M33" i="29"/>
  <c r="R8" i="29"/>
  <c r="S8" i="29" s="1"/>
  <c r="R22" i="29"/>
  <c r="S22" i="29" s="1"/>
  <c r="R35" i="29"/>
  <c r="W12" i="29"/>
  <c r="X12" i="29" s="1"/>
  <c r="W22" i="29"/>
  <c r="AB8" i="29"/>
  <c r="AB13" i="29"/>
  <c r="AC13" i="29" s="1"/>
  <c r="AB23" i="29"/>
  <c r="AC23" i="29" s="1"/>
  <c r="AS2" i="25"/>
  <c r="AD2" i="25"/>
  <c r="S10" i="25"/>
  <c r="S62" i="25" s="1"/>
  <c r="R107" i="34"/>
  <c r="Q107" i="34"/>
  <c r="O107" i="34"/>
  <c r="S63" i="25"/>
  <c r="P107" i="34"/>
  <c r="X63" i="25"/>
  <c r="S107" i="34"/>
  <c r="V107" i="34"/>
  <c r="T107" i="34"/>
  <c r="U107" i="34"/>
  <c r="X67" i="25"/>
  <c r="X66" i="25"/>
  <c r="X65" i="25"/>
  <c r="J107" i="34"/>
  <c r="H107" i="34"/>
  <c r="I107" i="34"/>
  <c r="I75" i="25"/>
  <c r="N50" i="27"/>
  <c r="K107" i="34"/>
  <c r="L107" i="34"/>
  <c r="M107" i="34"/>
  <c r="N107" i="34"/>
  <c r="X10" i="25"/>
  <c r="N77" i="25"/>
  <c r="X77" i="25"/>
  <c r="J50" i="25"/>
  <c r="U50" i="27"/>
  <c r="M44" i="25"/>
  <c r="K50" i="27"/>
  <c r="L44" i="25"/>
  <c r="L78" i="25" s="1"/>
  <c r="U44" i="25"/>
  <c r="U48" i="25" s="1"/>
  <c r="Z48" i="25"/>
  <c r="AB50" i="27"/>
  <c r="S77" i="25"/>
  <c r="I50" i="27"/>
  <c r="X50" i="27"/>
  <c r="G44" i="25"/>
  <c r="G78" i="25" s="1"/>
  <c r="Q44" i="25"/>
  <c r="F44" i="25"/>
  <c r="H44" i="25"/>
  <c r="H78" i="25" s="1"/>
  <c r="V44" i="25"/>
  <c r="V48" i="25" s="1"/>
  <c r="Z50" i="27"/>
  <c r="K44" i="25"/>
  <c r="K78" i="25" s="1"/>
  <c r="P44" i="25"/>
  <c r="P78" i="25" s="1"/>
  <c r="Q50" i="27"/>
  <c r="R44" i="25"/>
  <c r="S50" i="27"/>
  <c r="W50" i="27"/>
  <c r="M50" i="27"/>
  <c r="L50" i="27"/>
  <c r="V50" i="27"/>
  <c r="AA50" i="27"/>
  <c r="N63" i="25"/>
  <c r="R50" i="27"/>
  <c r="I77" i="25"/>
  <c r="P50" i="27"/>
  <c r="AA36" i="29"/>
  <c r="AA27" i="29"/>
  <c r="AA47" i="27"/>
  <c r="AA48" i="27" s="1"/>
  <c r="Y36" i="29"/>
  <c r="Y18" i="29"/>
  <c r="Y47" i="27"/>
  <c r="X30" i="27"/>
  <c r="X13" i="27"/>
  <c r="X13" i="29"/>
  <c r="V36" i="29"/>
  <c r="X31" i="29"/>
  <c r="X30" i="29"/>
  <c r="V27" i="29"/>
  <c r="X24" i="25"/>
  <c r="T18" i="29"/>
  <c r="T38" i="29" s="1"/>
  <c r="S45" i="27"/>
  <c r="T47" i="27"/>
  <c r="S13" i="27"/>
  <c r="S31" i="29"/>
  <c r="S30" i="29"/>
  <c r="S24" i="29"/>
  <c r="S21" i="29"/>
  <c r="S9" i="29"/>
  <c r="S24" i="25"/>
  <c r="Q36" i="29"/>
  <c r="W44" i="25"/>
  <c r="J51" i="25"/>
  <c r="J18" i="29"/>
  <c r="O18" i="29"/>
  <c r="O38" i="29" s="1"/>
  <c r="N45" i="27"/>
  <c r="N30" i="27"/>
  <c r="N13" i="27"/>
  <c r="O51" i="25"/>
  <c r="O50" i="25"/>
  <c r="M47" i="27"/>
  <c r="G36" i="29"/>
  <c r="J36" i="29"/>
  <c r="G27" i="29"/>
  <c r="N24" i="25"/>
  <c r="T50" i="25"/>
  <c r="T51" i="25"/>
  <c r="I24" i="25"/>
  <c r="D83" i="34"/>
  <c r="D82" i="34"/>
  <c r="AD75" i="25" l="1"/>
  <c r="AD76" i="25"/>
  <c r="AB62" i="25"/>
  <c r="AB68" i="25"/>
  <c r="Y51" i="25"/>
  <c r="I30" i="29"/>
  <c r="M48" i="27"/>
  <c r="T16" i="29"/>
  <c r="I24" i="29"/>
  <c r="AB119" i="27"/>
  <c r="AB120" i="27" s="1"/>
  <c r="AB121" i="27" s="1"/>
  <c r="Y17" i="29"/>
  <c r="G47" i="27"/>
  <c r="G48" i="27" s="1"/>
  <c r="I36" i="27"/>
  <c r="I47" i="27" s="1"/>
  <c r="H36" i="29"/>
  <c r="I15" i="29"/>
  <c r="X11" i="29"/>
  <c r="S15" i="29"/>
  <c r="I22" i="27"/>
  <c r="J38" i="29"/>
  <c r="J41" i="29" s="1"/>
  <c r="K40" i="29" s="1"/>
  <c r="O40" i="29" s="1"/>
  <c r="R36" i="29"/>
  <c r="S33" i="29"/>
  <c r="Y16" i="29"/>
  <c r="H27" i="29"/>
  <c r="N22" i="27"/>
  <c r="S22" i="27"/>
  <c r="X22" i="27"/>
  <c r="AC11" i="29"/>
  <c r="AC15" i="29"/>
  <c r="R47" i="27"/>
  <c r="R48" i="27" s="1"/>
  <c r="O16" i="29"/>
  <c r="Z47" i="27"/>
  <c r="Z48" i="27" s="1"/>
  <c r="K47" i="27"/>
  <c r="K48" i="27" s="1"/>
  <c r="U47" i="27"/>
  <c r="U48" i="27" s="1"/>
  <c r="X36" i="27"/>
  <c r="F47" i="27"/>
  <c r="F48" i="27" s="1"/>
  <c r="Q47" i="27"/>
  <c r="Q48" i="27" s="1"/>
  <c r="N36" i="27"/>
  <c r="L47" i="27"/>
  <c r="L48" i="27" s="1"/>
  <c r="P47" i="27"/>
  <c r="P48" i="27" s="1"/>
  <c r="AC35" i="29"/>
  <c r="X35" i="29"/>
  <c r="H47" i="27"/>
  <c r="H48" i="27" s="1"/>
  <c r="N11" i="29"/>
  <c r="T17" i="29"/>
  <c r="S36" i="27"/>
  <c r="O17" i="29"/>
  <c r="S23" i="29"/>
  <c r="W47" i="27"/>
  <c r="W48" i="27" s="1"/>
  <c r="W36" i="29"/>
  <c r="AC25" i="29"/>
  <c r="V47" i="27"/>
  <c r="V48" i="27" s="1"/>
  <c r="AC33" i="29"/>
  <c r="AB47" i="27"/>
  <c r="AB48" i="27" s="1"/>
  <c r="W60" i="27"/>
  <c r="W52" i="27"/>
  <c r="W53" i="27"/>
  <c r="P53" i="27"/>
  <c r="P52" i="27"/>
  <c r="AA53" i="27"/>
  <c r="AA52" i="27"/>
  <c r="AB83" i="27"/>
  <c r="AB52" i="27"/>
  <c r="AB53" i="27"/>
  <c r="M52" i="27"/>
  <c r="M53" i="27"/>
  <c r="S62" i="27"/>
  <c r="S52" i="27"/>
  <c r="S53" i="27"/>
  <c r="Q70" i="27"/>
  <c r="Q53" i="27"/>
  <c r="Q52" i="27"/>
  <c r="Z78" i="27"/>
  <c r="Z53" i="27"/>
  <c r="Z52" i="27"/>
  <c r="I76" i="27"/>
  <c r="I52" i="27"/>
  <c r="I53" i="27"/>
  <c r="K76" i="27"/>
  <c r="K53" i="27"/>
  <c r="K52" i="27"/>
  <c r="U67" i="27"/>
  <c r="U53" i="27"/>
  <c r="U52" i="27"/>
  <c r="V53" i="27"/>
  <c r="V52" i="27"/>
  <c r="N84" i="27"/>
  <c r="N53" i="27"/>
  <c r="N52" i="27"/>
  <c r="R52" i="27"/>
  <c r="R53" i="27"/>
  <c r="L53" i="27"/>
  <c r="L52" i="27"/>
  <c r="X84" i="27"/>
  <c r="X52" i="27"/>
  <c r="X53" i="27"/>
  <c r="N63" i="27"/>
  <c r="T10" i="25"/>
  <c r="AI19" i="27"/>
  <c r="AN8" i="27"/>
  <c r="N22" i="29"/>
  <c r="N15" i="29"/>
  <c r="I33" i="29"/>
  <c r="X22" i="29"/>
  <c r="N33" i="29"/>
  <c r="N24" i="29"/>
  <c r="I22" i="29"/>
  <c r="N30" i="29"/>
  <c r="M21" i="29"/>
  <c r="W27" i="29"/>
  <c r="S11" i="29"/>
  <c r="N23" i="29"/>
  <c r="I25" i="29"/>
  <c r="AC8" i="29"/>
  <c r="S35" i="29"/>
  <c r="I11" i="29"/>
  <c r="I23" i="29"/>
  <c r="M35" i="29"/>
  <c r="X8" i="29"/>
  <c r="X23" i="29"/>
  <c r="AB36" i="29"/>
  <c r="I36" i="29"/>
  <c r="I8" i="29"/>
  <c r="R27" i="29"/>
  <c r="X33" i="29"/>
  <c r="X15" i="29"/>
  <c r="AB27" i="29"/>
  <c r="N62" i="27"/>
  <c r="N70" i="27"/>
  <c r="N78" i="27"/>
  <c r="N75" i="27"/>
  <c r="N81" i="27"/>
  <c r="N69" i="27"/>
  <c r="N66" i="27"/>
  <c r="N76" i="27"/>
  <c r="N83" i="27"/>
  <c r="N61" i="27"/>
  <c r="N68" i="27"/>
  <c r="N77" i="27"/>
  <c r="N82" i="27"/>
  <c r="N60" i="27"/>
  <c r="N67" i="27"/>
  <c r="X68" i="25"/>
  <c r="X62" i="25"/>
  <c r="X82" i="27"/>
  <c r="I66" i="27"/>
  <c r="X68" i="27"/>
  <c r="I82" i="27"/>
  <c r="X60" i="27"/>
  <c r="AB60" i="27"/>
  <c r="X76" i="27"/>
  <c r="AB66" i="27"/>
  <c r="U77" i="27"/>
  <c r="I83" i="27"/>
  <c r="Z69" i="27"/>
  <c r="Z77" i="27"/>
  <c r="U83" i="27"/>
  <c r="Z67" i="27"/>
  <c r="Z66" i="27"/>
  <c r="W63" i="27"/>
  <c r="U69" i="27"/>
  <c r="Q78" i="27"/>
  <c r="S61" i="27"/>
  <c r="I78" i="27"/>
  <c r="K61" i="27"/>
  <c r="W61" i="27"/>
  <c r="K82" i="27"/>
  <c r="I68" i="27"/>
  <c r="I63" i="27"/>
  <c r="I69" i="27"/>
  <c r="I70" i="27"/>
  <c r="W62" i="27"/>
  <c r="I77" i="27"/>
  <c r="V6" i="29"/>
  <c r="V18" i="29" s="1"/>
  <c r="N44" i="25"/>
  <c r="W78" i="25"/>
  <c r="S44" i="25"/>
  <c r="Q84" i="27"/>
  <c r="Q61" i="27"/>
  <c r="Q63" i="27"/>
  <c r="Q66" i="27"/>
  <c r="Q62" i="27"/>
  <c r="Q60" i="27"/>
  <c r="F48" i="25"/>
  <c r="Q48" i="25"/>
  <c r="Q6" i="29" s="1"/>
  <c r="Q18" i="29" s="1"/>
  <c r="U78" i="25"/>
  <c r="M48" i="25"/>
  <c r="S63" i="27"/>
  <c r="S82" i="27"/>
  <c r="S76" i="27"/>
  <c r="S68" i="27"/>
  <c r="S78" i="27"/>
  <c r="S81" i="27"/>
  <c r="S83" i="27"/>
  <c r="S77" i="27"/>
  <c r="S69" i="27"/>
  <c r="S84" i="27"/>
  <c r="S70" i="27"/>
  <c r="S75" i="27"/>
  <c r="R48" i="25"/>
  <c r="P48" i="25"/>
  <c r="Z81" i="27"/>
  <c r="Z76" i="27"/>
  <c r="Z62" i="27"/>
  <c r="Z68" i="27"/>
  <c r="Z82" i="27"/>
  <c r="L48" i="25"/>
  <c r="K81" i="27"/>
  <c r="K78" i="27"/>
  <c r="K66" i="27"/>
  <c r="K70" i="27"/>
  <c r="K77" i="27"/>
  <c r="K83" i="27"/>
  <c r="K69" i="27"/>
  <c r="K84" i="27"/>
  <c r="K60" i="27"/>
  <c r="K63" i="27"/>
  <c r="K48" i="25"/>
  <c r="G48" i="25"/>
  <c r="AB69" i="27"/>
  <c r="X77" i="27"/>
  <c r="Q81" i="27"/>
  <c r="AB81" i="27"/>
  <c r="AB70" i="27"/>
  <c r="AB82" i="27"/>
  <c r="U78" i="27"/>
  <c r="X61" i="27"/>
  <c r="AB78" i="27"/>
  <c r="U60" i="27"/>
  <c r="Q78" i="25"/>
  <c r="M78" i="25"/>
  <c r="X66" i="27"/>
  <c r="Z75" i="27"/>
  <c r="Z61" i="27"/>
  <c r="X78" i="27"/>
  <c r="X70" i="27"/>
  <c r="Q82" i="27"/>
  <c r="Q76" i="27"/>
  <c r="Q68" i="27"/>
  <c r="K67" i="27"/>
  <c r="I62" i="27"/>
  <c r="Z83" i="27"/>
  <c r="Z63" i="27"/>
  <c r="AB84" i="27"/>
  <c r="U61" i="27"/>
  <c r="Z84" i="27"/>
  <c r="Z70" i="27"/>
  <c r="Z60" i="27"/>
  <c r="U81" i="27"/>
  <c r="U75" i="27"/>
  <c r="W66" i="27"/>
  <c r="K62" i="27"/>
  <c r="I61" i="27"/>
  <c r="X63" i="27"/>
  <c r="U62" i="27"/>
  <c r="I44" i="25"/>
  <c r="V78" i="25"/>
  <c r="AA78" i="25"/>
  <c r="W67" i="27"/>
  <c r="W83" i="27"/>
  <c r="W77" i="27"/>
  <c r="W69" i="27"/>
  <c r="W75" i="27"/>
  <c r="W82" i="27"/>
  <c r="W68" i="27"/>
  <c r="W84" i="27"/>
  <c r="W78" i="27"/>
  <c r="W70" i="27"/>
  <c r="W81" i="27"/>
  <c r="W76" i="27"/>
  <c r="H48" i="25"/>
  <c r="I84" i="27"/>
  <c r="I75" i="27"/>
  <c r="I60" i="27"/>
  <c r="I67" i="27"/>
  <c r="I81" i="27"/>
  <c r="Z78" i="25"/>
  <c r="X83" i="27"/>
  <c r="X69" i="27"/>
  <c r="Q75" i="27"/>
  <c r="X62" i="27"/>
  <c r="AB68" i="27"/>
  <c r="U84" i="27"/>
  <c r="U70" i="27"/>
  <c r="Q67" i="27"/>
  <c r="AB75" i="27"/>
  <c r="F78" i="25"/>
  <c r="R78" i="25"/>
  <c r="AB77" i="27"/>
  <c r="AB63" i="27"/>
  <c r="X81" i="27"/>
  <c r="X75" i="27"/>
  <c r="Q83" i="27"/>
  <c r="Q77" i="27"/>
  <c r="Q69" i="27"/>
  <c r="S60" i="27"/>
  <c r="K75" i="27"/>
  <c r="AB67" i="27"/>
  <c r="U63" i="27"/>
  <c r="AB76" i="27"/>
  <c r="AB62" i="27"/>
  <c r="U82" i="27"/>
  <c r="U76" i="27"/>
  <c r="U68" i="27"/>
  <c r="K68" i="27"/>
  <c r="AB61" i="27"/>
  <c r="U66" i="27"/>
  <c r="S67" i="27"/>
  <c r="S66" i="27"/>
  <c r="X67" i="27"/>
  <c r="R66" i="27"/>
  <c r="R62" i="27"/>
  <c r="R61" i="27"/>
  <c r="R84" i="27"/>
  <c r="R83" i="27"/>
  <c r="R82" i="27"/>
  <c r="R81" i="27"/>
  <c r="R78" i="27"/>
  <c r="R77" i="27"/>
  <c r="R76" i="27"/>
  <c r="R75" i="27"/>
  <c r="R70" i="27"/>
  <c r="R69" i="27"/>
  <c r="R68" i="27"/>
  <c r="R67" i="27"/>
  <c r="R63" i="27"/>
  <c r="R60" i="27"/>
  <c r="P67" i="27"/>
  <c r="P84" i="27"/>
  <c r="P81" i="27"/>
  <c r="P77" i="27"/>
  <c r="P75" i="27"/>
  <c r="P69" i="27"/>
  <c r="P66" i="27"/>
  <c r="P63" i="27"/>
  <c r="P62" i="27"/>
  <c r="P61" i="27"/>
  <c r="P60" i="27"/>
  <c r="P83" i="27"/>
  <c r="P82" i="27"/>
  <c r="P78" i="27"/>
  <c r="P76" i="27"/>
  <c r="P70" i="27"/>
  <c r="P68" i="27"/>
  <c r="L84" i="27"/>
  <c r="L78" i="27"/>
  <c r="L70" i="27"/>
  <c r="L66" i="27"/>
  <c r="L60" i="27"/>
  <c r="L76" i="27"/>
  <c r="L62" i="27"/>
  <c r="L77" i="27"/>
  <c r="L69" i="27"/>
  <c r="L81" i="27"/>
  <c r="L75" i="27"/>
  <c r="L67" i="27"/>
  <c r="L61" i="27"/>
  <c r="L82" i="27"/>
  <c r="L68" i="27"/>
  <c r="L83" i="27"/>
  <c r="L63" i="27"/>
  <c r="AA82" i="27"/>
  <c r="AA76" i="27"/>
  <c r="AA68" i="27"/>
  <c r="AA62" i="27"/>
  <c r="AA70" i="27"/>
  <c r="AA60" i="27"/>
  <c r="AA77" i="27"/>
  <c r="AA63" i="27"/>
  <c r="AA81" i="27"/>
  <c r="AA75" i="27"/>
  <c r="AA67" i="27"/>
  <c r="AA61" i="27"/>
  <c r="AA84" i="27"/>
  <c r="AA78" i="27"/>
  <c r="AA66" i="27"/>
  <c r="AA83" i="27"/>
  <c r="AA69" i="27"/>
  <c r="V66" i="27"/>
  <c r="V63" i="27"/>
  <c r="V62" i="27"/>
  <c r="V61" i="27"/>
  <c r="V60" i="27"/>
  <c r="V83" i="27"/>
  <c r="V81" i="27"/>
  <c r="V77" i="27"/>
  <c r="V75" i="27"/>
  <c r="V69" i="27"/>
  <c r="V67" i="27"/>
  <c r="V84" i="27"/>
  <c r="V82" i="27"/>
  <c r="V78" i="27"/>
  <c r="V76" i="27"/>
  <c r="V70" i="27"/>
  <c r="V68" i="27"/>
  <c r="M83" i="27"/>
  <c r="M77" i="27"/>
  <c r="M69" i="27"/>
  <c r="M63" i="27"/>
  <c r="M81" i="27"/>
  <c r="M75" i="27"/>
  <c r="M61" i="27"/>
  <c r="M82" i="27"/>
  <c r="M62" i="27"/>
  <c r="M84" i="27"/>
  <c r="M78" i="27"/>
  <c r="M70" i="27"/>
  <c r="M66" i="27"/>
  <c r="M60" i="27"/>
  <c r="M67" i="27"/>
  <c r="M76" i="27"/>
  <c r="M68" i="27"/>
  <c r="Y38" i="29"/>
  <c r="X44" i="25"/>
  <c r="V51" i="25"/>
  <c r="V50" i="25"/>
  <c r="U51" i="25"/>
  <c r="U50" i="25"/>
  <c r="U18" i="29"/>
  <c r="AA48" i="25"/>
  <c r="Z6" i="29"/>
  <c r="Z51" i="25"/>
  <c r="Z50" i="25"/>
  <c r="W48" i="25"/>
  <c r="AB48" i="25" l="1"/>
  <c r="AB78" i="25"/>
  <c r="I48" i="27"/>
  <c r="N47" i="27"/>
  <c r="N48" i="27" s="1"/>
  <c r="AC27" i="29"/>
  <c r="S27" i="29"/>
  <c r="S47" i="27"/>
  <c r="S48" i="27" s="1"/>
  <c r="X47" i="27"/>
  <c r="X48" i="27" s="1"/>
  <c r="P54" i="27"/>
  <c r="U54" i="27"/>
  <c r="Q54" i="27"/>
  <c r="S54" i="27"/>
  <c r="W54" i="27"/>
  <c r="R54" i="27"/>
  <c r="V54" i="27"/>
  <c r="X54" i="27"/>
  <c r="Z54" i="27"/>
  <c r="AB54" i="27"/>
  <c r="L54" i="27"/>
  <c r="N54" i="27"/>
  <c r="K54" i="27"/>
  <c r="I54" i="27"/>
  <c r="M54" i="27"/>
  <c r="AA54" i="27"/>
  <c r="AS8" i="27"/>
  <c r="S78" i="25"/>
  <c r="AI20" i="27"/>
  <c r="N35" i="29"/>
  <c r="M36" i="29"/>
  <c r="I27" i="29"/>
  <c r="U38" i="29"/>
  <c r="N21" i="29"/>
  <c r="M27" i="29"/>
  <c r="S36" i="29"/>
  <c r="X27" i="29"/>
  <c r="X36" i="29"/>
  <c r="AD68" i="25"/>
  <c r="S48" i="25"/>
  <c r="S51" i="25" s="1"/>
  <c r="H50" i="25"/>
  <c r="H6" i="29"/>
  <c r="H51" i="25"/>
  <c r="F6" i="29"/>
  <c r="F18" i="29" s="1"/>
  <c r="F51" i="25"/>
  <c r="F50" i="25"/>
  <c r="N48" i="25"/>
  <c r="N78" i="25"/>
  <c r="P6" i="29"/>
  <c r="P18" i="29" s="1"/>
  <c r="P50" i="25"/>
  <c r="P51" i="25"/>
  <c r="K6" i="29"/>
  <c r="K18" i="29" s="1"/>
  <c r="K50" i="25"/>
  <c r="K51" i="25"/>
  <c r="L51" i="25"/>
  <c r="L50" i="25"/>
  <c r="L6" i="29"/>
  <c r="L18" i="29" s="1"/>
  <c r="R50" i="25"/>
  <c r="R51" i="25"/>
  <c r="R6" i="29"/>
  <c r="R18" i="29" s="1"/>
  <c r="I48" i="25"/>
  <c r="I78" i="25"/>
  <c r="G51" i="25"/>
  <c r="G6" i="29"/>
  <c r="G18" i="29" s="1"/>
  <c r="G50" i="25"/>
  <c r="M50" i="25"/>
  <c r="M51" i="25"/>
  <c r="M6" i="29"/>
  <c r="Q51" i="25"/>
  <c r="Q50" i="25"/>
  <c r="Q38" i="29"/>
  <c r="Z18" i="29"/>
  <c r="V38" i="29"/>
  <c r="X48" i="25"/>
  <c r="X78" i="25"/>
  <c r="W51" i="25"/>
  <c r="W50" i="25"/>
  <c r="W6" i="29"/>
  <c r="AA6" i="29"/>
  <c r="AA18" i="29" s="1"/>
  <c r="AA51" i="25"/>
  <c r="AA50" i="25"/>
  <c r="AB6" i="29"/>
  <c r="AB18" i="29" s="1"/>
  <c r="AS3" i="27"/>
  <c r="AS3" i="25"/>
  <c r="G2" i="25"/>
  <c r="AN3" i="25"/>
  <c r="G2" i="27"/>
  <c r="AN3" i="27"/>
  <c r="AI3" i="29"/>
  <c r="AI2" i="29" s="1"/>
  <c r="AD3" i="29"/>
  <c r="Y3" i="29"/>
  <c r="T3" i="29"/>
  <c r="O3" i="29"/>
  <c r="J3" i="29"/>
  <c r="AH2" i="29"/>
  <c r="AG2" i="29"/>
  <c r="AF2" i="29"/>
  <c r="AE2" i="29"/>
  <c r="Y2" i="29"/>
  <c r="K2" i="29"/>
  <c r="I2" i="29"/>
  <c r="N2" i="29" s="1"/>
  <c r="H2" i="29"/>
  <c r="M2" i="29" s="1"/>
  <c r="G2" i="29"/>
  <c r="L2" i="29" s="1"/>
  <c r="AD1" i="29"/>
  <c r="Y1" i="29"/>
  <c r="X51" i="25" l="1"/>
  <c r="AB51" i="25"/>
  <c r="AB50" i="25"/>
  <c r="AC91" i="27"/>
  <c r="AX8" i="27"/>
  <c r="BB8" i="27"/>
  <c r="H2" i="27"/>
  <c r="AI43" i="27"/>
  <c r="AI41" i="27"/>
  <c r="AI40" i="27"/>
  <c r="N27" i="29"/>
  <c r="N36" i="29"/>
  <c r="AC11" i="25"/>
  <c r="S50" i="25"/>
  <c r="S6" i="29"/>
  <c r="S18" i="29" s="1"/>
  <c r="G38" i="29"/>
  <c r="X50" i="25"/>
  <c r="N6" i="29"/>
  <c r="N18" i="29" s="1"/>
  <c r="M18" i="29"/>
  <c r="I6" i="29"/>
  <c r="I18" i="29" s="1"/>
  <c r="H18" i="29"/>
  <c r="L38" i="29"/>
  <c r="I51" i="25"/>
  <c r="I50" i="25"/>
  <c r="F38" i="29"/>
  <c r="R38" i="29"/>
  <c r="K38" i="29"/>
  <c r="P38" i="29"/>
  <c r="N50" i="25"/>
  <c r="N51" i="25"/>
  <c r="Z38" i="29"/>
  <c r="AA38" i="29"/>
  <c r="W18" i="29"/>
  <c r="X6" i="29"/>
  <c r="X18" i="29" s="1"/>
  <c r="H2" i="25"/>
  <c r="AI3" i="27"/>
  <c r="AD3" i="27"/>
  <c r="Y3" i="27"/>
  <c r="T3" i="27"/>
  <c r="O3" i="27"/>
  <c r="J3" i="27"/>
  <c r="K2" i="27"/>
  <c r="P2" i="27" s="1"/>
  <c r="U2" i="27" s="1"/>
  <c r="Z2" i="27" s="1"/>
  <c r="AE2" i="27" s="1"/>
  <c r="AJ2" i="27" s="1"/>
  <c r="AO2" i="27" s="1"/>
  <c r="AT2" i="27" s="1"/>
  <c r="AY2" i="27" s="1"/>
  <c r="BD2" i="27" s="1"/>
  <c r="L2" i="27"/>
  <c r="Q2" i="27" s="1"/>
  <c r="V2" i="27" s="1"/>
  <c r="AA2" i="27" s="1"/>
  <c r="AF2" i="27" s="1"/>
  <c r="AK2" i="27" s="1"/>
  <c r="AP2" i="27" s="1"/>
  <c r="AU2" i="27" s="1"/>
  <c r="AZ2" i="27" s="1"/>
  <c r="BE2" i="27" s="1"/>
  <c r="AI3" i="25"/>
  <c r="AD3" i="25"/>
  <c r="Y3" i="25"/>
  <c r="T3" i="25"/>
  <c r="O3" i="25"/>
  <c r="J3" i="25"/>
  <c r="Y2" i="25"/>
  <c r="L2" i="25"/>
  <c r="K2" i="25"/>
  <c r="Y1" i="25"/>
  <c r="BC8" i="27" l="1"/>
  <c r="BD8" i="27"/>
  <c r="BE8" i="27" s="1"/>
  <c r="BF8" i="27" s="1"/>
  <c r="BG8" i="27" s="1"/>
  <c r="BH8" i="27" s="1"/>
  <c r="AC92" i="27"/>
  <c r="M2" i="27"/>
  <c r="R2" i="27" s="1"/>
  <c r="W2" i="27" s="1"/>
  <c r="AB2" i="27" s="1"/>
  <c r="AG2" i="27" s="1"/>
  <c r="AL2" i="27" s="1"/>
  <c r="AQ2" i="27" s="1"/>
  <c r="AV2" i="27" s="1"/>
  <c r="BA2" i="27" s="1"/>
  <c r="BF2" i="27" s="1"/>
  <c r="AC67" i="25"/>
  <c r="AC66" i="25"/>
  <c r="AC65" i="25"/>
  <c r="AC63" i="25"/>
  <c r="I2" i="27"/>
  <c r="AC75" i="25"/>
  <c r="AC76" i="25"/>
  <c r="W107" i="34"/>
  <c r="X107" i="34"/>
  <c r="AE50" i="27"/>
  <c r="AC50" i="27"/>
  <c r="S38" i="29"/>
  <c r="M2" i="25"/>
  <c r="H38" i="29"/>
  <c r="M38" i="29"/>
  <c r="F41" i="29"/>
  <c r="G40" i="29" s="1"/>
  <c r="G41" i="29" s="1"/>
  <c r="H40" i="29" s="1"/>
  <c r="AE48" i="25"/>
  <c r="K41" i="29"/>
  <c r="L40" i="29" s="1"/>
  <c r="L41" i="29" s="1"/>
  <c r="M40" i="29" s="1"/>
  <c r="I38" i="29"/>
  <c r="N38" i="29"/>
  <c r="W38" i="29"/>
  <c r="AB38" i="29"/>
  <c r="X38" i="29"/>
  <c r="P2" i="25"/>
  <c r="Q2" i="25"/>
  <c r="I2" i="25"/>
  <c r="AC93" i="27" l="1"/>
  <c r="AC96" i="27"/>
  <c r="AC95" i="27"/>
  <c r="AC94" i="27"/>
  <c r="N2" i="27"/>
  <c r="AC97" i="27" s="1"/>
  <c r="AE53" i="27"/>
  <c r="AE52" i="27"/>
  <c r="AC52" i="27"/>
  <c r="AC53" i="27"/>
  <c r="AE62" i="27"/>
  <c r="AE60" i="27"/>
  <c r="AE84" i="27"/>
  <c r="AE82" i="27"/>
  <c r="AE78" i="27"/>
  <c r="AE76" i="27"/>
  <c r="AE70" i="27"/>
  <c r="AE68" i="27"/>
  <c r="AE63" i="27"/>
  <c r="AE61" i="27"/>
  <c r="AE83" i="27"/>
  <c r="AE81" i="27"/>
  <c r="AE77" i="27"/>
  <c r="AE75" i="27"/>
  <c r="AE69" i="27"/>
  <c r="AE67" i="27"/>
  <c r="AC61" i="27"/>
  <c r="AC67" i="27"/>
  <c r="AC75" i="27"/>
  <c r="AC81" i="27"/>
  <c r="AC69" i="27"/>
  <c r="AC77" i="27"/>
  <c r="AC68" i="27"/>
  <c r="AC82" i="27"/>
  <c r="AC60" i="27"/>
  <c r="AC66" i="27"/>
  <c r="AC70" i="27"/>
  <c r="AC78" i="27"/>
  <c r="AC63" i="27"/>
  <c r="AC83" i="27"/>
  <c r="AC62" i="27"/>
  <c r="AC76" i="27"/>
  <c r="AN19" i="27"/>
  <c r="AD33" i="27"/>
  <c r="AD12" i="27"/>
  <c r="R2" i="25"/>
  <c r="W2" i="25" s="1"/>
  <c r="H41" i="29"/>
  <c r="I40" i="29" s="1"/>
  <c r="I41" i="29" s="1"/>
  <c r="M41" i="29"/>
  <c r="N40" i="29" s="1"/>
  <c r="N41" i="29" s="1"/>
  <c r="O41" i="29" s="1"/>
  <c r="P40" i="29" s="1"/>
  <c r="AE50" i="25"/>
  <c r="AE51" i="25"/>
  <c r="AE6" i="29"/>
  <c r="V2" i="25"/>
  <c r="U2" i="25"/>
  <c r="N2" i="25"/>
  <c r="AC99" i="27" l="1"/>
  <c r="AC98" i="27"/>
  <c r="AC100" i="27"/>
  <c r="S2" i="27"/>
  <c r="AC54" i="27"/>
  <c r="AE54" i="27"/>
  <c r="AN20" i="27"/>
  <c r="AD10" i="27"/>
  <c r="AD28" i="27"/>
  <c r="AC17" i="29"/>
  <c r="AD17" i="29" s="1"/>
  <c r="AE17" i="29"/>
  <c r="AE16" i="29"/>
  <c r="AD11" i="27"/>
  <c r="AE30" i="27"/>
  <c r="AD15" i="27"/>
  <c r="AD27" i="27"/>
  <c r="AD26" i="27"/>
  <c r="AC30" i="27"/>
  <c r="AD18" i="27"/>
  <c r="AD29" i="27"/>
  <c r="AD21" i="27"/>
  <c r="AD32" i="27"/>
  <c r="AD9" i="27"/>
  <c r="P41" i="29"/>
  <c r="Q40" i="29" s="1"/>
  <c r="Q41" i="29" s="1"/>
  <c r="R40" i="29" s="1"/>
  <c r="R41" i="29" s="1"/>
  <c r="S40" i="29" s="1"/>
  <c r="S41" i="29" s="1"/>
  <c r="T40" i="29"/>
  <c r="T41" i="29" s="1"/>
  <c r="U40" i="29" s="1"/>
  <c r="AE18" i="29"/>
  <c r="Z2" i="25"/>
  <c r="S2" i="25"/>
  <c r="AB2" i="25"/>
  <c r="AA2" i="25"/>
  <c r="AC101" i="27" l="1"/>
  <c r="X2" i="27"/>
  <c r="AN43" i="27"/>
  <c r="AN41" i="27"/>
  <c r="AN40" i="27"/>
  <c r="AD1" i="27"/>
  <c r="AC1" i="27"/>
  <c r="AE1" i="27"/>
  <c r="AD30" i="27"/>
  <c r="AE36" i="29"/>
  <c r="U41" i="29"/>
  <c r="V40" i="29" s="1"/>
  <c r="V41" i="29" s="1"/>
  <c r="W40" i="29" s="1"/>
  <c r="W41" i="29" s="1"/>
  <c r="X40" i="29" s="1"/>
  <c r="X41" i="29" s="1"/>
  <c r="Y40" i="29"/>
  <c r="Y41" i="29" s="1"/>
  <c r="Z40" i="29" s="1"/>
  <c r="AF2" i="25"/>
  <c r="AK2" i="25" s="1"/>
  <c r="AP2" i="25" s="1"/>
  <c r="AU2" i="25" s="1"/>
  <c r="AZ2" i="25" s="1"/>
  <c r="BE2" i="25" s="1"/>
  <c r="BJ2" i="25" s="1"/>
  <c r="BO2" i="25" s="1"/>
  <c r="X2" i="25"/>
  <c r="AG2" i="25" s="1"/>
  <c r="AL2" i="25" s="1"/>
  <c r="AQ2" i="25" s="1"/>
  <c r="AV2" i="25" s="1"/>
  <c r="BA2" i="25" s="1"/>
  <c r="BF2" i="25" s="1"/>
  <c r="BK2" i="25" s="1"/>
  <c r="BP2" i="25" s="1"/>
  <c r="AE2" i="25"/>
  <c r="AJ2" i="25" s="1"/>
  <c r="AO2" i="25" s="1"/>
  <c r="AT2" i="25" s="1"/>
  <c r="AY2" i="25" s="1"/>
  <c r="BD2" i="25" s="1"/>
  <c r="BI2" i="25" s="1"/>
  <c r="BN2" i="25" s="1"/>
  <c r="AC2" i="27" l="1"/>
  <c r="AH2" i="27" s="1"/>
  <c r="AM2" i="27" s="1"/>
  <c r="AR2" i="27" s="1"/>
  <c r="AW2" i="27" s="1"/>
  <c r="BB2" i="27" s="1"/>
  <c r="BG2" i="27" s="1"/>
  <c r="AQ54" i="25"/>
  <c r="AE38" i="29"/>
  <c r="Z41" i="29"/>
  <c r="AA40" i="29" s="1"/>
  <c r="AA41" i="29" s="1"/>
  <c r="AB40" i="29" s="1"/>
  <c r="AB41" i="29" s="1"/>
  <c r="AC40" i="29" s="1"/>
  <c r="AD40" i="29"/>
  <c r="AC2" i="25"/>
  <c r="AH2" i="25" l="1"/>
  <c r="AM2" i="25" s="1"/>
  <c r="AR2" i="25" s="1"/>
  <c r="AW2" i="25" s="1"/>
  <c r="BB2" i="25" s="1"/>
  <c r="BG2" i="25" s="1"/>
  <c r="BL2" i="25" s="1"/>
  <c r="BQ2" i="25" s="1"/>
  <c r="AS19" i="27"/>
  <c r="AS54" i="25" l="1"/>
  <c r="AS20" i="27"/>
  <c r="AI18" i="27"/>
  <c r="AY51" i="25" l="1"/>
  <c r="AS43" i="27"/>
  <c r="AS41" i="27"/>
  <c r="AS40" i="27"/>
  <c r="AX19" i="27" l="1"/>
  <c r="AX20" i="27" l="1"/>
  <c r="BB19" i="27" l="1"/>
  <c r="BD19" i="27" s="1"/>
  <c r="BE19" i="27" s="1"/>
  <c r="BF19" i="27" s="1"/>
  <c r="BG19" i="27" s="1"/>
  <c r="BH19" i="27" s="1"/>
  <c r="AX43" i="27"/>
  <c r="AX41" i="27"/>
  <c r="AX40" i="27"/>
  <c r="AN18" i="27"/>
  <c r="BC54" i="25" l="1"/>
  <c r="BD54" i="25"/>
  <c r="BC19" i="27"/>
  <c r="BB20" i="27"/>
  <c r="BD20" i="27" s="1"/>
  <c r="BE20" i="27" s="1"/>
  <c r="BF20" i="27" s="1"/>
  <c r="BG20" i="27" s="1"/>
  <c r="BH20" i="27" s="1"/>
  <c r="BE54" i="25" l="1"/>
  <c r="BF54" i="25" s="1"/>
  <c r="BG54" i="25" s="1"/>
  <c r="BI54" i="25" s="1"/>
  <c r="BB40" i="27"/>
  <c r="BD40" i="27" s="1"/>
  <c r="BE40" i="27" s="1"/>
  <c r="BF40" i="27" s="1"/>
  <c r="BG40" i="27" s="1"/>
  <c r="BH40" i="27" s="1"/>
  <c r="BC20" i="27"/>
  <c r="BB43" i="27"/>
  <c r="BD43" i="27" s="1"/>
  <c r="BE43" i="27" s="1"/>
  <c r="BF43" i="27" s="1"/>
  <c r="BG43" i="27" s="1"/>
  <c r="BH43" i="27" s="1"/>
  <c r="BB41" i="27"/>
  <c r="BD41" i="27" s="1"/>
  <c r="BE41" i="27" s="1"/>
  <c r="BF41" i="27" s="1"/>
  <c r="BG41" i="27" s="1"/>
  <c r="BH41" i="27" s="1"/>
  <c r="BJ54" i="25" l="1"/>
  <c r="BK54" i="25" s="1"/>
  <c r="BL54" i="25" s="1"/>
  <c r="BN54" i="25" s="1"/>
  <c r="BO54" i="25" s="1"/>
  <c r="BP54" i="25" s="1"/>
  <c r="BQ54" i="25" s="1"/>
  <c r="BR54" i="25" s="1"/>
  <c r="BH54" i="25"/>
  <c r="BC41" i="27"/>
  <c r="BC43" i="27"/>
  <c r="BC40" i="27"/>
  <c r="BM54" i="25" l="1"/>
  <c r="AS18" i="27"/>
  <c r="AX18" i="27" l="1"/>
  <c r="BB18" i="27" l="1"/>
  <c r="BC18" i="27" l="1"/>
  <c r="BD18" i="27" s="1"/>
  <c r="BE18" i="27" l="1"/>
  <c r="BF18" i="27" l="1"/>
  <c r="BG18" i="27" l="1"/>
  <c r="BH18" i="27" l="1"/>
  <c r="BI18" i="27" s="1"/>
  <c r="BJ18" i="27" l="1"/>
  <c r="AC44" i="25"/>
  <c r="BK18" i="27" l="1"/>
  <c r="AC78" i="25"/>
  <c r="AD44" i="25"/>
  <c r="BL18" i="27" l="1"/>
  <c r="AD45" i="25"/>
  <c r="AD48" i="25" s="1"/>
  <c r="AC48" i="25"/>
  <c r="BM18" i="27" l="1"/>
  <c r="AD78" i="25"/>
  <c r="AC50" i="25"/>
  <c r="AC6" i="29"/>
  <c r="AC18" i="29" s="1"/>
  <c r="AC51" i="25"/>
  <c r="AD51" i="25"/>
  <c r="AD70" i="25" s="1"/>
  <c r="AD50" i="25"/>
  <c r="BN18" i="27" l="1"/>
  <c r="AD42" i="27"/>
  <c r="AD45" i="27" s="1"/>
  <c r="AC45" i="27"/>
  <c r="AD6" i="29"/>
  <c r="AD18" i="29" s="1"/>
  <c r="BO18" i="27" l="1"/>
  <c r="AE45" i="27"/>
  <c r="BP18" i="27" l="1"/>
  <c r="AD7" i="27"/>
  <c r="AD13" i="27" s="1"/>
  <c r="AD22" i="27" s="1"/>
  <c r="BQ18" i="27" l="1"/>
  <c r="AD34" i="27"/>
  <c r="BR18" i="27" l="1"/>
  <c r="AD36" i="29"/>
  <c r="AD38" i="29" s="1"/>
  <c r="AC32" i="29"/>
  <c r="AC36" i="29" l="1"/>
  <c r="AC38" i="29" l="1"/>
  <c r="AC41" i="29" l="1"/>
  <c r="AD41" i="29" s="1"/>
  <c r="AE40" i="29" s="1"/>
  <c r="AI40" i="29" l="1"/>
  <c r="AE41" i="29"/>
  <c r="AF40" i="29" l="1"/>
  <c r="AE13" i="27" l="1"/>
  <c r="AE36" i="27" l="1"/>
  <c r="AE47" i="27" l="1"/>
  <c r="AC21" i="25" l="1"/>
  <c r="AC24" i="25" l="1"/>
  <c r="AD21" i="25"/>
  <c r="AD24" i="25" s="1"/>
  <c r="AE77" i="25" l="1"/>
  <c r="AE21" i="25"/>
  <c r="AE24" i="25" l="1"/>
  <c r="Y23" i="34" l="1"/>
  <c r="Y27" i="34" l="1"/>
  <c r="Z23" i="34"/>
  <c r="S45" i="34"/>
  <c r="Z8" i="34"/>
  <c r="E81" i="34" s="1"/>
  <c r="F81" i="34" s="1"/>
  <c r="Z27" i="34" l="1"/>
  <c r="AA8" i="34"/>
  <c r="AA13" i="34" l="1"/>
  <c r="E82" i="34"/>
  <c r="F82" i="34" s="1"/>
  <c r="S44" i="34"/>
  <c r="T37" i="34"/>
  <c r="AB8" i="34"/>
  <c r="AB13" i="34" s="1"/>
  <c r="E83" i="34" l="1"/>
  <c r="F83" i="34" s="1"/>
  <c r="AG82" i="25"/>
  <c r="AV82" i="25" s="1"/>
  <c r="AF82" i="25"/>
  <c r="AE82" i="25"/>
  <c r="AC8" i="34"/>
  <c r="AC13" i="34" s="1"/>
  <c r="AA18" i="34" l="1"/>
  <c r="AB18" i="34"/>
  <c r="T36" i="34"/>
  <c r="Z16" i="34"/>
  <c r="Z21" i="34" s="1"/>
  <c r="Y16" i="34"/>
  <c r="AD8" i="34"/>
  <c r="AD13" i="34" s="1"/>
  <c r="T32" i="34"/>
  <c r="AB23" i="34" l="1"/>
  <c r="AA23" i="34"/>
  <c r="S38" i="34"/>
  <c r="Y21" i="34"/>
  <c r="S33" i="34"/>
  <c r="T43" i="34"/>
  <c r="AI16" i="25"/>
  <c r="AI73" i="25" s="1"/>
  <c r="AE8" i="34"/>
  <c r="Y17" i="34"/>
  <c r="AF11" i="25"/>
  <c r="T34" i="34"/>
  <c r="Z17" i="34"/>
  <c r="Z22" i="34" s="1"/>
  <c r="AG11" i="25"/>
  <c r="AG63" i="25" s="1"/>
  <c r="AE13" i="34" l="1"/>
  <c r="AF65" i="25"/>
  <c r="AF67" i="25"/>
  <c r="AF66" i="25"/>
  <c r="AF63" i="25"/>
  <c r="AF77" i="25"/>
  <c r="AF75" i="25"/>
  <c r="AG66" i="25"/>
  <c r="AG65" i="25"/>
  <c r="AG67" i="25"/>
  <c r="AG75" i="25"/>
  <c r="AG77" i="25"/>
  <c r="Z25" i="34"/>
  <c r="Z29" i="34" s="1"/>
  <c r="AA25" i="34"/>
  <c r="AA29" i="34" s="1"/>
  <c r="Y25" i="34"/>
  <c r="Y29" i="34" s="1"/>
  <c r="AA27" i="34"/>
  <c r="AB27" i="34"/>
  <c r="AK82" i="25"/>
  <c r="S39" i="34"/>
  <c r="AK83" i="25"/>
  <c r="Y22" i="34"/>
  <c r="Y107" i="34"/>
  <c r="AF50" i="27"/>
  <c r="AG50" i="27"/>
  <c r="AG19" i="25"/>
  <c r="AG76" i="25" s="1"/>
  <c r="Z107" i="34"/>
  <c r="T44" i="34"/>
  <c r="U37" i="34"/>
  <c r="T45" i="34"/>
  <c r="AF8" i="34"/>
  <c r="AF13" i="34" l="1"/>
  <c r="AF7" i="34"/>
  <c r="Z26" i="34"/>
  <c r="Z28" i="34" s="1"/>
  <c r="Y26" i="34"/>
  <c r="Y28" i="34" s="1"/>
  <c r="AJ83" i="25"/>
  <c r="AL60" i="25"/>
  <c r="AF53" i="27"/>
  <c r="AF52" i="27"/>
  <c r="AG52" i="27"/>
  <c r="AG53" i="27"/>
  <c r="AG63" i="27"/>
  <c r="AG62" i="27"/>
  <c r="AG61" i="27"/>
  <c r="AG60" i="27"/>
  <c r="AG84" i="27"/>
  <c r="AG83" i="27"/>
  <c r="AG82" i="27"/>
  <c r="AG81" i="27"/>
  <c r="AG78" i="27"/>
  <c r="AG77" i="27"/>
  <c r="AG76" i="27"/>
  <c r="AG75" i="27"/>
  <c r="AG70" i="27"/>
  <c r="AG69" i="27"/>
  <c r="AG68" i="27"/>
  <c r="AG67" i="27"/>
  <c r="AF84" i="27"/>
  <c r="AF83" i="27"/>
  <c r="AF82" i="27"/>
  <c r="AF81" i="27"/>
  <c r="AF78" i="27"/>
  <c r="AF77" i="27"/>
  <c r="AF76" i="27"/>
  <c r="AF75" i="27"/>
  <c r="AF70" i="27"/>
  <c r="AF69" i="27"/>
  <c r="AF68" i="27"/>
  <c r="AF67" i="27"/>
  <c r="AF63" i="27"/>
  <c r="AF61" i="27"/>
  <c r="AF60" i="27"/>
  <c r="AF62" i="27"/>
  <c r="AG21" i="25"/>
  <c r="AF19" i="25"/>
  <c r="AF76" i="25" s="1"/>
  <c r="AG8" i="34"/>
  <c r="AF17" i="29"/>
  <c r="AG7" i="34" l="1"/>
  <c r="AG14" i="34"/>
  <c r="AG13" i="34"/>
  <c r="AS60" i="25"/>
  <c r="AG54" i="27"/>
  <c r="AE18" i="34"/>
  <c r="AE23" i="34" s="1"/>
  <c r="AF54" i="27"/>
  <c r="AC18" i="34"/>
  <c r="AJ82" i="25"/>
  <c r="AG24" i="25"/>
  <c r="AF21" i="25"/>
  <c r="AH8" i="34"/>
  <c r="AG30" i="27"/>
  <c r="AF30" i="27"/>
  <c r="AG16" i="29"/>
  <c r="AF16" i="29"/>
  <c r="AF1" i="27"/>
  <c r="AG17" i="29"/>
  <c r="AG1" i="27" s="1"/>
  <c r="AH13" i="34" l="1"/>
  <c r="AH7" i="34"/>
  <c r="AC23" i="34"/>
  <c r="AE27" i="34" s="1"/>
  <c r="T38" i="34"/>
  <c r="AP60" i="25"/>
  <c r="AC27" i="34"/>
  <c r="AD27" i="34"/>
  <c r="AL59" i="25"/>
  <c r="AN16" i="25"/>
  <c r="AN73" i="25" s="1"/>
  <c r="AF23" i="34"/>
  <c r="U36" i="34"/>
  <c r="V37" i="34" s="1"/>
  <c r="AC16" i="34"/>
  <c r="AC21" i="34" s="1"/>
  <c r="AB16" i="34"/>
  <c r="AG18" i="34"/>
  <c r="AI15" i="25"/>
  <c r="AI72" i="25" s="1"/>
  <c r="AF24" i="25"/>
  <c r="U34" i="34"/>
  <c r="AG36" i="29"/>
  <c r="AF36" i="29"/>
  <c r="AB17" i="34"/>
  <c r="AJ11" i="25"/>
  <c r="AI8" i="34"/>
  <c r="AF27" i="34" l="1"/>
  <c r="AI13" i="34"/>
  <c r="AI9" i="34"/>
  <c r="AB22" i="34"/>
  <c r="AI7" i="34"/>
  <c r="AB21" i="34"/>
  <c r="AD25" i="34" s="1"/>
  <c r="AD29" i="34" s="1"/>
  <c r="U45" i="34"/>
  <c r="AY83" i="25"/>
  <c r="AJ67" i="25"/>
  <c r="AJ66" i="25"/>
  <c r="AJ65" i="25"/>
  <c r="AJ63" i="25"/>
  <c r="AJ75" i="25"/>
  <c r="AJ77" i="25"/>
  <c r="AR60" i="25"/>
  <c r="AG27" i="34"/>
  <c r="AE16" i="34"/>
  <c r="AE21" i="34" s="1"/>
  <c r="U43" i="34"/>
  <c r="AJ8" i="34"/>
  <c r="U44" i="34"/>
  <c r="AJ13" i="34" l="1"/>
  <c r="AJ7" i="34"/>
  <c r="BD83" i="25"/>
  <c r="AE25" i="34"/>
  <c r="AE29" i="34" s="1"/>
  <c r="AB25" i="34"/>
  <c r="AB29" i="34" s="1"/>
  <c r="AC25" i="34"/>
  <c r="AC29" i="34" s="1"/>
  <c r="AH18" i="34"/>
  <c r="T33" i="34"/>
  <c r="AI18" i="34"/>
  <c r="AI23" i="34" s="1"/>
  <c r="AN15" i="25"/>
  <c r="AN72" i="25" s="1"/>
  <c r="AK8" i="34"/>
  <c r="BI83" i="25" l="1"/>
  <c r="AK13" i="34"/>
  <c r="AK7" i="34"/>
  <c r="AH23" i="34"/>
  <c r="AH27" i="34" s="1"/>
  <c r="U38" i="34"/>
  <c r="AS16" i="25"/>
  <c r="AS73" i="25" s="1"/>
  <c r="AL8" i="34"/>
  <c r="AN21" i="27"/>
  <c r="AN32" i="27"/>
  <c r="AN33" i="27"/>
  <c r="AJ27" i="34" l="1"/>
  <c r="V38" i="34"/>
  <c r="BN83" i="25"/>
  <c r="AL13" i="34"/>
  <c r="AL7" i="34"/>
  <c r="AI27" i="34"/>
  <c r="AX60" i="25"/>
  <c r="AY82" i="25"/>
  <c r="AS59" i="25"/>
  <c r="AR59" i="25"/>
  <c r="AP59" i="25"/>
  <c r="AG16" i="34"/>
  <c r="AT60" i="25" l="1"/>
  <c r="BD82" i="25"/>
  <c r="AI16" i="34"/>
  <c r="AI21" i="34" s="1"/>
  <c r="AG25" i="34"/>
  <c r="AG29" i="34" s="1"/>
  <c r="AF25" i="34"/>
  <c r="AF29" i="34" s="1"/>
  <c r="BI82" i="25" l="1"/>
  <c r="AQ59" i="25"/>
  <c r="AH16" i="34"/>
  <c r="U33" i="34" s="1"/>
  <c r="V33" i="34" l="1"/>
  <c r="BN82" i="25"/>
  <c r="AH21" i="34"/>
  <c r="AH19" i="34"/>
  <c r="AS15" i="25"/>
  <c r="AS72" i="25" s="1"/>
  <c r="AH25" i="34"/>
  <c r="AH29" i="34" s="1"/>
  <c r="AS21" i="27"/>
  <c r="AS32" i="27"/>
  <c r="AI25" i="34" l="1"/>
  <c r="AI29" i="34" s="1"/>
  <c r="AJ25" i="34"/>
  <c r="AJ29" i="34" s="1"/>
  <c r="AO36" i="29"/>
  <c r="AQ36" i="29" s="1"/>
  <c r="AQ35" i="29" s="1"/>
  <c r="AR35" i="29" s="1"/>
  <c r="AP36" i="29"/>
  <c r="AX33" i="27" l="1"/>
  <c r="AX21" i="27"/>
  <c r="AF44" i="25"/>
  <c r="AF78" i="25" s="1"/>
  <c r="AG44" i="25" l="1"/>
  <c r="AG78" i="25" s="1"/>
  <c r="AF48" i="25" l="1"/>
  <c r="AG48" i="25" l="1"/>
  <c r="AF50" i="25"/>
  <c r="AF51" i="25"/>
  <c r="AF6" i="29"/>
  <c r="AG6" i="29" s="1"/>
  <c r="AG18" i="29" l="1"/>
  <c r="AG51" i="25"/>
  <c r="AG50" i="25"/>
  <c r="AF45" i="27"/>
  <c r="AF18" i="29"/>
  <c r="AG38" i="29" l="1"/>
  <c r="AF38" i="29"/>
  <c r="AG45" i="27"/>
  <c r="AF41" i="29" l="1"/>
  <c r="AG40" i="29" l="1"/>
  <c r="AG41" i="29" s="1"/>
  <c r="AH40" i="29" s="1"/>
  <c r="AF13" i="27" l="1"/>
  <c r="AG13" i="27" l="1"/>
  <c r="AF36" i="27" l="1"/>
  <c r="AF47" i="27" l="1"/>
  <c r="AG36" i="27"/>
  <c r="AG47" i="27" l="1"/>
  <c r="Y8" i="34" l="1"/>
  <c r="Z13" i="34" l="1"/>
  <c r="E80" i="34"/>
  <c r="F80" i="34" s="1"/>
  <c r="Y13" i="34"/>
  <c r="G80" i="34" l="1"/>
  <c r="H80" i="34" s="1"/>
  <c r="I80" i="34" s="1"/>
  <c r="G69" i="34"/>
  <c r="H69" i="34" s="1"/>
  <c r="I69" i="34" s="1"/>
  <c r="G70" i="34"/>
  <c r="H70" i="34" s="1"/>
  <c r="I70" i="34" s="1"/>
  <c r="G61" i="34"/>
  <c r="H61" i="34" s="1"/>
  <c r="I61" i="34" s="1"/>
  <c r="G75" i="34"/>
  <c r="H75" i="34" s="1"/>
  <c r="I75" i="34" s="1"/>
  <c r="G82" i="34"/>
  <c r="H82" i="34" s="1"/>
  <c r="I82" i="34" s="1"/>
  <c r="G71" i="34"/>
  <c r="H71" i="34" s="1"/>
  <c r="I71" i="34" s="1"/>
  <c r="G83" i="34"/>
  <c r="H83" i="34" s="1"/>
  <c r="I83" i="34" s="1"/>
  <c r="G74" i="34"/>
  <c r="H74" i="34" s="1"/>
  <c r="I74" i="34" s="1"/>
  <c r="G81" i="34"/>
  <c r="H81" i="34" s="1"/>
  <c r="I81" i="34" s="1"/>
  <c r="G78" i="34"/>
  <c r="H78" i="34" s="1"/>
  <c r="I78" i="34" s="1"/>
  <c r="G77" i="34"/>
  <c r="H77" i="34" s="1"/>
  <c r="I77" i="34" s="1"/>
  <c r="G76" i="34"/>
  <c r="H76" i="34" s="1"/>
  <c r="I76" i="34" s="1"/>
  <c r="G66" i="34"/>
  <c r="H66" i="34" s="1"/>
  <c r="I66" i="34" s="1"/>
  <c r="G67" i="34"/>
  <c r="H67" i="34" s="1"/>
  <c r="I67" i="34" s="1"/>
  <c r="G64" i="34"/>
  <c r="H64" i="34" s="1"/>
  <c r="I64" i="34" s="1"/>
  <c r="G65" i="34"/>
  <c r="H65" i="34" s="1"/>
  <c r="I65" i="34" s="1"/>
  <c r="G68" i="34"/>
  <c r="H68" i="34" s="1"/>
  <c r="I68" i="34" s="1"/>
  <c r="G73" i="34"/>
  <c r="H73" i="34" s="1"/>
  <c r="I73" i="34" s="1"/>
  <c r="G60" i="34"/>
  <c r="H60" i="34" s="1"/>
  <c r="I60" i="34" s="1"/>
  <c r="G63" i="34"/>
  <c r="H63" i="34" s="1"/>
  <c r="I63" i="34" s="1"/>
  <c r="G72" i="34"/>
  <c r="H72" i="34" s="1"/>
  <c r="I72" i="34" s="1"/>
  <c r="G79" i="34"/>
  <c r="H79" i="34" s="1"/>
  <c r="I79" i="34" s="1"/>
  <c r="G62" i="34"/>
  <c r="H62" i="34" s="1"/>
  <c r="I62" i="34" s="1"/>
  <c r="AA17" i="34"/>
  <c r="AI6" i="25"/>
  <c r="AH11" i="25"/>
  <c r="AF81" i="25" l="1"/>
  <c r="AH81" i="25"/>
  <c r="AH67" i="25"/>
  <c r="AH66" i="25"/>
  <c r="AH65" i="25"/>
  <c r="AH63" i="25"/>
  <c r="AH77" i="25"/>
  <c r="AH75" i="25"/>
  <c r="AA22" i="34"/>
  <c r="S35" i="34"/>
  <c r="AI14" i="25"/>
  <c r="AI71" i="25" s="1"/>
  <c r="AI11" i="25"/>
  <c r="AE81" i="25"/>
  <c r="AH50" i="27"/>
  <c r="AG81" i="25"/>
  <c r="AV81" i="25" s="1"/>
  <c r="AJ50" i="27"/>
  <c r="AB107" i="34"/>
  <c r="AA107" i="34"/>
  <c r="AJ83" i="27" l="1"/>
  <c r="AJ82" i="27"/>
  <c r="AJ81" i="27"/>
  <c r="AJ78" i="27"/>
  <c r="AJ77" i="27"/>
  <c r="AJ76" i="27"/>
  <c r="AJ75" i="27"/>
  <c r="AJ70" i="27"/>
  <c r="AJ68" i="27"/>
  <c r="AJ63" i="27"/>
  <c r="AJ61" i="27"/>
  <c r="AJ69" i="27"/>
  <c r="AJ67" i="27"/>
  <c r="AJ62" i="27"/>
  <c r="AJ60" i="27"/>
  <c r="AA26" i="34"/>
  <c r="AA28" i="34" s="1"/>
  <c r="AB26" i="34"/>
  <c r="AB28" i="34" s="1"/>
  <c r="AJ53" i="27"/>
  <c r="AJ52" i="27"/>
  <c r="S40" i="34"/>
  <c r="AH52" i="27"/>
  <c r="AH53" i="27"/>
  <c r="AH84" i="27"/>
  <c r="AH81" i="27"/>
  <c r="AH77" i="27"/>
  <c r="AH75" i="27"/>
  <c r="AH69" i="27"/>
  <c r="AH66" i="27"/>
  <c r="AH63" i="27"/>
  <c r="AH62" i="27"/>
  <c r="AH61" i="27"/>
  <c r="AH60" i="27"/>
  <c r="AH83" i="27"/>
  <c r="AH82" i="27"/>
  <c r="AH78" i="27"/>
  <c r="AH76" i="27"/>
  <c r="AH70" i="27"/>
  <c r="AH68" i="27"/>
  <c r="AH67" i="27"/>
  <c r="AI12" i="27"/>
  <c r="AI33" i="27"/>
  <c r="AI28" i="27"/>
  <c r="AI15" i="27"/>
  <c r="AI35" i="27"/>
  <c r="AI26" i="27"/>
  <c r="AI10" i="27"/>
  <c r="AI11" i="27"/>
  <c r="AI16" i="29"/>
  <c r="AI29" i="27"/>
  <c r="AH19" i="25"/>
  <c r="AI18" i="25"/>
  <c r="AI75" i="25" s="1"/>
  <c r="AI27" i="27"/>
  <c r="AH76" i="25" l="1"/>
  <c r="AK81" i="25"/>
  <c r="AJ54" i="27"/>
  <c r="AH54" i="27"/>
  <c r="AI32" i="27"/>
  <c r="AH30" i="27"/>
  <c r="AI21" i="27"/>
  <c r="AH1" i="27"/>
  <c r="AJ17" i="29"/>
  <c r="AI9" i="27"/>
  <c r="AI36" i="29"/>
  <c r="AJ30" i="27"/>
  <c r="AI30" i="27"/>
  <c r="AI19" i="25"/>
  <c r="AH44" i="25"/>
  <c r="AH21" i="25"/>
  <c r="AJ16" i="29"/>
  <c r="AJ1" i="27" l="1"/>
  <c r="AJ19" i="29"/>
  <c r="AH78" i="25"/>
  <c r="AJ81" i="25"/>
  <c r="AI17" i="29"/>
  <c r="AI1" i="27" s="1"/>
  <c r="AL36" i="29"/>
  <c r="AL38" i="29" s="1"/>
  <c r="AK36" i="29"/>
  <c r="AI21" i="25"/>
  <c r="AI24" i="25" s="1"/>
  <c r="AH24" i="25"/>
  <c r="AJ36" i="29"/>
  <c r="AI76" i="25"/>
  <c r="AI44" i="25"/>
  <c r="AJ19" i="25"/>
  <c r="AS62" i="25" l="1"/>
  <c r="AS58" i="25"/>
  <c r="AJ76" i="25"/>
  <c r="AL62" i="25"/>
  <c r="AL58" i="25"/>
  <c r="AK11" i="25"/>
  <c r="AC17" i="34"/>
  <c r="AL11" i="25"/>
  <c r="AI45" i="25"/>
  <c r="AI78" i="25" s="1"/>
  <c r="AH48" i="25"/>
  <c r="AJ44" i="25"/>
  <c r="AJ21" i="25"/>
  <c r="AC22" i="34" l="1"/>
  <c r="AJ78" i="25"/>
  <c r="AP62" i="25"/>
  <c r="AP58" i="25"/>
  <c r="AP11" i="25"/>
  <c r="AG17" i="34"/>
  <c r="AL66" i="25"/>
  <c r="AL65" i="25"/>
  <c r="AL67" i="25"/>
  <c r="AL75" i="25"/>
  <c r="AL77" i="25"/>
  <c r="AK65" i="25"/>
  <c r="AK67" i="25"/>
  <c r="AK66" i="25"/>
  <c r="AK77" i="25"/>
  <c r="AK63" i="25"/>
  <c r="AK75" i="25"/>
  <c r="AH6" i="29"/>
  <c r="AH18" i="29" s="1"/>
  <c r="AH38" i="29" s="1"/>
  <c r="AH41" i="29" s="1"/>
  <c r="AC26" i="34"/>
  <c r="AC28" i="34" s="1"/>
  <c r="AD26" i="34"/>
  <c r="AD28" i="34" s="1"/>
  <c r="AL63" i="25"/>
  <c r="AE17" i="34"/>
  <c r="AE22" i="34" s="1"/>
  <c r="AY81" i="25"/>
  <c r="AD107" i="34"/>
  <c r="AC107" i="34"/>
  <c r="AK50" i="27"/>
  <c r="AL50" i="27"/>
  <c r="AI48" i="25"/>
  <c r="AJ24" i="25"/>
  <c r="AH50" i="25"/>
  <c r="AH51" i="25"/>
  <c r="T35" i="34" l="1"/>
  <c r="BD81" i="25"/>
  <c r="AE26" i="34"/>
  <c r="AE28" i="34" s="1"/>
  <c r="AG26" i="34"/>
  <c r="AP67" i="25"/>
  <c r="AP65" i="25"/>
  <c r="AP66" i="25"/>
  <c r="AP75" i="25"/>
  <c r="AP77" i="25"/>
  <c r="AK83" i="27"/>
  <c r="AK82" i="27"/>
  <c r="AK81" i="27"/>
  <c r="AK78" i="27"/>
  <c r="AK77" i="27"/>
  <c r="AK76" i="27"/>
  <c r="AK75" i="27"/>
  <c r="AK70" i="27"/>
  <c r="AK69" i="27"/>
  <c r="AK68" i="27"/>
  <c r="AK67" i="27"/>
  <c r="AK63" i="27"/>
  <c r="AK62" i="27"/>
  <c r="AK61" i="27"/>
  <c r="AK60" i="27"/>
  <c r="AL83" i="27"/>
  <c r="AL82" i="27"/>
  <c r="AL81" i="27"/>
  <c r="AL78" i="27"/>
  <c r="AL77" i="27"/>
  <c r="AL76" i="27"/>
  <c r="AL69" i="27"/>
  <c r="AL67" i="27"/>
  <c r="AL62" i="27"/>
  <c r="AL60" i="27"/>
  <c r="AL75" i="27"/>
  <c r="AL70" i="27"/>
  <c r="AL68" i="27"/>
  <c r="AL63" i="27"/>
  <c r="AL61" i="27"/>
  <c r="AP63" i="25"/>
  <c r="AN14" i="25"/>
  <c r="AN71" i="25" s="1"/>
  <c r="AK52" i="27"/>
  <c r="AK53" i="27"/>
  <c r="AL53" i="27"/>
  <c r="AL52" i="27"/>
  <c r="AL19" i="25"/>
  <c r="AK19" i="25"/>
  <c r="AK17" i="29"/>
  <c r="AO11" i="25"/>
  <c r="AI50" i="25"/>
  <c r="AI51" i="25"/>
  <c r="AI18" i="29"/>
  <c r="AI38" i="29" s="1"/>
  <c r="AH45" i="27"/>
  <c r="AI42" i="27"/>
  <c r="AI45" i="27" s="1"/>
  <c r="AJ48" i="25"/>
  <c r="BI81" i="25" l="1"/>
  <c r="BN81" i="25" s="1"/>
  <c r="T40" i="34"/>
  <c r="AK76" i="25"/>
  <c r="AQ11" i="25"/>
  <c r="AQ62" i="25"/>
  <c r="AQ58" i="25"/>
  <c r="AH17" i="34"/>
  <c r="AO63" i="25"/>
  <c r="AO77" i="25"/>
  <c r="AO67" i="25"/>
  <c r="AO66" i="25"/>
  <c r="AO75" i="25"/>
  <c r="AO65" i="25"/>
  <c r="AR62" i="25"/>
  <c r="AI17" i="34"/>
  <c r="AI22" i="34" s="1"/>
  <c r="AR11" i="25"/>
  <c r="AL76" i="25"/>
  <c r="AI70" i="25"/>
  <c r="AN18" i="25"/>
  <c r="AK54" i="27"/>
  <c r="AL54" i="27"/>
  <c r="AF26" i="34"/>
  <c r="AN11" i="27"/>
  <c r="AM19" i="25"/>
  <c r="AN28" i="27"/>
  <c r="AL44" i="25"/>
  <c r="AL21" i="25"/>
  <c r="AN9" i="27"/>
  <c r="AN12" i="27"/>
  <c r="AK44" i="25"/>
  <c r="AK21" i="25"/>
  <c r="AL17" i="29"/>
  <c r="AL30" i="27"/>
  <c r="AK16" i="29"/>
  <c r="AK19" i="29" s="1"/>
  <c r="AL16" i="29"/>
  <c r="AN27" i="27"/>
  <c r="AK1" i="27"/>
  <c r="AK30" i="27"/>
  <c r="AJ51" i="25"/>
  <c r="AJ50" i="25"/>
  <c r="AL1" i="27" l="1"/>
  <c r="AL19" i="29"/>
  <c r="AH22" i="34"/>
  <c r="AH26" i="34" s="1"/>
  <c r="U35" i="34"/>
  <c r="AR50" i="27"/>
  <c r="AR53" i="27" s="1"/>
  <c r="AR67" i="25"/>
  <c r="AR75" i="25"/>
  <c r="AR65" i="25"/>
  <c r="AR77" i="25"/>
  <c r="AR66" i="25"/>
  <c r="AQ67" i="25"/>
  <c r="AQ65" i="25"/>
  <c r="AQ66" i="25"/>
  <c r="AQ77" i="25"/>
  <c r="AQ75" i="25"/>
  <c r="AS11" i="25"/>
  <c r="AK78" i="25"/>
  <c r="AS14" i="25"/>
  <c r="AS71" i="25" s="1"/>
  <c r="AI26" i="34"/>
  <c r="AQ63" i="25"/>
  <c r="AI107" i="34"/>
  <c r="AL78" i="25"/>
  <c r="AN19" i="25"/>
  <c r="AN26" i="27"/>
  <c r="AM30" i="27"/>
  <c r="AM1" i="27"/>
  <c r="AN29" i="27"/>
  <c r="AL24" i="25"/>
  <c r="AN10" i="27"/>
  <c r="AK24" i="25"/>
  <c r="AN16" i="29"/>
  <c r="AJ45" i="27"/>
  <c r="AJ18" i="29"/>
  <c r="AJ26" i="34" l="1"/>
  <c r="AR81" i="27"/>
  <c r="AR75" i="27"/>
  <c r="AR67" i="27"/>
  <c r="AR61" i="27"/>
  <c r="AR84" i="27"/>
  <c r="AR78" i="27"/>
  <c r="AR70" i="27"/>
  <c r="AR66" i="27"/>
  <c r="AR60" i="27"/>
  <c r="AR83" i="27"/>
  <c r="AR77" i="27"/>
  <c r="AR69" i="27"/>
  <c r="AR63" i="27"/>
  <c r="AR82" i="27"/>
  <c r="AR76" i="27"/>
  <c r="AR68" i="27"/>
  <c r="AR62" i="27"/>
  <c r="U40" i="34"/>
  <c r="V35" i="34"/>
  <c r="AR52" i="27"/>
  <c r="AR54" i="27" s="1"/>
  <c r="AC121" i="27" s="1"/>
  <c r="AJ107" i="34"/>
  <c r="AS29" i="27"/>
  <c r="AS28" i="27"/>
  <c r="AS11" i="27"/>
  <c r="AS12" i="27"/>
  <c r="AN17" i="29"/>
  <c r="AN1" i="27" s="1"/>
  <c r="AN30" i="27"/>
  <c r="AL48" i="25"/>
  <c r="AK48" i="25"/>
  <c r="AS27" i="27"/>
  <c r="AJ38" i="29"/>
  <c r="AI41" i="29"/>
  <c r="AJ40" i="29" s="1"/>
  <c r="AK51" i="25" l="1"/>
  <c r="AS26" i="27"/>
  <c r="AS30" i="27" s="1"/>
  <c r="AR30" i="27"/>
  <c r="AL51" i="25"/>
  <c r="AL50" i="25"/>
  <c r="AK18" i="29"/>
  <c r="AK45" i="27"/>
  <c r="AK50" i="25"/>
  <c r="AN40" i="29"/>
  <c r="AJ41" i="29"/>
  <c r="AH13" i="27"/>
  <c r="AI7" i="27"/>
  <c r="AI13" i="27" s="1"/>
  <c r="AI22" i="27" s="1"/>
  <c r="AK38" i="29" l="1"/>
  <c r="AK40" i="29"/>
  <c r="AH22" i="27"/>
  <c r="AL45" i="27" l="1"/>
  <c r="AK41" i="29"/>
  <c r="AL40" i="29" s="1"/>
  <c r="AL41" i="29" s="1"/>
  <c r="AM40" i="29" s="1"/>
  <c r="AJ13" i="27"/>
  <c r="AK13" i="27" l="1"/>
  <c r="AI34" i="27"/>
  <c r="AI36" i="27" s="1"/>
  <c r="AI47" i="27" s="1"/>
  <c r="AH36" i="27"/>
  <c r="AL13" i="27" l="1"/>
  <c r="AH47" i="27"/>
  <c r="AH48" i="27" s="1"/>
  <c r="AC36" i="27" l="1"/>
  <c r="AD35" i="27"/>
  <c r="AD36" i="27" s="1"/>
  <c r="AD47" i="27" s="1"/>
  <c r="AC84" i="27"/>
  <c r="AC47" i="27" l="1"/>
  <c r="AC48" i="27" s="1"/>
  <c r="AE22" i="27"/>
  <c r="AE48" i="27" s="1"/>
  <c r="AG22" i="27"/>
  <c r="AG66" i="27"/>
  <c r="AE66" i="27"/>
  <c r="AF66" i="27"/>
  <c r="AF22" i="27"/>
  <c r="AF48" i="27" s="1"/>
  <c r="AG48" i="27" l="1"/>
  <c r="AN41" i="25"/>
  <c r="AN44" i="25" s="1"/>
  <c r="AM44" i="25"/>
  <c r="AM78" i="25" l="1"/>
  <c r="AN45" i="25" l="1"/>
  <c r="AN78" i="25" s="1"/>
  <c r="AM48" i="25"/>
  <c r="AM6" i="29" l="1"/>
  <c r="AM18" i="29" s="1"/>
  <c r="AM50" i="25"/>
  <c r="AN48" i="25"/>
  <c r="AM51" i="25"/>
  <c r="AN51" i="25" l="1"/>
  <c r="AN50" i="25"/>
  <c r="AN42" i="27"/>
  <c r="AN45" i="27" s="1"/>
  <c r="AN18" i="29"/>
  <c r="AM45" i="27"/>
  <c r="AM13" i="27" l="1"/>
  <c r="AN7" i="27"/>
  <c r="AN13" i="27" s="1"/>
  <c r="AN34" i="27" l="1"/>
  <c r="AN36" i="29" l="1"/>
  <c r="AM32" i="29"/>
  <c r="AM36" i="29" s="1"/>
  <c r="AM24" i="29" l="1"/>
  <c r="AN27" i="29"/>
  <c r="AN38" i="29" s="1"/>
  <c r="AM26" i="29"/>
  <c r="AM27" i="29" l="1"/>
  <c r="AM38" i="29" l="1"/>
  <c r="AM41" i="29" s="1"/>
  <c r="AN41" i="29" l="1"/>
  <c r="AO40" i="29" s="1"/>
  <c r="AS40" i="29" l="1"/>
  <c r="V32" i="34" l="1"/>
  <c r="W33" i="34" s="1"/>
  <c r="V34" i="34"/>
  <c r="V36" i="34"/>
  <c r="AM8" i="34"/>
  <c r="AM13" i="34" l="1"/>
  <c r="AM7" i="34"/>
  <c r="V44" i="34"/>
  <c r="W35" i="34"/>
  <c r="BC6" i="25" s="1"/>
  <c r="V43" i="34"/>
  <c r="AN8" i="34"/>
  <c r="AN7" i="34" s="1"/>
  <c r="V45" i="34"/>
  <c r="W37" i="34"/>
  <c r="W38" i="34" s="1"/>
  <c r="BN6" i="25" l="1"/>
  <c r="BI6" i="25"/>
  <c r="AN13" i="34"/>
  <c r="BC8" i="25"/>
  <c r="AX58" i="25"/>
  <c r="AX59" i="25"/>
  <c r="V40" i="34"/>
  <c r="AO8" i="34"/>
  <c r="AO7" i="34" s="1"/>
  <c r="AW17" i="34" l="1"/>
  <c r="AW22" i="34" s="1"/>
  <c r="BI14" i="25"/>
  <c r="BN14" i="25"/>
  <c r="BB17" i="34"/>
  <c r="BB22" i="34" s="1"/>
  <c r="BN58" i="25"/>
  <c r="BN8" i="25"/>
  <c r="BI8" i="25"/>
  <c r="AO13" i="34"/>
  <c r="AT59" i="25"/>
  <c r="AY60" i="25"/>
  <c r="BD8" i="25"/>
  <c r="AR18" i="34" s="1"/>
  <c r="BC7" i="25"/>
  <c r="BC60" i="25"/>
  <c r="AX62" i="25"/>
  <c r="W40" i="34"/>
  <c r="AP8" i="34"/>
  <c r="BN16" i="25" l="1"/>
  <c r="BB18" i="34"/>
  <c r="BB23" i="34" s="1"/>
  <c r="BN60" i="25"/>
  <c r="BI16" i="25"/>
  <c r="AW18" i="34"/>
  <c r="AW23" i="34" s="1"/>
  <c r="BI60" i="25"/>
  <c r="BN7" i="25"/>
  <c r="BI7" i="25"/>
  <c r="AP13" i="34"/>
  <c r="AP7" i="34"/>
  <c r="BD7" i="25"/>
  <c r="BD6" i="25"/>
  <c r="BD16" i="25"/>
  <c r="BD60" i="25"/>
  <c r="BC58" i="25"/>
  <c r="AU82" i="25"/>
  <c r="AT62" i="25"/>
  <c r="AT11" i="25"/>
  <c r="BC62" i="25"/>
  <c r="BC59" i="25"/>
  <c r="AR17" i="34" l="1"/>
  <c r="BI58" i="25"/>
  <c r="AW16" i="34"/>
  <c r="AW21" i="34" s="1"/>
  <c r="BI59" i="25"/>
  <c r="BI15" i="25"/>
  <c r="BI62" i="25"/>
  <c r="BI11" i="25"/>
  <c r="BB16" i="34"/>
  <c r="BB21" i="34" s="1"/>
  <c r="BN15" i="25"/>
  <c r="BN59" i="25"/>
  <c r="BN11" i="25"/>
  <c r="BN62" i="25"/>
  <c r="AT50" i="27"/>
  <c r="AT75" i="25"/>
  <c r="AT63" i="25"/>
  <c r="AT67" i="25"/>
  <c r="AT65" i="25"/>
  <c r="AT66" i="25"/>
  <c r="AW82" i="25"/>
  <c r="AR16" i="34"/>
  <c r="BD15" i="25"/>
  <c r="BD59" i="25"/>
  <c r="BD14" i="25"/>
  <c r="BD58" i="25"/>
  <c r="BD62" i="25"/>
  <c r="BD11" i="25"/>
  <c r="BD66" i="25" s="1"/>
  <c r="AU83" i="25"/>
  <c r="AZ82" i="25"/>
  <c r="BE82" i="25" s="1"/>
  <c r="AU59" i="25"/>
  <c r="AU81" i="25"/>
  <c r="AK107" i="34"/>
  <c r="AY59" i="25"/>
  <c r="AY62" i="25"/>
  <c r="AY58" i="25"/>
  <c r="BN63" i="25" l="1"/>
  <c r="BN18" i="25"/>
  <c r="BN65" i="25"/>
  <c r="BN67" i="25"/>
  <c r="BN19" i="25"/>
  <c r="BN21" i="25" s="1"/>
  <c r="BN66" i="25"/>
  <c r="AT82" i="27"/>
  <c r="AT70" i="27"/>
  <c r="AT78" i="27"/>
  <c r="AT68" i="27"/>
  <c r="AT62" i="27"/>
  <c r="AT52" i="27"/>
  <c r="AT83" i="27"/>
  <c r="AT81" i="27"/>
  <c r="AT77" i="27"/>
  <c r="AT75" i="27"/>
  <c r="AT69" i="27"/>
  <c r="AT67" i="27"/>
  <c r="AT63" i="27"/>
  <c r="AT61" i="27"/>
  <c r="AT76" i="27"/>
  <c r="AT66" i="27"/>
  <c r="AT53" i="27"/>
  <c r="AT84" i="27"/>
  <c r="AT60" i="27"/>
  <c r="BJ82" i="25"/>
  <c r="BI66" i="25"/>
  <c r="BI18" i="25"/>
  <c r="BI63" i="25"/>
  <c r="BI65" i="25"/>
  <c r="BI67" i="25"/>
  <c r="BO82" i="25"/>
  <c r="AK25" i="34"/>
  <c r="AK29" i="34" s="1"/>
  <c r="BE7" i="25"/>
  <c r="AZ81" i="25"/>
  <c r="AW81" i="25"/>
  <c r="AZ83" i="25"/>
  <c r="BE83" i="25" s="1"/>
  <c r="AW83" i="25"/>
  <c r="AY67" i="25"/>
  <c r="AY65" i="25"/>
  <c r="BD67" i="25"/>
  <c r="BD65" i="25"/>
  <c r="AY66" i="25"/>
  <c r="BD18" i="25"/>
  <c r="BD19" i="25" s="1"/>
  <c r="BD63" i="25"/>
  <c r="AY63" i="25"/>
  <c r="BN24" i="25" l="1"/>
  <c r="BJ7" i="25"/>
  <c r="BJ83" i="25"/>
  <c r="BO7" i="25"/>
  <c r="BN44" i="25"/>
  <c r="BN76" i="25"/>
  <c r="BI19" i="25"/>
  <c r="AT54" i="27"/>
  <c r="AZ59" i="25"/>
  <c r="BE59" i="25"/>
  <c r="AZ11" i="25"/>
  <c r="BE81" i="25"/>
  <c r="BE8" i="25"/>
  <c r="BE15" i="25"/>
  <c r="AS16" i="34"/>
  <c r="BD44" i="25"/>
  <c r="BD76" i="25"/>
  <c r="BD21" i="25"/>
  <c r="AU60" i="25"/>
  <c r="AZ60" i="25"/>
  <c r="AZ58" i="25"/>
  <c r="AU58" i="25"/>
  <c r="AU62" i="25"/>
  <c r="AU11" i="25"/>
  <c r="AU66" i="25" s="1"/>
  <c r="BJ81" i="25" l="1"/>
  <c r="BJ6" i="25" s="1"/>
  <c r="BJ8" i="25"/>
  <c r="BJ59" i="25"/>
  <c r="AX16" i="34"/>
  <c r="AX21" i="34" s="1"/>
  <c r="BJ15" i="25"/>
  <c r="BJ62" i="25"/>
  <c r="BJ11" i="25"/>
  <c r="BN45" i="25"/>
  <c r="BN48" i="25" s="1"/>
  <c r="BO83" i="25"/>
  <c r="BI76" i="25"/>
  <c r="BI44" i="25"/>
  <c r="BI21" i="25"/>
  <c r="BO59" i="25"/>
  <c r="BC16" i="34"/>
  <c r="BC21" i="34" s="1"/>
  <c r="BO15" i="25"/>
  <c r="AK27" i="34"/>
  <c r="AK26" i="34"/>
  <c r="AU65" i="25"/>
  <c r="AS18" i="34"/>
  <c r="BE16" i="25"/>
  <c r="BE60" i="25"/>
  <c r="AZ62" i="25"/>
  <c r="BE6" i="25"/>
  <c r="BJ58" i="25" s="1"/>
  <c r="AU67" i="25"/>
  <c r="AZ65" i="25"/>
  <c r="AZ67" i="25"/>
  <c r="AZ66" i="25"/>
  <c r="BD45" i="25"/>
  <c r="BD24" i="25"/>
  <c r="BA81" i="25"/>
  <c r="AU63" i="25"/>
  <c r="AL107" i="34"/>
  <c r="AU50" i="27"/>
  <c r="AZ63" i="25"/>
  <c r="BJ14" i="25" l="1"/>
  <c r="AX17" i="34"/>
  <c r="AX22" i="34" s="1"/>
  <c r="BO81" i="25"/>
  <c r="BO6" i="25" s="1"/>
  <c r="BN6" i="29"/>
  <c r="BN50" i="25"/>
  <c r="BN51" i="25"/>
  <c r="BJ18" i="25"/>
  <c r="BJ65" i="25"/>
  <c r="BI24" i="25"/>
  <c r="BJ66" i="25"/>
  <c r="BI45" i="25"/>
  <c r="BI48" i="25"/>
  <c r="BO8" i="25"/>
  <c r="AX18" i="34"/>
  <c r="AX23" i="34" s="1"/>
  <c r="BJ67" i="25"/>
  <c r="BJ16" i="25"/>
  <c r="BJ60" i="25"/>
  <c r="AU52" i="27"/>
  <c r="AU81" i="27"/>
  <c r="AU75" i="27"/>
  <c r="AU67" i="27"/>
  <c r="AU61" i="27"/>
  <c r="AU83" i="27"/>
  <c r="AU77" i="27"/>
  <c r="AU69" i="27"/>
  <c r="AU63" i="27"/>
  <c r="AU70" i="27"/>
  <c r="AU53" i="27"/>
  <c r="AU84" i="27"/>
  <c r="AU78" i="27"/>
  <c r="AU68" i="27"/>
  <c r="AU62" i="27"/>
  <c r="AU82" i="27"/>
  <c r="AU76" i="27"/>
  <c r="AU66" i="27"/>
  <c r="AU60" i="27"/>
  <c r="BF81" i="25"/>
  <c r="BG81" i="25" s="1"/>
  <c r="BB81" i="25"/>
  <c r="BB6" i="25" s="1"/>
  <c r="AS17" i="34"/>
  <c r="BE62" i="25"/>
  <c r="BE14" i="25"/>
  <c r="BE11" i="25"/>
  <c r="BE58" i="25"/>
  <c r="BD48" i="25"/>
  <c r="AV59" i="25"/>
  <c r="BA82" i="25"/>
  <c r="BA83" i="25"/>
  <c r="AV58" i="25"/>
  <c r="BJ19" i="25" l="1"/>
  <c r="BJ21" i="25" s="1"/>
  <c r="AU54" i="27"/>
  <c r="BO14" i="25"/>
  <c r="BC17" i="34"/>
  <c r="BC22" i="34" s="1"/>
  <c r="BO58" i="25"/>
  <c r="BJ24" i="25"/>
  <c r="BI6" i="29"/>
  <c r="BI50" i="25"/>
  <c r="BI51" i="25"/>
  <c r="BO16" i="25"/>
  <c r="BC18" i="34"/>
  <c r="BC23" i="34" s="1"/>
  <c r="BO60" i="25"/>
  <c r="BO62" i="25"/>
  <c r="BO11" i="25"/>
  <c r="BO67" i="25" s="1"/>
  <c r="BJ63" i="25"/>
  <c r="BK81" i="25"/>
  <c r="BB82" i="25"/>
  <c r="BB7" i="25" s="1"/>
  <c r="BB15" i="25" s="1"/>
  <c r="BB83" i="25"/>
  <c r="BB8" i="25" s="1"/>
  <c r="BB16" i="25" s="1"/>
  <c r="BJ76" i="25"/>
  <c r="BJ44" i="25"/>
  <c r="BB14" i="25"/>
  <c r="BN18" i="29"/>
  <c r="AL26" i="34"/>
  <c r="AL25" i="34"/>
  <c r="AL29" i="34" s="1"/>
  <c r="BF6" i="25"/>
  <c r="BF58" i="25" s="1"/>
  <c r="AV62" i="25"/>
  <c r="BE66" i="25"/>
  <c r="BE18" i="25"/>
  <c r="BE19" i="25" s="1"/>
  <c r="BE21" i="25" s="1"/>
  <c r="BE24" i="25" s="1"/>
  <c r="BE63" i="25"/>
  <c r="BE67" i="25"/>
  <c r="BE65" i="25"/>
  <c r="BD51" i="25"/>
  <c r="BD6" i="29"/>
  <c r="BD18" i="29" s="1"/>
  <c r="BD50" i="25"/>
  <c r="AT17" i="34"/>
  <c r="BF14" i="25"/>
  <c r="BA60" i="25"/>
  <c r="BF83" i="25"/>
  <c r="BG83" i="25" s="1"/>
  <c r="BG8" i="25" s="1"/>
  <c r="BA59" i="25"/>
  <c r="BF82" i="25"/>
  <c r="BG82" i="25" s="1"/>
  <c r="BG7" i="25" s="1"/>
  <c r="AU16" i="34" s="1"/>
  <c r="AV11" i="25"/>
  <c r="AV67" i="25" s="1"/>
  <c r="AV60" i="25"/>
  <c r="BA58" i="25"/>
  <c r="BG6" i="25"/>
  <c r="AU30" i="27"/>
  <c r="BB11" i="25" l="1"/>
  <c r="BL81" i="25"/>
  <c r="BL6" i="25" s="1"/>
  <c r="BK6" i="25"/>
  <c r="BP81" i="25"/>
  <c r="BK83" i="25"/>
  <c r="BO66" i="25"/>
  <c r="BO18" i="25"/>
  <c r="BO63" i="25"/>
  <c r="BO65" i="25"/>
  <c r="BI18" i="29"/>
  <c r="BK82" i="25"/>
  <c r="BJ45" i="25"/>
  <c r="BJ48" i="25" s="1"/>
  <c r="BP82" i="25"/>
  <c r="AL27" i="34"/>
  <c r="AV63" i="25"/>
  <c r="AV65" i="25"/>
  <c r="AV66" i="25"/>
  <c r="BG15" i="25"/>
  <c r="BE44" i="25"/>
  <c r="BE76" i="25"/>
  <c r="BA11" i="25"/>
  <c r="BA65" i="25" s="1"/>
  <c r="BA62" i="25"/>
  <c r="AQ16" i="34"/>
  <c r="AU18" i="34"/>
  <c r="BG16" i="25"/>
  <c r="AU17" i="34"/>
  <c r="BG11" i="25"/>
  <c r="BG62" i="25"/>
  <c r="BG14" i="25"/>
  <c r="BH14" i="25" s="1"/>
  <c r="BF8" i="25"/>
  <c r="BF7" i="25"/>
  <c r="AV50" i="27"/>
  <c r="AM107" i="34"/>
  <c r="BG59" i="25"/>
  <c r="AN27" i="34"/>
  <c r="AW60" i="25"/>
  <c r="AQ18" i="34"/>
  <c r="AW59" i="25"/>
  <c r="BB59" i="25"/>
  <c r="AQ17" i="34"/>
  <c r="AW62" i="25"/>
  <c r="AW58" i="25"/>
  <c r="AW11" i="25"/>
  <c r="AV52" i="27" l="1"/>
  <c r="AV83" i="27"/>
  <c r="AV81" i="27"/>
  <c r="AV77" i="27"/>
  <c r="AV75" i="27"/>
  <c r="AV69" i="27"/>
  <c r="AV67" i="27"/>
  <c r="AV63" i="27"/>
  <c r="AV61" i="27"/>
  <c r="AV53" i="27"/>
  <c r="AV84" i="27"/>
  <c r="AV82" i="27"/>
  <c r="AV78" i="27"/>
  <c r="AV76" i="27"/>
  <c r="AV70" i="27"/>
  <c r="AV68" i="27"/>
  <c r="AV66" i="27"/>
  <c r="AV62" i="27"/>
  <c r="AV60" i="27"/>
  <c r="BQ81" i="25"/>
  <c r="BQ6" i="25" s="1"/>
  <c r="BP6" i="25"/>
  <c r="BK8" i="25"/>
  <c r="BL83" i="25"/>
  <c r="BL8" i="25" s="1"/>
  <c r="BJ6" i="29"/>
  <c r="BJ50" i="25"/>
  <c r="BJ51" i="25"/>
  <c r="BK14" i="25"/>
  <c r="AY17" i="34"/>
  <c r="AY22" i="34" s="1"/>
  <c r="BK58" i="25"/>
  <c r="BP7" i="25"/>
  <c r="BQ82" i="25"/>
  <c r="BQ7" i="25" s="1"/>
  <c r="BL58" i="25"/>
  <c r="AZ17" i="34"/>
  <c r="AZ22" i="34" s="1"/>
  <c r="BL14" i="25"/>
  <c r="BP83" i="25"/>
  <c r="BK7" i="25"/>
  <c r="BK11" i="25" s="1"/>
  <c r="BK65" i="25" s="1"/>
  <c r="BL82" i="25"/>
  <c r="BL7" i="25" s="1"/>
  <c r="BO19" i="25"/>
  <c r="AM27" i="34"/>
  <c r="AP27" i="34"/>
  <c r="AO27" i="34"/>
  <c r="AM26" i="34"/>
  <c r="AP26" i="34"/>
  <c r="AO26" i="34"/>
  <c r="AN26" i="34"/>
  <c r="AM25" i="34"/>
  <c r="AM29" i="34" s="1"/>
  <c r="AP25" i="34"/>
  <c r="AP29" i="34" s="1"/>
  <c r="AO25" i="34"/>
  <c r="AO29" i="34" s="1"/>
  <c r="AN25" i="34"/>
  <c r="AN29" i="34" s="1"/>
  <c r="AX16" i="25"/>
  <c r="AX73" i="25" s="1"/>
  <c r="AX15" i="25"/>
  <c r="AX72" i="25" s="1"/>
  <c r="AX14" i="25"/>
  <c r="AX71" i="25" s="1"/>
  <c r="BA50" i="27"/>
  <c r="AX11" i="25"/>
  <c r="BA66" i="25"/>
  <c r="BA67" i="25"/>
  <c r="BA63" i="25"/>
  <c r="BC15" i="25"/>
  <c r="BC72" i="25" s="1"/>
  <c r="BE45" i="25"/>
  <c r="BE48" i="25" s="1"/>
  <c r="AW65" i="25"/>
  <c r="AW66" i="25"/>
  <c r="AW67" i="25"/>
  <c r="BG67" i="25"/>
  <c r="BG65" i="25"/>
  <c r="BG66" i="25"/>
  <c r="BG18" i="25"/>
  <c r="BG19" i="25" s="1"/>
  <c r="BG21" i="25" s="1"/>
  <c r="BG24" i="25" s="1"/>
  <c r="AT16" i="34"/>
  <c r="BF15" i="25"/>
  <c r="BH15" i="25" s="1"/>
  <c r="BF62" i="25"/>
  <c r="BF11" i="25"/>
  <c r="BF59" i="25"/>
  <c r="AT18" i="34"/>
  <c r="BF16" i="25"/>
  <c r="BH16" i="25" s="1"/>
  <c r="BF60" i="25"/>
  <c r="AV16" i="29"/>
  <c r="AV17" i="29"/>
  <c r="BG60" i="25"/>
  <c r="BG58" i="25"/>
  <c r="BC16" i="25"/>
  <c r="BB60" i="25"/>
  <c r="AW63" i="25"/>
  <c r="AN107" i="34"/>
  <c r="AW50" i="27"/>
  <c r="AZ50" i="27"/>
  <c r="AY50" i="27"/>
  <c r="BC14" i="25"/>
  <c r="BC71" i="25" s="1"/>
  <c r="BB62" i="25"/>
  <c r="BB58" i="25"/>
  <c r="BL62" i="25" l="1"/>
  <c r="BK62" i="25"/>
  <c r="BL11" i="25"/>
  <c r="BM11" i="25"/>
  <c r="BL18" i="25"/>
  <c r="BL63" i="25"/>
  <c r="BL65" i="25"/>
  <c r="AY66" i="27"/>
  <c r="AY53" i="27"/>
  <c r="AY78" i="27"/>
  <c r="AY68" i="27"/>
  <c r="AY83" i="27"/>
  <c r="AY75" i="27"/>
  <c r="AY61" i="27"/>
  <c r="AY52" i="27"/>
  <c r="AY69" i="27"/>
  <c r="AY63" i="27"/>
  <c r="AY60" i="27"/>
  <c r="AY82" i="27"/>
  <c r="AY70" i="27"/>
  <c r="AY84" i="27"/>
  <c r="AY81" i="27"/>
  <c r="AY77" i="27"/>
  <c r="AY67" i="27"/>
  <c r="AY62" i="27"/>
  <c r="AY76" i="27"/>
  <c r="BJ18" i="29"/>
  <c r="AZ18" i="34"/>
  <c r="AZ23" i="34" s="1"/>
  <c r="BL16" i="25"/>
  <c r="BL60" i="25"/>
  <c r="BL67" i="25"/>
  <c r="BA78" i="27"/>
  <c r="BA68" i="27"/>
  <c r="BA60" i="27"/>
  <c r="BB60" i="27" s="1"/>
  <c r="BD60" i="27" s="1"/>
  <c r="BE60" i="27" s="1"/>
  <c r="BF60" i="27" s="1"/>
  <c r="BG60" i="27" s="1"/>
  <c r="BI60" i="27" s="1"/>
  <c r="BA83" i="27"/>
  <c r="BA75" i="27"/>
  <c r="BA63" i="27"/>
  <c r="BA82" i="27"/>
  <c r="BA70" i="27"/>
  <c r="BA61" i="27"/>
  <c r="BA77" i="27"/>
  <c r="BA67" i="27"/>
  <c r="BA66" i="27"/>
  <c r="BA84" i="27"/>
  <c r="BA62" i="27"/>
  <c r="BA81" i="27"/>
  <c r="BA69" i="27"/>
  <c r="BA76" i="27"/>
  <c r="BA53" i="27"/>
  <c r="BA52" i="27"/>
  <c r="AW83" i="27"/>
  <c r="AW81" i="27"/>
  <c r="AW77" i="27"/>
  <c r="AW75" i="27"/>
  <c r="AW69" i="27"/>
  <c r="AW67" i="27"/>
  <c r="AW63" i="27"/>
  <c r="AW61" i="27"/>
  <c r="AW53" i="27"/>
  <c r="AW84" i="27"/>
  <c r="AW82" i="27"/>
  <c r="AW78" i="27"/>
  <c r="AW76" i="27"/>
  <c r="AW70" i="27"/>
  <c r="AW68" i="27"/>
  <c r="AW66" i="27"/>
  <c r="AW62" i="27"/>
  <c r="AW60" i="27"/>
  <c r="AW52" i="27"/>
  <c r="BK60" i="25"/>
  <c r="AY18" i="34"/>
  <c r="AY23" i="34" s="1"/>
  <c r="BK16" i="25"/>
  <c r="BK67" i="25"/>
  <c r="BK63" i="25"/>
  <c r="BK18" i="25"/>
  <c r="BM18" i="25" s="1"/>
  <c r="BL50" i="27"/>
  <c r="BK50" i="27"/>
  <c r="BN50" i="27"/>
  <c r="BO50" i="27"/>
  <c r="BP14" i="25"/>
  <c r="BP58" i="25"/>
  <c r="AZ83" i="27"/>
  <c r="AZ75" i="27"/>
  <c r="AZ61" i="27"/>
  <c r="AZ53" i="27"/>
  <c r="AZ78" i="27"/>
  <c r="AZ68" i="27"/>
  <c r="AZ63" i="27"/>
  <c r="AZ82" i="27"/>
  <c r="AZ70" i="27"/>
  <c r="AZ77" i="27"/>
  <c r="AZ67" i="27"/>
  <c r="AZ69" i="27"/>
  <c r="AZ66" i="27"/>
  <c r="AZ84" i="27"/>
  <c r="AZ62" i="27"/>
  <c r="AZ81" i="27"/>
  <c r="AZ60" i="27"/>
  <c r="AZ52" i="27"/>
  <c r="AZ76" i="27"/>
  <c r="BO76" i="25"/>
  <c r="BO44" i="25"/>
  <c r="BO45" i="25" s="1"/>
  <c r="BO21" i="25"/>
  <c r="BQ58" i="25"/>
  <c r="BQ14" i="25"/>
  <c r="BQ62" i="25"/>
  <c r="AZ26" i="34"/>
  <c r="AY16" i="34"/>
  <c r="AY21" i="34" s="1"/>
  <c r="BK59" i="25"/>
  <c r="BK15" i="25"/>
  <c r="BK66" i="25"/>
  <c r="BM14" i="25"/>
  <c r="AZ16" i="34"/>
  <c r="AZ21" i="34" s="1"/>
  <c r="BL15" i="25"/>
  <c r="BL59" i="25"/>
  <c r="BL66" i="25"/>
  <c r="BP8" i="25"/>
  <c r="BP62" i="25" s="1"/>
  <c r="BQ83" i="25"/>
  <c r="BQ8" i="25" s="1"/>
  <c r="BQ11" i="25" s="1"/>
  <c r="BQ59" i="25"/>
  <c r="BQ15" i="25"/>
  <c r="BF66" i="25"/>
  <c r="BJ50" i="27"/>
  <c r="BI50" i="27"/>
  <c r="BP59" i="25"/>
  <c r="BP15" i="25"/>
  <c r="AV54" i="27"/>
  <c r="BE6" i="29"/>
  <c r="BE18" i="29" s="1"/>
  <c r="BE51" i="25"/>
  <c r="BE50" i="25"/>
  <c r="BB67" i="25"/>
  <c r="BB65" i="25"/>
  <c r="BB66" i="25"/>
  <c r="BF67" i="25"/>
  <c r="BF65" i="25"/>
  <c r="BG76" i="25"/>
  <c r="BG44" i="25"/>
  <c r="BH11" i="25"/>
  <c r="BF18" i="25"/>
  <c r="BG50" i="27"/>
  <c r="BF63" i="25"/>
  <c r="AV30" i="27"/>
  <c r="BF50" i="27"/>
  <c r="BG63" i="25"/>
  <c r="BD50" i="27"/>
  <c r="BE50" i="27"/>
  <c r="BA30" i="27"/>
  <c r="BA16" i="29"/>
  <c r="BB63" i="25"/>
  <c r="BC11" i="25"/>
  <c r="BB50" i="27"/>
  <c r="AO107" i="34"/>
  <c r="AP107" i="34"/>
  <c r="AX63" i="25"/>
  <c r="AQ107" i="34"/>
  <c r="BK19" i="25" l="1"/>
  <c r="BK44" i="25" s="1"/>
  <c r="BK45" i="25" s="1"/>
  <c r="BR14" i="25"/>
  <c r="BM75" i="25"/>
  <c r="AW54" i="27"/>
  <c r="BQ18" i="25"/>
  <c r="BQ63" i="25"/>
  <c r="BQ65" i="25"/>
  <c r="BQ66" i="25"/>
  <c r="BO10" i="27"/>
  <c r="BO28" i="27"/>
  <c r="BO27" i="27"/>
  <c r="BO29" i="27"/>
  <c r="BO26" i="27"/>
  <c r="BO12" i="27"/>
  <c r="BM16" i="25"/>
  <c r="BI27" i="27"/>
  <c r="BI26" i="27"/>
  <c r="BI29" i="27"/>
  <c r="BI12" i="27"/>
  <c r="BI28" i="27"/>
  <c r="BI10" i="27"/>
  <c r="BK76" i="25"/>
  <c r="BJ27" i="27"/>
  <c r="BJ26" i="27"/>
  <c r="BJ29" i="27"/>
  <c r="BJ12" i="27"/>
  <c r="BJ28" i="27"/>
  <c r="BJ17" i="29" s="1"/>
  <c r="AZ1" i="27" s="1"/>
  <c r="BJ10" i="27"/>
  <c r="BM15" i="25"/>
  <c r="AZ54" i="27"/>
  <c r="BN26" i="27"/>
  <c r="BN28" i="27"/>
  <c r="BN12" i="27"/>
  <c r="BN29" i="27"/>
  <c r="BN27" i="27"/>
  <c r="BN10" i="27"/>
  <c r="BO16" i="29" s="1"/>
  <c r="AZ27" i="34"/>
  <c r="BK26" i="27"/>
  <c r="BK10" i="27"/>
  <c r="BL16" i="29" s="1"/>
  <c r="BK28" i="27"/>
  <c r="BK12" i="27"/>
  <c r="BK29" i="27"/>
  <c r="BK27" i="27"/>
  <c r="AY54" i="27"/>
  <c r="BL27" i="27"/>
  <c r="BM27" i="27" s="1"/>
  <c r="BL29" i="27"/>
  <c r="BM29" i="27" s="1"/>
  <c r="BL26" i="27"/>
  <c r="BL28" i="27"/>
  <c r="BL10" i="27"/>
  <c r="BL12" i="27"/>
  <c r="BM12" i="27" s="1"/>
  <c r="BO24" i="25"/>
  <c r="BK21" i="25"/>
  <c r="AZ25" i="34"/>
  <c r="BR15" i="25"/>
  <c r="BQ16" i="25"/>
  <c r="BQ60" i="25"/>
  <c r="BQ67" i="25"/>
  <c r="BP16" i="25"/>
  <c r="BP60" i="25"/>
  <c r="BO48" i="25"/>
  <c r="BP11" i="25"/>
  <c r="BP67" i="25" s="1"/>
  <c r="BA54" i="27"/>
  <c r="BJ60" i="27"/>
  <c r="BI9" i="27"/>
  <c r="BL19" i="25"/>
  <c r="BM63" i="25"/>
  <c r="BG45" i="25"/>
  <c r="BH63" i="25"/>
  <c r="BG12" i="27"/>
  <c r="BG26" i="27"/>
  <c r="BG28" i="27"/>
  <c r="BH28" i="27" s="1"/>
  <c r="BG10" i="27"/>
  <c r="BG29" i="27"/>
  <c r="BG27" i="27"/>
  <c r="BF19" i="25"/>
  <c r="BH18" i="25"/>
  <c r="BH75" i="25" s="1"/>
  <c r="BD28" i="27"/>
  <c r="BD29" i="27"/>
  <c r="BD10" i="27"/>
  <c r="BD12" i="27"/>
  <c r="BD26" i="27"/>
  <c r="BD27" i="27"/>
  <c r="BE29" i="27"/>
  <c r="BE26" i="27"/>
  <c r="BE10" i="27"/>
  <c r="BE12" i="27"/>
  <c r="BE27" i="27"/>
  <c r="BE28" i="27"/>
  <c r="BF12" i="27"/>
  <c r="BF27" i="27"/>
  <c r="BF28" i="27"/>
  <c r="BF29" i="27"/>
  <c r="BF26" i="27"/>
  <c r="BF10" i="27"/>
  <c r="AY17" i="29"/>
  <c r="AX10" i="27"/>
  <c r="AY16" i="29"/>
  <c r="AW16" i="29"/>
  <c r="AX29" i="27"/>
  <c r="BB12" i="27"/>
  <c r="BB10" i="27"/>
  <c r="BB27" i="27"/>
  <c r="BB29" i="27"/>
  <c r="BB26" i="27"/>
  <c r="BB28" i="27"/>
  <c r="AX28" i="27"/>
  <c r="AW17" i="29"/>
  <c r="BC63" i="25"/>
  <c r="AZ30" i="27"/>
  <c r="AY30" i="27"/>
  <c r="AZ16" i="29"/>
  <c r="AX26" i="27"/>
  <c r="AW30" i="27"/>
  <c r="AX27" i="27"/>
  <c r="AX12" i="27"/>
  <c r="AZ17" i="29"/>
  <c r="BA17" i="29"/>
  <c r="BI30" i="27" l="1"/>
  <c r="BN17" i="29"/>
  <c r="BR16" i="25"/>
  <c r="BJ16" i="29"/>
  <c r="BH10" i="27"/>
  <c r="BI16" i="29"/>
  <c r="BL76" i="25"/>
  <c r="BL44" i="25"/>
  <c r="BL21" i="25"/>
  <c r="BL24" i="25" s="1"/>
  <c r="BM28" i="27"/>
  <c r="BL17" i="29"/>
  <c r="BK30" i="27"/>
  <c r="BK17" i="29"/>
  <c r="BA1" i="27" s="1"/>
  <c r="BM26" i="27"/>
  <c r="BM30" i="27" s="1"/>
  <c r="BL30" i="27"/>
  <c r="BJ30" i="27"/>
  <c r="BO17" i="29"/>
  <c r="BJ9" i="27"/>
  <c r="BK60" i="27"/>
  <c r="BN30" i="27"/>
  <c r="BK24" i="25"/>
  <c r="BM19" i="25"/>
  <c r="BP18" i="25"/>
  <c r="BP63" i="25"/>
  <c r="BR11" i="25"/>
  <c r="BR63" i="25" s="1"/>
  <c r="BP50" i="27"/>
  <c r="BQ50" i="27"/>
  <c r="BP65" i="25"/>
  <c r="BP66" i="25"/>
  <c r="BK16" i="29"/>
  <c r="BK48" i="25"/>
  <c r="BO6" i="29"/>
  <c r="BO50" i="25"/>
  <c r="BO51" i="25"/>
  <c r="BO30" i="27"/>
  <c r="BM10" i="27"/>
  <c r="BN16" i="29"/>
  <c r="BI17" i="29"/>
  <c r="AY1" i="27" s="1"/>
  <c r="BQ19" i="25"/>
  <c r="BH12" i="27"/>
  <c r="BH27" i="27"/>
  <c r="BD16" i="29"/>
  <c r="BH29" i="27"/>
  <c r="BG48" i="25"/>
  <c r="BG16" i="29"/>
  <c r="BG30" i="27"/>
  <c r="BH26" i="27"/>
  <c r="BF76" i="25"/>
  <c r="BF44" i="25"/>
  <c r="BH19" i="25"/>
  <c r="BF21" i="25"/>
  <c r="BD17" i="29"/>
  <c r="AT1" i="27" s="1"/>
  <c r="BE17" i="29"/>
  <c r="AU1" i="27" s="1"/>
  <c r="BF16" i="29"/>
  <c r="BD30" i="27"/>
  <c r="BE16" i="29"/>
  <c r="BF17" i="29"/>
  <c r="AV1" i="27" s="1"/>
  <c r="BG17" i="29"/>
  <c r="AW1" i="27" s="1"/>
  <c r="BE30" i="27"/>
  <c r="BF30" i="27"/>
  <c r="BC10" i="27"/>
  <c r="BB16" i="29"/>
  <c r="BC16" i="29" s="1"/>
  <c r="AX30" i="27"/>
  <c r="BC29" i="27"/>
  <c r="BC12" i="27"/>
  <c r="BC27" i="27"/>
  <c r="BB30" i="27"/>
  <c r="BC26" i="27"/>
  <c r="BC28" i="27"/>
  <c r="BB17" i="29"/>
  <c r="BC17" i="29" s="1"/>
  <c r="BM21" i="25" l="1"/>
  <c r="BM24" i="25" s="1"/>
  <c r="BM17" i="29"/>
  <c r="BC1" i="27" s="1"/>
  <c r="BB1" i="27"/>
  <c r="BP19" i="25"/>
  <c r="BR18" i="25"/>
  <c r="BR75" i="25" s="1"/>
  <c r="BM76" i="25"/>
  <c r="BM44" i="25"/>
  <c r="BQ27" i="27"/>
  <c r="BR27" i="27" s="1"/>
  <c r="BQ28" i="27"/>
  <c r="BQ10" i="27"/>
  <c r="BR10" i="27" s="1"/>
  <c r="BQ26" i="27"/>
  <c r="BQ29" i="27"/>
  <c r="BR29" i="27" s="1"/>
  <c r="BQ12" i="27"/>
  <c r="BR12" i="27" s="1"/>
  <c r="BL45" i="25"/>
  <c r="BM45" i="25" s="1"/>
  <c r="BQ44" i="25"/>
  <c r="BQ45" i="25" s="1"/>
  <c r="BQ48" i="25" s="1"/>
  <c r="BQ76" i="25"/>
  <c r="BQ21" i="25"/>
  <c r="BQ24" i="25" s="1"/>
  <c r="BO18" i="29"/>
  <c r="BP26" i="27"/>
  <c r="BP10" i="27"/>
  <c r="BP12" i="27"/>
  <c r="BP29" i="27"/>
  <c r="BP28" i="27"/>
  <c r="BP17" i="29" s="1"/>
  <c r="BP27" i="27"/>
  <c r="BP30" i="27" s="1"/>
  <c r="BM16" i="29"/>
  <c r="BK6" i="29"/>
  <c r="BK50" i="25"/>
  <c r="BK51" i="25"/>
  <c r="BL60" i="27"/>
  <c r="BK9" i="27"/>
  <c r="BH30" i="27"/>
  <c r="BF45" i="25"/>
  <c r="BF48" i="25" s="1"/>
  <c r="BG50" i="25"/>
  <c r="BG51" i="25"/>
  <c r="BG6" i="29"/>
  <c r="BG18" i="29" s="1"/>
  <c r="BF24" i="25"/>
  <c r="BH21" i="25"/>
  <c r="BH24" i="25" s="1"/>
  <c r="BH44" i="25"/>
  <c r="BH76" i="25"/>
  <c r="BH16" i="29"/>
  <c r="BH17" i="29"/>
  <c r="AX1" i="27" s="1"/>
  <c r="BC30" i="27"/>
  <c r="BM78" i="25" l="1"/>
  <c r="BQ6" i="29"/>
  <c r="BQ18" i="29" s="1"/>
  <c r="BQ50" i="25"/>
  <c r="BQ51" i="25"/>
  <c r="BR28" i="27"/>
  <c r="BQ17" i="29"/>
  <c r="BR17" i="29" s="1"/>
  <c r="BQ16" i="29"/>
  <c r="BP16" i="29"/>
  <c r="BL9" i="27"/>
  <c r="BM9" i="27" s="1"/>
  <c r="BN60" i="27"/>
  <c r="BL48" i="25"/>
  <c r="BK18" i="29"/>
  <c r="BM48" i="25"/>
  <c r="BP44" i="25"/>
  <c r="BP76" i="25"/>
  <c r="BR19" i="25"/>
  <c r="BP21" i="25"/>
  <c r="BR26" i="27"/>
  <c r="BQ30" i="27"/>
  <c r="BH45" i="25"/>
  <c r="BH48" i="25" s="1"/>
  <c r="BH51" i="25" s="1"/>
  <c r="BF6" i="29"/>
  <c r="BF51" i="25"/>
  <c r="BF50" i="25"/>
  <c r="BR16" i="29" l="1"/>
  <c r="BR30" i="27"/>
  <c r="BP45" i="25"/>
  <c r="BR45" i="25" s="1"/>
  <c r="BM51" i="25"/>
  <c r="BM50" i="25"/>
  <c r="BP24" i="25"/>
  <c r="BR21" i="25"/>
  <c r="BR24" i="25" s="1"/>
  <c r="BL6" i="29"/>
  <c r="BL50" i="25"/>
  <c r="BL51" i="25"/>
  <c r="BR44" i="25"/>
  <c r="BR48" i="25" s="1"/>
  <c r="BR76" i="25"/>
  <c r="BO60" i="27"/>
  <c r="BN9" i="27"/>
  <c r="BH78" i="25"/>
  <c r="BH50" i="25"/>
  <c r="BF18" i="29"/>
  <c r="BH6" i="29"/>
  <c r="BH18" i="29" s="1"/>
  <c r="BL18" i="29" l="1"/>
  <c r="BM6" i="29"/>
  <c r="BM18" i="29" s="1"/>
  <c r="BR50" i="25"/>
  <c r="BR51" i="25"/>
  <c r="BR78" i="25"/>
  <c r="BO9" i="27"/>
  <c r="BP60" i="27"/>
  <c r="BP48" i="25"/>
  <c r="AM62" i="25"/>
  <c r="AM61" i="25"/>
  <c r="AM74" i="25"/>
  <c r="AN9" i="25"/>
  <c r="AM11" i="25"/>
  <c r="BP6" i="29" l="1"/>
  <c r="BP51" i="25"/>
  <c r="BP50" i="25"/>
  <c r="BP9" i="27"/>
  <c r="BQ60" i="27"/>
  <c r="BQ9" i="27" s="1"/>
  <c r="BR9" i="27" s="1"/>
  <c r="AQ50" i="27"/>
  <c r="AR63" i="25"/>
  <c r="AN74" i="25"/>
  <c r="AS61" i="25"/>
  <c r="AM65" i="25"/>
  <c r="AM77" i="25"/>
  <c r="AM63" i="25"/>
  <c r="AF107" i="34"/>
  <c r="AE107" i="34"/>
  <c r="AM66" i="25"/>
  <c r="AM75" i="25"/>
  <c r="AG107" i="34"/>
  <c r="AH107" i="34"/>
  <c r="AM67" i="25"/>
  <c r="AM50" i="27"/>
  <c r="AP50" i="27"/>
  <c r="AM21" i="25"/>
  <c r="AN11" i="25"/>
  <c r="AS63" i="25" s="1"/>
  <c r="AM76" i="25"/>
  <c r="AO50" i="27"/>
  <c r="BP18" i="29" l="1"/>
  <c r="BR6" i="29"/>
  <c r="BR18" i="29" s="1"/>
  <c r="AP83" i="27"/>
  <c r="AP77" i="27"/>
  <c r="AP69" i="27"/>
  <c r="AP63" i="27"/>
  <c r="AP81" i="27"/>
  <c r="AP67" i="27"/>
  <c r="AP84" i="27"/>
  <c r="AP78" i="27"/>
  <c r="AP70" i="27"/>
  <c r="AP66" i="27"/>
  <c r="AP60" i="27"/>
  <c r="AP82" i="27"/>
  <c r="AP76" i="27"/>
  <c r="AP68" i="27"/>
  <c r="AP62" i="27"/>
  <c r="AP75" i="27"/>
  <c r="AP61" i="27"/>
  <c r="AQ82" i="27"/>
  <c r="AQ76" i="27"/>
  <c r="AQ68" i="27"/>
  <c r="AQ62" i="27"/>
  <c r="AQ83" i="27"/>
  <c r="AQ77" i="27"/>
  <c r="AQ69" i="27"/>
  <c r="AQ63" i="27"/>
  <c r="AQ52" i="27"/>
  <c r="AQ81" i="27"/>
  <c r="AQ75" i="27"/>
  <c r="AQ67" i="27"/>
  <c r="AQ61" i="27"/>
  <c r="AQ84" i="27"/>
  <c r="AQ78" i="27"/>
  <c r="AQ70" i="27"/>
  <c r="AQ66" i="27"/>
  <c r="AQ60" i="27"/>
  <c r="AP53" i="27"/>
  <c r="AP52" i="27"/>
  <c r="AO81" i="27"/>
  <c r="AO75" i="27"/>
  <c r="AO67" i="27"/>
  <c r="AO61" i="27"/>
  <c r="AO78" i="27"/>
  <c r="AO70" i="27"/>
  <c r="AO66" i="27"/>
  <c r="AO60" i="27"/>
  <c r="AO83" i="27"/>
  <c r="AO77" i="27"/>
  <c r="AO69" i="27"/>
  <c r="AO63" i="27"/>
  <c r="AO82" i="27"/>
  <c r="AO76" i="27"/>
  <c r="AO68" i="27"/>
  <c r="AO62" i="27"/>
  <c r="AM24" i="25"/>
  <c r="AO53" i="27"/>
  <c r="AO52" i="27"/>
  <c r="AM83" i="27"/>
  <c r="AM82" i="27"/>
  <c r="AM81" i="27"/>
  <c r="AM78" i="27"/>
  <c r="AM77" i="27"/>
  <c r="AM76" i="27"/>
  <c r="AM75" i="27"/>
  <c r="AM70" i="27"/>
  <c r="AM69" i="27"/>
  <c r="AM68" i="27"/>
  <c r="AM67" i="27"/>
  <c r="AM63" i="27"/>
  <c r="AM62" i="27"/>
  <c r="AM61" i="27"/>
  <c r="AM60" i="27"/>
  <c r="AM53" i="27"/>
  <c r="AM52" i="27"/>
  <c r="AO17" i="29"/>
  <c r="AN76" i="25"/>
  <c r="AN63" i="25"/>
  <c r="AN75" i="25"/>
  <c r="AN21" i="25"/>
  <c r="AN24" i="25" s="1"/>
  <c r="AQ53" i="27" l="1"/>
  <c r="AP54" i="27"/>
  <c r="AC119" i="27" s="1"/>
  <c r="AO54" i="27"/>
  <c r="AP16" i="29"/>
  <c r="AS10" i="27"/>
  <c r="AM54" i="27"/>
  <c r="AP17" i="29"/>
  <c r="AQ17" i="29"/>
  <c r="AQ30" i="27"/>
  <c r="AO1" i="27"/>
  <c r="AO30" i="27"/>
  <c r="AP30" i="27"/>
  <c r="AO16" i="29"/>
  <c r="AO19" i="29" s="1"/>
  <c r="AQ1" i="27" l="1"/>
  <c r="AP1" i="27"/>
  <c r="AP19" i="29"/>
  <c r="AC114" i="27"/>
  <c r="AC106" i="27"/>
  <c r="AC116" i="27"/>
  <c r="AC115" i="27"/>
  <c r="AC110" i="27"/>
  <c r="AC103" i="27"/>
  <c r="AC107" i="27"/>
  <c r="AC104" i="27"/>
  <c r="AC108" i="27"/>
  <c r="AC111" i="27"/>
  <c r="AC102" i="27"/>
  <c r="AC112" i="27"/>
  <c r="AC109" i="27"/>
  <c r="AC117" i="27"/>
  <c r="AC118" i="27"/>
  <c r="AC105" i="27"/>
  <c r="AC113" i="27"/>
  <c r="AQ16" i="29"/>
  <c r="AQ19" i="29" s="1"/>
  <c r="AS9" i="27"/>
  <c r="AO19" i="25"/>
  <c r="AQ54" i="27" l="1"/>
  <c r="AC120" i="27" s="1"/>
  <c r="AD114" i="27"/>
  <c r="AP19" i="25"/>
  <c r="AO76" i="25"/>
  <c r="AO21" i="25"/>
  <c r="AO44" i="25"/>
  <c r="AR19" i="25" l="1"/>
  <c r="AQ19" i="25"/>
  <c r="AP76" i="25"/>
  <c r="AP21" i="25"/>
  <c r="AP44" i="25"/>
  <c r="AO78" i="25"/>
  <c r="AS18" i="25"/>
  <c r="AS75" i="25" s="1"/>
  <c r="AO24" i="25"/>
  <c r="AQ76" i="25" l="1"/>
  <c r="AR76" i="25"/>
  <c r="AR44" i="25"/>
  <c r="AR21" i="25"/>
  <c r="AS19" i="25"/>
  <c r="AS44" i="25" s="1"/>
  <c r="AQ44" i="25"/>
  <c r="AQ21" i="25"/>
  <c r="AP78" i="25"/>
  <c r="AP48" i="25"/>
  <c r="AP24" i="25"/>
  <c r="AO48" i="25"/>
  <c r="AU75" i="25"/>
  <c r="AR78" i="25" l="1"/>
  <c r="AQ24" i="25"/>
  <c r="AQ78" i="25"/>
  <c r="AS45" i="25"/>
  <c r="AS76" i="25"/>
  <c r="AR24" i="25"/>
  <c r="AS21" i="25"/>
  <c r="AS24" i="25" s="1"/>
  <c r="AQ48" i="25"/>
  <c r="AO18" i="29"/>
  <c r="AO51" i="25"/>
  <c r="AO50" i="25"/>
  <c r="AX9" i="27"/>
  <c r="AV75" i="25"/>
  <c r="AU19" i="25"/>
  <c r="AT19" i="25"/>
  <c r="AR48" i="25" l="1"/>
  <c r="AQ51" i="25"/>
  <c r="AQ18" i="29"/>
  <c r="AQ50" i="25"/>
  <c r="AS78" i="25"/>
  <c r="AS48" i="25"/>
  <c r="AP50" i="25"/>
  <c r="AP51" i="25"/>
  <c r="AP18" i="29"/>
  <c r="AO45" i="27"/>
  <c r="AT76" i="25"/>
  <c r="AT21" i="25"/>
  <c r="AT44" i="25"/>
  <c r="AU76" i="25"/>
  <c r="AU21" i="25"/>
  <c r="AU24" i="25" s="1"/>
  <c r="AU44" i="25"/>
  <c r="AW75" i="25"/>
  <c r="AO38" i="29"/>
  <c r="AQ45" i="27"/>
  <c r="AW19" i="25" l="1"/>
  <c r="AX18" i="25"/>
  <c r="AX75" i="25" s="1"/>
  <c r="AR50" i="25"/>
  <c r="AR51" i="25"/>
  <c r="AQ38" i="29"/>
  <c r="AP38" i="29"/>
  <c r="AU48" i="25"/>
  <c r="AS51" i="25"/>
  <c r="AS50" i="25"/>
  <c r="AV19" i="25"/>
  <c r="AR45" i="27"/>
  <c r="AT24" i="25"/>
  <c r="AO41" i="29"/>
  <c r="AX19" i="25" l="1"/>
  <c r="AX44" i="25" s="1"/>
  <c r="AX48" i="25" s="1"/>
  <c r="AW44" i="25"/>
  <c r="AW48" i="25" s="1"/>
  <c r="AW21" i="25"/>
  <c r="AW24" i="25" s="1"/>
  <c r="AW76" i="25"/>
  <c r="AX51" i="25"/>
  <c r="AX50" i="25"/>
  <c r="BB9" i="27"/>
  <c r="BC9" i="27" s="1"/>
  <c r="AP40" i="29"/>
  <c r="AP41" i="29" s="1"/>
  <c r="AV76" i="25"/>
  <c r="AV21" i="25"/>
  <c r="AX21" i="25" s="1"/>
  <c r="AX24" i="25" s="1"/>
  <c r="AV44" i="25"/>
  <c r="AZ75" i="25"/>
  <c r="AS42" i="27"/>
  <c r="AS45" i="27" s="1"/>
  <c r="BD9" i="27" l="1"/>
  <c r="AX76" i="25"/>
  <c r="AO13" i="27"/>
  <c r="AU50" i="25"/>
  <c r="AU51" i="25"/>
  <c r="AU18" i="29"/>
  <c r="AV48" i="25"/>
  <c r="AQ40" i="29"/>
  <c r="AQ41" i="29" s="1"/>
  <c r="AV24" i="25"/>
  <c r="AZ19" i="25"/>
  <c r="BA75" i="25"/>
  <c r="AW50" i="25"/>
  <c r="AW51" i="25"/>
  <c r="AW18" i="29"/>
  <c r="AV50" i="25" l="1"/>
  <c r="AV51" i="25"/>
  <c r="BE9" i="27"/>
  <c r="BB75" i="25"/>
  <c r="BB18" i="25" s="1"/>
  <c r="BB19" i="25" s="1"/>
  <c r="AP13" i="27"/>
  <c r="AY76" i="25"/>
  <c r="AZ76" i="25"/>
  <c r="AZ44" i="25"/>
  <c r="AZ21" i="25"/>
  <c r="AZ24" i="25" s="1"/>
  <c r="AR40" i="29"/>
  <c r="BB44" i="25" l="1"/>
  <c r="BB45" i="25" s="1"/>
  <c r="BB48" i="25" s="1"/>
  <c r="BB21" i="25"/>
  <c r="BB24" i="25" s="1"/>
  <c r="BG9" i="27"/>
  <c r="BF9" i="27"/>
  <c r="AQ13" i="27"/>
  <c r="AZ48" i="25"/>
  <c r="AP22" i="27"/>
  <c r="BB76" i="25"/>
  <c r="BA19" i="25"/>
  <c r="BC18" i="25"/>
  <c r="BC75" i="25" s="1"/>
  <c r="BB50" i="25" l="1"/>
  <c r="BB51" i="25"/>
  <c r="BH9" i="27"/>
  <c r="AR13" i="27"/>
  <c r="AR22" i="27" s="1"/>
  <c r="AS7" i="27"/>
  <c r="AS13" i="27" s="1"/>
  <c r="AS22" i="27" s="1"/>
  <c r="BA76" i="25"/>
  <c r="BA44" i="25"/>
  <c r="BA21" i="25"/>
  <c r="BC19" i="25"/>
  <c r="AQ22" i="27"/>
  <c r="AV18" i="29"/>
  <c r="AZ50" i="25" l="1"/>
  <c r="AZ18" i="29"/>
  <c r="AY18" i="29"/>
  <c r="AZ51" i="25"/>
  <c r="BB6" i="29"/>
  <c r="BB18" i="29" s="1"/>
  <c r="BC44" i="25"/>
  <c r="BC76" i="25"/>
  <c r="BA24" i="25"/>
  <c r="BC21" i="25"/>
  <c r="BC24" i="25" s="1"/>
  <c r="AP36" i="27"/>
  <c r="BA48" i="25"/>
  <c r="BC45" i="25" l="1"/>
  <c r="BC78" i="25" s="1"/>
  <c r="BA51" i="25"/>
  <c r="AP47" i="27"/>
  <c r="AP48" i="27" s="1"/>
  <c r="AQ36" i="27"/>
  <c r="AQ47" i="27" s="1"/>
  <c r="BC48" i="25" l="1"/>
  <c r="BC51" i="25" s="1"/>
  <c r="BA50" i="25"/>
  <c r="BA18" i="29"/>
  <c r="AQ48" i="27"/>
  <c r="AS34" i="27"/>
  <c r="AS36" i="27" s="1"/>
  <c r="AS47" i="27" s="1"/>
  <c r="AR36" i="27"/>
  <c r="AR47" i="27" s="1"/>
  <c r="AR48" i="27" s="1"/>
  <c r="BC50" i="25" l="1"/>
  <c r="BC6" i="29"/>
  <c r="BC18" i="29" s="1"/>
  <c r="AM36" i="27" l="1"/>
  <c r="AJ36" i="27"/>
  <c r="AJ47" i="27" s="1"/>
  <c r="AL36" i="27"/>
  <c r="AN36" i="27"/>
  <c r="AN47" i="27" s="1"/>
  <c r="AJ84" i="27"/>
  <c r="AM84" i="27"/>
  <c r="AK84" i="27"/>
  <c r="AK36" i="27"/>
  <c r="AK47" i="27" s="1"/>
  <c r="AL84" i="27"/>
  <c r="AM47" i="27" l="1"/>
  <c r="AL47" i="27"/>
  <c r="AJ22" i="27"/>
  <c r="AL22" i="27"/>
  <c r="AL48" i="27" s="1"/>
  <c r="AK22" i="27"/>
  <c r="AK48" i="27" s="1"/>
  <c r="AM22" i="27"/>
  <c r="AL66" i="27"/>
  <c r="AK66" i="27"/>
  <c r="AJ66" i="27"/>
  <c r="AN22" i="27"/>
  <c r="AM66" i="27"/>
  <c r="AM48" i="27" l="1"/>
  <c r="AJ48" i="27"/>
  <c r="AO22" i="27" l="1"/>
  <c r="AO84" i="27"/>
  <c r="AO36" i="27"/>
  <c r="AO47" i="27" s="1"/>
  <c r="AO48" i="27" s="1"/>
  <c r="AS18" i="29" l="1"/>
  <c r="AR10" i="29"/>
  <c r="AR18" i="29" s="1"/>
  <c r="AS16" i="29" l="1"/>
  <c r="AS17" i="29"/>
  <c r="AS1" i="27" s="1"/>
  <c r="AR1" i="27"/>
  <c r="AS27" i="29"/>
  <c r="AR24" i="29"/>
  <c r="AR27" i="29" l="1"/>
  <c r="AS36" i="29" l="1"/>
  <c r="AR32" i="29"/>
  <c r="AR36" i="29" s="1"/>
  <c r="AR38" i="29" s="1"/>
  <c r="AR41" i="29" l="1"/>
  <c r="AS41" i="29" s="1"/>
  <c r="AT40" i="29" s="1"/>
  <c r="AX40" i="29" l="1"/>
  <c r="AX78" i="25" l="1"/>
  <c r="AT48" i="25"/>
  <c r="AT51" i="25" l="1"/>
  <c r="AT50" i="25"/>
  <c r="AT18" i="29" l="1"/>
  <c r="AX18" i="29"/>
  <c r="AT45" i="27"/>
  <c r="AU45" i="27" l="1"/>
  <c r="AV45" i="27" l="1"/>
  <c r="AW45" i="27" l="1"/>
  <c r="AX42" i="27"/>
  <c r="AY45" i="27" l="1"/>
  <c r="AZ45" i="27" l="1"/>
  <c r="BB42" i="27" l="1"/>
  <c r="BA45" i="27"/>
  <c r="BC42" i="27" l="1"/>
  <c r="BC45" i="27" s="1"/>
  <c r="BD42" i="27"/>
  <c r="BB45" i="27"/>
  <c r="BE42" i="27" l="1"/>
  <c r="BD45" i="27"/>
  <c r="BF42" i="27" l="1"/>
  <c r="BE45" i="27"/>
  <c r="BF45" i="27" l="1"/>
  <c r="BG42" i="27"/>
  <c r="BI42" i="27" s="1"/>
  <c r="BJ42" i="27" l="1"/>
  <c r="BI45" i="27"/>
  <c r="BG45" i="27"/>
  <c r="BH42" i="27"/>
  <c r="BH45" i="27" s="1"/>
  <c r="AT30" i="27"/>
  <c r="AU17" i="29"/>
  <c r="AT36" i="29"/>
  <c r="AT38" i="29" s="1"/>
  <c r="AT41" i="29" s="1"/>
  <c r="BK42" i="27" l="1"/>
  <c r="BJ45" i="27"/>
  <c r="AU40" i="29"/>
  <c r="AT13" i="27"/>
  <c r="AT22" i="27" s="1"/>
  <c r="AT36" i="27" s="1"/>
  <c r="AT47" i="27" s="1"/>
  <c r="AT48" i="27" s="1"/>
  <c r="AU36" i="29"/>
  <c r="AU38" i="29" s="1"/>
  <c r="AU16" i="29"/>
  <c r="AX16" i="29" s="1"/>
  <c r="AX17" i="29"/>
  <c r="BL42" i="27" l="1"/>
  <c r="BK45" i="27"/>
  <c r="AU41" i="29"/>
  <c r="BM42" i="27" l="1"/>
  <c r="BM45" i="27" s="1"/>
  <c r="BN42" i="27"/>
  <c r="BL45" i="27"/>
  <c r="AV40" i="29"/>
  <c r="AU13" i="27"/>
  <c r="AU22" i="27" s="1"/>
  <c r="AU36" i="27" s="1"/>
  <c r="AU47" i="27" s="1"/>
  <c r="AU48" i="27" s="1"/>
  <c r="AX32" i="27"/>
  <c r="BO42" i="27" l="1"/>
  <c r="BN45" i="27"/>
  <c r="AW36" i="29"/>
  <c r="AV13" i="27"/>
  <c r="AV22" i="27" s="1"/>
  <c r="AV36" i="27" s="1"/>
  <c r="AV47" i="27" s="1"/>
  <c r="AV48" i="27" s="1"/>
  <c r="BP42" i="27" l="1"/>
  <c r="BO45" i="27"/>
  <c r="BB81" i="27"/>
  <c r="AZ36" i="29"/>
  <c r="AZ38" i="29" s="1"/>
  <c r="AY36" i="29"/>
  <c r="AY38" i="29" s="1"/>
  <c r="BQ42" i="27" l="1"/>
  <c r="BP45" i="27"/>
  <c r="BD81" i="27"/>
  <c r="BB32" i="27"/>
  <c r="AW13" i="27"/>
  <c r="AW22" i="27" s="1"/>
  <c r="AX7" i="27"/>
  <c r="AX13" i="27" s="1"/>
  <c r="AX22" i="27" s="1"/>
  <c r="BR42" i="27" l="1"/>
  <c r="BR45" i="27" s="1"/>
  <c r="BQ45" i="27"/>
  <c r="AX34" i="27"/>
  <c r="AX36" i="27" s="1"/>
  <c r="AX47" i="27" s="1"/>
  <c r="AW36" i="27"/>
  <c r="AW47" i="27" s="1"/>
  <c r="AW48" i="27" s="1"/>
  <c r="BC32" i="27"/>
  <c r="BB30" i="29"/>
  <c r="BB36" i="29" s="1"/>
  <c r="BB38" i="29" s="1"/>
  <c r="BA36" i="29"/>
  <c r="BA38" i="29" s="1"/>
  <c r="BD32" i="27"/>
  <c r="BE81" i="27"/>
  <c r="AY13" i="27"/>
  <c r="AY22" i="27" s="1"/>
  <c r="AY36" i="27" s="1"/>
  <c r="AY47" i="27" s="1"/>
  <c r="AY48" i="27" s="1"/>
  <c r="BC30" i="29" l="1"/>
  <c r="BC36" i="29" s="1"/>
  <c r="BC38" i="29" s="1"/>
  <c r="BD30" i="29"/>
  <c r="AZ13" i="27"/>
  <c r="AZ22" i="27" s="1"/>
  <c r="AZ36" i="27" s="1"/>
  <c r="AZ47" i="27" s="1"/>
  <c r="AZ48" i="27" s="1"/>
  <c r="BF81" i="27"/>
  <c r="BE32" i="27"/>
  <c r="BE30" i="29" l="1"/>
  <c r="BE36" i="29" s="1"/>
  <c r="BE38" i="29" s="1"/>
  <c r="BA13" i="27"/>
  <c r="BA22" i="27" s="1"/>
  <c r="BA36" i="27" s="1"/>
  <c r="BA47" i="27" s="1"/>
  <c r="BA48" i="27" s="1"/>
  <c r="BG81" i="27"/>
  <c r="BF32" i="27"/>
  <c r="BD36" i="29"/>
  <c r="BD38" i="29" s="1"/>
  <c r="BG32" i="27" l="1"/>
  <c r="BG30" i="29" s="1"/>
  <c r="BG36" i="29" s="1"/>
  <c r="BG38" i="29" s="1"/>
  <c r="BI81" i="27"/>
  <c r="BF30" i="29"/>
  <c r="BH32" i="27" l="1"/>
  <c r="BJ81" i="27"/>
  <c r="BI32" i="27"/>
  <c r="BI30" i="29" s="1"/>
  <c r="BF36" i="29"/>
  <c r="BF38" i="29" s="1"/>
  <c r="BH30" i="29"/>
  <c r="BH36" i="29" s="1"/>
  <c r="BH38" i="29" s="1"/>
  <c r="AX36" i="29"/>
  <c r="AX38" i="29" s="1"/>
  <c r="AV36" i="29"/>
  <c r="AV38" i="29" s="1"/>
  <c r="AV41" i="29" s="1"/>
  <c r="AW40" i="29" s="1"/>
  <c r="AW41" i="29" s="1"/>
  <c r="AX41" i="29" s="1"/>
  <c r="AY40" i="29" s="1"/>
  <c r="BI36" i="29" l="1"/>
  <c r="BI38" i="29" s="1"/>
  <c r="BJ32" i="27"/>
  <c r="BJ30" i="29" s="1"/>
  <c r="BJ36" i="29" s="1"/>
  <c r="BJ38" i="29" s="1"/>
  <c r="BK81" i="27"/>
  <c r="BC40" i="29"/>
  <c r="AY41" i="29"/>
  <c r="AZ40" i="29" s="1"/>
  <c r="AZ41" i="29" s="1"/>
  <c r="BA40" i="29" s="1"/>
  <c r="BA41" i="29" s="1"/>
  <c r="BB40" i="29" s="1"/>
  <c r="BB41" i="29" s="1"/>
  <c r="BK32" i="27" l="1"/>
  <c r="BK30" i="29" s="1"/>
  <c r="BK36" i="29" s="1"/>
  <c r="BK38" i="29" s="1"/>
  <c r="BL81" i="27"/>
  <c r="BC41" i="29"/>
  <c r="BD40" i="29" s="1"/>
  <c r="BB7" i="27"/>
  <c r="BL32" i="27" l="1"/>
  <c r="BN81" i="27"/>
  <c r="BB13" i="27"/>
  <c r="BB22" i="27" s="1"/>
  <c r="BB34" i="27" s="1"/>
  <c r="BC7" i="27"/>
  <c r="BC13" i="27" s="1"/>
  <c r="BC22" i="27" s="1"/>
  <c r="BD41" i="29"/>
  <c r="BH40" i="29"/>
  <c r="BO81" i="27" l="1"/>
  <c r="BN32" i="27"/>
  <c r="BN30" i="29" s="1"/>
  <c r="BM32" i="27"/>
  <c r="BL30" i="29"/>
  <c r="BE40" i="29"/>
  <c r="BE41" i="29" s="1"/>
  <c r="BD7" i="27"/>
  <c r="BD13" i="27" s="1"/>
  <c r="BD22" i="27" s="1"/>
  <c r="BD34" i="27" s="1"/>
  <c r="BD36" i="27" s="1"/>
  <c r="BD47" i="27" s="1"/>
  <c r="BD48" i="27" s="1"/>
  <c r="BC34" i="27"/>
  <c r="BC36" i="27" s="1"/>
  <c r="BC47" i="27" s="1"/>
  <c r="BB36" i="27"/>
  <c r="BB47" i="27" s="1"/>
  <c r="BB48" i="27" s="1"/>
  <c r="BL36" i="29" l="1"/>
  <c r="BL38" i="29" s="1"/>
  <c r="BM30" i="29"/>
  <c r="BM36" i="29" s="1"/>
  <c r="BM38" i="29" s="1"/>
  <c r="BN36" i="29"/>
  <c r="BN38" i="29" s="1"/>
  <c r="BO32" i="27"/>
  <c r="BO30" i="29" s="1"/>
  <c r="BO36" i="29" s="1"/>
  <c r="BO38" i="29" s="1"/>
  <c r="BP81" i="27"/>
  <c r="BF40" i="29"/>
  <c r="BF41" i="29" s="1"/>
  <c r="BE7" i="27"/>
  <c r="BE13" i="27" s="1"/>
  <c r="BE22" i="27" s="1"/>
  <c r="BE34" i="27" s="1"/>
  <c r="BE36" i="27" s="1"/>
  <c r="BE47" i="27" s="1"/>
  <c r="BE48" i="27" s="1"/>
  <c r="BP32" i="27" l="1"/>
  <c r="BP30" i="29" s="1"/>
  <c r="BP36" i="29" s="1"/>
  <c r="BP38" i="29" s="1"/>
  <c r="BQ81" i="27"/>
  <c r="BQ32" i="27" s="1"/>
  <c r="BF7" i="27"/>
  <c r="BF13" i="27" s="1"/>
  <c r="BF22" i="27" s="1"/>
  <c r="BF34" i="27" s="1"/>
  <c r="BF36" i="27" s="1"/>
  <c r="BF47" i="27" s="1"/>
  <c r="BF48" i="27" s="1"/>
  <c r="BG40" i="29"/>
  <c r="BG41" i="29" s="1"/>
  <c r="BR32" i="27" l="1"/>
  <c r="BQ30" i="29"/>
  <c r="BQ36" i="29" s="1"/>
  <c r="BQ38" i="29" s="1"/>
  <c r="BR30" i="29"/>
  <c r="BR36" i="29" s="1"/>
  <c r="BR38" i="29" s="1"/>
  <c r="BG7" i="27"/>
  <c r="BH41" i="29"/>
  <c r="BI40" i="29" s="1"/>
  <c r="BM40" i="29" l="1"/>
  <c r="BI41" i="29"/>
  <c r="BH7" i="27"/>
  <c r="BH13" i="27" s="1"/>
  <c r="BH22" i="27" s="1"/>
  <c r="BG13" i="27"/>
  <c r="BG22" i="27" s="1"/>
  <c r="BG34" i="27" s="1"/>
  <c r="BJ40" i="29" l="1"/>
  <c r="BJ41" i="29" s="1"/>
  <c r="BI7" i="27"/>
  <c r="BI13" i="27" s="1"/>
  <c r="BI22" i="27" s="1"/>
  <c r="BI34" i="27" s="1"/>
  <c r="BI36" i="27" s="1"/>
  <c r="BI47" i="27" s="1"/>
  <c r="BI48" i="27" s="1"/>
  <c r="BH34" i="27"/>
  <c r="BH36" i="27" s="1"/>
  <c r="BH47" i="27" s="1"/>
  <c r="BG36" i="27"/>
  <c r="BG47" i="27" s="1"/>
  <c r="BG48" i="27" s="1"/>
  <c r="AQ4" i="34"/>
  <c r="W34" i="34" s="1"/>
  <c r="AR4" i="34"/>
  <c r="AR22" i="34" s="1"/>
  <c r="AQ5" i="34"/>
  <c r="AQ23" i="34" s="1"/>
  <c r="AR5" i="34"/>
  <c r="AS5" i="34" s="1"/>
  <c r="AQ27" i="34" l="1"/>
  <c r="BK40" i="29"/>
  <c r="BK41" i="29" s="1"/>
  <c r="BJ7" i="27"/>
  <c r="BJ13" i="27" s="1"/>
  <c r="BJ22" i="27" s="1"/>
  <c r="BJ34" i="27" s="1"/>
  <c r="BJ36" i="27" s="1"/>
  <c r="BJ47" i="27" s="1"/>
  <c r="BJ48" i="27" s="1"/>
  <c r="AS23" i="34"/>
  <c r="AT5" i="34"/>
  <c r="W44" i="34"/>
  <c r="X35" i="34"/>
  <c r="Y35" i="34" s="1"/>
  <c r="W36" i="34"/>
  <c r="AR23" i="34"/>
  <c r="AR27" i="34" s="1"/>
  <c r="AS4" i="34"/>
  <c r="AQ22" i="34"/>
  <c r="AQ26" i="34" l="1"/>
  <c r="AR26" i="34"/>
  <c r="BM6" i="25"/>
  <c r="Z35" i="34"/>
  <c r="BL40" i="29"/>
  <c r="BL41" i="29" s="1"/>
  <c r="BK7" i="27"/>
  <c r="BK13" i="27" s="1"/>
  <c r="BK22" i="27" s="1"/>
  <c r="BK34" i="27" s="1"/>
  <c r="BK36" i="27" s="1"/>
  <c r="BK47" i="27" s="1"/>
  <c r="BK48" i="27" s="1"/>
  <c r="AS27" i="34"/>
  <c r="AT27" i="34"/>
  <c r="BH6" i="25"/>
  <c r="AV17" i="34" s="1"/>
  <c r="AV22" i="34" s="1"/>
  <c r="AY26" i="34" s="1"/>
  <c r="AS22" i="34"/>
  <c r="AS26" i="34" s="1"/>
  <c r="AT4" i="34"/>
  <c r="X37" i="34"/>
  <c r="X38" i="34" s="1"/>
  <c r="W45" i="34"/>
  <c r="AT23" i="34"/>
  <c r="AU5" i="34"/>
  <c r="BM58" i="25" l="1"/>
  <c r="BA17" i="34"/>
  <c r="BA22" i="34" s="1"/>
  <c r="BM71" i="25"/>
  <c r="BR6" i="25"/>
  <c r="BM41" i="29"/>
  <c r="BN40" i="29" s="1"/>
  <c r="BL7" i="27"/>
  <c r="AT26" i="34"/>
  <c r="BH8" i="25"/>
  <c r="Y38" i="34"/>
  <c r="AU23" i="34"/>
  <c r="AU27" i="34" s="1"/>
  <c r="X36" i="34"/>
  <c r="AT22" i="34"/>
  <c r="AU4" i="34"/>
  <c r="BH71" i="25"/>
  <c r="BH58" i="25"/>
  <c r="BR58" i="25" l="1"/>
  <c r="BR71" i="25"/>
  <c r="BB26" i="34"/>
  <c r="BA26" i="34"/>
  <c r="BC26" i="34"/>
  <c r="BM8" i="25"/>
  <c r="Z38" i="34"/>
  <c r="BR8" i="25" s="1"/>
  <c r="BM7" i="27"/>
  <c r="BM13" i="27" s="1"/>
  <c r="BM22" i="27" s="1"/>
  <c r="BL13" i="27"/>
  <c r="BL22" i="27" s="1"/>
  <c r="BL34" i="27" s="1"/>
  <c r="BH60" i="25"/>
  <c r="AV18" i="34"/>
  <c r="AV23" i="34" s="1"/>
  <c r="BN41" i="29"/>
  <c r="BR40" i="29"/>
  <c r="AX27" i="34"/>
  <c r="AU22" i="34"/>
  <c r="AW26" i="34" s="1"/>
  <c r="X34" i="34"/>
  <c r="AQ21" i="34"/>
  <c r="AQ25" i="34"/>
  <c r="AQ29" i="34" s="1"/>
  <c r="AQ3" i="34"/>
  <c r="AQ8" i="34" s="1"/>
  <c r="AQ13" i="34" s="1"/>
  <c r="AU26" i="34" l="1"/>
  <c r="BR60" i="25"/>
  <c r="BM60" i="25"/>
  <c r="BA18" i="34"/>
  <c r="BA23" i="34" s="1"/>
  <c r="BO40" i="29"/>
  <c r="BO41" i="29" s="1"/>
  <c r="BN7" i="27"/>
  <c r="BN13" i="27" s="1"/>
  <c r="BN22" i="27" s="1"/>
  <c r="BN34" i="27" s="1"/>
  <c r="BN36" i="27" s="1"/>
  <c r="BN47" i="27" s="1"/>
  <c r="BN48" i="27" s="1"/>
  <c r="AY27" i="34"/>
  <c r="AW27" i="34"/>
  <c r="AX26" i="34"/>
  <c r="AV26" i="34"/>
  <c r="BM34" i="27"/>
  <c r="BM36" i="27" s="1"/>
  <c r="BM47" i="27" s="1"/>
  <c r="BL36" i="27"/>
  <c r="BL47" i="27" s="1"/>
  <c r="BL48" i="27" s="1"/>
  <c r="AV27" i="34"/>
  <c r="AR3" i="34"/>
  <c r="W32" i="34"/>
  <c r="BP40" i="29" l="1"/>
  <c r="BP41" i="29" s="1"/>
  <c r="BO7" i="27"/>
  <c r="BO13" i="27" s="1"/>
  <c r="BO22" i="27" s="1"/>
  <c r="BO34" i="27" s="1"/>
  <c r="BO36" i="27" s="1"/>
  <c r="BO47" i="27" s="1"/>
  <c r="BO48" i="27" s="1"/>
  <c r="BA27" i="34"/>
  <c r="BB27" i="34"/>
  <c r="BC27" i="34"/>
  <c r="W43" i="34"/>
  <c r="X33" i="34"/>
  <c r="Y33" i="34" s="1"/>
  <c r="AR21" i="34"/>
  <c r="AR8" i="34"/>
  <c r="AR13" i="34" s="1"/>
  <c r="AS3" i="34"/>
  <c r="BM7" i="25" l="1"/>
  <c r="Z33" i="34"/>
  <c r="Y40" i="34"/>
  <c r="AR25" i="34"/>
  <c r="AR29" i="34" s="1"/>
  <c r="BQ40" i="29"/>
  <c r="BQ41" i="29" s="1"/>
  <c r="BP7" i="27"/>
  <c r="BP13" i="27" s="1"/>
  <c r="BP22" i="27" s="1"/>
  <c r="BP34" i="27" s="1"/>
  <c r="BP36" i="27" s="1"/>
  <c r="BP47" i="27" s="1"/>
  <c r="BP48" i="27" s="1"/>
  <c r="X40" i="34"/>
  <c r="BH7" i="25"/>
  <c r="AV16" i="34" s="1"/>
  <c r="AV21" i="34" s="1"/>
  <c r="AY25" i="34" s="1"/>
  <c r="AS8" i="34"/>
  <c r="AS13" i="34" s="1"/>
  <c r="AT3" i="34"/>
  <c r="AS21" i="34"/>
  <c r="AS25" i="34" s="1"/>
  <c r="AS29" i="34" s="1"/>
  <c r="BR41" i="29" l="1"/>
  <c r="BQ7" i="27"/>
  <c r="BR7" i="25"/>
  <c r="Z40" i="34"/>
  <c r="BM59" i="25"/>
  <c r="BA16" i="34"/>
  <c r="BA21" i="34" s="1"/>
  <c r="BM72" i="25"/>
  <c r="BM62" i="25"/>
  <c r="AT21" i="34"/>
  <c r="AT8" i="34"/>
  <c r="AT13" i="34" s="1"/>
  <c r="AU3" i="34"/>
  <c r="BH72" i="25"/>
  <c r="BH62" i="25"/>
  <c r="BH59" i="25"/>
  <c r="BR7" i="27" l="1"/>
  <c r="BR13" i="27" s="1"/>
  <c r="BR22" i="27" s="1"/>
  <c r="BQ13" i="27"/>
  <c r="BQ22" i="27" s="1"/>
  <c r="BQ34" i="27" s="1"/>
  <c r="BA25" i="34"/>
  <c r="BC25" i="34"/>
  <c r="BC29" i="34" s="1"/>
  <c r="BB25" i="34"/>
  <c r="BR59" i="25"/>
  <c r="BR72" i="25"/>
  <c r="BR62" i="25"/>
  <c r="AT25" i="34"/>
  <c r="AT29" i="34" s="1"/>
  <c r="AU21" i="34"/>
  <c r="AX25" i="34" s="1"/>
  <c r="AX29" i="34" s="1"/>
  <c r="X32" i="34"/>
  <c r="AU8" i="34"/>
  <c r="AU13" i="34" s="1"/>
  <c r="BB29" i="34" l="1"/>
  <c r="BR34" i="27"/>
  <c r="BR36" i="27" s="1"/>
  <c r="BR47" i="27" s="1"/>
  <c r="BQ36" i="27"/>
  <c r="BQ47" i="27" s="1"/>
  <c r="BQ48" i="27" s="1"/>
  <c r="AU25" i="34"/>
  <c r="AW25" i="34"/>
  <c r="AW29" i="34" s="1"/>
  <c r="AV25" i="34"/>
  <c r="BA29" i="34" l="1"/>
  <c r="AV29" i="34"/>
  <c r="AZ29" i="34"/>
  <c r="AU29" i="34"/>
  <c r="AY2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 Rathod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xmlns:xsi="http://www.w3.org/2001/XMLSchema-instance" xmlns:xsd="http://www.w3.org/2001/XMLSchema" Version="1"&gt;&lt;FQL&gt;&lt;Q&gt;CMI-US^FG_PRICE(0)&lt;/Q&gt;&lt;R&gt;1&lt;/R&gt;&lt;C&gt;1&lt;/C&gt;&lt;D xsi:type="xsd:double"&gt;146.04&lt;/D&gt;&lt;/FQL&gt;&lt;FQL&gt;&lt;Q&gt;CMI-US^FG_PRICE(40268)&lt;/Q&gt;&lt;R&gt;1&lt;/R&gt;&lt;C&gt;1&lt;/C&gt;&lt;D xsi:type="xsd:double"&gt;61.95&lt;/D&gt;&lt;/FQL&gt;&lt;FQL&gt;&lt;Q&gt;CMI-US^FG_PRICE(40359)&lt;/Q&gt;&lt;R&gt;1&lt;/R&gt;&lt;C&gt;1&lt;/C&gt;&lt;D xsi:type="xsd:double"&gt;65.13&lt;/D&gt;&lt;/FQL&gt;&lt;FQL&gt;&lt;Q&gt;CMI-US^FG_PRICE(40451)&lt;/Q&gt;&lt;R&gt;1&lt;/R&gt;&lt;C&gt;1&lt;/C&gt;&lt;D xsi:type="xsd:double"&gt;90.58&lt;/D&gt;&lt;/FQL&gt;&lt;FQL&gt;&lt;Q&gt;CMI-US^FG_PRICE(40543)&lt;/Q&gt;&lt;R&gt;1&lt;/R&gt;&lt;C&gt;1&lt;/C&gt;&lt;D xsi:type="xsd:double"&gt;110.01&lt;/D&gt;&lt;/FQL&gt;&lt;FQL&gt;&lt;Q&gt;CMI-US^FG_PRICE(40908)&lt;/Q&gt;&lt;R&gt;1&lt;/R&gt;&lt;C&gt;1&lt;/C&gt;&lt;D xsi:type="xsd:double"&gt;88.02&lt;/D&gt;&lt;/FQL&gt;&lt;FQL&gt;&lt;Q&gt;CMI-US^FG_PRICE(40816)&lt;/Q&gt;&lt;R&gt;1&lt;/R&gt;&lt;C&gt;1&lt;/C&gt;&lt;D xsi:type="xsd:double"&gt;81.66&lt;/D&gt;&lt;/FQL&gt;&lt;FQL&gt;&lt;Q&gt;CMI-US^FG_PRICE(40724)&lt;/Q&gt;&lt;R&gt;1&lt;/R&gt;&lt;C&gt;1&lt;/C&gt;&lt;D xsi:type="xsd:double"&gt;103.49&lt;/D&gt;&lt;/FQL&gt;&lt;FQL&gt;&lt;Q&gt;CMI-US^FG_PRICE(40633)&lt;/Q&gt;&lt;R&gt;1&lt;/R&gt;&lt;C&gt;1&lt;/C&gt;&lt;D xsi:type="xsd:double"&gt;109.62&lt;/D&gt;&lt;/FQL&gt;&lt;FQL&gt;&lt;Q&gt;CMI-US^FG_PRICE(40999)&lt;/Q&gt;&lt;R&gt;1&lt;/R&gt;&lt;C&gt;1&lt;/C&gt;&lt;D xsi:type="xsd:double"&gt;120.04&lt;/D&gt;&lt;/FQL&gt;&lt;FQL&gt;&lt;Q&gt;CMI-US^FG_PRICE(41090)&lt;/Q&gt;&lt;R&gt;1&lt;/R&gt;&lt;C&gt;1&lt;/C&gt;&lt;D xsi:type="xsd:double"&gt;96.91&lt;/D&gt;&lt;/FQL&gt;&lt;FQL&gt;&lt;Q&gt;CMI-US^FG_PRICE(41182)&lt;/Q&gt;&lt;R&gt;1&lt;/R&gt;&lt;C&gt;1&lt;/C&gt;&lt;D xsi:type="xsd:double"&gt;92.21&lt;/D&gt;&lt;/FQL&gt;&lt;FQL&gt;&lt;Q&gt;CMI-US^FG_PRICE(41274)&lt;/Q&gt;&lt;R&gt;1&lt;/R&gt;&lt;C&gt;1&lt;/C&gt;&lt;D xsi:type="xsd:double"&gt;108.35&lt;/D&gt;&lt;/FQL&gt;&lt;FQL&gt;&lt;Q&gt;CMI-US^FG_PRICE(41364)&lt;/Q&gt;&lt;R&gt;1&lt;/R&gt;&lt;C&gt;1&lt;/C&gt;&lt;D xsi:type="xsd:double"&gt;115.81&lt;/D&gt;&lt;/FQL&gt;&lt;FQL&gt;&lt;Q&gt;CMI-US^FG_PRICE(41455)&lt;/Q&gt;&lt;R&gt;1&lt;/R&gt;&lt;C&gt;1&lt;/C&gt;&lt;D xsi:type="xsd:double"&gt;108.46&lt;/D&gt;&lt;/FQL&gt;&lt;FQL&gt;&lt;Q&gt;CMI-US^FG_PRICE(41547)&lt;/Q&gt;&lt;R&gt;1&lt;/R&gt;&lt;C&gt;1&lt;/C&gt;&lt;D xsi:type="xsd:double"&gt;132.87&lt;/D&gt;&lt;/FQL&gt;&lt;FQL&gt;&lt;Q&gt;CMI-US^FG_PRICE(41639)&lt;/Q&gt;&lt;R&gt;1&lt;/R&gt;&lt;C&gt;1&lt;/C&gt;&lt;D xsi:type="xsd:double"&gt;140.97&lt;/D&gt;&lt;/FQL&gt;&lt;FQL&gt;&lt;Q&gt;CMI-US^FG_PRICE(41729)&lt;/Q&gt;&lt;R&gt;1&lt;/R&gt;&lt;C&gt;1&lt;/C&gt;&lt;D xsi:type="xsd:double"&gt;148.99&lt;/D&gt;&lt;/FQL&gt;&lt;FQL&gt;&lt;Q&gt;CMI-US^FG_PRICE(41820)&lt;/Q&gt;&lt;R&gt;1&lt;/R&gt;&lt;C&gt;1&lt;/C&gt;&lt;D xsi:type="xsd:double"&gt;154.29&lt;/D&gt;&lt;/FQL&gt;&lt;FQL&gt;&lt;Q&gt;CMI-US^FG_PRICE(41912)&lt;/Q&gt;&lt;R&gt;1&lt;/R&gt;&lt;C&gt;1&lt;/C&gt;&lt;D xsi:type="xsd:double"&gt;131.98&lt;/D&gt;&lt;/FQL&gt;&lt;FQL&gt;&lt;Q&gt;CMI^ECQ_MEAN_SALES(2010/1C,NOW)&lt;/Q&gt;&lt;R&gt;1&lt;/R&gt;&lt;C&gt;1&lt;/C&gt;&lt;D xsi:type="xsd:double"&gt;2478&lt;/D&gt;&lt;/FQL&gt;&lt;FQL&gt;&lt;Q&gt;CMI^ECQ_MEAN_SALES(2010/2C,NOW)&lt;/Q&gt;&lt;R&gt;1&lt;/R&gt;&lt;C&gt;1&lt;/C&gt;&lt;D xsi:type="xsd:double"&gt;3208&lt;/D&gt;&lt;/FQL&gt;&lt;FQL&gt;&lt;Q&gt;CMI^ECQ_MEAN_SALES(2010/3C,NOW)&lt;/Q&gt;&lt;R&gt;1&lt;/R&gt;&lt;C&gt;1&lt;/C&gt;&lt;D xsi:type="xsd:double"&gt;3401&lt;/D&gt;&lt;/FQL&gt;&lt;FQL&gt;&lt;Q&gt;CMI^ECQ_MEAN_SALES(2010/4C,NOW)&lt;/Q&gt;&lt;R&gt;1&lt;/R&gt;&lt;C&gt;1&lt;/C&gt;&lt;D xsi:type="xsd:double"&gt;4139&lt;/D&gt;&lt;/FQL&gt;&lt;FQL&gt;&lt;Q&gt;CMI^ECQ_MEAN_SALES(2010,NOW)&lt;/Q&gt;&lt;R&gt;0&lt;/R&gt;&lt;C&gt;0&lt;/C&gt;&lt;/FQL&gt;&lt;FQL&gt;&lt;Q&gt;CMI^ECQ_MEAN_EBITD(2010/1C,NOW)&lt;/Q&gt;&lt;R&gt;1&lt;/R&gt;&lt;C&gt;1&lt;/C&gt;&lt;D xsi:type="xsd:double"&gt;306.6&lt;/D&gt;&lt;/FQL&gt;&lt;FQL&gt;&lt;Q&gt;CMI^ECQ_MEAN_EBITD(2010/2C,NOW)&lt;/Q&gt;&lt;R&gt;1&lt;/R&gt;&lt;C&gt;1&lt;/C&gt;&lt;D xsi:type="xsd:double"&gt;445.8&lt;/D&gt;&lt;/FQL&gt;&lt;FQL&gt;&lt;Q&gt;CMI^ECQ_MEAN_EBITD(2010/3C,NOW)&lt;/Q&gt;&lt;R&gt;1&lt;/R&gt;&lt;C&gt;1&lt;/C&gt;&lt;D xsi:type="xsd:double"&gt;488.3333&lt;/D&gt;&lt;/FQL&gt;&lt;FQL&gt;&lt;Q&gt;CMI^ECQ_MEAN_EBITD(2010/4C,NOW)&lt;/Q&gt;&lt;R&gt;1&lt;/R&gt;&lt;C&gt;1&lt;/C&gt;&lt;D xsi:type="xsd:double"&gt;591.75&lt;/D&gt;&lt;/FQL&gt;&lt;FQL&gt;&lt;Q&gt;CMI^ECQ_MEAN_EBITD(2010,NOW)&lt;/Q&gt;&lt;R&gt;0&lt;/R&gt;&lt;C&gt;0&lt;/C&gt;&lt;/FQL&gt;&lt;FQL&gt;&lt;Q&gt;CMI^ECQ_MEAN_EBIT(2010/1C,NOW)&lt;/Q&gt;&lt;R&gt;1&lt;/R&gt;&lt;C&gt;1&lt;/C&gt;&lt;D xsi:type="xsd:double"&gt;237.41670000000002&lt;/D&gt;&lt;/FQL&gt;&lt;FQL&gt;&lt;Q&gt;CMI^ECQ_MEAN_EBIT(2010/2C,NOW)&lt;/Q&gt;&lt;R&gt;1&lt;/R&gt;&lt;C&gt;1&lt;/C&gt;&lt;D xsi:type="xsd:double"&gt;380&lt;/D&gt;&lt;/FQL&gt;&lt;FQL&gt;&lt;Q&gt;CMI^ECQ_MEAN_EBIT(2010/3C,NOW)&lt;/Q&gt;&lt;R&gt;1&lt;/R&gt;&lt;C&gt;1&lt;/C&gt;&lt;D xsi:type="xsd:double"&gt;419.09090000000003&lt;/D&gt;&lt;/FQL&gt;&lt;FQL&gt;&lt;Q&gt;CMI^ECQ_MEAN_EBIT(2010/4C,NOW)&lt;/Q&gt;&lt;R&gt;1&lt;/R&gt;&lt;C&gt;1&lt;/C&gt;&lt;D xsi:type="xsd:double"&gt;512.875&lt;/D&gt;&lt;/FQL&gt;&lt;FQL&gt;&lt;Q&gt;CMI^ECQ_MEAN_EBIT(2010,NOW)&lt;/Q&gt;&lt;R&gt;0&lt;/R&gt;&lt;C&gt;0&lt;/C&gt;&lt;/FQL&gt;&lt;FQL&gt;&lt;Q&gt;CMI^ECQ_MEAN_NET(2010/1C,NOW)&lt;/Q&gt;&lt;R&gt;1&lt;/R&gt;&lt;C&gt;1&lt;/C&gt;&lt;D xsi:type="xsd:double"&gt;149&lt;/D&gt;&lt;/FQL&gt;&lt;FQL&gt;&lt;Q&gt;CMI^ECQ_MEAN_NET(2010/2C,NOW)&lt;/Q&gt;&lt;R&gt;1&lt;/R&gt;&lt;C&gt;1&lt;/C&gt;&lt;D xsi:type="xsd:double"&gt;246&lt;/D&gt;&lt;/FQL&gt;&lt;FQL&gt;&lt;Q&gt;CMI^ECQ_MEAN_NET(2010/3C,NOW)&lt;/Q&gt;&lt;R&gt;1&lt;/R&gt;&lt;C&gt;1&lt;/C&gt;&lt;D xsi:type="xsd:double"&gt;283&lt;/D&gt;&lt;/FQL&gt;&lt;FQL&gt;&lt;Q&gt;CMI^ECQ_MEAN_NET(2010/4C,NOW)&lt;/Q&gt;&lt;R&gt;1&lt;/R&gt;&lt;C&gt;1&lt;/C&gt;&lt;D xsi:type="xsd:double"&gt;362&lt;/D&gt;&lt;/FQL&gt;&lt;FQL&gt;&lt;Q&gt;CMI^ECQ_MEAN_NET(2010,NOW)&lt;/Q&gt;&lt;R&gt;0&lt;/R&gt;&lt;C&gt;0&lt;/C&gt;&lt;/FQL&gt;&lt;FQL&gt;&lt;Q&gt;CMI^ECQ_MEAN_EPS(2010/1C,NOW)&lt;/Q&gt;&lt;R&gt;1&lt;/R&gt;&lt;C&gt;1&lt;/C&gt;&lt;D xsi:type="xsd:double"&gt;0.75&lt;/D&gt;&lt;/FQL&gt;&lt;FQL&gt;&lt;Q&gt;CMI^ECQ_MEAN_EPS(2010/2C,NOW)&lt;/Q&gt;&lt;R&gt;1&lt;/R&gt;&lt;C&gt;1&lt;/C&gt;&lt;D xsi:type="xsd:double"&gt;1.25&lt;/D&gt;&lt;/FQL&gt;&lt;FQL&gt;&lt;Q&gt;CMI^ECQ_MEAN_EPS(2010/3C,NOW)&lt;/Q&gt;&lt;R&gt;1&lt;/R&gt;&lt;C&gt;1&lt;/C&gt;&lt;D xsi:type="xsd:double"&gt;1.33&lt;/D&gt;&lt;/FQL&gt;&lt;FQL&gt;&lt;Q&gt;CMI^ECQ_MEAN_EPS(2010/4C,NOW)&lt;/Q&gt;&lt;R&gt;1&lt;/R&gt;&lt;C&gt;1&lt;/C&gt;&lt;D xsi:type="xsd:double"&gt;1.84&lt;/D&gt;&lt;/FQL&gt;&lt;FQL&gt;&lt;Q&gt;CMI^ECQ_MEAN_EPS(2010,NOW)&lt;/Q&gt;&lt;R&gt;0&lt;/R&gt;&lt;C&gt;0&lt;/C&gt;&lt;/FQL&gt;&lt;FQL&gt;&lt;Q&gt;CMI^ECA_MEAN_NET(2017,NOW)&lt;/Q&gt;&lt;R&gt;1&lt;/R&gt;&lt;C&gt;1&lt;/C&gt;&lt;D xsi:type="xsd:double"&gt;2465&lt;/D&gt;&lt;/FQL&gt;&lt;FQL&gt;&lt;Q&gt;CMI^ECQ_MEAN_NET(2017/4C,NOW)&lt;/Q&gt;&lt;R&gt;0&lt;/R&gt;&lt;C&gt;0&lt;/C&gt;&lt;/FQL&gt;&lt;FQL&gt;&lt;Q&gt;CMI^ECQ_MEAN_NET(2017/3C,NOW)&lt;/Q&gt;&lt;R&gt;0&lt;/R&gt;&lt;C&gt;0&lt;/C&gt;&lt;/FQL&gt;&lt;FQL&gt;&lt;Q&gt;CMI^ECQ_MEAN_NET(2017/2C,NOW)&lt;/Q&gt;&lt;R&gt;0&lt;/R&gt;&lt;C&gt;0&lt;/C&gt;&lt;/FQL&gt;&lt;FQL&gt;&lt;Q&gt;CMI^ECQ_MEAN_SALES(2011,NOW)&lt;/Q&gt;&lt;R&gt;0&lt;/R&gt;&lt;C&gt;0&lt;/C&gt;&lt;/FQL&gt;&lt;FQL&gt;&lt;Q&gt;CMI^ECQ_MEAN_NET(2017/1C,NOW)&lt;/Q&gt;&lt;R&gt;0&lt;/R&gt;&lt;C&gt;0&lt;/C&gt;&lt;/FQL&gt;&lt;FQL&gt;&lt;Q&gt;CMI^ECA_MEAN_NET(2016,NOW)&lt;/Q&gt;&lt;R&gt;1&lt;/R&gt;&lt;C&gt;1&lt;/C&gt;&lt;D xsi:type="xsd:double"&gt;2200.042&lt;/D&gt;&lt;/FQL&gt;&lt;FQL&gt;&lt;Q&gt;CMI^ECQ_MEAN_NET(2016/4C,NOW)&lt;/Q&gt;&lt;R&gt;1&lt;/R&gt;&lt;C&gt;1&lt;/C&gt;&lt;D xsi:type="xsd:double"&gt;581.6&lt;/D&gt;&lt;/FQL&gt;&lt;FQL&gt;&lt;Q&gt;CMI^ECQ_MEAN_NET(2016/3C,NOW)&lt;/Q&gt;&lt;R&gt;1&lt;/R&gt;&lt;C&gt;1&lt;/C&gt;&lt;D xsi:type="xsd:double"&gt;568.4&lt;/D&gt;&lt;/FQL&gt;&lt;FQL&gt;&lt;Q&gt;CMI^ECQ_MEAN_SALES(2012,NOW)&lt;/Q&gt;&lt;R&gt;0&lt;/R&gt;&lt;C&gt;0&lt;/C&gt;&lt;/FQL&gt;&lt;FQL&gt;&lt;Q&gt;CMI^ECQ_MEAN_NET(2016/2C,NOW)&lt;/Q&gt;&lt;R&gt;1&lt;/R&gt;&lt;C&gt;1&lt;/C&gt;&lt;D xsi:type="xsd:double"&gt;584.4&lt;/D&gt;&lt;/FQL&gt;&lt;FQL&gt;&lt;Q&gt;CMI^ECQ_MEAN_NET(2016/1C,NOW)&lt;/Q&gt;&lt;R&gt;1&lt;/R&gt;&lt;C&gt;1&lt;/C&gt;&lt;D xsi:type="xsd:double"&gt;455.70000000000005&lt;/D&gt;&lt;/FQL&gt;&lt;FQL&gt;&lt;Q&gt;CMI^ECA_MEAN_NET(2015,NOW)&lt;/Q&gt;&lt;R&gt;1&lt;/R&gt;&lt;C&gt;1&lt;/C&gt;&lt;D xsi:type="xsd:double"&gt;1970.491&lt;/D&gt;&lt;/FQL&gt;&lt;FQL&gt;&lt;Q&gt;CMI^ECQ_MEAN_NET(2015/4C,NOW)&lt;/Q&gt;&lt;R&gt;1&lt;/R&gt;&lt;C&gt;1&lt;/C&gt;&lt;D xsi:type="xsd:double"&gt;525.1&lt;/D&gt;&lt;/FQL&gt;&lt;FQL&gt;&lt;Q&gt;CMI^ECQ_MEAN_SALES(2013,NOW)&lt;/Q&gt;&lt;R&gt;0&lt;/R&gt;&lt;C&gt;0&lt;/C&gt;&lt;/FQL&gt;&lt;FQL&gt;&lt;Q&gt;CMI^ECQ_MEAN_NET(2015/3C,NOW)&lt;/Q&gt;&lt;R&gt;1&lt;/R&gt;&lt;C&gt;1&lt;/C&gt;&lt;D xsi:type="xsd:double"&gt;514.0273&lt;/D&gt;&lt;/FQL&gt;&lt;FQL&gt;&lt;Q&gt;CMI^ECQ_MEAN_NET(2015/2C,NOW)&lt;/Q&gt;&lt;R&gt;1&lt;/R&gt;&lt;C&gt;1&lt;/C&gt;&lt;D xsi:type="xsd:double"&gt;510.04540000000003&lt;/D&gt;&lt;/FQL&gt;&lt;FQL&gt;&lt;Q&gt;CMI^ECQ_MEAN_NET(2015/1C,NOW)&lt;/Q&gt;&lt;R&gt;1&lt;/R&gt;&lt;C&gt;1&lt;/C&gt;&lt;D xsi:type="xsd:double"&gt;428.7455&lt;/D&gt;&lt;/FQL&gt;&lt;FQL&gt;&lt;Q&gt;CMI^ECA_MEAN_NET(2014,NOW)&lt;/Q&gt;&lt;R&gt;1&lt;/R&gt;&lt;C&gt;1&lt;/C&gt;&lt;D xsi:type="xsd:double"&gt;1669.7250000000001&lt;/D&gt;&lt;/FQL&gt;&lt;FQL&gt;&lt;Q&gt;CMI^ECQ_MEAN_SALES(2014,NOW)&lt;/Q&gt;&lt;R&gt;0&lt;/R&gt;&lt;C&gt;0&lt;/C&gt;&lt;/FQL&gt;&lt;FQL&gt;&lt;Q&gt;CMI^ECQ_MEAN_NET(2014/4C,NOW)&lt;/Q&gt;&lt;R&gt;1&lt;/R&gt;&lt;C&gt;1&lt;/C&gt;&lt;D xsi:type="xsd:double"&gt;454.1286&lt;/D&gt;&lt;/FQL&gt;&lt;FQL&gt;&lt;Q&gt;CMI^ECQ_MEAN_NET(2014/3C,NOW)&lt;/Q&gt;&lt;R&gt;1&lt;/R&gt;&lt;C&gt;1&lt;/C&gt;&lt;D xsi:type="xsd:double"&gt;423&lt;/D&gt;&lt;/FQL&gt;&lt;FQL&gt;&lt;Q&gt;CMI^ECQ_MEAN_NET(2014/2C,NOW)&lt;/Q&gt;&lt;R&gt;1&lt;/R&gt;&lt;C&gt;1&lt;/C&gt;&lt;D xsi:type="xsd:double"&gt;446&lt;/D&gt;&lt;/FQL&gt;&lt;FQL&gt;&lt;Q&gt;CMI^ECQ_MEAN_NET(2014/1C,NOW)&lt;/Q&gt;&lt;R&gt;1&lt;/R&gt;&lt;C&gt;1&lt;/C&gt;&lt;D xsi:type="xsd:double"&gt;338&lt;/D&gt;&lt;/FQL&gt;&lt;FQL&gt;&lt;Q&gt;CMI^ECQ_MEAN_SALES(2015,NOW)&lt;/Q&gt;&lt;R&gt;0&lt;/R&gt;&lt;C&gt;0&lt;/C&gt;&lt;/FQL&gt;&lt;FQL&gt;&lt;Q&gt;CMI^ECA_MEAN_NET(2013,NOW)&lt;/Q&gt;&lt;R&gt;1&lt;/R&gt;&lt;C&gt;1&lt;/C&gt;&lt;D xsi:type="xsd:double"&gt;1483&lt;/D&gt;&lt;/FQL&gt;&lt;FQL&gt;&lt;Q&gt;CMI^ECQ_MEAN_NET(2013/4C,NOW)&lt;/Q&gt;&lt;R&gt;1&lt;/R&gt;&lt;C&gt;1&lt;/C&gt;&lt;D xsi:type="xsd:double"&gt;432&lt;/D&gt;&lt;/FQL&gt;&lt;FQL&gt;&lt;Q&gt;CMI^ECQ_MEAN_NET(2013/3C,NOW)&lt;/Q&gt;&lt;R&gt;1&lt;/R&gt;&lt;C&gt;1&lt;/C&gt;&lt;D xsi:type="xsd:double"&gt;355&lt;/D&gt;&lt;/FQL&gt;&lt;FQL&gt;&lt;Q&gt;CMI^ECQ_MEAN_NET(2013/2C,NOW)&lt;/Q&gt;&lt;R&gt;1&lt;/R&gt;&lt;C&gt;1&lt;/C&gt;&lt;D xsi:type="xsd:double"&gt;414&lt;/D&gt;&lt;/FQL&gt;&lt;FQL&gt;&lt;Q&gt;CMI^ECQ_MEAN_SALES(2016,NOW)&lt;/Q&gt;&lt;R&gt;0&lt;/R&gt;&lt;C&gt;0&lt;/C&gt;&lt;/FQL&gt;&lt;FQL&gt;&lt;Q&gt;CMI^ECQ_MEAN_NET(2013/1C,NOW)&lt;/Q&gt;&lt;R&gt;1&lt;/R&gt;&lt;C&gt;1&lt;/C&gt;&lt;D xsi:type="xsd:double"&gt;282&lt;/D&gt;&lt;/FQL&gt;&lt;FQL&gt;&lt;Q&gt;CMI^ECA_MEAN_NET(2012,NOW)&lt;/Q&gt;&lt;R&gt;1&lt;/R&gt;&lt;C&gt;1&lt;/C&gt;&lt;D xsi:type="xsd:double"&gt;1657&lt;/D&gt;&lt;/FQL&gt;&lt;FQL&gt;&lt;Q&gt;CMI^ECQ_MEAN_NET(2012/4C,NOW)&lt;/Q&gt;&lt;R&gt;1&lt;/R&gt;&lt;C&gt;1&lt;/C&gt;&lt;D xsi:type="xsd:double"&gt;381&lt;/D&gt;&lt;/FQL&gt;&lt;FQL&gt;&lt;Q&gt;CMI^ECQ_MEAN_NET(2012/3C,NOW)&lt;/Q&gt;&lt;R&gt;1&lt;/R&gt;&lt;C&gt;1&lt;/C&gt;&lt;D xsi:type="xsd:double"&gt;352&lt;/D&gt;&lt;/FQL&gt;&lt;FQL&gt;&lt;Q&gt;CMI^ECQ_MEAN_SALES(2017,NOW)&lt;/Q&gt;&lt;R&gt;0&lt;/R&gt;&lt;C&gt;0&lt;/C&gt;&lt;/FQL&gt;&lt;FQL&gt;&lt;Q&gt;CMI^ECQ_MEAN_NET(2012/2C,NOW)&lt;/Q&gt;&lt;R&gt;1&lt;/R&gt;&lt;C&gt;1&lt;/C&gt;&lt;D xsi:type="xsd:double"&gt;469&lt;/D&gt;&lt;/FQL&gt;&lt;FQL&gt;&lt;Q&gt;CMI^ECQ_MEAN_NET(2012/1C,NOW)&lt;/Q&gt;&lt;R&gt;1&lt;/R&gt;&lt;C&gt;1&lt;/C&gt;&lt;D xsi:type="xsd:double"&gt;455&lt;/D&gt;&lt;/FQL&gt;&lt;FQL&gt;&lt;Q&gt;CMI^ECA_MEAN_NET(2011,NOW)&lt;/Q&gt;&lt;R&gt;1&lt;/R&gt;&lt;C&gt;1&lt;/C&gt;&lt;D xsi:type="xsd:double"&gt;1848&lt;/D&gt;&lt;/FQL&gt;&lt;FQL&gt;&lt;Q&gt;CMI^ECQ_MEAN_NET(2011/4C,NOW)&lt;/Q&gt;&lt;R&gt;1&lt;/R&gt;&lt;C&gt;1&lt;/C&gt;&lt;D xsi:type="xsd:double"&gt;548&lt;/D&gt;&lt;/FQL&gt;&lt;FQL&gt;&lt;Q&gt;CMI^ECQ_MEAN_EBITD(2011,NOW)&lt;/Q&gt;&lt;R&gt;0&lt;/R&gt;&lt;C&gt;0&lt;/C&gt;&lt;/FQL&gt;&lt;FQL&gt;&lt;Q&gt;CMI^ECQ_MEAN_NET(2011/3C,NOW)&lt;/Q&gt;&lt;R&gt;1&lt;/R&gt;&lt;C&gt;1&lt;/C&gt;&lt;D xsi:type="xsd:double"&gt;452&lt;/D&gt;&lt;/FQL&gt;&lt;FQL&gt;&lt;Q&gt;CMI^ECQ_MEAN_NET(2011/2C,NOW)&lt;/Q&gt;&lt;R&gt;1&lt;/R&gt;&lt;C&gt;1&lt;/C&gt;&lt;D xsi:type="xsd:double"&gt;505&lt;/D&gt;&lt;/FQL&gt;&lt;FQL&gt;&lt;Q&gt;CMI^ECQ_MEAN_NET(2011/1C,NOW)&lt;/Q&gt;&lt;R&gt;1&lt;/R&gt;&lt;C&gt;1&lt;/C&gt;&lt;D xsi:type="xsd:double"&gt;343&lt;/D&gt;&lt;/FQL&gt;&lt;FQL&gt;&lt;Q&gt;CMI^ECA_MEAN_EBIT(2017,NOW)&lt;/Q&gt;&lt;R&gt;1&lt;/R&gt;&lt;C&gt;1&lt;/C&gt;&lt;D xsi:type="xsd:double"&gt;3185&lt;/D&gt;&lt;/FQL&gt;&lt;FQL&gt;&lt;Q&gt;CMI^ECQ_MEAN_EBITD(2012,NOW)&lt;/Q&gt;&lt;R&gt;0&lt;/R&gt;&lt;C&gt;0&lt;/C&gt;&lt;/FQL&gt;&lt;FQL&gt;&lt;Q&gt;CMI^ECQ_MEAN_EBIT(2017/4C,NOW)&lt;/Q&gt;&lt;R&gt;0&lt;/R&gt;&lt;C&gt;0&lt;/C&gt;&lt;/FQL&gt;&lt;FQL&gt;&lt;Q&gt;CMI^ECQ_MEAN_EBIT(2017/3C,NOW)&lt;/Q&gt;&lt;R&gt;0&lt;/R&gt;&lt;C&gt;0&lt;/C&gt;&lt;/FQL&gt;&lt;FQL&gt;&lt;Q&gt;CMI^ECQ_MEAN_EBIT(2017/2C,NOW)&lt;/Q&gt;&lt;R&gt;0&lt;/R&gt;&lt;C&gt;0&lt;/C&gt;&lt;/FQL&gt;&lt;FQL&gt;&lt;Q&gt;CMI^ECQ_MEAN_EBIT(2017/1C,NOW)&lt;/Q&gt;&lt;R&gt;0&lt;/R&gt;&lt;C&gt;0&lt;/C&gt;&lt;/FQL&gt;&lt;FQL&gt;&lt;Q&gt;CMI^ECQ_MEAN_EBITD(2013,NOW)&lt;/Q&gt;&lt;R&gt;0&lt;/R&gt;&lt;C&gt;0&lt;/C&gt;&lt;/FQL&gt;&lt;FQL&gt;&lt;Q&gt;CMI^ECA_MEAN_EBIT(2016,NOW)&lt;/Q&gt;&lt;R&gt;1&lt;/R&gt;&lt;C&gt;1&lt;/C&gt;&lt;D xsi:type="xsd:double"&gt;3217.449&lt;/D&gt;&lt;/FQL&gt;&lt;FQL&gt;&lt;Q&gt;CMI^ECQ_MEAN_EBIT(2016/4C,NOW)&lt;/Q&gt;&lt;R&gt;1&lt;/R&gt;&lt;C&gt;1&lt;/C&gt;&lt;D xsi:type="xsd:double"&gt;844&lt;/D&gt;&lt;/FQL&gt;&lt;FQL&gt;&lt;Q&gt;CMI^ECQ_MEAN_EBIT(2016/3C,NOW)&lt;/Q&gt;&lt;R&gt;1&lt;/R&gt;&lt;C&gt;1&lt;/C&gt;&lt;D xsi:type="xsd:double"&gt;816.30000000000007&lt;/D&gt;&lt;/FQL&gt;&lt;FQL&gt;&lt;Q&gt;CMI^ECQ_MEAN_EBIT(2016/2C,NOW)&lt;/Q&gt;&lt;R&gt;1&lt;/R&gt;&lt;C&gt;1&lt;/C&gt;&lt;D xsi:type="xsd:double"&gt;846.5&lt;/D&gt;&lt;/FQL&gt;&lt;FQL&gt;&lt;Q&gt;CMI^ECQ_MEAN_EBITD(2014,NOW)&lt;/Q&gt;&lt;R&gt;0&lt;/R&gt;&lt;C&gt;0&lt;/C&gt;&lt;/FQL&gt;&lt;FQL&gt;&lt;Q&gt;CMI^ECQ_MEAN_EBIT(2016/1C,NOW)&lt;/Q&gt;&lt;R&gt;1&lt;/R&gt;&lt;C&gt;1&lt;/C&gt;&lt;D xsi:type="xsd:double"&gt;672.6&lt;/D&gt;&lt;/FQL&gt;&lt;FQL&gt;&lt;Q&gt;CMI^ECA_MEAN_EBIT(2015,NOW)&lt;/Q&gt;&lt;R&gt;1&lt;/R&gt;&lt;C&gt;1&lt;/C&gt;&lt;D xsi:type="xsd:double"&gt;2902.6000000000004&lt;/D&gt;&lt;/FQL&gt;&lt;FQL&gt;&lt;Q&gt;CMI^ECQ_MEAN_EBIT(2015/4C,NOW)&lt;/Q&gt;&lt;R&gt;1&lt;/R&gt;&lt;C&gt;1&lt;/C&gt;&lt;D xsi:type="xsd:double"&gt;748.93630000000007&lt;/D&gt;&lt;/FQL&gt;&lt;FQL&gt;&lt;Q&gt;CMI^ECQ_MEAN_EBIT(2015/3C,NOW)&lt;/Q&gt;&lt;R&gt;1&lt;/R&gt;&lt;C&gt;1&lt;/C&gt;&lt;D xsi:type="xsd:double"&gt;727.7636&lt;/D&gt;&lt;/FQL&gt;&lt;FQL&gt;&lt;Q&gt;CMI^ECQ_MEAN_EBITD(2015,NOW)&lt;/Q&gt;&lt;R&gt;0&lt;/R&gt;&lt;C&gt;0&lt;/C&gt;&lt;/FQL&gt;&lt;FQL&gt;&lt;Q&gt;CMI^ECQ_MEAN_EBIT(2015/2C,NOW)&lt;/Q&gt;&lt;R&gt;1&lt;/R&gt;&lt;C&gt;1&lt;/C&gt;&lt;D xsi:type="xsd:double"&gt;729.7091&lt;/D&gt;&lt;/FQL&gt;&lt;FQL&gt;&lt;Q&gt;CMI^ECQ_MEAN_EBIT(2015/1C,NOW)&lt;/Q&gt;&lt;R&gt;1&lt;/R&gt;&lt;C&gt;1&lt;/C&gt;&lt;D xsi:type="xsd:double"&gt;612.3909&lt;/D&gt;&lt;/FQL&gt;&lt;FQL&gt;&lt;Q&gt;CMI^ECA_MEAN_EBIT(2014,NOW)&lt;/Q&gt;&lt;R&gt;1&lt;/R&gt;&lt;C&gt;1&lt;/C&gt;&lt;D xsi:type="xsd:double"&gt;2513.543&lt;/D&gt;&lt;/FQL&gt;&lt;FQL&gt;&lt;Q&gt;CMI^ECQ_MEAN_EBIT(2014/4C,NOW)&lt;/Q&gt;&lt;R&gt;1&lt;/R&gt;&lt;C&gt;1&lt;/C&gt;&lt;D xsi:type="xsd:double"&gt;683.7&lt;/D&gt;&lt;/FQL&gt;&lt;FQL&gt;&lt;Q&gt;CMI^ECQ_MEAN_EBITD(2016,NOW)&lt;/Q&gt;&lt;R&gt;0&lt;/R&gt;&lt;C&gt;0&lt;/C&gt;&lt;/FQL&gt;&lt;FQL&gt;&lt;Q&gt;CMI^ECQ_MEAN_EBIT(2014/3C,NOW)&lt;/Q&gt;&lt;R&gt;1&lt;/R&gt;&lt;C&gt;1&lt;/C&gt;&lt;D xsi:type="xsd:double"&gt;676.5&lt;/D&gt;&lt;/FQL&gt;&lt;FQL&gt;&lt;Q&gt;CMI^ECQ_MEAN_EBIT(2014/2C,NOW)&lt;/Q&gt;&lt;R&gt;1&lt;/R&gt;&lt;C&gt;1&lt;/C&gt;&lt;D xsi:type="xsd:double"&gt;612&lt;/D&gt;&lt;/FQL&gt;&lt;FQL&gt;&lt;Q&gt;CMI^ECQ_MEAN_EBIT(2014/1C,NOW)&lt;/Q&gt;&lt;R&gt;1&lt;/R&gt;&lt;C&gt;1&lt;/C&gt;&lt;D xsi:type="xsd:double"&gt;508.7857&lt;/D&gt;&lt;/FQL&gt;&lt;FQL&gt;&lt;Q&gt;CMI^ECA_MEAN_EBIT(2013,NOW)&lt;/Q&gt;&lt;R&gt;1&lt;/R&gt;&lt;C&gt;1&lt;/C&gt;&lt;D xsi:type="xsd:double"&gt;2128.113&lt;/D&gt;&lt;/FQL&gt;&lt;FQL&gt;&lt;Q&gt;CMI^ECQ_MEAN_EBITD(2017,NOW)&lt;/Q&gt;&lt;R&gt;0&lt;/R&gt;&lt;C&gt;0&lt;/C&gt;&lt;/FQL&gt;&lt;FQL&gt;&lt;Q&gt;CMI^ECQ_MEAN_EBIT(2013/4C,NOW)&lt;/Q&gt;&lt;R&gt;1&lt;/R&gt;&lt;C&gt;1&lt;/C&gt;&lt;D xsi:type="xsd:double"&gt;560.80000000000007&lt;/D&gt;&lt;/FQL&gt;&lt;FQL&gt;&lt;Q&gt;CMI^ECQ_MEAN_EBIT(2013/3C,NOW)&lt;/Q&gt;&lt;R&gt;1&lt;/R&gt;&lt;C&gt;1&lt;/C&gt;&lt;D xsi:type="xsd:double"&gt;529.96&lt;/D&gt;&lt;/FQL&gt;&lt;FQL&gt;&lt;Q&gt;CMI^ECQ_MEAN_EBIT(2013/2C,NOW)&lt;/Q&gt;&lt;R&gt;1&lt;/R&gt;&lt;C&gt;1&lt;/C&gt;&lt;D xsi:type="xsd:double"&gt;615.5555&lt;/D&gt;&lt;/FQL&gt;&lt;FQL&gt;&lt;Q&gt;CMI^ECQ_MEAN_EBIT(2013/1C,NOW)&lt;/Q&gt;&lt;R&gt;1&lt;/R&gt;&lt;C&gt;1&lt;/C&gt;&lt;D xsi:type="xsd:double"&gt;411.75&lt;/D&gt;&lt;/FQL&gt;&lt;FQL&gt;&lt;Q&gt;CMI^ECQ_MEAN_EBIT(2011,NOW)&lt;/Q&gt;&lt;R&gt;0&lt;/R&gt;&lt;C&gt;0&lt;/C&gt;&lt;/FQL&gt;&lt;FQL&gt;&lt;Q&gt;CMI^ECA_MEAN_EBIT(2012,NOW)&lt;/Q&gt;&lt;R&gt;1&lt;/R&gt;&lt;C&gt;1&lt;/C&gt;&lt;D xsi:type="xsd:double"&gt;2245.077&lt;/D&gt;&lt;/FQL&gt;&lt;FQL&gt;&lt;Q&gt;CMI^ECQ_MEAN_EBIT(2012/4C,NOW)&lt;/Q&gt;&lt;R&gt;1&lt;/R&gt;&lt;C&gt;1&lt;/C&gt;&lt;D xsi:type="xsd:double"&gt;507.8&lt;/D&gt;&lt;/FQL&gt;&lt;FQL&gt;&lt;Q&gt;CMI^ECQ_MEAN_EBIT(2012/3C,NOW)&lt;/Q&gt;&lt;R&gt;1&lt;/R&gt;&lt;C&gt;1&lt;/C&gt;&lt;D xsi:type="xsd:double"&gt;473.0769&lt;/D&gt;&lt;/FQL&gt;&lt;FQL&gt;&lt;Q&gt;CMI^ECQ_MEAN_EBIT(2012/2C,NOW)&lt;/Q&gt;&lt;R&gt;1&lt;/R&gt;&lt;C&gt;1&lt;/C&gt;&lt;D xsi:type="xsd:double"&gt;629&lt;/D&gt;&lt;/FQL&gt;&lt;FQL&gt;&lt;Q&gt;CMI^ECQ_MEAN_EBIT(2012,NOW)&lt;/Q&gt;&lt;R&gt;0&lt;/R&gt;&lt;C&gt;0&lt;/C&gt;&lt;/FQL&gt;&lt;FQL&gt;&lt;Q&gt;CMI^ECQ_MEAN_EBIT(2012/1C,NOW)&lt;/Q&gt;&lt;R&gt;1&lt;/R&gt;&lt;C&gt;1&lt;/C&gt;&lt;D xsi:type="xsd:double"&gt;621.80000000000007&lt;/D&gt;&lt;/FQL&gt;&lt;FQL&gt;&lt;Q&gt;CMI^ECA_MEAN_EBIT(2011,NOW)&lt;/Q&gt;&lt;R&gt;1&lt;/R&gt;&lt;C&gt;1&lt;/C&gt;&lt;D xsi:type="xsd:double"&gt;2420.7290000000003&lt;/D&gt;&lt;/FQL&gt;&lt;FQL&gt;&lt;Q&gt;CMI^ECQ_MEAN_EBIT(2011/4C,NOW)&lt;/Q&gt;&lt;R&gt;1&lt;/R&gt;&lt;C&gt;1&lt;/C&gt;&lt;D xsi:type="xsd:double"&gt;648.5&lt;/D&gt;&lt;/FQL&gt;&lt;FQL&gt;&lt;Q&gt;CMI^ECQ_MEAN_EBIT(2011/3C,NOW)&lt;/Q&gt;&lt;R&gt;1&lt;/R&gt;&lt;C&gt;1&lt;/C&gt;&lt;D xsi:type="xsd:double"&gt;619.1&lt;/D&gt;&lt;/FQL&gt;&lt;FQL&gt;&lt;Q&gt;CMI^ECQ_MEAN_EBIT(2013,NOW)&lt;/Q&gt;&lt;R&gt;0&lt;/R&gt;&lt;C&gt;0&lt;/C&gt;&lt;/FQL&gt;&lt;FQL&gt;&lt;Q&gt;CMI^ECQ_MEAN_EBIT(2011/2C,NOW)&lt;/Q&gt;&lt;R&gt;1&lt;/R&gt;&lt;C&gt;1&lt;/C&gt;&lt;D xsi:type="xsd:double"&gt;685.5555&lt;/D&gt;&lt;/FQL&gt;&lt;FQL&gt;&lt;Q&gt;CMI^ECQ_MEAN_EBIT(2011/1C,NOW)&lt;/Q&gt;&lt;R&gt;1&lt;/R&gt;&lt;C&gt;1&lt;/C&gt;&lt;D xsi:type="xsd:double"&gt;510&lt;/D&gt;&lt;/FQL&gt;&lt;FQL&gt;&lt;Q&gt;CMI^ECA_MEAN_EBITD(2017,NOW)&lt;/Q&gt;&lt;R&gt;1&lt;/R&gt;&lt;C&gt;1&lt;/C&gt;&lt;D xsi:type="xsd:double"&gt;3705&lt;/D&gt;&lt;/FQL&gt;&lt;FQL&gt;&lt;Q&gt;CMI^ECQ_MEAN_EBITD(2017/4C,NOW)&lt;/Q&gt;&lt;R&gt;0&lt;/R&gt;&lt;C&gt;0&lt;/C&gt;&lt;/FQL&gt;&lt;FQL&gt;&lt;Q&gt;CMI^ECQ_MEAN_EBIT(2014,NOW)&lt;/Q&gt;&lt;R&gt;0&lt;/R&gt;&lt;C&gt;0&lt;/C&gt;&lt;/FQL&gt;&lt;FQL&gt;&lt;Q&gt;CMI^ECQ_MEAN_EBITD(2017/3C,NOW)&lt;/Q&gt;&lt;R&gt;0&lt;/R&gt;&lt;C&gt;0&lt;/C&gt;&lt;/FQL&gt;&lt;FQL&gt;&lt;Q&gt;CMI^ECQ_MEAN_EBITD(2017/2C,NOW)&lt;/Q&gt;&lt;R&gt;0&lt;/R&gt;&lt;C&gt;0&lt;/C&gt;&lt;/FQL&gt;&lt;FQL&gt;&lt;Q&gt;CMI^ECQ_MEAN_EBITD(2017/1C,NOW)&lt;/Q&gt;&lt;R&gt;0&lt;/R&gt;&lt;C&gt;0&lt;/C&gt;&lt;/FQL&gt;&lt;FQL&gt;&lt;Q&gt;CMI^ECA_MEAN_EBITD(2016,NOW)&lt;/Q&gt;&lt;R&gt;1&lt;/R&gt;&lt;C&gt;1&lt;/C&gt;&lt;D xsi:type="xsd:double"&gt;3746.0840000000003&lt;/D&gt;&lt;/FQL&gt;&lt;FQL&gt;&lt;Q&gt;CMI^ECQ_MEAN_EBIT(2015,NOW)&lt;/Q&gt;&lt;R&gt;0&lt;/R&gt;&lt;C&gt;0&lt;/C&gt;&lt;/FQL&gt;&lt;FQL&gt;&lt;Q&gt;CMI^ECQ_MEAN_EBITD(2016/4C,NOW)&lt;/Q&gt;&lt;R&gt;1&lt;/R&gt;&lt;C&gt;1&lt;/C&gt;&lt;D xsi:type="xsd:double"&gt;957.5&lt;/D&gt;&lt;/FQL&gt;&lt;FQL&gt;&lt;Q&gt;CMI^ECQ_MEAN_EBITD(2016/3C,NOW)&lt;/Q&gt;&lt;R&gt;1&lt;/R&gt;&lt;C&gt;1&lt;/C&gt;&lt;D xsi:type="xsd:double"&gt;929.30000000000007&lt;/D&gt;&lt;/FQL&gt;&lt;FQL&gt;&lt;Q&gt;CMI^ECQ_MEAN_EBITD(2016/2C,NOW)&lt;/Q&gt;&lt;R&gt;1&lt;/R&gt;&lt;C&gt;1&lt;/C&gt;&lt;D xsi:type="xsd:double"&gt;959&lt;/D&gt;&lt;/FQL&gt;&lt;FQL&gt;&lt;Q&gt;CMI^ECQ_MEAN_EBITD(2016/1C,NOW)&lt;/Q&gt;&lt;R&gt;1&lt;/R&gt;&lt;C&gt;1&lt;/C&gt;&lt;D xsi:type="xsd:double"&gt;784.6&lt;/D&gt;&lt;/FQL&gt;&lt;FQL&gt;&lt;Q&gt;CMI^ECQ_MEAN_EBIT(2016,NOW)&lt;/Q&gt;&lt;R&gt;0&lt;/R&gt;&lt;C&gt;0&lt;/C&gt;&lt;/FQL&gt;&lt;FQL&gt;&lt;Q&gt;CMI^ECA_MEAN_EBITD(2015,NOW)&lt;/Q&gt;&lt;R&gt;1&lt;/R&gt;&lt;C&gt;1&lt;/C&gt;&lt;D xsi:type="xsd:double"&gt;3276.406&lt;/D&gt;&lt;/FQL&gt;&lt;FQL&gt;&lt;Q&gt;CMI^ECQ_MEAN_EBITD(2015/4C,NOW)&lt;/Q&gt;&lt;R&gt;1&lt;/R&gt;&lt;C&gt;1&lt;/C&gt;&lt;D xsi:type="xsd:double"&gt;906.54&lt;/D&gt;&lt;/FQL&gt;&lt;FQL&gt;&lt;Q&gt;CMI^ECQ_MEAN_EBITD(2015/3C,NOW)&lt;/Q&gt;&lt;R&gt;1&lt;/R&gt;&lt;C&gt;1&lt;/C&gt;&lt;D xsi:type="xsd:double"&gt;874.86&lt;/D&gt;&lt;/FQL&gt;&lt;FQL&gt;&lt;Q&gt;CMI^ECQ_MEAN_EBITD(2015/2C,NOW)&lt;/Q&gt;&lt;R&gt;1&lt;/R&gt;&lt;C&gt;1&lt;/C&gt;&lt;D xsi:type="xsd:double"&gt;870.44&lt;/D&gt;&lt;/FQL&gt;&lt;FQL&gt;&lt;Q&gt;CMI^ECQ_MEAN_EBIT(2017,NOW)&lt;/Q&gt;&lt;R&gt;0&lt;/R&gt;&lt;C&gt;0&lt;/C&gt;&lt;/FQL&gt;&lt;FQL&gt;&lt;Q&gt;CMI^ECQ_MEAN_EBITD(2015/1C,NOW)&lt;/Q&gt;&lt;R&gt;1&lt;/R&gt;&lt;C&gt;1&lt;/C&gt;&lt;D xsi:type="xsd:double"&gt;743.44&lt;/D&gt;&lt;/FQL&gt;&lt;FQL&gt;&lt;Q&gt;CMI^ECA_MEAN_EBITD(2014,NOW)&lt;/Q&gt;&lt;R&gt;1&lt;/R&gt;&lt;C&gt;1&lt;/C&gt;&lt;D xsi:type="xsd:double"&gt;2942.2690000000002&lt;/D&gt;&lt;/FQL&gt;&lt;FQL&gt;&lt;Q&gt;CMI^ECQ_MEAN_EBITD(2014/4C,NOW)&lt;/Q&gt;&lt;R&gt;1&lt;/R&gt;&lt;C&gt;1&lt;/C&gt;&lt;D xsi:type="xsd:double"&gt;797.46250000000009&lt;/D&gt;&lt;/FQL&gt;&lt;FQL&gt;&lt;Q&gt;CMI^ECQ_MEAN_EBITD(2014/3C,NOW)&lt;/Q&gt;&lt;R&gt;1&lt;/R&gt;&lt;C&gt;1&lt;/C&gt;&lt;D xsi:type="xsd:double"&gt;785.25&lt;/D&gt;&lt;/FQL&gt;&lt;FQL&gt;&lt;Q&gt;CMI^ECQ_MEAN_NET(2011,NOW)&lt;/Q&gt;&lt;R&gt;0&lt;/R&gt;&lt;C&gt;0&lt;/C&gt;&lt;/FQL&gt;&lt;FQL&gt;&lt;Q&gt;CMI^ECQ_MEAN_EBITD(2014/2C,NOW)&lt;/Q&gt;&lt;R&gt;1&lt;/R&gt;&lt;C&gt;1&lt;/C&gt;&lt;D xsi:type="xsd:double"&gt;749.5&lt;/D&gt;&lt;/FQL&gt;&lt;FQL&gt;&lt;Q&gt;CMI^ECQ_MEAN_EBITD(2014/1C,NOW)&lt;/Q&gt;&lt;R&gt;1&lt;/R&gt;&lt;C&gt;1&lt;/C&gt;&lt;D xsi:type="xsd:double"&gt;612.3428&lt;/D&gt;&lt;/FQL&gt;&lt;FQL&gt;&lt;Q&gt;CMI^ECA_MEAN_EBITD(2013,NOW)&lt;/Q&gt;&lt;R&gt;1&lt;/R&gt;&lt;C&gt;1&lt;/C&gt;&lt;D xsi:type="xsd:double"&gt;2451.034&lt;/D&gt;&lt;/FQL&gt;&lt;FQL&gt;&lt;Q&gt;CMI^ECQ_MEAN_EBITD(2013/4C,NOW)&lt;/Q&gt;&lt;R&gt;1&lt;/R&gt;&lt;C&gt;1&lt;/C&gt;&lt;D xsi:type="xsd:double"&gt;641.8754&lt;/D&gt;&lt;/FQL&gt;&lt;FQL&gt;&lt;Q&gt;CMI^ECQ_MEAN_NET(2012,NOW)&lt;/Q&gt;&lt;R&gt;0&lt;/R&gt;&lt;C&gt;0&lt;/C&gt;&lt;/FQL&gt;&lt;FQL&gt;&lt;Q&gt;CMI^ECQ_MEAN_EBITD(2013/3C,NOW)&lt;/Q&gt;&lt;R&gt;1&lt;/R&gt;&lt;C&gt;1&lt;/C&gt;&lt;D xsi:type="xsd:double"&gt;613.544&lt;/D&gt;&lt;/FQL&gt;&lt;FQL&gt;&lt;Q&gt;CMI^ECQ_MEAN_EBITD(2013/2C,NOW)&lt;/Q&gt;&lt;R&gt;1&lt;/R&gt;&lt;C&gt;1&lt;/C&gt;&lt;D xsi:type="xsd:double"&gt;685.7806&lt;/D&gt;&lt;/FQL&gt;&lt;FQL&gt;&lt;Q&gt;CMI^ECQ_MEAN_EBITD(2013/1C,NOW)&lt;/Q&gt;&lt;R&gt;1&lt;/R&gt;&lt;C&gt;1&lt;/C&gt;&lt;D xsi:type="xsd:double"&gt;498.1429&lt;/D&gt;&lt;/FQL&gt;&lt;FQL&gt;&lt;Q&gt;CMI^ECA_MEAN_EBITD(2012,NOW)&lt;/Q&gt;&lt;R&gt;1&lt;/R&gt;&lt;C&gt;1&lt;/C&gt;&lt;D xsi:type="xsd:double"&gt;2587.424&lt;/D&gt;&lt;/FQL&gt;&lt;FQL&gt;&lt;Q&gt;CMI^ECQ_MEAN_NET(2013,NOW)&lt;/Q&gt;&lt;R&gt;0&lt;/R&gt;&lt;C&gt;0&lt;/C&gt;&lt;/FQL&gt;&lt;FQL&gt;&lt;Q&gt;CMI^ECQ_MEAN_EBITD(2012/4C,NOW)&lt;/Q&gt;&lt;R&gt;1&lt;/R&gt;&lt;C&gt;1&lt;/C&gt;&lt;D xsi:type="xsd:double"&gt;588.2893&lt;/D&gt;&lt;/FQL&gt;&lt;FQL&gt;&lt;Q&gt;CMI^ECQ_MEAN_EBITD(2012/3C,NOW)&lt;/Q&gt;&lt;R&gt;1&lt;/R&gt;&lt;C&gt;1&lt;/C&gt;&lt;D xsi:type="xsd:double"&gt;553.3333&lt;/D&gt;&lt;/FQL&gt;&lt;FQL&gt;&lt;Q&gt;CMI^ECQ_MEAN_EBITD(2012/2C,NOW)&lt;/Q&gt;&lt;R&gt;1&lt;/R&gt;&lt;C&gt;1&lt;/C&gt;&lt;D xsi:type="xsd:double"&gt;718.40000000000009&lt;/D&gt;&lt;/FQL&gt;&lt;FQL&gt;&lt;Q&gt;CMI^ECQ_MEAN_EBITD(2012/1C,NOW)&lt;/Q&gt;&lt;R&gt;1&lt;/R&gt;&lt;C&gt;1&lt;/C&gt;&lt;D xsi:type="xsd:double"&gt;710&lt;/D&gt;&lt;/FQL&gt;&lt;FQL&gt;&lt;Q&gt;CMI^ECQ_MEAN_NET(2014,NOW)&lt;/Q&gt;&lt;R&gt;0&lt;/R&gt;&lt;C&gt;0&lt;/C&gt;&lt;/FQL&gt;&lt;FQL&gt;&lt;Q&gt;CMI^ECA_MEAN_EBITD(2011,NOW)&lt;/Q&gt;&lt;R&gt;1&lt;/R&gt;&lt;C&gt;1&lt;/C&gt;&lt;D xsi:type="xsd:double"&gt;2766.924&lt;/D&gt;&lt;/FQL&gt;&lt;FQL&gt;&lt;Q&gt;CMI^ECQ_MEAN_EBITD(2011/4C,NOW)&lt;/Q&gt;&lt;R&gt;1&lt;/R&gt;&lt;C&gt;1&lt;/C&gt;&lt;D xsi:type="xsd:double"&gt;741.0107&lt;/D&gt;&lt;/FQL&gt;&lt;FQL&gt;&lt;Q&gt;CMI^ECQ_MEAN_EBITD(2011/3C,NOW)&lt;/Q&gt;&lt;R&gt;1&lt;/R&gt;&lt;C&gt;1&lt;/C&gt;&lt;D xsi:type="xsd:double"&gt;697.5&lt;/D&gt;&lt;/FQL&gt;&lt;FQL&gt;&lt;Q&gt;CMI^ECQ_MEAN_EBITD(2011/2C,NOW)&lt;/Q&gt;&lt;R&gt;1&lt;/R&gt;&lt;C&gt;1&lt;/C&gt;&lt;D xsi:type="xsd:double"&gt;737.6&lt;/D&gt;&lt;/FQL&gt;&lt;FQL&gt;&lt;Q&gt;CMI^ECQ_MEAN_NET(2015,NOW)&lt;/Q&gt;&lt;R&gt;0&lt;/R&gt;&lt;C&gt;0&lt;/C&gt;&lt;/FQL&gt;&lt;FQL&gt;&lt;Q&gt;CMI^ECQ_MEAN_EBITD(2011/1C,NOW)&lt;/Q&gt;&lt;R&gt;1&lt;/R&gt;&lt;C&gt;1&lt;/C&gt;&lt;D xsi:type="xsd:double"&gt;596&lt;/D&gt;&lt;/FQL&gt;&lt;FQL&gt;&lt;Q&gt;CMI^ECA_MEAN_SALES(2017,NOW)&lt;/Q&gt;&lt;R&gt;1&lt;/R&gt;&lt;C&gt;1&lt;/C&gt;&lt;D xsi:type="xsd:double"&gt;23379&lt;/D&gt;&lt;/FQL&gt;&lt;FQL&gt;&lt;Q&gt;CMI^ECQ_MEAN_SALES(2017/4C,NOW)&lt;/Q&gt;&lt;R&gt;0&lt;/R&gt;&lt;C&gt;0&lt;/C&gt;&lt;/FQL&gt;&lt;FQL&gt;&lt;Q&gt;CMI^ECQ_MEAN_SALES(2017/3C,NOW)&lt;/Q&gt;&lt;R&gt;0&lt;/R&gt;&lt;C&gt;0&lt;/C&gt;&lt;/FQL&gt;&lt;FQL&gt;&lt;Q&gt;CMI^ECQ_MEAN_NET(2016,NOW)&lt;/Q&gt;&lt;R&gt;0&lt;/R&gt;&lt;C&gt;0&lt;/C&gt;&lt;/FQL&gt;&lt;FQL&gt;&lt;Q&gt;CMI^ECQ_MEAN_SALES(2017/2C,NOW)&lt;/Q&gt;&lt;R&gt;0&lt;/R&gt;&lt;C&gt;0&lt;/C&gt;&lt;/FQL&gt;&lt;FQL&gt;&lt;Q&gt;CMI^ECQ_MEAN_SALES(2017/1C,NOW)&lt;/Q&gt;&lt;R&gt;0&lt;/R&gt;&lt;C&gt;0&lt;/C&gt;&lt;/FQL&gt;&lt;FQL&gt;&lt;Q&gt;CMI^ECA_MEAN_SALES(2016,NOW)&lt;/Q&gt;&lt;R&gt;1&lt;/R&gt;&lt;C&gt;1&lt;/C&gt;&lt;D xsi:type="xsd:double"&gt;22629.29&lt;/D&gt;&lt;/FQL&gt;&lt;FQL&gt;&lt;Q&gt;CMI^ECQ_MEAN_SALES(2016/4C,NOW)&lt;/Q&gt;&lt;R&gt;1&lt;/R&gt;&lt;C&gt;1&lt;/C&gt;&lt;D xsi:type="xsd:double"&gt;5924.5&lt;/D&gt;&lt;/FQL&gt;&lt;FQL&gt;&lt;Q&gt;CMI^ECQ_MEAN_NET(2017,NOW)&lt;/Q&gt;&lt;R&gt;0&lt;/R&gt;&lt;C&gt;0&lt;/C&gt;&lt;/FQL&gt;&lt;FQL&gt;&lt;Q&gt;CMI^ECQ_MEAN_SALES(2016/3C,NOW)&lt;/Q&gt;&lt;R&gt;1&lt;/R&gt;&lt;C&gt;1&lt;/C&gt;&lt;D xsi:type="xsd:double"&gt;5724.3&lt;/D&gt;&lt;/FQL&gt;&lt;FQL&gt;&lt;Q&gt;CMI^ECQ_MEAN_SALES(2016/2C,NOW)&lt;/Q&gt;&lt;R&gt;1&lt;/R&gt;&lt;C&gt;1&lt;/C&gt;&lt;D xsi:type="xsd:double"&gt;5963.4000000000005&lt;/D&gt;&lt;/FQL&gt;&lt;FQL&gt;&lt;Q&gt;CMI^ECQ_MEAN_SALES(2016/1C,NOW)&lt;/Q&gt;&lt;R&gt;1&lt;/R&gt;&lt;C&gt;1&lt;/C&gt;&lt;D xsi:type="xsd:double"&gt;5194.1&lt;/D&gt;&lt;/FQL&gt;&lt;FQL&gt;&lt;Q&gt;CMI^ECA_MEAN_SALES(2015,NOW)&lt;/Q&gt;&lt;R&gt;1&lt;/R&gt;&lt;C&gt;1&lt;/C&gt;&lt;D xsi:type="xsd:double"&gt;20995.760000000002&lt;/D&gt;&lt;/FQL&gt;&lt;FQL&gt;&lt;Q&gt;CMI^ECQ_MEAN_EPS(2011,NOW)&lt;/Q&gt;&lt;R&gt;0&lt;/R&gt;&lt;C&gt;0&lt;/C&gt;&lt;/FQL&gt;&lt;FQL&gt;&lt;Q&gt;CMI^ECQ_MEAN_SALES(2015/4C,NOW)&lt;/Q&gt;&lt;R&gt;1&lt;/R&gt;&lt;C&gt;1&lt;/C&gt;&lt;D xsi:type="xsd:double"&gt;5501.567&lt;/D&gt;&lt;/FQL&gt;&lt;FQL&gt;&lt;Q&gt;CMI^ECQ_MEAN_SALES(2015/3C,NOW)&lt;/Q&gt;&lt;R&gt;1&lt;/R&gt;&lt;C&gt;1&lt;/C&gt;&lt;D xsi:type="xsd:double"&gt;5362.4000000000005&lt;/D&gt;&lt;/FQL&gt;&lt;FQL&gt;&lt;Q&gt;CMI^ECQ_MEAN_SALES(2015/2C,NOW)&lt;/Q&gt;&lt;R&gt;1&lt;/R&gt;&lt;C&gt;1&lt;/C&gt;&lt;D xsi:type="xsd:double"&gt;5353.637&lt;/D&gt;&lt;/FQL&gt;&lt;FQL&gt;&lt;Q&gt;CMI^ECQ_MEAN_SALES(2015/1C,NOW)&lt;/Q&gt;&lt;R&gt;1&lt;/R&gt;&lt;C&gt;1&lt;/C&gt;&lt;D xsi:type="xsd:double"&gt;4845.941&lt;/D&gt;&lt;/FQL&gt;&lt;FQL&gt;&lt;Q&gt;CMI^ECQ_MEAN_EPS(2012,NOW)&lt;/Q&gt;&lt;R&gt;0&lt;/R&gt;&lt;C&gt;0&lt;/C&gt;&lt;/FQL&gt;&lt;FQL&gt;&lt;Q&gt;CMI^ECA_MEAN_SALES(2014,NOW)&lt;/Q&gt;&lt;R&gt;1&lt;/R&gt;&lt;C&gt;1&lt;/C&gt;&lt;D xsi:type="xsd:double"&gt;19141.9&lt;/D&gt;&lt;/FQL&gt;&lt;FQL&gt;&lt;Q&gt;CMI^ECQ_MEAN_SALES(2014/4C,NOW)&lt;/Q&gt;&lt;R&gt;1&lt;/R&gt;&lt;C&gt;1&lt;/C&gt;&lt;D xsi:type="xsd:double"&gt;5032.313&lt;/D&gt;&lt;/FQL&gt;&lt;FQL&gt;&lt;Q&gt;CMI^ECQ_MEAN_SALES(2014/3C,NOW)&lt;/Q&gt;&lt;R&gt;1&lt;/R&gt;&lt;C&gt;1&lt;/C&gt;&lt;D xsi:type="xsd:double"&gt;4890&lt;/D&gt;&lt;/FQL&gt;&lt;FQL&gt;&lt;Q&gt;CMI^ECQ_MEAN_SALES(2014/2C,NOW)&lt;/Q&gt;&lt;R&gt;1&lt;/R&gt;&lt;C&gt;1&lt;/C&gt;&lt;D xsi:type="xsd:double"&gt;4835&lt;/D&gt;&lt;/FQL&gt;&lt;FQL&gt;&lt;Q&gt;CMI^ECQ_MEAN_EPS(2013,NOW)&lt;/Q&gt;&lt;R&gt;0&lt;/R&gt;&lt;C&gt;0&lt;/C&gt;&lt;/FQL&gt;&lt;FQL&gt;&lt;Q&gt;CMI^ECQ_MEAN_SALES(2014/1C,NOW)&lt;/Q&gt;&lt;R&gt;1&lt;/R&gt;&lt;C&gt;1&lt;/C&gt;&lt;D xsi:type="xsd:double"&gt;4406&lt;/D&gt;&lt;/FQL&gt;&lt;FQL&gt;&lt;Q&gt;CMI^ECA_MEAN_SALES(2013,NOW)&lt;/Q&gt;&lt;R&gt;1&lt;/R&gt;&lt;C&gt;1&lt;/C&gt;&lt;D xsi:type="xsd:double"&gt;17301&lt;/D&gt;&lt;/FQL&gt;&lt;FQL&gt;&lt;Q&gt;CMI^ECQ_MEAN_SALES(2013/4C,NOW)&lt;/Q&gt;&lt;R&gt;1&lt;/R&gt;&lt;C&gt;1&lt;/C&gt;&lt;D xsi:type="xsd:double"&gt;4588&lt;/D&gt;&lt;/FQL&gt;&lt;FQL&gt;&lt;Q&gt;CMI^ECQ_MEAN_SALES(2013/3C,NOW)&lt;/Q&gt;&lt;R&gt;1&lt;/R&gt;&lt;C&gt;1&lt;/C&gt;&lt;D xsi:type="xsd:double"&gt;4266&lt;/D&gt;&lt;/FQL&gt;&lt;FQL&gt;&lt;Q&gt;CMI^ECQ_MEAN_EPS(2014,NOW)&lt;/Q&gt;&lt;R&gt;0&lt;/R&gt;&lt;C&gt;0&lt;/C&gt;&lt;/FQL&gt;&lt;FQL&gt;&lt;Q&gt;CMI^ECQ_MEAN_SALES(2013/2C,NOW)&lt;/Q&gt;&lt;R&gt;1&lt;/R&gt;&lt;C&gt;1&lt;/C&gt;&lt;D xsi:type="xsd:double"&gt;4525&lt;/D&gt;&lt;/FQL&gt;&lt;FQL&gt;&lt;Q&gt;CMI^ECQ_MEAN_SALES(2013/1C,NOW)&lt;/Q&gt;&lt;R&gt;1&lt;/R&gt;&lt;C&gt;1&lt;/C&gt;&lt;D xsi:type="xsd:double"&gt;3922&lt;/D&gt;&lt;/FQL&gt;&lt;FQL&gt;&lt;Q&gt;CMI^ECA_MEAN_SALES(2012,NOW)&lt;/Q&gt;&lt;R&gt;1&lt;/R&gt;&lt;C&gt;1&lt;/C&gt;&lt;D xsi:type="xsd:double"&gt;17334&lt;/D&gt;&lt;/FQL&gt;&lt;FQL&gt;&lt;Q&gt;CMI^ECQ_MEAN_SALES(2012/4C,NOW)&lt;/Q&gt;&lt;R&gt;1&lt;/R&gt;&lt;C&gt;1&lt;/C&gt;&lt;D xsi:type="xsd:double"&gt;4292&lt;/D&gt;&lt;/FQL&gt;&lt;FQL&gt;&lt;Q&gt;CMI^ECQ_MEAN_EPS(2015,NOW)&lt;/Q&gt;&lt;R&gt;0&lt;/R&gt;&lt;C&gt;0&lt;/C&gt;&lt;/FQL&gt;&lt;FQL&gt;&lt;Q&gt;CMI^ECQ_MEAN_SALES(2012/3C,NOW)&lt;/Q&gt;&lt;R&gt;1&lt;/R&gt;&lt;C&gt;1&lt;/C&gt;&lt;D xsi:type="xsd:double"&gt;4118&lt;/D&gt;&lt;/FQL&gt;&lt;FQL&gt;&lt;Q&gt;CMI^ECQ_MEAN_SALES(2012/2C,NOW)&lt;/Q&gt;&lt;R&gt;1&lt;/R&gt;&lt;C&gt;1&lt;/C&gt;&lt;D xsi:type="xsd:double"&gt;4452&lt;/D&gt;&lt;/FQL&gt;&lt;FQL&gt;&lt;Q&gt;CMI^ECQ_MEAN_SALES(2012/1C,NOW)&lt;/Q&gt;&lt;R&gt;1&lt;/R&gt;&lt;C&gt;1&lt;/C&gt;&lt;D xsi:type="xsd:double"&gt;4472&lt;/D&gt;&lt;/FQL&gt;&lt;FQL&gt;&lt;Q&gt;CMI^ECA_MEAN_SALES(2011,NOW)&lt;/Q&gt;&lt;R&gt;1&lt;/R&gt;&lt;C&gt;1&lt;/C&gt;&lt;D xsi:type="xsd:double"&gt;18048&lt;/D&gt;&lt;/FQL&gt;&lt;FQL&gt;&lt;Q&gt;CMI^ECQ_MEAN_EPS(2016,NOW)&lt;/Q&gt;&lt;R&gt;0&lt;/R&gt;&lt;C&gt;0&lt;/C&gt;&lt;/FQL&gt;&lt;FQL&gt;&lt;Q&gt;CMI^ECQ_MEAN_SALES(2011/4C,NOW)&lt;/Q&gt;&lt;R&gt;1&lt;/R&gt;&lt;C&gt;1&lt;/C&gt;&lt;D xsi:type="xsd:double"&gt;4921&lt;/D&gt;&lt;/FQL&gt;&lt;FQL&gt;&lt;Q&gt;CMI^ECQ_MEAN_SALES(2011/3C,NOW)&lt;/Q&gt;&lt;R&gt;1&lt;/R&gt;&lt;C&gt;1&lt;/C&gt;&lt;D xsi:type="xsd:double"&gt;4626&lt;/D&gt;&lt;/FQL&gt;&lt;FQL&gt;&lt;Q&gt;CMI^ECQ_MEAN_SALES(2011/2C,NOW)&lt;/Q&gt;&lt;R&gt;1&lt;/R&gt;&lt;C&gt;1&lt;/C&gt;&lt;D xsi:type="xsd:double"&gt;4641&lt;/D&gt;&lt;/FQL&gt;&lt;FQL&gt;&lt;Q&gt;CMI^ECQ_MEAN_SALES(2011/1C,NOW)&lt;/Q&gt;&lt;R&gt;1&lt;/R&gt;&lt;C&gt;1&lt;/C&gt;&lt;D xsi:type="xsd:double"&gt;3860&lt;/D&gt;&lt;/FQL&gt;&lt;FQL&gt;&lt;Q&gt;CMI^ECQ_MEAN_EPS(2017,NOW)&lt;/Q&gt;&lt;R&gt;0&lt;/R&gt;&lt;C&gt;0&lt;/C&gt;&lt;/FQL&gt;&lt;FQL&gt;&lt;Q&gt;CMI^ECA_MEAN_SALES(2010,NOW)&lt;/Q&gt;&lt;R&gt;1&lt;/R&gt;&lt;C&gt;1&lt;/C&gt;&lt;D xsi:type="xsd:double"&gt;13226&lt;/D&gt;&lt;/FQL&gt;&lt;FQL&gt;&lt;Q&gt;CMI^ECA_MEAN_EBITD(2010,NOW)&lt;/Q&gt;&lt;R&gt;1&lt;/R&gt;&lt;C&gt;1&lt;/C&gt;&lt;D xsi:type="xsd:double"&gt;1893.857&lt;/D&gt;&lt;/FQL&gt;&lt;FQL&gt;&lt;Q&gt;CMI^ECA_MEAN_EBIT(2010,NOW)&lt;/Q&gt;&lt;R&gt;1&lt;/R&gt;&lt;C&gt;1&lt;/C&gt;&lt;D xsi:type="xsd:double"&gt;1543.6670000000001&lt;/D&gt;&lt;/FQL&gt;&lt;FQL&gt;&lt;Q&gt;CMI^ECA_MEAN_NET(2010,NOW)&lt;/Q&gt;&lt;R&gt;1&lt;/R&gt;&lt;C&gt;1&lt;/C&gt;&lt;D xsi:type="xsd:double"&gt;1040&lt;/D&gt;&lt;/FQL&gt;&lt;FQL&gt;&lt;Q&gt;CMI^ECA_MEAN_EPS(2010,NOW)&lt;/Q&gt;&lt;R&gt;1&lt;/R&gt;&lt;C&gt;1&lt;/C&gt;&lt;D xsi:type="xsd:double"&gt;5.17323&lt;/D&gt;&lt;/FQL&gt;&lt;FQL&gt;&lt;Q&gt;CMI^ECQ_MEAN_EPS(2011/1C,NOW)&lt;/Q&gt;&lt;R&gt;1&lt;/R&gt;&lt;C&gt;1&lt;/C&gt;&lt;D xsi:type="xsd:double"&gt;1.75&lt;/D&gt;&lt;/FQL&gt;&lt;FQL&gt;&lt;Q&gt;CMI^ECQ_MEAN_EPS(2011/2C,NOW)&lt;/Q&gt;&lt;R&gt;1&lt;/R&gt;&lt;C&gt;1&lt;/C&gt;&lt;D xsi:type="xsd:double"&gt;2.41&lt;/D&gt;&lt;/FQL&gt;&lt;FQL&gt;&lt;Q&gt;CMI^ECQ_MEAN_EPS(2011/3C,NOW)&lt;/Q&gt;&lt;R&gt;1&lt;/R&gt;&lt;C&gt;1&lt;/C&gt;&lt;D xsi:type="xsd:double"&gt;2.35&lt;/D&gt;&lt;/FQL&gt;&lt;FQL&gt;&lt;Q&gt;CMI^ECQ_MEAN_EPS(2011/4C,NOW)&lt;/Q&gt;&lt;R&gt;1&lt;/R&gt;&lt;C&gt;1&lt;/C&gt;&lt;D xsi:type="xsd:double"&gt;2.56&lt;/D&gt;&lt;/FQL&gt;&lt;FQL&gt;&lt;Q&gt;CMI^ECA_MEAN_EPS(2011,NOW)&lt;/Q&gt;&lt;R&gt;1&lt;/R&gt;&lt;C&gt;1&lt;/C&gt;&lt;D xsi:type="xsd:double"&gt;9.07&lt;/D&gt;&lt;/FQL&gt;&lt;FQL&gt;&lt;Q&gt;CMI^ECQ_MEAN_EPS(2012/1C,NOW)&lt;/Q&gt;&lt;R&gt;1&lt;/R&gt;&lt;C&gt;1&lt;/C&gt;&lt;D xsi:type="xsd:double"&gt;2.38&lt;/D&gt;&lt;/FQL&gt;&lt;FQL&gt;&lt;Q&gt;CMI^ECQ_MEAN_EPS(2012/2C,NOW)&lt;/Q&gt;&lt;R&gt;1&lt;/R&gt;&lt;C&gt;1&lt;/C&gt;&lt;D xsi:type="xsd:double"&gt;2.45&lt;/D&gt;&lt;/FQL&gt;&lt;FQL&gt;&lt;Q&gt;CMI^ECQ_MEAN_EPS(2012/3C,NOW)&lt;/Q&gt;&lt;R&gt;1&lt;/R&gt;&lt;C&gt;1&lt;/C&gt;&lt;D xsi:type="xsd:double"&gt;1.78&lt;/D&gt;&lt;/FQL&gt;&lt;FQL&gt;&lt;Q&gt;CMI^ECQ_MEAN_EPS(2012/4C,NOW)&lt;/Q&gt;&lt;R&gt;1&lt;/R&gt;&lt;C&gt;1&lt;/C&gt;&lt;D xsi:type="xsd:double"&gt;2&lt;/D&gt;&lt;/FQL&gt;&lt;FQL&gt;&lt;Q&gt;CMI^ECA_MEAN_EPS(2012,NOW)&lt;/Q&gt;&lt;R&gt;1&lt;/R&gt;&lt;C&gt;1&lt;/C&gt;&lt;D xsi:type="xsd:double"&gt;8.61&lt;/D&gt;&lt;/FQL&gt;&lt;FQL&gt;&lt;Q&gt;CMI^ECQ_MEAN_EPS(2013/1C,NOW)&lt;/Q&gt;&lt;R&gt;1&lt;/R&gt;&lt;C&gt;1&lt;/C&gt;&lt;D xsi:type="xsd:double"&gt;1.44&lt;/D&gt;&lt;/FQL&gt;&lt;FQL&gt;&lt;Q&gt;CMI^ECQ_MEAN_EPS(2013/2C,NOW)&lt;/Q&gt;&lt;R&gt;1&lt;/R&gt;&lt;C&gt;1&lt;/C&gt;&lt;D xsi:type="xsd:double"&gt;2.2&lt;/D&gt;&lt;/FQL&gt;&lt;FQL&gt;&lt;Q&gt;CMI^ECQ_MEAN_EPS(2013/3C,NOW)&lt;/Q&gt;&lt;R&gt;1&lt;/R&gt;&lt;C&gt;1&lt;/C&gt;&lt;D xsi:type="xsd:double"&gt;1.94&lt;/D&gt;&lt;/FQL&gt;&lt;FQL&gt;&lt;Q&gt;CMI^ECQ_MEAN_EPS(2013/4C,NOW)&lt;/Q&gt;&lt;R&gt;1&lt;/R&gt;&lt;C&gt;1&lt;/C&gt;&lt;D xsi:type="xsd:double"&gt;1.94&lt;/D&gt;&lt;/FQL&gt;&lt;FQL&gt;&lt;Q&gt;CMI^ECA_MEAN_EPS(2013,NOW)&lt;/Q&gt;&lt;R&gt;1&lt;/R&gt;&lt;C&gt;1&lt;/C&gt;&lt;D xsi:type="xsd:double"&gt;7.5200000000000005&lt;/D&gt;&lt;/FQL&gt;&lt;FQL&gt;&lt;Q&gt;CMI^ECQ_MEAN_EPS(2014/1C,NOW)&lt;/Q&gt;&lt;R&gt;1&lt;/R&gt;&lt;C&gt;1&lt;/C&gt;&lt;D xsi:type="xsd:double"&gt;1.83&lt;/D&gt;&lt;/FQL&gt;&lt;FQL&gt;&lt;Q&gt;CMI^ECQ_MEAN_EPS(2014/2C,NOW)&lt;/Q&gt;&lt;R&gt;1&lt;/R&gt;&lt;C&gt;1&lt;/C&gt;&lt;D xsi:type="xsd:double"&gt;2.43&lt;/D&gt;&lt;/FQL&gt;&lt;FQL&gt;&lt;Q&gt;CMI^ECQ_MEAN_EPS(2014/3C,NOW)&lt;/Q&gt;&lt;R&gt;1&lt;/R&gt;&lt;C&gt;1&lt;/C&gt;&lt;D xsi:type="xsd:double"&gt;2.32&lt;/D&gt;&lt;/FQL&gt;&lt;FQL&gt;&lt;Q&gt;CMI^ECQ_MEAN_EPS(2014/4C,NOW)&lt;/Q&gt;&lt;R&gt;1&lt;/R&gt;&lt;C&gt;1&lt;/C&gt;&lt;D xsi:type="xsd:double"&gt;2.5218279999999997&lt;/D&gt;&lt;/FQL&gt;&lt;FQL&gt;&lt;Q&gt;CMI^ECA_MEAN_EPS(2014,NOW)&lt;/Q&gt;&lt;R&gt;1&lt;/R&gt;&lt;C&gt;1&lt;/C&gt;&lt;D xsi:type="xsd:double"&gt;9.1113319999999991&lt;/D&gt;&lt;/FQL&gt;&lt;FQL&gt;&lt;Q&gt;CMI^ECQ_MEAN_EPS(2015/1C,NOW)&lt;/Q&gt;&lt;R&gt;1&lt;/R&gt;&lt;C&gt;1&lt;/C&gt;&lt;D xsi:type="xsd:double"&gt;2.331333&lt;/D&gt;&lt;/FQL&gt;&lt;FQL&gt;&lt;Q&gt;CMI^ECQ_MEAN_EPS(2015/2C,NOW)&lt;/Q&gt;&lt;R&gt;1&lt;/R&gt;&lt;C&gt;1&lt;/C&gt;&lt;D xsi:type="xsd:double"&gt;2.828667&lt;/D&gt;&lt;/FQL&gt;&lt;FQL&gt;&lt;Q&gt;CMI^ECQ_MEAN_EPS(2015/3C,NOW)&lt;/Q&gt;&lt;R&gt;1&lt;/R&gt;&lt;C&gt;1&lt;/C&gt;&lt;D xsi:type="xsd:double"&gt;2.886&lt;/D&gt;&lt;/FQL&gt;&lt;FQL&gt;&lt;Q&gt;CMI^ECQ_MEAN_EPS(2015/4C,NOW)&lt;/Q&gt;&lt;R&gt;1&lt;/R&gt;&lt;C&gt;1&lt;/C&gt;&lt;D xsi:type="xsd:double"&gt;2.935714&lt;/D&gt;&lt;/FQL&gt;&lt;FQL&gt;&lt;Q&gt;CMI^ECA_MEAN_EPS(2015,NOW)&lt;/Q&gt;&lt;R&gt;1&lt;/R&gt;&lt;C&gt;1&lt;/C&gt;&lt;D xsi:type="xsd:double"&gt;10.908850000000001&lt;/D&gt;&lt;/FQL&gt;&lt;FQL&gt;&lt;Q&gt;CMI^ECQ_MEAN_EPS(2016/1C,NOW)&lt;/Q&gt;&lt;R&gt;1&lt;/R&gt;&lt;C&gt;1&lt;/C&gt;&lt;D xsi:type="xsd:double"&gt;2.57&lt;/D&gt;&lt;/FQL&gt;&lt;FQL&gt;&lt;Q&gt;CMI^ECQ_MEAN_EPS(2016/2C,NOW)&lt;/Q&gt;&lt;R&gt;1&lt;/R&gt;&lt;C&gt;1&lt;/C&gt;&lt;D xsi:type="xsd:double"&gt;3.31&lt;/D&gt;&lt;/FQL&gt;&lt;FQL&gt;&lt;Q&gt;CMI^ECQ_MEAN_EPS(2016/3C,NOW)&lt;/Q&gt;&lt;R&gt;1&lt;/R&gt;&lt;C&gt;1&lt;/C&gt;&lt;D xsi:type="xsd:double"&gt;3.24&lt;/D&gt;&lt;/FQL&gt;&lt;FQL&gt;&lt;Q&gt;CMI^ECQ_MEAN_EPS(2016/4C,NOW)&lt;/Q&gt;&lt;R&gt;1&lt;/R&gt;&lt;C&gt;1&lt;/C&gt;&lt;D xsi:type="xsd:double"&gt;3.33&lt;/D&gt;&lt;/FQL&gt;&lt;FQL&gt;&lt;Q&gt;CMI^ECA_MEAN_EPS(2016,NOW)&lt;/Q&gt;&lt;R&gt;1&lt;/R&gt;&lt;C&gt;1&lt;/C&gt;&lt;D xsi:type="xsd:double"&gt;12.432260999999999&lt;/D&gt;&lt;/FQL&gt;&lt;FQL&gt;&lt;Q&gt;CMI^ECQ_MEAN_EPS(2017/1C,NOW)&lt;/Q&gt;&lt;R&gt;0&lt;/R&gt;&lt;C&gt;0&lt;/C&gt;&lt;/FQL&gt;&lt;FQL&gt;&lt;Q&gt;CMI^ECQ_MEAN_EPS(2017/2C,NOW)&lt;/Q&gt;&lt;R&gt;0&lt;/R&gt;&lt;C&gt;0&lt;/C&gt;&lt;/FQL&gt;&lt;FQL&gt;&lt;Q&gt;CMI^ECQ_MEAN_EPS(2017/3C,NOW)&lt;/Q&gt;&lt;R&gt;0&lt;/R&gt;&lt;C&gt;0&lt;/C&gt;&lt;/FQL&gt;&lt;FQL&gt;&lt;Q&gt;CMI^ECQ_MEAN_EPS(2017/4C,NOW)&lt;/Q&gt;&lt;R&gt;0&lt;/R&gt;&lt;C&gt;0&lt;/C&gt;&lt;/FQL&gt;&lt;FQL&gt;&lt;Q&gt;CMI^ECA_MEAN_EPS(2017,NOW)&lt;/Q&gt;&lt;R&gt;1&lt;/R&gt;&lt;C&gt;1&lt;/C&gt;&lt;D xsi:type="xsd:double"&gt;14.31&lt;/D&gt;&lt;/FQL&gt;&lt;FQL&gt;&lt;Q&gt;TPC-US^FG_PRICE(0)&lt;/Q&gt;&lt;R&gt;1&lt;/R&gt;&lt;C&gt;1&lt;/C&gt;&lt;D xsi:type="xsd:double"&gt;25.35&lt;/D&gt;&lt;/FQL&gt;&lt;FQL&gt;&lt;Q&gt;TPC-US^FG_EVAL_EBITDA_NTM(42247)&lt;/Q&gt;&lt;R&gt;1&lt;/R&gt;&lt;C&gt;1&lt;/C&gt;&lt;D xsi:type="xsd:double"&gt;5.4545532648838444&lt;/D&gt;&lt;/FQL&gt;&lt;FQL&gt;&lt;Q&gt;TPC-US^FG_EVAL_EBITDA_NTM(42277)&lt;/Q&gt;&lt;R&gt;1&lt;/R&gt;&lt;C&gt;1&lt;/C&gt;&lt;D xsi:type="xsd:double"&gt;5.3379171115561208&lt;/D&gt;&lt;/FQL&gt;&lt;FQL&gt;&lt;Q&gt;TPC-US^FG_EVAL_EBITDA_NTM(42308)&lt;/Q&gt;&lt;R&gt;1&lt;/R&gt;&lt;C&gt;1&lt;/C&gt;&lt;D xsi:type="xsd:double"&gt;5.4013923203747618&lt;/D&gt;&lt;/FQL&gt;&lt;FQL&gt;&lt;Q&gt;TPC-US^FG_EVAL_EBITDA_NTM(42338)&lt;/Q&gt;&lt;R&gt;1&lt;/R&gt;&lt;C&gt;1&lt;/C&gt;&lt;D xsi:type="xsd:double"&gt;5.8172456200917821&lt;/D&gt;&lt;/FQL&gt;&lt;FQL&gt;&lt;Q&gt;TPC-US^FG_EVAL_EBITDA_NTM(42369)&lt;/Q&gt;&lt;R&gt;1&lt;/R&gt;&lt;C&gt;1&lt;/C&gt;&lt;D xsi:type="xsd:double"&gt;5.1809599471458494&lt;/D&gt;&lt;/FQL&gt;&lt;FQL&gt;&lt;Q&gt;TPC-US^FG_EVAL_EBITDA_NTM(42400)&lt;/Q&gt;&lt;R&gt;1&lt;/R&gt;&lt;C&gt;1&lt;/C&gt;&lt;D xsi:type="xsd:double"&gt;4.9998921927875486&lt;/D&gt;&lt;/FQL&gt;&lt;FQL&gt;&lt;Q&gt;TPC-US^FG_EVAL_EBITDA_NTM(42429)&lt;/Q&gt;&lt;R&gt;1&lt;/R&gt;&lt;C&gt;1&lt;/C&gt;&lt;D xsi:type="xsd:double"&gt;4.9550042184346736&lt;/D&gt;&lt;/FQL&gt;&lt;FQL&gt;&lt;Q&gt;TPC-US^FG_EVAL_EBITDA_NTM(42460)&lt;/Q&gt;&lt;R&gt;1&lt;/R&gt;&lt;C&gt;1&lt;/C&gt;&lt;D xsi:type="xsd:double"&gt;5.5680950718998758&lt;/D&gt;&lt;/FQL&gt;&lt;FQL&gt;&lt;Q&gt;TPC-US^FG_EVAL_EBITDA_NTM(42490)&lt;/Q&gt;&lt;R&gt;1&lt;/R&gt;&lt;C&gt;1&lt;/C&gt;&lt;D xsi:type="xsd:double"&gt;5.5443765573568964&lt;/D&gt;&lt;/FQL&gt;&lt;FQL&gt;&lt;Q&gt;TPC-US^FG_EVAL_EBITDA_NTM(42521)&lt;/Q&gt;&lt;R&gt;1&lt;/R&gt;&lt;C&gt;1&lt;/C&gt;&lt;D xsi:type="xsd:double"&gt;6.3174452551818208&lt;/D&gt;&lt;/FQL&gt;&lt;FQL&gt;&lt;Q&gt;TPC-US^FG_EVAL_EBITDA_NTM(42551)&lt;/Q&gt;&lt;R&gt;1&lt;/R&gt;&lt;C&gt;1&lt;/C&gt;&lt;D xsi:type="xsd:double"&gt;6.3437365634290774&lt;/D&gt;&lt;/FQL&gt;&lt;FQL&gt;&lt;Q&gt;TPC-US^FG_EVAL_EBITDA_NTM(42582)&lt;/Q&gt;&lt;R&gt;1&lt;/R&gt;&lt;C&gt;1&lt;/C&gt;&lt;D xsi:type="xsd:double"&gt;6.53865320956283&lt;/D&gt;&lt;/FQL&gt;&lt;FQL&gt;&lt;Q&gt;TPC-US^FG_EVAL_EBITDA_NTM(42613)&lt;/Q&gt;&lt;R&gt;1&lt;/R&gt;&lt;C&gt;1&lt;/C&gt;&lt;D xsi:type="xsd:double"&gt;6.033741144109344&lt;/D&gt;&lt;/FQL&gt;&lt;FQL&gt;&lt;Q&gt;TPC-US^FG_EVAL_EBITDA_NTM(42643)&lt;/Q&gt;&lt;R&gt;1&lt;/R&gt;&lt;C&gt;1&lt;/C&gt;&lt;D xsi:type="xsd:double"&gt;5.6239659023592621&lt;/D&gt;&lt;/FQL&gt;&lt;FQL&gt;&lt;Q&gt;TPC-US^FG_EVAL_EBITDA_NTM(42674)&lt;/Q&gt;&lt;R&gt;1&lt;/R&gt;&lt;C&gt;1&lt;/C&gt;&lt;D xsi:type="xsd:double"&gt;5.1861724191342926&lt;/D&gt;&lt;/FQL&gt;&lt;FQL&gt;&lt;Q&gt;TPC-US^FG_EVAL_EBITDA_NTM(42704)&lt;/Q&gt;&lt;R&gt;1&lt;/R&gt;&lt;C&gt;1&lt;/C&gt;&lt;D xsi:type="xsd:double"&gt;6.1000441821213238&lt;/D&gt;&lt;/FQL&gt;&lt;FQL&gt;&lt;Q&gt;TPC-US^FG_EVAL_EBITDA_NTM(42735)&lt;/Q&gt;&lt;R&gt;1&lt;/R&gt;&lt;C&gt;1&lt;/C&gt;&lt;D xsi:type="xsd:double"&gt;6.0683016215478336&lt;/D&gt;&lt;/FQL&gt;&lt;FQL&gt;&lt;Q&gt;TPC-US^FG_EVAL_EBITDA_NTM(42766)&lt;/Q&gt;&lt;R&gt;1&lt;/R&gt;&lt;C&gt;1&lt;/C&gt;&lt;D xsi:type="xsd:double"&gt;6.3728981808925216&lt;/D&gt;&lt;/FQL&gt;&lt;FQL&gt;&lt;Q&gt;TPC-US^FG_EVAL_EBITDA_NTM(42794)&lt;/Q&gt;&lt;R&gt;1&lt;/R&gt;&lt;C&gt;1&lt;/C&gt;&lt;D xsi:type="xsd:double"&gt;6.5552568278662573&lt;/D&gt;&lt;/FQL&gt;&lt;FQL&gt;&lt;Q&gt;TPC^ECQ_MEAN_SALES(2010/1C,NOW)&lt;/Q&gt;&lt;R&gt;1&lt;/R&gt;&lt;C&gt;1&lt;/C&gt;&lt;D xsi:type="xsd:double"&gt;865.075&lt;/D&gt;&lt;/FQL&gt;&lt;FQL&gt;&lt;Q&gt;TPC^ECQ_MEAN_SALES(2010/2C,NOW)&lt;/Q&gt;&lt;R&gt;1&lt;/R&gt;&lt;C&gt;1&lt;/C&gt;&lt;D xsi:type="xsd:double"&gt;914.375&lt;/D&gt;&lt;/FQL&gt;&lt;FQL&gt;&lt;Q&gt;TPC^ECQ_MEAN_SALES(2010/3C,NOW)&lt;/Q&gt;&lt;R&gt;1&lt;/R&gt;&lt;C&gt;1&lt;/C&gt;&lt;D xsi:type="xsd:double"&gt;731.806&lt;/D&gt;&lt;/FQL&gt;&lt;FQL&gt;&lt;Q&gt;TPC^ECQ_MEAN_SALES(2010/4C,NOW)&lt;/Q&gt;&lt;R&gt;1&lt;/R&gt;&lt;C&gt;1&lt;/C&gt;&lt;D xsi:type="xsd:double"&gt;687.953&lt;/D&gt;&lt;/FQL&gt;&lt;FQL&gt;&lt;Q&gt;TPC^ECQ_MEAN_EBITD(2010/1C,NOW)&lt;/Q&gt;&lt;R&gt;1&lt;/R&gt;&lt;C&gt;1&lt;/C&gt;&lt;D xsi:type="xsd:double"&gt;40.44897&lt;/D&gt;&lt;/FQL&gt;&lt;FQL&gt;&lt;Q&gt;TPC^ECQ_MEAN_EBITD(2010/2C,NOW)&lt;/Q&gt;&lt;R&gt;1&lt;/R&gt;&lt;C&gt;1&lt;/C&gt;&lt;D xsi:type="xsd:double"&gt;63.806670000000004&lt;/D&gt;&lt;/FQL&gt;&lt;FQL&gt;&lt;Q&gt;TPC^ECQ_MEAN_EBITD(2010/3C,NOW)&lt;/Q&gt;&lt;R&gt;1&lt;/R&gt;&lt;C&gt;1&lt;/C&gt;&lt;D xsi:type="xsd:double"&gt;57.299670000000006&lt;/D&gt;&lt;/FQL&gt;&lt;FQL&gt;&lt;Q&gt;TPC^ECQ_MEAN_EBITD(2010/4C,NOW)&lt;/Q&gt;&lt;R&gt;1&lt;/R&gt;&lt;C&gt;1&lt;/C&gt;&lt;D xsi:type="xsd:double"&gt;40.21667&lt;/D&gt;&lt;/FQL&gt;&lt;FQL&gt;&lt;Q&gt;TPC^ECQ_MEAN_EBIT(2010/1C,NOW)&lt;/Q&gt;&lt;R&gt;1&lt;/R&gt;&lt;C&gt;1&lt;/C&gt;&lt;D xsi:type="xsd:double"&gt;34.129250000000006&lt;/D&gt;&lt;/FQL&gt;&lt;FQL&gt;&lt;Q&gt;TPC^ECQ_MEAN_EBIT(2010/2C,NOW)&lt;/Q&gt;&lt;R&gt;1&lt;/R&gt;&lt;C&gt;1&lt;/C&gt;&lt;D xsi:type="xsd:double"&gt;55.900250000000007&lt;/D&gt;&lt;/FQL&gt;&lt;FQL&gt;&lt;Q&gt;TPC^ECQ_MEAN_EBIT(2010/3C,NOW)&lt;/Q&gt;&lt;R&gt;1&lt;/R&gt;&lt;C&gt;1&lt;/C&gt;&lt;D xsi:type="xsd:double"&gt;49.986670000000004&lt;/D&gt;&lt;/FQL&gt;&lt;FQL&gt;&lt;Q&gt;TPC^ECQ_MEAN_EBIT(2010/4C,NOW)&lt;/Q&gt;&lt;R&gt;1&lt;/R&gt;&lt;C&gt;1&lt;/C&gt;&lt;D xsi:type="xsd:double"&gt;32.236000000000004&lt;/D&gt;&lt;/FQL&gt;&lt;FQL&gt;&lt;Q&gt;TPC^ECQ_MEAN_NET(2010/1C,NOW)&lt;/Q&gt;&lt;R&gt;1&lt;/R&gt;&lt;C&gt;1&lt;/C&gt;&lt;D xsi:type="xsd:double"&gt;20.933&lt;/D&gt;&lt;/FQL&gt;&lt;FQL&gt;&lt;Q&gt;TPC^ECQ_MEAN_NET(2010/2C,NOW)&lt;/Q&gt;&lt;R&gt;1&lt;/R&gt;&lt;C&gt;1&lt;/C&gt;&lt;D xsi:type="xsd:double"&gt;32.7249&lt;/D&gt;&lt;/FQL&gt;&lt;FQL&gt;&lt;Q&gt;TPC^ECQ_MEAN_NET(2010/3C,NOW)&lt;/Q&gt;&lt;R&gt;1&lt;/R&gt;&lt;C&gt;1&lt;/C&gt;&lt;D xsi:type="xsd:double"&gt;30.933&lt;/D&gt;&lt;/FQL&gt;&lt;FQL&gt;&lt;Q&gt;TPC^ECQ_MEAN_NET(2010/4C,NOW)&lt;/Q&gt;&lt;R&gt;1&lt;/R&gt;&lt;C&gt;1&lt;/C&gt;&lt;D xsi:type="xsd:double"&gt;18.909&lt;/D&gt;&lt;/FQL&gt;&lt;FQL&gt;&lt;Q&gt;TPC^ECQ_MEAN_EPS(2010/1C,NOW)&lt;/Q&gt;&lt;R&gt;1&lt;/R&gt;&lt;C&gt;1&lt;/C&gt;&lt;D xsi:type="xsd:double"&gt;0.42&lt;/D&gt;&lt;/FQL&gt;&lt;FQL&gt;&lt;Q&gt;TPC^ECQ_MEAN_EPS(2010/2C,NOW)&lt;/Q&gt;&lt;R&gt;1&lt;/R&gt;&lt;C&gt;1&lt;/C&gt;&lt;D xsi:type="xsd:double"&gt;0.66&lt;/D&gt;&lt;/FQL&gt;&lt;FQL&gt;&lt;Q&gt;TPC^ECQ_MEAN_EPS(2010/3C,NOW)&lt;/Q&gt;&lt;R&gt;1&lt;/R&gt;&lt;C&gt;1&lt;/C&gt;&lt;D xsi:type="xsd:double"&gt;0.65&lt;/D&gt;&lt;/FQL&gt;&lt;FQL&gt;&lt;Q&gt;TPC^ECQ_MEAN_EPS(2010/4C,NOW)&lt;/Q&gt;&lt;R&gt;1&lt;/R&gt;&lt;C&gt;1&lt;/C&gt;&lt;D xsi:type="xsd:double"&gt;0.4&lt;/D&gt;&lt;/FQL&gt;&lt;FQL&gt;&lt;Q&gt;TPC^ECA_MEAN_SALES(2010,NOW)&lt;/Q&gt;&lt;R&gt;1&lt;/R&gt;&lt;C&gt;1&lt;/C&gt;&lt;D xsi:type="xsd:double"&gt;3199.21&lt;/D&gt;&lt;/FQL&gt;&lt;FQL&gt;&lt;Q&gt;TPC^ECA_MEAN_EBITD(2010,NOW)&lt;/Q&gt;&lt;R&gt;1&lt;/R&gt;&lt;C&gt;1&lt;/C&gt;&lt;D xsi:type="xsd:double"&gt;203.72930000000002&lt;/D&gt;&lt;/FQL&gt;&lt;FQL&gt;&lt;Q&gt;TPC^ECA_MEAN_EBIT(2010,NOW)&lt;/Q&gt;&lt;R&gt;1&lt;/R&gt;&lt;C&gt;1&lt;/C&gt;&lt;D xsi:type="xsd:double"&gt;172.20600000000002&lt;/D&gt;&lt;/FQL&gt;&lt;FQL&gt;&lt;Q&gt;TPC^ECA_MEAN_NET(2010,NOW)&lt;/Q&gt;&lt;R&gt;1&lt;/R&gt;&lt;C&gt;1&lt;/C&gt;&lt;D xsi:type="xsd:double"&gt;103.5&lt;/D&gt;&lt;/FQL&gt;&lt;FQL&gt;&lt;Q&gt;TPC^ECA_MEAN_EPS(2010,NOW)&lt;/Q&gt;&lt;R&gt;1&lt;/R&gt;&lt;C&gt;1&lt;/C&gt;&lt;D xsi:type="xsd:double"&gt;2.13&lt;/D&gt;&lt;/FQL&gt;&lt;FQL&gt;&lt;Q&gt;TPC^ECQ_MEAN_SALES(2011/1C,NOW)&lt;/Q&gt;&lt;R&gt;1&lt;/R&gt;&lt;C&gt;1&lt;/C&gt;&lt;D xsi:type="xsd:double"&gt;615.289&lt;/D&gt;&lt;/FQL&gt;&lt;FQL&gt;&lt;Q&gt;TPC^ECQ_MEAN_SALES(2011/2C,NOW)&lt;/Q&gt;&lt;R&gt;1&lt;/R&gt;&lt;C&gt;1&lt;/C&gt;&lt;D xsi:type="xsd:double"&gt;819.85800000000006&lt;/D&gt;&lt;/FQL&gt;&lt;FQL&gt;&lt;Q&gt;TPC^ECQ_MEAN_SALES(2011/3C,NOW)&lt;/Q&gt;&lt;R&gt;1&lt;/R&gt;&lt;C&gt;1&lt;/C&gt;&lt;D xsi:type="xsd:double"&gt;1166.41&lt;/D&gt;&lt;/FQL&gt;&lt;FQL&gt;&lt;Q&gt;TPC^ECQ_MEAN_SALES(2011/4C,NOW)&lt;/Q&gt;&lt;R&gt;1&lt;/R&gt;&lt;C&gt;1&lt;/C&gt;&lt;D xsi:type="xsd:double"&gt;1114.76&lt;/D&gt;&lt;/FQL&gt;&lt;FQL&gt;&lt;Q&gt;TPC^ECA_MEAN_SALES(2011,NOW)&lt;/Q&gt;&lt;R&gt;1&lt;/R&gt;&lt;C&gt;1&lt;/C&gt;&lt;D xsi:type="xsd:double"&gt;3716.31&lt;/D&gt;&lt;/FQL&gt;&lt;FQL&gt;&lt;Q&gt;TPC^ECQ_MEAN_SALES(2012/1C,NOW)&lt;/Q&gt;&lt;R&gt;1&lt;/R&gt;&lt;C&gt;1&lt;/C&gt;&lt;D xsi:type="xsd:double"&gt;912.534&lt;/D&gt;&lt;/FQL&gt;&lt;FQL&gt;&lt;Q&gt;TPC^ECQ_MEAN_SALES(2012/2C,NOW)&lt;/Q&gt;&lt;R&gt;1&lt;/R&gt;&lt;C&gt;1&lt;/C&gt;&lt;D xsi:type="xsd:double"&gt;985.346&lt;/D&gt;&lt;/FQL&gt;&lt;FQL&gt;&lt;Q&gt;TPC^ECQ_MEAN_SALES(2012/3C,NOW)&lt;/Q&gt;&lt;R&gt;1&lt;/R&gt;&lt;C&gt;1&lt;/C&gt;&lt;D xsi:type="xsd:double"&gt;1099.39&lt;/D&gt;&lt;/FQL&gt;&lt;FQL&gt;&lt;Q&gt;TPC^ECQ_MEAN_SALES(2012/4C,NOW)&lt;/Q&gt;&lt;R&gt;1&lt;/R&gt;&lt;C&gt;1&lt;/C&gt;&lt;D xsi:type="xsd:double"&gt;1114.19&lt;/D&gt;&lt;/FQL&gt;&lt;FQL&gt;&lt;Q&gt;TPC^ECA_MEAN_SALES(2012,NOW)&lt;/Q&gt;&lt;R&gt;1&lt;/R&gt;&lt;C&gt;1&lt;/C&gt;&lt;D xsi:type="xsd:double"&gt;4111.47&lt;/D&gt;&lt;/FQL&gt;&lt;FQL&gt;&lt;Q&gt;TPC^ECQ_MEAN_SALES(2013/1C,NOW)&lt;/Q&gt;&lt;R&gt;1&lt;/R&gt;&lt;C&gt;1&lt;/C&gt;&lt;D xsi:type="xsd:double"&gt;992.928&lt;/D&gt;&lt;/FQL&gt;&lt;FQL&gt;&lt;Q&gt;TPC^ECQ_MEAN_SALES(2013/2C,NOW)&lt;/Q&gt;&lt;R&gt;1&lt;/R&gt;&lt;C&gt;1&lt;/C&gt;&lt;D xsi:type="xsd:double"&gt;1053.06&lt;/D&gt;&lt;/FQL&gt;&lt;FQL&gt;&lt;Q&gt;TPC^ECQ_MEAN_SALES(2013/3C,NOW)&lt;/Q&gt;&lt;R&gt;1&lt;/R&gt;&lt;C&gt;1&lt;/C&gt;&lt;D xsi:type="xsd:double"&gt;1030.38&lt;/D&gt;&lt;/FQL&gt;&lt;FQL&gt;&lt;Q&gt;TPC^ECQ_MEAN_SALES(2013/4C,NOW)&lt;/Q&gt;&lt;R&gt;1&lt;/R&gt;&lt;C&gt;1&lt;/C&gt;&lt;D xsi:type="xsd:double"&gt;1099.29&lt;/D&gt;&lt;/FQL&gt;&lt;FQL&gt;&lt;Q&gt;TPC^ECA_MEAN_SALES(2013,NOW)&lt;/Q&gt;&lt;R&gt;1&lt;/R&gt;&lt;C&gt;1&lt;/C&gt;&lt;D xsi:type="xsd:double"&gt;4175.67&lt;/D&gt;&lt;/FQL&gt;&lt;FQL&gt;&lt;Q&gt;TPC^ECQ_MEAN_SALES(2014/1C,NOW)&lt;/Q&gt;&lt;R&gt;1&lt;/R&gt;&lt;C&gt;1&lt;/C&gt;&lt;D xsi:type="xsd:double"&gt;955.23300000000006&lt;/D&gt;&lt;/FQL&gt;&lt;FQL&gt;&lt;Q&gt;TPC^ECQ_MEAN_SALES(2014/2C,NOW)&lt;/Q&gt;&lt;R&gt;1&lt;/R&gt;&lt;C&gt;1&lt;/C&gt;&lt;D xsi:type="xsd:double"&gt;1084.51&lt;/D&gt;&lt;/FQL&gt;&lt;FQL&gt;&lt;Q&gt;TPC^ECQ_MEAN_SALES(2014/3C,NOW)&lt;/Q&gt;&lt;R&gt;1&lt;/R&gt;&lt;C&gt;1&lt;/C&gt;&lt;D xsi:type="xsd:double"&gt;1250.68&lt;/D&gt;&lt;/FQL&gt;&lt;FQL&gt;&lt;Q&gt;TPC^ECQ_MEAN_SALES(2014/4C,NOW)&lt;/Q&gt;&lt;R&gt;1&lt;/R&gt;&lt;C&gt;1&lt;/C&gt;&lt;D xsi:type="xsd:double"&gt;1275.893&lt;/D&gt;&lt;/FQL&gt;&lt;FQL&gt;&lt;Q&gt;TPC^ECQ_MEAN_EBITD(2018/4C,NOW)&lt;/Q&gt;&lt;R&gt;1&lt;/R&gt;&lt;C&gt;1&lt;/C&gt;&lt;D xsi:type="xsd:double"&gt;86.50528&lt;/D&gt;&lt;/FQL&gt;&lt;FQL&gt;&lt;Q&gt;TPC^ECQ_MEAN_EPS(2015/1C,NOW)&lt;/Q&gt;&lt;R&gt;1&lt;/R&gt;&lt;C&gt;1&lt;/C&gt;&lt;D xsi:type="xsd:double"&gt;0.1&lt;/D&gt;&lt;/FQL&gt;&lt;FQL&gt;&lt;Q&gt;TPC^ECQ_MEAN_EBITD(2015/2C,NOW)&lt;/Q&gt;&lt;R&gt;1&lt;/R&gt;&lt;C&gt;1&lt;/C&gt;&lt;D xsi:type="xsd:double"&gt;41.7905&lt;/D&gt;&lt;/FQL&gt;&lt;FQL&gt;&lt;Q&gt;TPC^ECA_MEAN_EBIT(2018,NOW)&lt;/Q&gt;&lt;R&gt;1&lt;/R&gt;&lt;C&gt;1&lt;/C&gt;&lt;D xsi:type="xsd:double"&gt;264.26126&lt;/D&gt;&lt;/FQL&gt;&lt;FQL&gt;&lt;Q&gt;TPC^ECA_MEAN_EBITD(2016,NOW)&lt;/Q&gt;&lt;R&gt;1&lt;/R&gt;&lt;C&gt;1&lt;/C&gt;&lt;D xsi:type="xsd:double"&gt;271.63275&lt;/D&gt;&lt;/FQL&gt;&lt;FQL&gt;&lt;Q&gt;TPC^ECA_MEAN_SALES(2014,NOW)&lt;/Q&gt;&lt;R&gt;1&lt;/R&gt;&lt;C&gt;1&lt;/C&gt;&lt;D xsi:type="xsd:double"&gt;4571.91&lt;/D&gt;&lt;/FQL&gt;&lt;FQL&gt;&lt;Q&gt;TPC^ECQ_MEAN_EPS(2017/3C,NOW)&lt;/Q&gt;&lt;R&gt;1&lt;/R&gt;&lt;C&gt;1&lt;/C&gt;&lt;D xsi:type="xsd:double"&gt;0.47&lt;/D&gt;&lt;/FQL&gt;&lt;FQL&gt;&lt;Q&gt;TPC^ECQ_MEAN_EBIT(2015/1C,NOW)&lt;/Q&gt;&lt;R&gt;1&lt;/R&gt;&lt;C&gt;1&lt;/C&gt;&lt;D xsi:type="xsd:double"&gt;19.9388&lt;/D&gt;&lt;/FQL&gt;&lt;FQL&gt;&lt;Q&gt;TPC^ECQ_MEAN_EBIT(2018/2C,NOW)&lt;/Q&gt;&lt;R&gt;1&lt;/R&gt;&lt;C&gt;1&lt;/C&gt;&lt;D xsi:type="xsd:double"&gt;74.28385&lt;/D&gt;&lt;/FQL&gt;&lt;FQL&gt;&lt;Q&gt;TPC^ECQ_MEAN_SALES(2015/1C,NOW)&lt;/Q&gt;&lt;R&gt;1&lt;/R&gt;&lt;C&gt;1&lt;/C&gt;&lt;D xsi:type="xsd:double"&gt;1066.46&lt;/D&gt;&lt;/FQL&gt;&lt;FQL&gt;&lt;Q&gt;TPC^ECQ_MEAN_EBITD(2018/3C,NOW)&lt;/Q&gt;&lt;R&gt;1&lt;/R&gt;&lt;C&gt;1&lt;/C&gt;&lt;D xsi:type="xsd:double"&gt;104.39772&lt;/D&gt;&lt;/FQL&gt;&lt;FQL&gt;&lt;Q&gt;TPC^ECQ_MEAN_NET(2016/1C,NOW)&lt;/Q&gt;&lt;R&gt;1&lt;/R&gt;&lt;C&gt;1&lt;/C&gt;&lt;D xsi:type="xsd:double"&gt;15.4&lt;/D&gt;&lt;/FQL&gt;&lt;FQL&gt;&lt;Q&gt;TPC^ECA_MEAN_EBIT(2019,NOW)&lt;/Q&gt;&lt;R&gt;1&lt;/R&gt;&lt;C&gt;1&lt;/C&gt;&lt;D xsi:type="xsd:double"&gt;304.9845&lt;/D&gt;&lt;/FQL&gt;&lt;FQL&gt;&lt;Q&gt;TPC^ECQ_MEAN_NET(2016/2C,NOW)&lt;/Q&gt;&lt;R&gt;1&lt;/R&gt;&lt;C&gt;1&lt;/C&gt;&lt;D xsi:type="xsd:double"&gt;21.361&lt;/D&gt;&lt;/FQL&gt;&lt;FQL&gt;&lt;Q&gt;TPC^ECA_MEAN_EPS(2015,NOW)&lt;/Q&gt;&lt;R&gt;1&lt;/R&gt;&lt;C&gt;1&lt;/C&gt;&lt;D xsi:type="xsd:double"&gt;1.789893&lt;/D&gt;&lt;/FQL&gt;&lt;FQL&gt;&lt;Q&gt;TPC^ECQ_MEAN_EBIT(2018/3C,NOW)&lt;/Q&gt;&lt;R&gt;1&lt;/R&gt;&lt;C&gt;1&lt;/C&gt;&lt;D xsi:type="xsd:double"&gt;90.365654&lt;/D&gt;&lt;/FQL&gt;&lt;FQL&gt;&lt;Q&gt;TPC^ECQ_MEAN_EBITD(2011/1C,NOW)&lt;/Q&gt;&lt;R&gt;1&lt;/R&gt;&lt;C&gt;1&lt;/C&gt;&lt;D xsi:type="xsd:double"&gt;26.705330000000004&lt;/D&gt;&lt;/FQL&gt;&lt;FQL&gt;&lt;Q&gt;TPC^ECQ_MEAN_EBITD(2011/2C,NOW)&lt;/Q&gt;&lt;R&gt;1&lt;/R&gt;&lt;C&gt;1&lt;/C&gt;&lt;D xsi:type="xsd:double"&gt;45.985670000000006&lt;/D&gt;&lt;/FQL&gt;&lt;FQL&gt;&lt;Q&gt;TPC^ECQ_MEAN_EBITD(2011/3C,NOW)&lt;/Q&gt;&lt;R&gt;1&lt;/R&gt;&lt;C&gt;1&lt;/C&gt;&lt;D xsi:type="xsd:double"&gt;74.72833&lt;/D&gt;&lt;/FQL&gt;&lt;FQL&gt;&lt;Q&gt;TPC^ECQ_MEAN_EBITD(2011/4C,NOW)&lt;/Q&gt;&lt;R&gt;1&lt;/R&gt;&lt;C&gt;1&lt;/C&gt;&lt;D xsi:type="xsd:double"&gt;53.792&lt;/D&gt;&lt;/FQL&gt;&lt;FQL&gt;&lt;Q&gt;TPC^ECA_MEAN_EBITD(2011,NOW)&lt;/Q&gt;&lt;R&gt;1&lt;/R&gt;&lt;C&gt;1&lt;/C&gt;&lt;D xsi:type="xsd:double"&gt;200.97&lt;/D&gt;&lt;/FQL&gt;&lt;FQL&gt;&lt;Q&gt;TPC^ECQ_MEAN_EBITD(2012/1C,NOW)&lt;/Q&gt;&lt;R&gt;1&lt;/R&gt;&lt;C&gt;1&lt;/C&gt;&lt;D xsi:type="xsd:double"&gt;28.50767&lt;/D&gt;&lt;/FQL&gt;&lt;FQL&gt;&lt;Q&gt;TPC^ECQ_MEAN_EBITD(2012/2C,NOW)&lt;/Q&gt;&lt;R&gt;1&lt;/R&gt;&lt;C&gt;1&lt;/C&gt;&lt;D xsi:type="xsd:double"&gt;45.38967&lt;/D&gt;&lt;/FQL&gt;&lt;FQL&gt;&lt;Q&gt;TPC^ECQ_MEAN_EBITD(2012/3C,NOW)&lt;/Q&gt;&lt;R&gt;1&lt;/R&gt;&lt;C&gt;1&lt;/C&gt;&lt;D xsi:type="xsd:double"&gt;70.463000000000008&lt;/D&gt;&lt;/FQL&gt;&lt;FQL&gt;&lt;Q&gt;TPC^ECQ_MEAN_EBITD(2012/4C,NOW)&lt;/Q&gt;&lt;R&gt;1&lt;/R&gt;&lt;C&gt;1&lt;/C&gt;&lt;D xsi:type=</t>
        </r>
      </text>
    </comment>
    <comment ref="A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"xsd:double"&gt;74.439000000000007&lt;/D&gt;&lt;/FQL&gt;&lt;FQL&gt;&lt;Q&gt;TPC^ECA_MEAN_EBITD(2012,NOW)&lt;/Q&gt;&lt;R&gt;1&lt;/R&gt;&lt;C&gt;1&lt;/C&gt;&lt;D xsi:type="xsd:double"&gt;217.621&lt;/D&gt;&lt;/FQL&gt;&lt;FQL&gt;&lt;Q&gt;TPC^ECQ_MEAN_EBITD(2013/1C,NOW)&lt;/Q&gt;&lt;R&gt;1&lt;/R&gt;&lt;C&gt;1&lt;/C&gt;&lt;D xsi:type="xsd:double"&gt;49.5415&lt;/D&gt;&lt;/FQL&gt;&lt;FQL&gt;&lt;Q&gt;TPC^ECQ_MEAN_EBITD(2013/2C,NOW)&lt;/Q&gt;&lt;R&gt;1&lt;/R&gt;&lt;C&gt;1&lt;/C&gt;&lt;D xsi:type="xsd:double"&gt;51.6385&lt;/D&gt;&lt;/FQL&gt;&lt;FQL&gt;&lt;Q&gt;TPC^ECQ_MEAN_EBITD(2013/3C,NOW)&lt;/Q&gt;&lt;R&gt;1&lt;/R&gt;&lt;C&gt;1&lt;/C&gt;&lt;D xsi:type="xsd:double"&gt;62.93867&lt;/D&gt;&lt;/FQL&gt;&lt;FQL&gt;&lt;Q&gt;TPC^ECQ_MEAN_EBITD(2013/4C,NOW)&lt;/Q&gt;&lt;R&gt;1&lt;/R&gt;&lt;C&gt;1&lt;/C&gt;&lt;D xsi:type="xsd:double"&gt;83.94576&lt;/D&gt;&lt;/FQL&gt;&lt;FQL&gt;&lt;Q&gt;TPC^ECA_MEAN_EBITD(2013,NOW)&lt;/Q&gt;&lt;R&gt;1&lt;/R&gt;&lt;C&gt;1&lt;/C&gt;&lt;D xsi:type="xsd:double"&gt;244.6723&lt;/D&gt;&lt;/FQL&gt;&lt;FQL&gt;&lt;Q&gt;TPC^ECQ_MEAN_EBITD(2014/1C,NOW)&lt;/Q&gt;&lt;R&gt;1&lt;/R&gt;&lt;C&gt;1&lt;/C&gt;&lt;D xsi:type="xsd:double"&gt;52.787670000000006&lt;/D&gt;&lt;/FQL&gt;&lt;FQL&gt;&lt;Q&gt;TPC^ECQ_MEAN_EBITD(2014/2C,NOW)&lt;/Q&gt;&lt;R&gt;1&lt;/R&gt;&lt;C&gt;1&lt;/C&gt;&lt;D xsi:type="xsd:double"&gt;73.63934&lt;/D&gt;&lt;/FQL&gt;&lt;FQL&gt;&lt;Q&gt;TPC^ECQ_MEAN_EBITD(2014/3C,NOW)&lt;/Q&gt;&lt;R&gt;1&lt;/R&gt;&lt;C&gt;1&lt;/C&gt;&lt;D xsi:type="xsd:double"&gt;82&lt;/D&gt;&lt;/FQL&gt;&lt;FQL&gt;&lt;Q&gt;TPC^ECQ_MEAN_EBITD(2014/4C,NOW)&lt;/Q&gt;&lt;R&gt;1&lt;/R&gt;&lt;C&gt;1&lt;/C&gt;&lt;D xsi:type="xsd:double"&gt;83.61153&lt;/D&gt;&lt;/FQL&gt;&lt;FQL&gt;&lt;Q&gt;TPC^ECQ_MEAN_SALES(2015/4C,NOW)&lt;/Q&gt;&lt;R&gt;1&lt;/R&gt;&lt;C&gt;1&lt;/C&gt;&lt;D xsi:type="xsd:double"&gt;1383.284&lt;/D&gt;&lt;/FQL&gt;&lt;FQL&gt;&lt;Q&gt;TPC^ECQ_MEAN_EBIT(2017/4C,NOW)&lt;/Q&gt;&lt;R&gt;1&lt;/R&gt;&lt;C&gt;1&lt;/C&gt;&lt;D xsi:type="xsd:double"&gt;56.49345&lt;/D&gt;&lt;/FQL&gt;&lt;FQL&gt;&lt;Q&gt;TPC^ECQ_MEAN_NET(2017/3C,NOW)&lt;/Q&gt;&lt;R&gt;1&lt;/R&gt;&lt;C&gt;1&lt;/C&gt;&lt;D xsi:type="xsd:double"&gt;36.9171&lt;/D&gt;&lt;/FQL&gt;&lt;FQL&gt;&lt;Q&gt;TPC^ECQ_MEAN_EBIT(2017/1C,NOW)&lt;/Q&gt;&lt;R&gt;1&lt;/R&gt;&lt;C&gt;1&lt;/C&gt;&lt;D xsi:type="xsd:double"&gt;37.052334&lt;/D&gt;&lt;/FQL&gt;&lt;FQL&gt;&lt;Q&gt;TPC^ECQ_MEAN_EBITD(2015/4C,NOW)&lt;/Q&gt;&lt;R&gt;1&lt;/R&gt;&lt;C&gt;1&lt;/C&gt;&lt;D xsi:type="xsd:double"&gt;79.2351&lt;/D&gt;&lt;/FQL&gt;&lt;FQL&gt;&lt;Q&gt;TPC^ECA_MEAN_EBITD(2014,NOW)&lt;/Q&gt;&lt;R&gt;1&lt;/R&gt;&lt;C&gt;1&lt;/C&gt;&lt;D xsi:type="xsd:double"&gt;292.2917&lt;/D&gt;&lt;/FQL&gt;&lt;FQL&gt;&lt;Q&gt;TPC^ECA_MEAN_NET(2015,NOW)&lt;/Q&gt;&lt;R&gt;1&lt;/R&gt;&lt;C&gt;1&lt;/C&gt;&lt;D xsi:type="xsd:double"&gt;88.15062&lt;/D&gt;&lt;/FQL&gt;&lt;FQL&gt;&lt;Q&gt;TPC^ECQ_MEAN_EBIT(2016/4C,NOW)&lt;/Q&gt;&lt;R&gt;1&lt;/R&gt;&lt;C&gt;1&lt;/C&gt;&lt;D xsi:type="xsd:double"&gt;52.273285&lt;/D&gt;&lt;/FQL&gt;&lt;FQL&gt;&lt;Q&gt;TPC^ECQ_MEAN_EBIT(2020/1C,NOW)&lt;/Q&gt;&lt;R&gt;0&lt;/R&gt;&lt;C&gt;0&lt;/C&gt;&lt;/FQL&gt;&lt;FQL&gt;&lt;Q&gt;TPC^ECQ_MEAN_NET(2015/1C,NOW)&lt;/Q&gt;&lt;R&gt;1&lt;/R&gt;&lt;C&gt;1&lt;/C&gt;&lt;D xsi:type="xsd:double"&gt;5.126&lt;/D&gt;&lt;/FQL&gt;&lt;FQL&gt;&lt;Q&gt;TPC^ECQ_MEAN_EBIT(2015/3C,NOW)&lt;/Q&gt;&lt;R&gt;1&lt;/R&gt;&lt;C&gt;1&lt;/C&gt;&lt;D xsi:type="xsd:double"&gt;75.8506&lt;/D&gt;&lt;/FQL&gt;&lt;FQL&gt;&lt;Q&gt;TPC^ECQ_MEAN_NET(2017/1C,NOW)&lt;/Q&gt;&lt;R&gt;1&lt;/R&gt;&lt;C&gt;1&lt;/C&gt;&lt;D xsi:type="xsd:double"&gt;13.764&lt;/D&gt;&lt;/FQL&gt;&lt;FQL&gt;&lt;Q&gt;TPC^ECQ_MEAN_EPS(2015/2C,NOW)&lt;/Q&gt;&lt;R&gt;1&lt;/R&gt;&lt;C&gt;1&lt;/C&gt;&lt;D xsi:type="xsd:double"&gt;0.23854119999999998&lt;/D&gt;&lt;/FQL&gt;&lt;FQL&gt;&lt;Q&gt;TPC^ECA_MEAN_EBITD(2020,NOW)&lt;/Q&gt;&lt;R&gt;0&lt;/R&gt;&lt;C&gt;0&lt;/C&gt;&lt;/FQL&gt;&lt;FQL&gt;&lt;Q&gt;TPC^ECQ_MEAN_EBITD(2019/3C,NOW)&lt;/Q&gt;&lt;R&gt;1&lt;/R&gt;&lt;C&gt;1&lt;/C&gt;&lt;D xsi:type="xsd:double"&gt;116.194&lt;/D&gt;&lt;/FQL&gt;&lt;FQL&gt;&lt;Q&gt;TPC^ECQ_MEAN_EBITD(2020/1C,NOW)&lt;/Q&gt;&lt;R&gt;0&lt;/R&gt;&lt;C&gt;0&lt;/C&gt;&lt;/FQL&gt;&lt;FQL&gt;&lt;Q&gt;TPC^ECQ_MEAN_EBIT(2011/1C,NOW)&lt;/Q&gt;&lt;R&gt;1&lt;/R&gt;&lt;C&gt;1&lt;/C&gt;&lt;D xsi:type="xsd:double"&gt;17.28075&lt;/D&gt;&lt;/FQL&gt;&lt;FQL&gt;&lt;Q&gt;TPC^ECQ_MEAN_EBIT(2011/2C,NOW)&lt;/Q&gt;&lt;R&gt;1&lt;/R&gt;&lt;C&gt;1&lt;/C&gt;&lt;D xsi:type="xsd:double"&gt;37.02167&lt;/D&gt;&lt;/FQL&gt;&lt;FQL&gt;&lt;Q&gt;TPC^ECQ_MEAN_EBIT(2011/3C,NOW)&lt;/Q&gt;&lt;R&gt;1&lt;/R&gt;&lt;C&gt;1&lt;/C&gt;&lt;D xsi:type="xsd:double"&gt;51.025330000000004&lt;/D&gt;&lt;/FQL&gt;&lt;FQL&gt;&lt;Q&gt;TPC^ECQ_MEAN_EBIT(2011/4C,NOW)&lt;/Q&gt;&lt;R&gt;1&lt;/R&gt;&lt;C&gt;1&lt;/C&gt;&lt;D xsi:type="xsd:double"&gt;50.792&lt;/D&gt;&lt;/FQL&gt;&lt;FQL&gt;&lt;Q&gt;TPC^ECA_MEAN_EBIT(2011,NOW)&lt;/Q&gt;&lt;R&gt;1&lt;/R&gt;&lt;C&gt;1&lt;/C&gt;&lt;D xsi:type="xsd:double"&gt;168.376&lt;/D&gt;&lt;/FQL&gt;&lt;FQL&gt;&lt;Q&gt;TPC^ECQ_MEAN_EBIT(2012/1C,NOW)&lt;/Q&gt;&lt;R&gt;1&lt;/R&gt;&lt;C&gt;1&lt;/C&gt;&lt;D xsi:type="xsd:double"&gt;34.37433&lt;/D&gt;&lt;/FQL&gt;&lt;FQL&gt;&lt;Q&gt;TPC^ECQ_MEAN_EBIT(2012/2C,NOW)&lt;/Q&gt;&lt;R&gt;1&lt;/R&gt;&lt;C&gt;1&lt;/C&gt;&lt;D xsi:type="xsd:double"&gt;-103.12334000000001&lt;/D&gt;&lt;/FQL&gt;&lt;FQL&gt;&lt;Q&gt;TPC^ECQ_MEAN_EBIT(2012/3C,NOW)&lt;/Q&gt;&lt;R&gt;1&lt;/R&gt;&lt;C&gt;1&lt;/C&gt;&lt;D xsi:type="xsd:double"&gt;54.688&lt;/D&gt;&lt;/FQL&gt;&lt;FQL&gt;&lt;Q&gt;TPC^ECQ_MEAN_EBIT(2012/4C,NOW)&lt;/Q&gt;&lt;R&gt;1&lt;/R&gt;&lt;C&gt;1&lt;/C&gt;&lt;D xsi:type="xsd:double"&gt;60.134&lt;/D&gt;&lt;/FQL&gt;&lt;FQL&gt;&lt;Q&gt;TPC^ECA_MEAN_EBIT(2012,NOW)&lt;/Q&gt;&lt;R&gt;1&lt;/R&gt;&lt;C&gt;1&lt;/C&gt;&lt;D xsi:type="xsd:double"&gt;159.20600000000002&lt;/D&gt;&lt;/FQL&gt;&lt;FQL&gt;&lt;Q&gt;TPC^ECQ_MEAN_EBIT(2013/1C,NOW)&lt;/Q&gt;&lt;R&gt;1&lt;/R&gt;&lt;C&gt;1&lt;/C&gt;&lt;D xsi:type="xsd:double"&gt;35.666000000000004&lt;/D&gt;&lt;/FQL&gt;&lt;FQL&gt;&lt;Q&gt;TPC^ECQ_MEAN_EBIT(2013/2C,NOW)&lt;/Q&gt;&lt;R&gt;1&lt;/R&gt;&lt;C&gt;1&lt;/C&gt;&lt;D xsi:type="xsd:double"&gt;39.48133&lt;/D&gt;&lt;/FQL&gt;&lt;FQL&gt;&lt;Q&gt;TPC^ECQ_MEAN_EBIT(2013/3C,NOW)&lt;/Q&gt;&lt;R&gt;1&lt;/R&gt;&lt;C&gt;1&lt;/C&gt;&lt;D xsi:type="xsd:double"&gt;54.932&lt;/D&gt;&lt;/FQL&gt;&lt;FQL&gt;&lt;Q&gt;TPC^ECQ_MEAN_EBIT(2013/4C,NOW)&lt;/Q&gt;&lt;R&gt;1&lt;/R&gt;&lt;C&gt;1&lt;/C&gt;&lt;D xsi:type="xsd:double"&gt;68.50967&lt;/D&gt;&lt;/FQL&gt;&lt;FQL&gt;&lt;Q&gt;TPC^ECA_MEAN_EBIT(2013,NOW)&lt;/Q&gt;&lt;R&gt;1&lt;/R&gt;&lt;C&gt;1&lt;/C&gt;&lt;D xsi:type="xsd:double"&gt;199.16670000000002&lt;/D&gt;&lt;/FQL&gt;&lt;FQL&gt;&lt;Q&gt;TPC^ECQ_MEAN_EBIT(2014/1C,NOW)&lt;/Q&gt;&lt;R&gt;1&lt;/R&gt;&lt;C&gt;1&lt;/C&gt;&lt;D xsi:type="xsd:double"&gt;40.37467&lt;/D&gt;&lt;/FQL&gt;&lt;FQL&gt;&lt;Q&gt;TPC^ECQ_MEAN_EBIT(2014/2C,NOW)&lt;/Q&gt;&lt;R&gt;1&lt;/R&gt;&lt;C&gt;1&lt;/C&gt;&lt;D xsi:type="xsd:double"&gt;63.103&lt;/D&gt;&lt;/FQL&gt;&lt;FQL&gt;&lt;Q&gt;TPC^ECQ_MEAN_EBIT(2014/3C,NOW)&lt;/Q&gt;&lt;R&gt;1&lt;/R&gt;&lt;C&gt;1&lt;/C&gt;&lt;D xsi:type="xsd:double"&gt;70.221&lt;/D&gt;&lt;/FQL&gt;&lt;FQL&gt;&lt;Q&gt;TPC^ECQ_MEAN_EBIT(2014/4C,NOW)&lt;/Q&gt;&lt;R&gt;1&lt;/R&gt;&lt;C&gt;1&lt;/C&gt;&lt;D xsi:type="xsd:double"&gt;70.51587&lt;/D&gt;&lt;/FQL&gt;&lt;FQL&gt;&lt;Q&gt;TPC^ECA_MEAN_EBITD(2015,NOW)&lt;/Q&gt;&lt;R&gt;1&lt;/R&gt;&lt;C&gt;1&lt;/C&gt;&lt;D xsi:type="xsd:double"&gt;230.83180000000002&lt;/D&gt;&lt;/FQL&gt;&lt;FQL&gt;&lt;Q&gt;TPC^ECQ_MEAN_EBIT(2018/1C,NOW)&lt;/Q&gt;&lt;R&gt;1&lt;/R&gt;&lt;C&gt;1&lt;/C&gt;&lt;D xsi:type="xsd:double"&gt;50.286175&lt;/D&gt;&lt;/FQL&gt;&lt;FQL&gt;&lt;Q&gt;TPC^ECQ_MEAN_EBIT(2019/1C,NOW)&lt;/Q&gt;&lt;R&gt;1&lt;/R&gt;&lt;C&gt;1&lt;/C&gt;&lt;D xsi:type="xsd:double"&gt;55.707397&lt;/D&gt;&lt;/FQL&gt;&lt;FQL&gt;&lt;Q&gt;TPC^ECQ_MEAN_SALES(2017/3C,NOW)&lt;/Q&gt;&lt;R&gt;1&lt;/R&gt;&lt;C&gt;1&lt;/C&gt;&lt;D xsi:type="xsd:double"&gt;1199.5&lt;/D&gt;&lt;/FQL&gt;&lt;FQL&gt;&lt;Q&gt;TPC^ECQ_MEAN_EBIT(2015/4C,NOW)&lt;/Q&gt;&lt;R&gt;1&lt;/R&gt;&lt;C&gt;1&lt;/C&gt;&lt;D xsi:type="xsd:double"&gt;71.32008&lt;/D&gt;&lt;/FQL&gt;&lt;FQL&gt;&lt;Q&gt;TPC^ECA_MEAN_EBIT(2014,NOW)&lt;/Q&gt;&lt;R&gt;1&lt;/R&gt;&lt;C&gt;1&lt;/C&gt;&lt;D xsi:type="xsd:double"&gt;244.56320000000002&lt;/D&gt;&lt;/FQL&gt;&lt;FQL&gt;&lt;Q&gt;TPC^ECQ_MEAN_EBITD(2016/2C,NOW)&lt;/Q&gt;&lt;R&gt;1&lt;/R&gt;&lt;C&gt;1&lt;/C&gt;&lt;D xsi:type="xsd:double"&gt;67.5068&lt;/D&gt;&lt;/FQL&gt;&lt;FQL&gt;&lt;Q&gt;TPC^ECA_MEAN_SALES(2017,NOW)&lt;/Q&gt;&lt;R&gt;1&lt;/R&gt;&lt;C&gt;1&lt;/C&gt;&lt;D xsi:type="xsd:double"&gt;5373.465&lt;/D&gt;&lt;/FQL&gt;&lt;FQL&gt;&lt;Q&gt;TPC^ECQ_MEAN_EPS(2015/3C,NOW)&lt;/Q&gt;&lt;R&gt;1&lt;/R&gt;&lt;C&gt;1&lt;/C&gt;&lt;D xsi:type="xsd:double"&gt;0.68&lt;/D&gt;&lt;/FQL&gt;&lt;FQL&gt;&lt;Q&gt;TPC^ECQ_MEAN_NET(2015/3C,NOW)&lt;/Q&gt;&lt;R&gt;1&lt;/R&gt;&lt;C&gt;1&lt;/C&gt;&lt;D xsi:type="xsd:double"&gt;19.677&lt;/D&gt;&lt;/FQL&gt;&lt;FQL&gt;&lt;Q&gt;TPC^ECQ_MEAN_SALES(2015/3C,NOW)&lt;/Q&gt;&lt;R&gt;1&lt;/R&gt;&lt;C&gt;1&lt;/C&gt;&lt;D xsi:type="xsd:double"&gt;1340.73&lt;/D&gt;&lt;/FQL&gt;&lt;FQL&gt;&lt;Q&gt;TPC^ECA_MEAN_EBIT(2017,NOW)&lt;/Q&gt;&lt;R&gt;1&lt;/R&gt;&lt;C&gt;1&lt;/C&gt;&lt;D xsi:type="xsd:double"&gt;227.69325&lt;/D&gt;&lt;/FQL&gt;&lt;FQL&gt;&lt;Q&gt;TPC^ECQ_MEAN_EBITD(2018/2C,NOW)&lt;/Q&gt;&lt;R&gt;1&lt;/R&gt;&lt;C&gt;1&lt;/C&gt;&lt;D xsi:type="xsd:double"&gt;86.19306&lt;/D&gt;&lt;/FQL&gt;&lt;FQL&gt;&lt;Q&gt;TPC^ECQ_MEAN_SALES(2018/4C,NOW)&lt;/Q&gt;&lt;R&gt;1&lt;/R&gt;&lt;C&gt;1&lt;/C&gt;&lt;D xsi:type="xsd:double"&gt;1444.868&lt;/D&gt;&lt;/FQL&gt;&lt;FQL&gt;&lt;Q&gt;TPC^ECQ_MEAN_SALES(2017/2C,NOW)&lt;/Q&gt;&lt;R&gt;1&lt;/R&gt;&lt;C&gt;1&lt;/C&gt;&lt;D xsi:type="xsd:double"&gt;1247.27&lt;/D&gt;&lt;/FQL&gt;&lt;FQL&gt;&lt;Q&gt;TPC^ECQ_MEAN_EBITD(2015/3C,NOW)&lt;/Q&gt;&lt;R&gt;1&lt;/R&gt;&lt;C&gt;1&lt;/C&gt;&lt;D xsi:type="xsd:double"&gt;79.69825&lt;/D&gt;&lt;/FQL&gt;&lt;FQL&gt;&lt;Q&gt;TPC^ECQ_MEAN_NET(2011/1C,NOW)&lt;/Q&gt;&lt;R&gt;1&lt;/R&gt;&lt;C&gt;1&lt;/C&gt;&lt;D xsi:type="xsd:double"&gt;6.929&lt;/D&gt;&lt;/FQL&gt;&lt;FQL&gt;&lt;Q&gt;TPC^ECQ_MEAN_NET(2011/2C,NOW)&lt;/Q&gt;&lt;R&gt;1&lt;/R&gt;&lt;C&gt;1&lt;/C&gt;&lt;D xsi:type="xsd:double"&gt;19.694&lt;/D&gt;&lt;/FQL&gt;&lt;FQL&gt;&lt;Q&gt;TPC^ECQ_MEAN_NET(2011/3C,NOW)&lt;/Q&gt;&lt;R&gt;1&lt;/R&gt;&lt;C&gt;1&lt;/C&gt;&lt;D xsi:type="xsd:double"&gt;35.477000000000004&lt;/D&gt;&lt;/FQL&gt;&lt;FQL&gt;&lt;Q&gt;TPC^ECQ_MEAN_NET(2011/4C,NOW)&lt;/Q&gt;&lt;R&gt;1&lt;/R&gt;&lt;C&gt;1&lt;/C&gt;&lt;D xsi:type="xsd:double"&gt;24.048000000000002&lt;/D&gt;&lt;/FQL&gt;&lt;FQL&gt;&lt;Q&gt;TPC^ECA_MEAN_NET(2011,NOW)&lt;/Q&gt;&lt;R&gt;1&lt;/R&gt;&lt;C&gt;1&lt;/C&gt;&lt;D xsi:type="xsd:double"&gt;86.148&lt;/D&gt;&lt;/FQL&gt;&lt;FQL&gt;&lt;Q&gt;TPC^ECQ_MEAN_NET(2012/1C,NOW)&lt;/Q&gt;&lt;R&gt;1&lt;/R&gt;&lt;C&gt;1&lt;/C&gt;&lt;D xsi:type="xsd:double"&gt;-1.203&lt;/D&gt;&lt;/FQL&gt;&lt;FQL&gt;&lt;Q&gt;TPC^ECQ_MEAN_NET(2012/2C,NOW)&lt;/Q&gt;&lt;R&gt;1&lt;/R&gt;&lt;C&gt;1&lt;/C&gt;&lt;D xsi:type="xsd:double"&gt;-348.423&lt;/D&gt;&lt;/FQL&gt;&lt;FQL&gt;&lt;Q&gt;TPC^ECQ_MEAN_NET(2012/3C,NOW)&lt;/Q&gt;&lt;R&gt;1&lt;/R&gt;&lt;C&gt;1&lt;/C&gt;&lt;D xsi:type="xsd:double"&gt;42.591&lt;/D&gt;&lt;/FQL&gt;&lt;FQL&gt;&lt;Q&gt;TPC^ECQ_MEAN_NET(2012/4C,NOW)&lt;/Q&gt;&lt;R&gt;1&lt;/R&gt;&lt;C&gt;1&lt;/C&gt;&lt;D xsi:type="xsd:double"&gt;41.635&lt;/D&gt;&lt;/FQL&gt;&lt;FQL&gt;&lt;Q&gt;TPC^ECA_MEAN_NET(2012,NOW)&lt;/Q&gt;&lt;R&gt;1&lt;/R&gt;&lt;C&gt;1&lt;/C&gt;&lt;D xsi:type="xsd:double"&gt;-265.40000000000003&lt;/D&gt;&lt;/FQL&gt;&lt;FQL&gt;&lt;Q&gt;TPC^ECQ_MEAN_NET(2013/1C,NOW)&lt;/Q&gt;&lt;R&gt;1&lt;/R&gt;&lt;C&gt;1&lt;/C&gt;&lt;D xsi:type="xsd:double"&gt;14.8&lt;/D&gt;&lt;/FQL&gt;&lt;FQL&gt;&lt;Q&gt;TPC^ECQ_MEAN_NET(2013/2C,NOW)&lt;/Q&gt;&lt;R&gt;1&lt;/R&gt;&lt;C&gt;1&lt;/C&gt;&lt;D xsi:type="xsd:double"&gt;15.478&lt;/D&gt;&lt;/FQL&gt;&lt;FQL&gt;&lt;Q&gt;TPC^ECQ_MEAN_NET(2013/3C,NOW)&lt;/Q&gt;&lt;R&gt;1&lt;/R&gt;&lt;C&gt;1&lt;/C&gt;&lt;D xsi:type="xsd:double"&gt;23.759&lt;/D&gt;&lt;/FQL&gt;&lt;FQL&gt;&lt;Q&gt;TPC^ECQ_MEAN_NET(2013/4C,NOW)&lt;/Q&gt;&lt;R&gt;1&lt;/R&gt;&lt;C&gt;1&lt;/C&gt;&lt;D xsi:type="xsd:double"&gt;33.259&lt;/D&gt;&lt;/FQL&gt;&lt;FQL&gt;&lt;Q&gt;TPC^ECA_MEAN_NET(2013,NOW)&lt;/Q&gt;&lt;R&gt;1&lt;/R&gt;&lt;C&gt;1&lt;/C&gt;&lt;D xsi:type="xsd:double"&gt;87.296&lt;/D&gt;&lt;/FQL&gt;&lt;FQL&gt;&lt;Q&gt;TPC^ECQ_MEAN_NET(2014/1C,NOW)&lt;/Q&gt;&lt;R&gt;1&lt;/R&gt;&lt;C&gt;1&lt;/C&gt;&lt;D xsi:type="xsd:double"&gt;15.939&lt;/D&gt;&lt;/FQL&gt;&lt;FQL&gt;&lt;Q&gt;TPC^ECQ_MEAN_NET(2014/2C,NOW)&lt;/Q&gt;&lt;R&gt;1&lt;/R&gt;&lt;C&gt;1&lt;/C&gt;&lt;D xsi:type="xsd:double"&gt;28.545&lt;/D&gt;&lt;/FQL&gt;&lt;FQL&gt;&lt;Q&gt;TPC^ECQ_MEAN_NET(2014/3C,NOW)&lt;/Q&gt;&lt;R&gt;1&lt;/R&gt;&lt;C&gt;1&lt;/C&gt;&lt;D xsi:type="xsd:double"&gt;35.730000000000004&lt;/D&gt;&lt;/FQL&gt;&lt;FQL&gt;&lt;Q&gt;TPC^ECQ_MEAN_NET(2014/4C,NOW)&lt;/Q&gt;&lt;R&gt;1&lt;/R&gt;&lt;C&gt;1&lt;/C&gt;&lt;D xsi:type="xsd:double"&gt;34.9101&lt;/D&gt;&lt;/FQL&gt;&lt;FQL&gt;&lt;Q&gt;TPC^ECQ_MEAN_EBIT(2019/3C,NOW)&lt;/Q&gt;&lt;R&gt;1&lt;/R&gt;&lt;C&gt;1&lt;/C&gt;&lt;D xsi:type="xsd:double"&gt;99.131454&lt;/D&gt;&lt;/FQL&gt;&lt;FQL&gt;&lt;Q&gt;TPC^ECQ_MEAN_EBIT(2015/2C,NOW)&lt;/Q&gt;&lt;R&gt;1&lt;/R&gt;&lt;C&gt;1&lt;/C&gt;&lt;D xsi:type="xsd:double"&gt;30.9084&lt;/D&gt;&lt;/FQL&gt;&lt;FQL&gt;&lt;Q&gt;TPC^ECQ_MEAN_NET(2016/4C,NOW)&lt;/Q&gt;&lt;R&gt;1&lt;/R&gt;&lt;C&gt;1&lt;/C&gt;&lt;D xsi:type="xsd:double"&gt;30.26&lt;/D&gt;&lt;/FQL&gt;&lt;FQL&gt;&lt;Q&gt;TPC^ECQ_MEAN_EBIT(2017/3C,NOW)&lt;/Q&gt;&lt;R&gt;1&lt;/R&gt;&lt;C&gt;1&lt;/C&gt;&lt;D xsi:type="xsd:double"&gt;75.92905&lt;/D&gt;&lt;/FQL&gt;&lt;FQL&gt;&lt;Q&gt;TPC^ECQ_MEAN_NET(2019/2C,NOW)&lt;/Q&gt;&lt;R&gt;1&lt;/R&gt;&lt;C&gt;1&lt;/C&gt;&lt;D xsi:type="xsd:double"&gt;41.827766&lt;/D&gt;&lt;/FQL&gt;&lt;FQL&gt;&lt;Q&gt;TPC^ECA_MEAN_NET(2014,NOW)&lt;/Q&gt;&lt;R&gt;1&lt;/R&gt;&lt;C&gt;1&lt;/C&gt;&lt;D xsi:type="xsd:double"&gt;114.96600000000001&lt;/D&gt;&lt;/FQL&gt;&lt;FQL&gt;&lt;Q&gt;TPC^ECQ_MEAN_NET(2018/3C,NOW)&lt;/Q&gt;&lt;R&gt;1&lt;/R&gt;&lt;C&gt;1&lt;/C&gt;&lt;D xsi:type="xsd:double"&gt;46.119&lt;/D&gt;&lt;/FQL&gt;&lt;FQL&gt;&lt;Q&gt;TPC^ECQ_MEAN_EBITD(2017/3C,NOW)&lt;/Q&gt;&lt;R&gt;1&lt;/R&gt;&lt;C&gt;1&lt;/C&gt;&lt;D xsi:type="xsd:double"&gt;88.61134&lt;/D&gt;&lt;/FQL&gt;&lt;FQL&gt;&lt;Q&gt;TPC^ECA_MEAN_EBITD(2017,NOW)&lt;/Q&gt;&lt;R&gt;1&lt;/R&gt;&lt;C&gt;1&lt;/C&gt;&lt;D xsi:type="xsd:double"&gt;304.098&lt;/D&gt;&lt;/FQL&gt;&lt;FQL&gt;&lt;Q&gt;TPC^ECQ_MEAN_NET(2015/2C,NOW)&lt;/Q&gt;&lt;R&gt;1&lt;/R&gt;&lt;C&gt;1&lt;/C&gt;&lt;D xsi:type="xsd:double"&gt;11.777000000000001&lt;/D&gt;&lt;/FQL&gt;&lt;FQL&gt;&lt;Q&gt;TPC^ECQ_MEAN_EBITD(2015/1C,NOW)&lt;/Q&gt;&lt;R&gt;1&lt;/R&gt;&lt;C&gt;1&lt;/C&gt;&lt;D xsi:type="xsd:double"&gt;30.105500000000003&lt;/D&gt;&lt;/FQL&gt;&lt;FQL&gt;&lt;Q&gt;TPC^ECQ_MEAN_EBITD(2017/1C,NOW)&lt;/Q&gt;&lt;R&gt;1&lt;/R&gt;&lt;C&gt;1&lt;/C&gt;&lt;D xsi:type="xsd:double"&gt;58.688625&lt;/D&gt;&lt;/FQL&gt;&lt;FQL&gt;&lt;Q&gt;TPC^ECQ_MEAN_EBIT(2020/4C,NOW)&lt;/Q&gt;&lt;R&gt;0&lt;/R&gt;&lt;C&gt;0&lt;/C&gt;&lt;/FQL&gt;&lt;FQL&gt;&lt;Q&gt;TPC^ECQ_MEAN_EBIT(2018/4C,NOW)&lt;/Q&gt;&lt;R&gt;1&lt;/R&gt;&lt;C&gt;1&lt;/C&gt;&lt;D xsi:type="xsd:double"&gt;73.4241&lt;/D&gt;&lt;/FQL&gt;&lt;FQL&gt;&lt;Q&gt;TPC^ECQ_MEAN_EBIT(2016/2C,NOW)&lt;/Q&gt;&lt;R&gt;1&lt;/R&gt;&lt;C&gt;1&lt;/C&gt;&lt;D xsi:type="xsd:double"&gt;49.421623&lt;/D&gt;&lt;/FQL&gt;&lt;FQL&gt;&lt;Q&gt;TPC^ECQ_MEAN_EPS(2015/4C,NOW)&lt;/Q&gt;&lt;R&gt;1&lt;/R&gt;&lt;C&gt;1&lt;/C&gt;&lt;D xsi:type="xsd:double"&gt;0.7215688&lt;/D&gt;&lt;/FQL&gt;&lt;FQL&gt;&lt;Q&gt;TPC^ECQ_MEAN_EPS(2011/1C,NOW)&lt;/Q&gt;&lt;R&gt;1&lt;/R&gt;&lt;C&gt;1&lt;/C&gt;&lt;D xsi:type="xsd:double"&gt;0.14&lt;/D&gt;&lt;/FQL&gt;&lt;FQL&gt;&lt;Q&gt;TPC^ECQ_MEAN_EPS(2011/2C,NOW)&lt;/Q&gt;&lt;R&gt;1&lt;/R&gt;&lt;C&gt;1&lt;/C&gt;&lt;D xsi:type="xsd:double"&gt;0.41000000000000003&lt;/D&gt;&lt;/FQL&gt;&lt;FQL&gt;&lt;Q&gt;TPC^ECQ_MEAN_EPS(2011/3C,NOW)&lt;/Q&gt;&lt;R&gt;1&lt;/R&gt;&lt;C&gt;1&lt;/C&gt;&lt;D xsi:type="xsd:double"&gt;0.74&lt;/D&gt;&lt;/FQL&gt;&lt;FQL&gt;&lt;Q&gt;TPC^ECQ_MEAN_EPS(2011/4C,NOW)&lt;/Q&gt;&lt;R&gt;1&lt;/R&gt;&lt;C&gt;1&lt;/C&gt;&lt;D xsi:type="xsd:double"&gt;0.5&lt;/D&gt;&lt;/FQL&gt;&lt;FQL&gt;&lt;Q&gt;TPC^ECA_MEAN_EPS(2011,NOW)&lt;/Q&gt;&lt;R&gt;1&lt;/R&gt;&lt;C&gt;1&lt;/C&gt;&lt;D xsi:type="xsd:double"&gt;1.8&lt;/D&gt;&lt;/FQL&gt;&lt;FQL&gt;&lt;Q&gt;TPC^ECQ_MEAN_EPS(2012/1C,NOW)&lt;/Q&gt;&lt;R&gt;1&lt;/R&gt;&lt;C&gt;1&lt;/C&gt;&lt;D xsi:type="xsd:double"&gt;0.08&lt;/D&gt;&lt;/FQL&gt;&lt;FQL&gt;&lt;Q&gt;TPC^ECQ_MEAN_EPS(2012/2C,NOW)&lt;/Q&gt;&lt;R&gt;1&lt;/R&gt;&lt;C&gt;1&lt;/C&gt;&lt;D xsi:type="xsd:double"&gt;0.16&lt;/D&gt;&lt;/FQL&gt;&lt;FQL&gt;&lt;Q&gt;TPC^ECQ_MEAN_EPS(2012/3C,NOW)&lt;/Q&gt;&lt;R&gt;1&lt;/R&gt;&lt;C&gt;1&lt;/C&gt;&lt;D xsi:type="xsd:double"&gt;0.54&lt;/D&gt;&lt;/FQL&gt;&lt;FQL&gt;&lt;Q&gt;TPC^ECQ_MEAN_EPS(2012/4C,NOW)&lt;/Q&gt;&lt;R&gt;1&lt;/R&gt;&lt;C&gt;1&lt;/C&gt;&lt;D xsi:type="xsd:double"&gt;0.66&lt;/D&gt;&lt;/FQL&gt;&lt;FQL&gt;&lt;Q&gt;TPC^ECA_MEAN_EPS(2012,NOW)&lt;/Q&gt;&lt;R&gt;1&lt;/R&gt;&lt;C&gt;1&lt;/C&gt;&lt;D xsi:type="xsd:double"&gt;1.46&lt;/D&gt;&lt;/FQL&gt;&lt;FQL&gt;&lt;Q&gt;TPC^ECQ_MEAN_EPS(2013/1C,NOW)&lt;/Q&gt;&lt;R&gt;1&lt;/R&gt;&lt;C&gt;1&lt;/C&gt;&lt;D xsi:type="xsd:double"&gt;0.31&lt;/D&gt;&lt;/FQL&gt;&lt;FQL&gt;&lt;Q&gt;TPC^ECQ_MEAN_EPS(2013/2C,NOW)&lt;/Q&gt;&lt;R&gt;1&lt;/R&gt;&lt;C&gt;1&lt;/C&gt;&lt;D xsi:type="xsd:double"&gt;0.32&lt;/D&gt;&lt;/FQL&gt;&lt;FQL&gt;&lt;Q&gt;TPC^ECQ_MEAN_EPS(2013/3C,NOW)&lt;/Q&gt;&lt;R&gt;1&lt;/R&gt;&lt;C&gt;1&lt;/C&gt;&lt;D xsi:type="xsd:double"&gt;0.49&lt;/D&gt;&lt;/FQL&gt;&lt;FQL&gt;&lt;Q&gt;TPC^ECQ_MEAN_EPS(2013/4C,NOW)&lt;/Q&gt;&lt;R&gt;1&lt;/R&gt;&lt;C&gt;1&lt;/C&gt;&lt;D xsi:type="xsd:double"&gt;0.68&lt;/D&gt;&lt;/FQL&gt;&lt;FQL&gt;&lt;Q&gt;TPC^ECA_MEAN_EPS(2013,NOW)&lt;/Q&gt;&lt;R&gt;1&lt;/R&gt;&lt;C&gt;1&lt;/C&gt;&lt;D xsi:type="xsd:double"&gt;1.8&lt;/D&gt;&lt;/FQL&gt;&lt;FQL&gt;&lt;Q&gt;TPC^ECQ_MEAN_EPS(2014/1C,NOW)&lt;/Q&gt;&lt;R&gt;1&lt;/R&gt;&lt;C&gt;1&lt;/C&gt;&lt;D xsi:type="xsd:double"&gt;0.33&lt;/D&gt;&lt;/FQL&gt;&lt;FQL&gt;&lt;Q&gt;TPC^ECQ_MEAN_EPS(2014/2C,NOW)&lt;/Q&gt;&lt;R&gt;1&lt;/R&gt;&lt;C&gt;1&lt;/C&gt;&lt;D xsi:type="xsd:double"&gt;0.58&lt;/D&gt;&lt;/FQL&gt;&lt;FQL&gt;&lt;Q&gt;TPC^ECQ_MEAN_EPS(2014/3C,NOW)&lt;/Q&gt;&lt;R&gt;1&lt;/R&gt;&lt;C&gt;1&lt;/C&gt;&lt;D xsi:type="xsd:double"&gt;0.73&lt;/D&gt;&lt;/FQL&gt;&lt;FQL&gt;&lt;Q&gt;TPC^ECQ_MEAN_EPS(2014/4C,NOW)&lt;/Q&gt;&lt;R&gt;1&lt;/R&gt;&lt;C&gt;1&lt;/C&gt;&lt;D xsi:type="xsd:double"&gt;0.72143519999999994&lt;/D&gt;&lt;/FQL&gt;&lt;FQL&gt;&lt;Q&gt;TPC^ECA_MEAN_SALES(2016,NOW)&lt;/Q&gt;&lt;R&gt;1&lt;/R&gt;&lt;C&gt;1&lt;/C&gt;&lt;D xsi:type="xsd:double"&gt;4973.07&lt;/D&gt;&lt;/FQL&gt;&lt;FQL&gt;&lt;Q&gt;TPC^ECQ_MEAN_EPS(2017/2C,NOW)&lt;/Q&gt;&lt;R&gt;1&lt;/R&gt;&lt;C&gt;1&lt;/C&gt;&lt;D xsi:type="xsd:double"&gt;0.59&lt;/D&gt;&lt;/FQL&gt;&lt;FQL&gt;&lt;Q&gt;TPC^ECQ_MEAN_EBITD(2016/1C,NOW)&lt;/Q&gt;&lt;R&gt;1&lt;/R&gt;&lt;C&gt;1&lt;/C&gt;&lt;D xsi:type="xsd:double"&gt;55.28&lt;/D&gt;&lt;/FQL&gt;&lt;FQL&gt;&lt;Q&gt;TPC^ECQ_MEAN_SALES(2017/1C,NOW)&lt;/Q&gt;&lt;R&gt;1&lt;/R&gt;&lt;C&gt;1&lt;/C&gt;&lt;D xsi:type="xsd:double"&gt;1117.36&lt;/D&gt;&lt;/FQL&gt;&lt;FQL&gt;&lt;Q&gt;TPC^ECQ_MEAN_SALES(2019/3C,NOW)&lt;/Q&gt;&lt;R&gt;1&lt;/R&gt;&lt;C&gt;1&lt;/C&gt;&lt;D xsi:type="xsd:double"&gt;1683.64&lt;/D&gt;&lt;/FQL&gt;&lt;FQL&gt;&lt;Q&gt;TPC^ECA_MEAN_EPS(2014,NOW)&lt;/Q&gt;&lt;R&gt;1&lt;/R&gt;&lt;C&gt;1&lt;/C&gt;&lt;D xsi:type="xsd:double"&gt;2.33557&lt;/D&gt;&lt;/FQL&gt;&lt;FQL&gt;&lt;Q&gt;TPC^ECA_MEAN_SALES(2015,NOW)&lt;/Q&gt;&lt;R&gt;1&lt;/R&gt;&lt;C&gt;1&lt;/C&gt;&lt;D xsi:type="xsd:double"&gt;5176.91&lt;/D&gt;&lt;/FQL&gt;&lt;FQL&gt;&lt;Q&gt;TPC^ECQ_MEAN_EBITD(2018/1C,NOW)&lt;/Q&gt;&lt;R&gt;1&lt;/R&gt;&lt;C&gt;1&lt;/C&gt;&lt;D xsi:type="xsd:double"&gt;65.23494&lt;/D&gt;&lt;/FQL&gt;&lt;FQL&gt;&lt;Q&gt;TPC^ECQ_MEAN_NET(2015/4C,NOW)&lt;/Q&gt;&lt;R&gt;1&lt;/R&gt;&lt;C&gt;1&lt;/C&gt;&lt;D xsi:type="xsd:double"&gt;36.03166&lt;/D&gt;&lt;/FQL&gt;&lt;FQL&gt;&lt;Q&gt;TPC^ECQ_MEAN_EBITD(2016/3C,NOW)&lt;/Q&gt;&lt;R&gt;1&lt;/R&gt;&lt;C&gt;1&lt;/C&gt;&lt;D xsi:type="xsd:double"&gt;79.682&lt;/D&gt;&lt;/FQL&gt;&lt;FQL&gt;&lt;Q&gt;TPC^ECQ_MEAN_NET(2018/1C,NOW)&lt;/Q&gt;&lt;R&gt;1&lt;/R&gt;&lt;C&gt;1&lt;/C&gt;&lt;D xsi:type="xsd:double"&gt;22.563475&lt;/D&gt;&lt;/FQL&gt;&lt;FQL&gt;&lt;Q&gt;TPC^ECQ_MEAN_SALES(2015/2C,NOW)&lt;/Q&gt;&lt;R&gt;1&lt;/R&gt;&lt;C&gt;1&lt;/C&gt;&lt;D xsi:type="xsd:double"&gt;1312.43&lt;/D&gt;&lt;/FQL&gt;&lt;FQL&gt;&lt;Q&gt;TPC^ECA_MEAN_NET(2017,NOW)&lt;/Q&gt;&lt;R&gt;1&lt;/R&gt;&lt;C&gt;1&lt;/C&gt;&lt;D xsi:type="xsd:double"&gt;115.33529&lt;/D&gt;&lt;/FQL&gt;&lt;FQL&gt;&lt;Q&gt;TPC^ECQ_MEAN_EBIT(2019/4C,NOW)&lt;/Q&gt;&lt;R&gt;1&lt;/R&gt;&lt;C&gt;1&lt;/C&gt;&lt;D xsi:type="xsd:double"&gt;75.72096&lt;/D&gt;&lt;/FQL&gt;&lt;FQL&gt;&lt;Q&gt;TPC^ECA_MEAN_EBIT(2015,NOW)&lt;/Q&gt;&lt;R&gt;1&lt;/R&gt;&lt;C&gt;1&lt;/C&gt;&lt;D xsi:type="xsd:double"&gt;190.82&lt;/D&gt;&lt;/FQL&gt;&lt;FQL&gt;&lt;Q&gt;TPC^ECQ_MEAN_EBITD(2017/4C,NOW)&lt;/Q&gt;&lt;R&gt;1&lt;/R&gt;&lt;C&gt;1&lt;/C&gt;&lt;D xsi:type="xsd:double"&gt;70.12351&lt;/D&gt;&lt;/FQL&gt;&lt;FQL&gt;&lt;Q&gt;TPC-US^FG_EVAL_EBITDA_NTM(42216)&lt;/Q&gt;&lt;R&gt;1&lt;/R&gt;&lt;C&gt;1&lt;/C&gt;&lt;D xsi:type="xsd:double"&gt;5.5640909777030139&lt;/D&gt;&lt;/FQL&gt;&lt;FQL&gt;&lt;Q&gt;TPC-US^FG_EVAL_EBITDA_NTM(42185)&lt;/Q&gt;&lt;R&gt;1&lt;/R&gt;&lt;C&gt;1&lt;/C&gt;&lt;D xsi:type="xsd:double"&gt;5.7510882087470252&lt;/D&gt;&lt;/FQL&gt;&lt;FQL&gt;&lt;Q&gt;TPC-US^FG_EVAL_EBITDA_NTM(42155)&lt;/Q&gt;&lt;R&gt;1&lt;/R&gt;&lt;C&gt;1&lt;/C&gt;&lt;D xsi:type="xsd:double"&gt;5.7078260074262444&lt;/D&gt;&lt;/FQL&gt;&lt;FQL&gt;&lt;Q&gt;TPC-US^FG_EVAL_EBITDA_NTM(42124)&lt;/Q&gt;&lt;R&gt;1&lt;/R&gt;&lt;C&gt;1&lt;/C&gt;&lt;D xsi:type="xsd:double"&gt;5.6653539128791923&lt;/D&gt;&lt;/FQL&gt;&lt;FQL&gt;&lt;Q&gt;TPC-US^FG_EVAL_EBITDA_NTM(42094)&lt;/Q&gt;&lt;R&gt;1&lt;/R&gt;&lt;C&gt;1&lt;/C&gt;&lt;D xsi:type="xsd:double"&gt;6.0871154529412479&lt;/D&gt;&lt;/FQL&gt;&lt;FQL&gt;&lt;Q&gt;TPC-US^FG_EVAL_EBITDA_NTM(42063)&lt;/Q&gt;&lt;R&gt;1&lt;/R&gt;&lt;C&gt;1&lt;/C&gt;&lt;D xsi:type="xsd:double"&gt;6.0511996609144818&lt;/D&gt;&lt;/FQL&gt;&lt;FQL&gt;&lt;Q&gt;TPC-US^FG_EVAL_EBITDA_NTM(42035)&lt;/Q&gt;&lt;R&gt;1&lt;/R&gt;&lt;C&gt;1&lt;/C&gt;&lt;D xsi:type="xsd:double"&gt;5.2197161438185944&lt;/D&gt;&lt;/FQL&gt;&lt;FQL&gt;&lt;Q&gt;TPC-US^FG_EVAL_EBITDA_NTM(42004)&lt;/Q&gt;&lt;R&gt;1&lt;/R&gt;&lt;C&gt;1&lt;/C&gt;&lt;D xsi:type="xsd:double"&gt;5.6244039172608309&lt;/D&gt;&lt;/FQL&gt;&lt;FQL&gt;&lt;Q&gt;TPC-US^FG_EVAL_EBITDA_NTM(41973)&lt;/Q&gt;&lt;R&gt;1&lt;/R&gt;&lt;C&gt;1&lt;/C&gt;&lt;D xsi:type="xsd:double"&gt;5.5301021475594956&lt;/D&gt;&lt;/FQL&gt;&lt;FQL&gt;&lt;Q&gt;TPC-US^FG_EVAL_EBITDA_NTM(41943)&lt;/Q&gt;&lt;R&gt;1&lt;/R&gt;&lt;C&gt;1&lt;/C&gt;&lt;D xsi:type="xsd:double"&gt;5.7331728633374919&lt;/D&gt;&lt;/FQL&gt;&lt;FQL&gt;&lt;Q&gt;TPC-US^FG_EVAL_EBITDA_NTM(41912)&lt;/Q&gt;&lt;R&gt;1&lt;/R&gt;&lt;C&gt;1&lt;/C&gt;&lt;D xsi:type="xsd:double"&gt;5.5961437418277784&lt;/D&gt;&lt;/FQL&gt;&lt;FQL&gt;&lt;Q&gt;TPC-US^FG_EVAL_EBITDA_NTM(41882)&lt;/Q&gt;&lt;R&gt;1&lt;/R&gt;&lt;C&gt;1&lt;/C&gt;&lt;D xsi:type="xsd:double"&gt;6.1822266748256212&lt;/D&gt;&lt;/FQL&gt;&lt;FQL&gt;&lt;Q&gt;TPC-US^FG_EVAL_EBITDA_NTM(41851)&lt;/Q&gt;&lt;R&gt;1&lt;/R&gt;&lt;C&gt;1&lt;/C&gt;&lt;D xsi:type="xsd:double"&gt;5.8904262270340073&lt;/D&gt;&lt;/FQL&gt;&lt;FQL&gt;&lt;Q&gt;TPC-US^FG_EVAL_EBITDA_NTM(41820)&lt;/Q&gt;&lt;R&gt;1&lt;/R&gt;&lt;C&gt;1&lt;/C&gt;&lt;D xsi:type="xsd:double"&gt;6.6570893593468394&lt;/D&gt;&lt;/FQL&gt;&lt;FQL&gt;&lt;Q&gt;TPC-US^FG_EVAL_EBITDA_NTM(41790)&lt;/Q&gt;&lt;R&gt;1&lt;/R&gt;&lt;C&gt;1&lt;/C&gt;&lt;D xsi:type="xsd:double"&gt;6.3740802470411149&lt;/D&gt;&lt;/FQL&gt;&lt;FQL&gt;&lt;Q&gt;TPC-US^FG_EVAL_EBITDA_NTM(41759)&lt;/Q&gt;&lt;R&gt;1&lt;/R&gt;&lt;C&gt;1&lt;/C&gt;&lt;D xsi:type="xsd:double"&gt;6.071669048105055&lt;/D&gt;&lt;/FQL&gt;&lt;FQL&gt;&lt;Q&gt;TPC-US^FG_EVAL_EBITDA_NTM(41729)&lt;/Q&gt;&lt;R&gt;1&lt;/R&gt;&lt;C&gt;1&lt;/C&gt;&lt;D xsi:type="xsd:double"&gt;5.9826871655308889&lt;/D&gt;&lt;/FQL&gt;&lt;FQL&gt;&lt;Q&gt;TPC-US^FG_EVAL_EBITDA_NTM(41698)&lt;/Q&gt;&lt;R&gt;1&lt;/R&gt;&lt;C&gt;1&lt;/C&gt;&lt;D xsi:type="xsd:double"&gt;5.7672262654401374&lt;/D&gt;&lt;/FQL&gt;&lt;FQL&gt;&lt;Q&gt;TPC-US^FG_EVAL_EBITDA_NTM(41670)&lt;/Q&gt;&lt;R&gt;1&lt;/R&gt;&lt;C&gt;1&lt;/C&gt;&lt;D xsi:type="xsd:double"&gt;5.6831431385095543&lt;/D&gt;&lt;/FQL&gt;&lt;FQL&gt;&lt;Q&gt;TPC-US^FG_EVAL_EBITDA_NTM(41639)&lt;/Q&gt;&lt;R&gt;1&lt;/R&gt;&lt;C&gt;1&lt;/C&gt;&lt;D xsi:type="xsd:double"&gt;6.3438695406594672&lt;/D&gt;&lt;/FQL&gt;&lt;FQL&gt;&lt;Q&gt;TPC-US^FG_EVAL_EBITDA_NTM(41608)&lt;/Q&gt;&lt;R&gt;1&lt;/R&gt;&lt;C&gt;1&lt;/C&gt;&lt;D xsi:type="xsd:double"&gt;6.10236136432057&lt;/D&gt;&lt;/FQL&gt;&lt;FQL&gt;&lt;Q&gt;TPC-US^FG_EVAL_EBITDA_NTM(41578)&lt;/Q&gt;&lt;R&gt;1&lt;/R&gt;&lt;C&gt;1&lt;/C&gt;&lt;D xsi:type="xsd:double"&gt;5.9667552782693&lt;/D&gt;&lt;/FQL&gt;&lt;FQL&gt;&lt;Q&gt;TPC-US^FG_EVAL_EBITDA_NTM(41547)&lt;/Q&gt;&lt;R&gt;1&lt;/R&gt;&lt;C&gt;1&lt;/C&gt;&lt;D xsi:type="xsd:double"&gt;5.7761896864571343&lt;/D&gt;&lt;/FQL&gt;&lt;FQL&gt;&lt;Q&gt;TPC-US^FG_EVAL_EBITDA_NTM(41517)&lt;/Q&gt;&lt;R&gt;1&lt;/R&gt;&lt;C&gt;1&lt;/C&gt;&lt;D xsi:type="xsd:double"&gt;5.513108611229292&lt;/D&gt;&lt;/FQL&gt;&lt;FQL&gt;&lt;Q&gt;TPC-US^FG_EVAL_EBITDA_NTM(41486)&lt;/Q&gt;&lt;R&gt;1&lt;/R&gt;&lt;C&gt;1&lt;/C&gt;&lt;D xsi:type="xsd:double"&gt;5.7282933494144972&lt;/D&gt;&lt;/FQL&gt;&lt;FQL&gt;&lt;Q&gt;TPC-US^FG_EVAL_EBITDA_NTM(41455)&lt;/Q&gt;&lt;R&gt;1&lt;/R&gt;&lt;C&gt;1&lt;/C&gt;&lt;D xsi:type="xsd:double"&gt;5.5025231958513121&lt;/D&gt;&lt;/FQL&gt;&lt;FQL&gt;&lt;Q&gt;TPC-US^FG_EVAL_EBITDA_NTM(41425)&lt;/Q&gt;&lt;R&gt;1&lt;/R&gt;&lt;C&gt;1&lt;/C&gt;&lt;D xsi:type="xsd:double"&gt;5.6168080460737686&lt;/D&gt;&lt;/FQL&gt;&lt;FQL&gt;&lt;Q&gt;TPC-US^FG_EVAL_EBITDA_NTM(41394)&lt;/Q&gt;&lt;R&gt;1&lt;/R&gt;&lt;C&gt;1&lt;/C&gt;&lt;D xsi:type="xsd:double"&gt;4.93084775731686&lt;/D&gt;&lt;/FQL&gt;&lt;FQL&gt;&lt;Q&gt;TPC-US^FG_EVAL_EBITDA_NTM(41364)&lt;/Q&gt;&lt;R&gt;1&lt;/R&gt;&lt;C&gt;1&lt;/C&gt;&lt;D xsi:type="xsd:double"&gt;5.42607974479747&lt;/D&gt;&lt;/FQL&gt;&lt;FQL&gt;&lt;Q&gt;TPC-US^FG_EVAL_EBITDA_NTM(41333)&lt;/Q&gt;&lt;R&gt;1&lt;/R&gt;&lt;C&gt;1&lt;/C&gt;&lt;D xsi:type="xsd:double"&gt;4.6508996274675161&lt;/D&gt;&lt;/FQL&gt;&lt;FQL&gt;&lt;Q&gt;TPC-US^FG_EVAL_EBITDA_NTM(41305)&lt;/Q&gt;&lt;R&gt;1&lt;/R&gt;&lt;C&gt;1&lt;/C&gt;&lt;D xsi:type="xsd:double"&gt;4.5733194767751142&lt;/D&gt;&lt;/FQL&gt;&lt;FQL&gt;&lt;Q&gt;TPC-US^FG_EVAL_EBITDA_NTM(41274)&lt;/Q&gt;&lt;R&gt;1&lt;/R&gt;&lt;C&gt;1&lt;/C&gt;&lt;D xsi:type="xsd:double"&gt;4.1347771653830714&lt;/D&gt;&lt;/FQL&gt;&lt;FQL&gt;&lt;Q&gt;TPC-US^FG_EVAL_EBITDA_NTM(41243)&lt;/Q&gt;&lt;R&gt;1&lt;/R&gt;&lt;C&gt;1&lt;/C&gt;&lt;D xsi:type="xsd:double"&gt;3.9906317037392469&lt;/D&gt;&lt;/FQL&gt;&lt;FQL&gt;&lt;Q&gt;TPC-US^FG_EVAL_EBITDA_NTM(41213)&lt;/Q&gt;&lt;R&gt;1&lt;/R&gt;&lt;C&gt;1&lt;/C&gt;&lt;D xsi:type="xsd:double"&gt;3.534962846875084&lt;/D&gt;&lt;/FQL&gt;&lt;FQL&gt;&lt;Q&gt;TPC-US^FG_EVAL_EBITDA_NTM(41182)&lt;/Q&gt;&lt;R&gt;1&lt;/R&gt;&lt;C&gt;1&lt;/C&gt;&lt;D xsi:type="xsd:double"&gt;3.832010427484378&lt;/D&gt;&lt;/FQL&gt;&lt;FQL&gt;&lt;Q&gt;TPC-US^FG_EVAL_EBITDA_NTM(41152)&lt;/Q&gt;&lt;R&gt;1&lt;/R&gt;&lt;C&gt;1&lt;/C&gt;&lt;D xsi:type="xsd:double"&gt;3.7382294197987171&lt;/D&gt;&lt;/FQL&gt;&lt;FQL&gt;&lt;Q&gt;TPC-US^FG_EVAL_EBITDA_NTM(41121)&lt;/Q&gt;&lt;R&gt;1&lt;/R&gt;&lt;C&gt;1&lt;/C&gt;&lt;D xsi:type="xsd:double"&gt;3.6488337972827951&lt;/D&gt;&lt;/FQL&gt;&lt;FQL&gt;&lt;Q&gt;TPC-US^FG_EVAL_EBITDA_NTM(41090)&lt;/Q&gt;&lt;R&gt;1&lt;/R&gt;&lt;C&gt;1&lt;/C&gt;&lt;D xsi:type="xsd:double"&gt;4.1316811499298032&lt;/D&gt;&lt;/FQL&gt;&lt;FQL&gt;&lt;Q&gt;TPC-US^FG_EVAL_EBITDA_NTM(41060)&lt;/Q&gt;&lt;R&gt;1&lt;/R&gt;&lt;C&gt;1&lt;/C&gt;&lt;D xsi:type="xsd:double"&gt;3.945208993374473&lt;/D&gt;&lt;/FQL&gt;&lt;FQL&gt;&lt;Q&gt;TPC-US^FG_EVAL_EBITDA_NTM(41029)&lt;/Q&gt;&lt;R&gt;1&lt;/R&gt;&lt;C&gt;1&lt;/C&gt;&lt;D xsi:type="xsd:double"&gt;4.4521383104677863&lt;/D&gt;&lt;/FQL&gt;&lt;FQL&gt;&lt;Q&gt;TPC-US^FG_EVAL_EBITDA_NTM(40999)&lt;/Q&gt;&lt;R&gt;1&lt;/R&gt;&lt;C&gt;1&lt;/C&gt;&lt;D xsi:type="xsd:double"&gt;4.53390852595583&lt;/D&gt;&lt;/FQL&gt;&lt;FQL&gt;&lt;Q&gt;TPC-US^FG_EVAL_EBITDA_NTM(40968)&lt;/Q&gt;&lt;R&gt;1&lt;/R&gt;&lt;C&gt;1&lt;/C&gt;&lt;D xsi:type="xsd:double"&gt;4.458921541057121&lt;/D&gt;&lt;/FQL&gt;&lt;FQL&gt;&lt;Q&gt;TPC-US^FG_EVAL_EBITDA_NTM(40939)&lt;/Q&gt;&lt;R&gt;1&lt;/R&gt;&lt;C&gt;1&lt;/C&gt;&lt;D xsi:type="xsd:double"&gt;4.6319573925389079&lt;/D&gt;&lt;/FQL&gt;&lt;FQL&gt;&lt;Q&gt;TPC-US^FG_EVAL_EBITDA_NTM(40908)&lt;/Q&gt;&lt;R&gt;1&lt;/R&gt;&lt;C&gt;1&lt;/C&gt;&lt;D xsi:type="xsd:double"&gt;4.14907451141087&lt;/D&gt;&lt;/FQL&gt;&lt;FQL&gt;&lt;Q&gt;TPC-US^FG_EVAL_EBITDA_NTM(40877)&lt;/Q&gt;&lt;R&gt;1&lt;/R&gt;&lt;C&gt;1&lt;/C&gt;&lt;D xsi:type="xsd:double"&gt;3.6670496126404841&lt;/D&gt;&lt;/FQL&gt;&lt;FQL&gt;&lt;Q&gt;TPC-US^FG_EVAL_EBITDA_NTM(40847)&lt;/Q&gt;&lt;R&gt;1&lt;/R&gt;&lt;C&gt;1&lt;/C&gt;&lt;D xsi:type="xsd:double"&gt;3.4399789638314879&lt;/D&gt;&lt;/FQL&gt;&lt;FQL&gt;&lt;Q&gt;TPC-US^FG_EVAL_EBITDA_NTM(40816)&lt;/Q&gt;&lt;R&gt;1&lt;/R&gt;&lt;C&gt;1&lt;/C&gt;&lt;D xsi:type="xsd:double"&gt;2.915248448571806&lt;/D&gt;&lt;/FQL&gt;&lt;FQL&gt;&lt;Q&gt;TPC-US^FG_EVAL_EBITDA_NTM(40786)&lt;/Q&gt;&lt;R&gt;1&lt;/R&gt;&lt;C&gt;1&lt;/C&gt;&lt;D xsi:type="xsd:double"&gt;2.826247128942601&lt;/D&gt;&lt;/FQL&gt;&lt;FQL&gt;&lt;Q&gt;TPC-US^FG_EVAL_EBITDA_NTM(40755)&lt;/Q&gt;&lt;R&gt;1&lt;/R&gt;&lt;C&gt;1&lt;/C&gt;&lt;D xsi:type="xsd:double"&gt;3.145777688553165&lt;/D&gt;&lt;/FQL&gt;&lt;FQL&gt;&lt;Q&gt;TPC-US^FG_EVAL_EBITDA_NTM(40724)&lt;/Q&gt;&lt;R&gt;1&lt;/R&gt;&lt;C&gt;1&lt;/C&gt;&lt;D xsi:type="xsd:double"&gt;3.8399176749558239&lt;/D&gt;&lt;/FQL&gt;&lt;FQL&gt;&lt;Q&gt;TPC-US^FG_EVAL_EBITDA_NTM(40694)&lt;/Q&gt;&lt;R&gt;1&lt;/R&gt;&lt;C&gt;1&lt;/C&gt;&lt;D xsi:type="xsd:double"&gt;3.5849751987497451&lt;/D&gt;&lt;/FQL&gt;&lt;FQL&gt;&lt;Q&gt;TPC-US^FG_EVAL_EBITDA_NTM(40663)&lt;/Q&gt;&lt;R&gt;1&lt;/R&gt;&lt;C&gt;1&lt;/C&gt;&lt;D xsi:type="xsd:double"&gt;4.913094447591833&lt;/D&gt;&lt;/FQL&gt;&lt;FQL&gt;&lt;Q&gt;TPC-US^FG_EVAL_EBITDA_NTM(40633)&lt;/Q&gt;&lt;R&gt;1&lt;/R&gt;&lt;C&gt;1&lt;/C&gt;&lt;D xsi:type="xsd:double"&gt;4.4911239874289519&lt;/D&gt;&lt;/FQL&gt;&lt;FQL&gt;&lt;Q&gt;TPC-US^FG_EVAL_EBITDA_NTM(40602)&lt;/Q&gt;&lt;R&gt;1&lt;/R&gt;&lt;C&gt;1&lt;/C&gt;&lt;D xsi:type="xsd:double"&gt;4.2631833125427372&lt;/D&gt;&lt;/FQL&gt;&lt;FQL&gt;&lt;Q&gt;TPC-US^FG_EVAL_EBITDA_NTM(40574)&lt;/Q&gt;&lt;R&gt;1&lt;/R&gt;&lt;C&gt;1&lt;/C&gt;&lt;D xsi:type="xsd:double"&gt;4.0646800376790271&lt;/D&gt;&lt;/FQL&gt;&lt;FQL&gt;&lt;Q&gt;TPC-US^FG_EVAL_EBITDA_NTM(40543)&lt;/Q&gt;&lt;R&gt;1&lt;/R&gt;&lt;C&gt;1&lt;/C&gt;&lt;D xsi:type="xsd:double"&gt;3.8239660558516828&lt;/D&gt;&lt;/FQL&gt;&lt;FQL&gt;&lt;Q&gt;TPC-US^FG_EVAL_EBITDA_NTM(40512)&lt;/Q&gt;&lt;R&gt;1&lt;/R&gt;&lt;C&gt;1&lt;/C&gt;&lt;D xsi:type="xsd:double"&gt;3.0315079374572762&lt;/D&gt;&lt;/FQL&gt;&lt;FQL&gt;&lt;Q&gt;TPC-US^FG_EVAL_EBITDA_NTM(40482)&lt;/Q&gt;&lt;R&gt;1&lt;/R&gt;&lt;C&gt;1&lt;/C&gt;&lt;D xsi:type="xsd:double"&gt;4.0755036109967664&lt;/D&gt;&lt;/FQL&gt;&lt;FQL&gt;&lt;Q&gt;TPC-US^FG_EVAL_EBITDA_NTM(40451)&lt;/Q&gt;&lt;R&gt;1&lt;/R&gt;&lt;C&gt;1&lt;/C&gt;&lt;D xsi:type="xsd:double"&gt;3.409215504370759&lt;/D&gt;&lt;/FQL&gt;&lt;FQL&gt;&lt;Q&gt;TPC-US^FG_EVAL_EBITDA_NTM(40421)&lt;/Q&gt;&lt;R&gt;1&lt;/R&gt;&lt;C&gt;1&lt;/C&gt;&lt;D xsi:type="xsd:double"&gt;3.6801289529202492&lt;/D&gt;&lt;/FQL&gt;&lt;FQL&gt;&lt;Q&gt;TPC-US^FG_EVAL_EBITDA_NTM(40390)&lt;/Q&gt;&lt;R&gt;1&lt;/R&gt;&lt;C&gt;1&lt;/C&gt;&lt;D xsi:type="xsd:double"&gt;3.77700416419286&lt;/D&gt;&lt;/FQL&gt;&lt;FQL&gt;&lt;Q&gt;TPC-US^FG_EVAL_EBITDA_NTM(40359)&lt;/Q&gt;&lt;R&gt;1&lt;/R&gt;&lt;C&gt;1&lt;/C&gt;&lt;D xsi:type="xsd:double"&gt;3.0706427719945029&lt;/D&gt;&lt;/FQL&gt;&lt;FQL&gt;&lt;Q&gt;TPC-US^FG_EVAL_EBITDA_NTM(40329)&lt;/Q&gt;&lt;R&gt;1&lt;/R&gt;&lt;C&gt;1&lt;/C&gt;&lt;D xsi:type="xsd:double"&gt;4.2153049442808657&lt;/D&gt;&lt;/FQL&gt;&lt;FQL&gt;&lt;Q&gt;TPC-US^FG_EVAL_EBITDA_NTM(40298)&lt;/Q&gt;&lt;R&gt;1&lt;/R&gt;&lt;C&gt;1&lt;/C&gt;&lt;D xsi:type="xsd:double"&gt;4.6547015258240938&lt;/D&gt;&lt;/FQL&gt;&lt;FQL&gt;&lt;Q&gt;TPC-US^FG_EVAL_EBITDA_NTM(40268)&lt;/Q&gt;&lt;R&gt;1&lt;/R&gt;&lt;C&gt;1&lt;/C&gt;&lt;D xsi:type="xsd:double"&gt;4.026775112542011&lt;/D&gt;&lt;/FQL&gt;&lt;FQL&gt;&lt;Q&gt;TPC-US^FG_EVAL_EBITDA_NTM(40237)&lt;/Q&gt;&lt;R&gt;1&lt;/R&gt;&lt;C&gt;1&lt;/C&gt;&lt;D xsi:type="xsd:double"&gt;3.3180327712655409&lt;/D&gt;&lt;/FQL&gt;&lt;FQL&gt;&lt;Q&gt;TPC-US^FG_EVAL_EBITDA_NTM(40209)&lt;/Q&gt;&lt;R&gt;1&lt;/R&gt;&lt;C&gt;1&lt;/C&gt;&lt;D xsi:type="xsd:double"&gt;2.999804020996435&lt;/D&gt;&lt;/FQL&gt;&lt;FQL&gt;&lt;Q&gt;TPC-US^FG_EVAL_EBITDA_NTM(40178)&lt;/Q&gt;&lt;R&gt;1&lt;/R&gt;&lt;C&gt;1&lt;/C&gt;&lt;D xsi:type="xsd:double"&gt;2.8232765726774449&lt;/D&gt;&lt;/FQL&gt;&lt;FQL&gt;&lt;Q&gt;TPC-US^FG_EVAL_EBITDA_NTM(40147)&lt;/Q&gt;&lt;R&gt;1&lt;/R&gt;&lt;C&gt;1&lt;/C&gt;&lt;D xsi:type="xsd:double"&gt;2.4046485742103521&lt;/D&gt;&lt;/FQL&gt;&lt;FQL&gt;&lt;Q&gt;TPC-US^FG_EVAL_EBITDA_NTM(40117)&lt;/Q&gt;&lt;R&gt;1&lt;/R&gt;&lt;C&gt;1&lt;/C&gt;&lt;D xsi:type="xsd:double"&gt;2.4637985522918222&lt;/D&gt;&lt;/FQL&gt;&lt;FQL&gt;&lt;Q&gt;TPC-US^FG_EVAL_EBITDA_NTM(40086)&lt;/Q&gt;&lt;R&gt;1&lt;/R&gt;&lt;C&gt;1&lt;/C&gt;&lt;D xsi:type="xsd:double"&gt;3.234752543138212&lt;/D&gt;&lt;/FQL&gt;&lt;FQL&gt;&lt;Q&gt;TPC-US^FG_EVAL_EBITDA_NTM(40056)&lt;/Q&gt;&lt;R&gt;1&lt;/R&gt;&lt;C&gt;1&lt;/C&gt;&lt;D xsi:type="xsd:double"&gt;2.844661038757156&lt;/D&gt;&lt;/FQL&gt;&lt;FQL&gt;&lt;Q&gt;TPC-US^FG_EVAL_EBITDA_NTM(40025)&lt;/Q&gt;&lt;R&gt;1&lt;/R&gt;&lt;C&gt;1&lt;/C&gt;&lt;D xsi:type="xsd:double"&gt;2.6741246439097441&lt;/D&gt;&lt;/FQL&gt;&lt;FQL&gt;&lt;Q&gt;TPC-US^FG_EVAL_EBITDA_NTM(39994)&lt;/Q&gt;&lt;R&gt;1&lt;/R&gt;&lt;C&gt;1&lt;/C&gt;&lt;D xsi:type="xsd:double"&gt;2.4328088193299728&lt;/D&gt;&lt;/FQL&gt;&lt;FQL&gt;&lt;Q&gt;TPC-US^FG_EVAL_EBITDA_NTM(39964)&lt;/Q&gt;&lt;R&gt;1&lt;/R&gt;&lt;C&gt;1&lt;/C&gt;&lt;D xsi:type="xsd:double"&gt;2.8262941094592522&lt;/D&gt;&lt;/FQL&gt;&lt;FQL&gt;&lt;Q&gt;TPC-US^FG_EVAL_EBITDA_NTM(39933)&lt;/Q&gt;&lt;R&gt;1&lt;/R&gt;&lt;C&gt;1&lt;/C&gt;&lt;D xsi:type="xsd:double"&gt;2.2985876822181122&lt;/D&gt;&lt;/FQL&gt;&lt;FQL&gt;&lt;Q&gt;TPC-US^FG_EVAL_EBITDA_NTM(39903)&lt;/Q&gt;&lt;R&gt;1&lt;/R&gt;&lt;C&gt;1&lt;/C&gt;&lt;D xsi:type="xsd:double"&gt;1.197966928218855&lt;/D&gt;&lt;/FQL&gt;&lt;FQL&gt;&lt;Q&gt;TPC-US^FG_EVAL_EBITDA_NTM(39872)&lt;/Q&gt;&lt;R&gt;1&lt;/R&gt;&lt;C&gt;1&lt;/C&gt;&lt;D xsi:type="xsd:double"&gt;1.6551644983602689&lt;/D&gt;&lt;/FQL&gt;&lt;FQL&gt;&lt;Q&gt;TPC-US^FG_EVAL_EBITDA_NTM(39844)&lt;/Q&gt;&lt;R&gt;1&lt;/R&gt;&lt;C&gt;1&lt;/C&gt;&lt;D xsi:type="xsd:double"&gt;2.75575152704234&lt;/D&gt;&lt;/FQL&gt;&lt;FQL&gt;&lt;Q&gt;TPC-US^FG_EVAL_EBITDA_NTM(39813)&lt;/Q&gt;&lt;R&gt;1&lt;/R&gt;&lt;C&gt;1&lt;/C&gt;&lt;D xsi:type="xsd:double"&gt;3.1915461371055631&lt;/D&gt;&lt;/FQL&gt;&lt;FQL&gt;&lt;Q&gt;TPC-US^FG_EVAL_EBITDA_NTM(39782)&lt;/Q&gt;&lt;R&gt;1&lt;/R&gt;&lt;C&gt;1&lt;/C&gt;&lt;D xsi:type="xsd:double"&gt;2.3123532689216071&lt;/D&gt;&lt;/FQL&gt;&lt;FQL&gt;&lt;Q&gt;TPC-US^FG_EVAL_EBITDA_NTM(39752)&lt;/Q&gt;&lt;R&gt;1&lt;/R&gt;&lt;C&gt;1&lt;/C&gt;&lt;D xsi:type="xsd:double"&gt;2.6210972342560241&lt;/D&gt;&lt;/FQL&gt;&lt;FQL&gt;&lt;Q&gt;TPC-US^FG_EVAL_EBITDA_NTM(39721)&lt;/Q&gt;&lt;R&gt;1&lt;/R&gt;&lt;C&gt;1&lt;/C&gt;&lt;D xsi:type="xsd:double"&gt;4.2452503624600686&lt;/D&gt;&lt;/FQL&gt;&lt;FQL&gt;&lt;Q&gt;TPC-US^FG_EVAL_EBITDA_NTM(39691)&lt;/Q&gt;&lt;R&gt;1&lt;/R&gt;&lt;C&gt;1&lt;/C&gt;&lt;D xsi:type="xsd:double"&gt;1.3913263620008769&lt;/D&gt;&lt;/FQL&gt;&lt;FQL&gt;&lt;Q&gt;TPC-US^FG_EVAL_EBITDA_NTM(39660)&lt;/Q&gt;&lt;R&gt;1&lt;/R&gt;&lt;C&gt;1&lt;/C&gt;&lt;D xsi:type="xsd:double"&gt;1.393132124139276&lt;/D&gt;&lt;/FQL&gt;&lt;FQL&gt;&lt;Q&gt;TPC-US^FG_EVAL_EBITDA_NTM(39629)&lt;/Q&gt;&lt;R&gt;1&lt;/R&gt;&lt;C&gt;1&lt;/C&gt;&lt;D xsi:type="xsd:double"&gt;2.1269076563809688&lt;/D&gt;&lt;/FQL&gt;&lt;FQL&gt;&lt;Q&gt;TPC-US^FG_EVAL_EBITDA_NTM(39599)&lt;/Q&gt;&lt;R&gt;1&lt;/R&gt;&lt;C&gt;1&lt;/C&gt;&lt;D xsi:type="xsd:double"&gt;2.7898030036317061&lt;/D&gt;&lt;/FQL&gt;&lt;FQL&gt;&lt;Q&gt;TPC-US^FG_EVAL_EBITDA_NTM(39568)&lt;/Q&gt;&lt;R&gt;1&lt;/R&gt;&lt;C&gt;1&lt;/C&gt;&lt;D xsi:type="xsd:double"&gt;3.2737311214861018&lt;/D&gt;&lt;/FQL&gt;&lt;FQL&gt;&lt;Q&gt;TPC-US^FG_EVAL_EBITDA_NTM(39538)&lt;/Q&gt;&lt;R&gt;1&lt;/R&gt;&lt;C&gt;1&lt;/C&gt;&lt;D xsi:type="xsd:double"&gt;3.31772527834941&lt;/D&gt;&lt;/FQL&gt;&lt;FQL&gt;&lt;Q&gt;TPC-US^FG_EVAL_EBITDA_NTM(39507)&lt;/Q&gt;&lt;R&gt;1&lt;/R&gt;&lt;C&gt;1&lt;/C&gt;&lt;D xsi:type="xsd:double"&gt;4.0958979881528874&lt;/D&gt;&lt;/FQL&gt;&lt;FQL&gt;&lt;Q&gt;TPC-US^FG_EVAL_EBITDA_NTM(39478)&lt;/Q&gt;&lt;R&gt;1&lt;/R&gt;&lt;C&gt;1&lt;/C&gt;&lt;D xsi:type="xsd:double"&gt;3.69674767804431&lt;/D&gt;&lt;/FQL&gt;&lt;FQL&gt;&lt;Q&gt;TPC-US^FG_EVAL_EBITDA_NTM(39447)&lt;/Q&gt;&lt;R&gt;1&lt;/R&gt;&lt;C&gt;1&lt;/C&gt;&lt;D xsi:type="xsd:double"&gt;4.62320424078332&lt;/D&gt;&lt;/FQL&gt;&lt;FQL&gt;&lt;Q&gt;TPC-US^FG_EVAL_EBITDA_NTM(39416)&lt;/Q&gt;&lt;R&gt;1&lt;/R&gt;&lt;C&gt;1&lt;/C&gt;&lt;D xsi:type="xsd:double"&gt;6.589617481769829&lt;/D&gt;&lt;/FQL&gt;&lt;FQL&gt;&lt;Q&gt;TPC-US^FG_EVAL_EBITDA_NTM(39386)&lt;/Q&gt;&lt;R&gt;1&lt;/R&gt;&lt;C&gt;1&lt;/C&gt;&lt;D xsi:type="xsd:double"&gt;8.2188231412684658&lt;/D&gt;&lt;/FQL&gt;&lt;FQL&gt;&lt;Q&gt;TPC-US^FG_EVAL_EBITDA_NTM(39355)&lt;/Q&gt;&lt;R&gt;1&lt;/R&gt;&lt;C&gt;1&lt;/C&gt;&lt;D xsi:type="xsd:double"&gt;8.0107813378000152&lt;/D&gt;&lt;/FQL&gt;&lt;FQL&gt;&lt;Q&gt;TPC-US^FG_EVAL_EBITDA_NTM(39325)&lt;/Q&gt;&lt;R&gt;1&lt;/R&gt;&lt;C&gt;1&lt;/C&gt;&lt;D xsi:type="xsd:double"&gt;7.9562938446120581&lt;/D&gt;&lt;/FQL&gt;&lt;FQL&gt;&lt;Q&gt;TPC-US^FG_EVAL_EBITDA_NTM(39294)&lt;/Q&gt;&lt;R&gt;1&lt;/R&gt;&lt;C&gt;1&lt;/C&gt;&lt;D xsi:type="xsd:double"&gt;10.280803267284989&lt;/D&gt;&lt;/FQL&gt;&lt;FQL&gt;&lt;Q&gt;TPC-US^FG_EVAL_EBITDA_NTM(39263)&lt;/Q&gt;&lt;R&gt;1&lt;/R&gt;&lt;C&gt;1&lt;/C&gt;&lt;D xsi:type="xsd:double"&gt;10.49545057389688&lt;/D&gt;&lt;/FQL&gt;&lt;FQL&gt;&lt;Q&gt;TPC-US^FG_EVAL_EBITDA_NTM(39233)&lt;/Q&gt;&lt;R&gt;1&lt;/R&gt;&lt;C&gt;1&lt;/C&gt;&lt;D xsi:type="xsd:double"&gt;9.5738841216021076&lt;/D&gt;&lt;/FQL&gt;&lt;FQL&gt;&lt;Q&gt;TPC-US^FG_EVAL_EBITDA_NTM(39202)&lt;/Q&gt;&lt;R&gt;1&lt;/R&gt;&lt;C&gt;1&lt;/C&gt;&lt;D xsi:type="xsd:double"&gt;8.4009641345819972&lt;/D&gt;&lt;/FQL&gt;&lt;FQL&gt;&lt;Q&gt;TPC-US^FG_EVAL_EBITDA_NTM(39172)&lt;/Q&gt;&lt;R&gt;1&lt;/R&gt;&lt;C&gt;1&lt;/C&gt;&lt;D xsi:type="xsd:double"&gt;7.1528420041310694&lt;/D&gt;&lt;/FQL&gt;&lt;FQL&gt;&lt;Q&gt;TPC-US^FG_EVAL_EBITDA_NTM(39141)&lt;/Q&gt;&lt;R&gt;1&lt;/R&gt;&lt;C&gt;1&lt;/C&gt;&lt;D xsi:type="xsd:double"&gt;8.01242428657231&lt;/D&gt;&lt;/FQL&gt;&lt;FQL&gt;&lt;Q&gt;TPC-US^FG_EVAL_EBITDA_NTM(39113)&lt;/Q&gt;&lt;R&gt;1&lt;/R&gt;&lt;C&gt;1&lt;/C&gt;&lt;D xsi:type="xsd:double"&gt;6.8725177653489347&lt;/D&gt;&lt;/FQL&gt;&lt;FQL&gt;&lt;Q&gt;TPC-US^FG_EVAL_EBITDA_NTM(39082)&lt;/Q&gt;&lt;R&gt;1&lt;/R&gt;&lt;C&gt;1&lt;/C&gt;&lt;D xsi:type="xsd:double"&gt;7.1080485436051717&lt;/D&gt;&lt;/FQL&gt;&lt;FQL&gt;&lt;Q&gt;TPC-US^FG_EVAL_EBITDA_NTM(39051)&lt;/Q&gt;&lt;R&gt;1&lt;/R&gt;&lt;C&gt;1&lt;/C&gt;&lt;D xsi:type="xsd:double"&gt;8.0752801969084818&lt;/D&gt;&lt;/FQL&gt;&lt;FQL&gt;&lt;Q&gt;TPC-US^FG_EVAL_EBITDA_NTM(39021)&lt;/Q&gt;&lt;R&gt;1&lt;/R&gt;&lt;C&gt;1&lt;/C&gt;&lt;D xsi:type="xsd:double"&gt;6.8818855912125576&lt;/D&gt;&lt;/FQL&gt;&lt;FQL&gt;&lt;Q&gt;TPC-US^FG_EVAL_EBITDA_NTM(38990)&lt;/Q&gt;&lt;R&gt;1&lt;/R&gt;&lt;C&gt;1&lt;/C&gt;&lt;D xsi:type="xsd:double"&gt;5.955863727197527&lt;/D&gt;&lt;/FQL&gt;&lt;FQL&gt;&lt;Q&gt;TPC-US^FG_EVAL_EBITDA_NTM(38960)&lt;/Q&gt;&lt;R&gt;1&lt;/R&gt;&lt;C&gt;1&lt;/C&gt;&lt;D xsi:type="xsd:double"&gt;6.9051513039819836&lt;/D&gt;&lt;/FQL&gt;&lt;FQL&gt;&lt;Q&gt;TPC-US^FG_EVAL_EBITDA_NTM(38929)&lt;/Q&gt;&lt;R&gt;1&lt;/R&gt;&lt;C&gt;1&lt;/C&gt;&lt;D xsi:type="xsd:double"&gt;6.852454797849834&lt;/D&gt;&lt;/FQL&gt;&lt;FQL&gt;&lt;Q&gt;TPC-US^FG_EVAL_EBITDA_NTM(38898)&lt;/Q&gt;&lt;R&gt;1&lt;/R&gt;&lt;C&gt;1&lt;/C&gt;&lt;D xsi:type="xsd:double"&gt;7.0797350741710172&lt;/D&gt;&lt;/FQL&gt;&lt;FQL&gt;&lt;Q&gt;TPC-US^FG_EVAL_EBITDA_NTM(38868)&lt;/Q&gt;&lt;R&gt;1&lt;/R&gt;&lt;C&gt;1&lt;/C&gt;&lt;D xsi:type="xsd:double"&gt;7.689735052048829&lt;/D&gt;&lt;/FQL&gt;&lt;FQL&gt;&lt;Q&gt;TPC-US^FG_EVAL_EBITDA_NTM(38837)&lt;/Q&gt;&lt;R&gt;1&lt;/R&gt;&lt;C&gt;1&lt;/C&gt;&lt;D xsi:type="xsd:double"&gt;8.7383082375424461&lt;/D&gt;&lt;/FQL&gt;&lt;FQL&gt;&lt;Q&gt;TPC-US^FG_EVAL_EBITDA_NTM(38807)&lt;/Q&gt;&lt;R&gt;1&lt;/R&gt;&lt;C&gt;1&lt;/C&gt;&lt;D xsi:type="xsd:double"&gt;9.0799442313564018&lt;/D&gt;&lt;/FQL&gt;&lt;FQL&gt;&lt;Q&gt;TPC-US^FG_EVAL_EBITDA_NTM(38776)&lt;/Q&gt;&lt;R&gt;1&lt;/R&gt;&lt;C&gt;1&lt;/C&gt;&lt;D xsi:type="xsd:double"&gt;9.4983169242470655&lt;/D&gt;&lt;/FQL&gt;&lt;FQL&gt;&lt;Q&gt;TPC-US^FG_EVAL_EBITDA_NTM(38748)&lt;/Q&gt;&lt;R&gt;1&lt;/R&gt;&lt;C&gt;1&lt;/C&gt;&lt;D xsi:type="xsd:double"&gt;8.92023501455734&lt;/D&gt;&lt;/FQL&gt;&lt;FQL&gt;&lt;Q&gt;TPC-US^FG_EVAL_EBITDA_NTM(38717)&lt;/Q&gt;&lt;R&gt;0&lt;/R&gt;&lt;C&gt;0&lt;/C&gt;&lt;/FQL&gt;&lt;FQL&gt;&lt;Q&gt;TPC-US^FG_EVAL_EBITDA_NTM(38686)&lt;/Q&gt;&lt;R&gt;0&lt;/R&gt;&lt;C&gt;0&lt;/C&gt;&lt;/FQL&gt;&lt;FQL&gt;&lt;Q&gt;TPC-US^FG_EVAL_EBITDA_NTM(38656)&lt;/Q&gt;&lt;R&gt;0&lt;/R&gt;&lt;C&gt;0&lt;/C&gt;&lt;/FQL&gt;&lt;FQL&gt;&lt;Q&gt;TPC-US^FG_EVAL_EBITDA_NTM(38625)&lt;/Q&gt;&lt;R&gt;0&lt;/R&gt;&lt;C&gt;0&lt;/C&gt;&lt;/FQL&gt;&lt;FQL&gt;&lt;Q&gt;TPC-US^FG_EVAL_EBITDA_NTM(38595)&lt;/Q&gt;&lt;R&gt;0&lt;/R&gt;&lt;C&gt;0&lt;/C&gt;&lt;/FQL&gt;&lt;FQL&gt;&lt;Q&gt;TPC-US^FG_EVAL_EBITDA_NTM(38564)&lt;/Q&gt;&lt;R&gt;0&lt;/R&gt;&lt;C&gt;0&lt;/C&gt;&lt;/FQL&gt;&lt;FQL&gt;&lt;Q&gt;TPC-US^FG_EVAL_EBITDA_NTM(38533)&lt;/Q&gt;&lt;R&gt;0&lt;/R&gt;&lt;C&gt;0&lt;/C&gt;&lt;/FQL&gt;&lt;FQL&gt;&lt;Q&gt;TPC-US^FG_EVAL_EBITDA_NTM(38503)&lt;/Q&gt;&lt;R&gt;0&lt;/R&gt;&lt;C&gt;0&lt;/C&gt;&lt;/FQL&gt;&lt;FQL&gt;&lt;Q&gt;TPC-US^FG_EVAL_EBITDA_NTM(38472)&lt;/Q&gt;&lt;R&gt;0&lt;/R&gt;&lt;C&gt;0&lt;/C&gt;&lt;/FQL&gt;&lt;FQL&gt;&lt;Q&gt;TPC-US^FG_EVAL_EBITDA_NTM(38442)&lt;/Q&gt;&lt;R&gt;0&lt;/R&gt;&lt;C&gt;0&lt;/C&gt;&lt;/FQL&gt;&lt;FQL&gt;&lt;Q&gt;TPC-US^FG_EVAL_EBITDA_NTM(38411)&lt;/Q&gt;&lt;R&gt;0&lt;/R&gt;&lt;C&gt;0&lt;/C&gt;&lt;/FQL&gt;&lt;FQL&gt;&lt;Q&gt;TPC-US^FG_EVAL_EBITDA_NTM(38383)&lt;/Q&gt;&lt;R&gt;0&lt;/R&gt;&lt;C&gt;0&lt;/C&gt;&lt;/FQL&gt;&lt;FQL&gt;&lt;Q&gt;TPC-US^FG_EVAL_EBITDA_NTM(38352)&lt;/Q&gt;&lt;R&gt;0&lt;/R&gt;&lt;C&gt;0&lt;/C&gt;&lt;/FQL&gt;&lt;FQL&gt;&lt;Q&gt;TPC-US^FG_EVAL_EBITDA_NTM(38321)&lt;/Q&gt;&lt;R&gt;0&lt;/R&gt;&lt;C&gt;0&lt;/C&gt;&lt;/FQL&gt;&lt;FQL&gt;&lt;Q&gt;TPC-US^FG_EVAL_EBITDA_NTM(38291)&lt;/Q&gt;&lt;R&gt;0&lt;/R&gt;&lt;C&gt;0&lt;/C&gt;&lt;/FQL&gt;&lt;FQL&gt;&lt;Q&gt;TPC-US^FG_EVAL_EBITDA_NTM(38260)&lt;/Q&gt;&lt;R&gt;0&lt;/R&gt;&lt;C&gt;0&lt;/C&gt;&lt;/FQL&gt;&lt;FQL&gt;&lt;Q&gt;TPC-US^FG_EVAL_EBITDA_NTM(38230)&lt;/Q&gt;&lt;R&gt;0&lt;/R&gt;&lt;C&gt;0&lt;/C&gt;&lt;/FQL&gt;&lt;FQL&gt;&lt;Q&gt;TPC-US^FG_EVAL_EBITDA_NTM(38199)&lt;/Q&gt;&lt;R&gt;0&lt;/R&gt;&lt;C&gt;0&lt;/C&gt;&lt;/FQL&gt;&lt;FQL&gt;&lt;Q&gt;TPC-US^FG_EVAL_EBITDA_NTM(38168)&lt;/Q&gt;&lt;R&gt;0&lt;/R&gt;&lt;C&gt;0&lt;/C&gt;&lt;/FQL&gt;&lt;FQL&gt;&lt;Q&gt;TPC-US^FG_EVAL_EBITDA_NTM(38138)&lt;/Q&gt;&lt;R&gt;0&lt;/R&gt;&lt;C&gt;0&lt;/C&gt;&lt;/FQL&gt;&lt;FQL&gt;&lt;Q&gt;TPC-US^FG_EVAL_EBITDA_NTM(38107)&lt;/Q&gt;&lt;R&gt;0&lt;/R&gt;&lt;C&gt;0&lt;/C&gt;&lt;/FQL&gt;&lt;FQL&gt;&lt;Q&gt;TPC-US^FG_EVAL_EBITDA_NTM(38077)&lt;/Q&gt;&lt;R&gt;0&lt;/R&gt;&lt;C&gt;0&lt;/C&gt;&lt;/FQL&gt;&lt;FQL&gt;&lt;Q&gt;TPC-US^FG_EVAL_EBITDA_NTM(38046)&lt;/Q&gt;&lt;R&gt;0&lt;/R&gt;&lt;C&gt;0&lt;/C&gt;&lt;/FQL&gt;&lt;FQL&gt;&lt;Q&gt;TPC-US^FG_EVAL_EBITDA_NTM(38017)&lt;/Q&gt;&lt;R&gt;0&lt;/R&gt;&lt;C&gt;0&lt;/C&gt;&lt;/FQL&gt;&lt;FQL&gt;&lt;Q&gt;TPC-US^FG_EVAL_EBITDA_NTM(37986)&lt;/Q&gt;&lt;R&gt;0&lt;/R&gt;&lt;C&gt;0&lt;/C&gt;&lt;/FQL&gt;&lt;FQL&gt;&lt;Q&gt;TPC-US^FG_EVAL_EBITDA_NTM(37955)&lt;/Q&gt;&lt;R&gt;0&lt;/R&gt;&lt;C&gt;0&lt;/C&gt;&lt;/FQL&gt;&lt;FQL&gt;&lt;Q&gt;TPC-US^FG_EVAL_EBITDA_NTM(37925)&lt;/Q&gt;&lt;R&gt;0&lt;/R&gt;&lt;C&gt;0&lt;/C&gt;&lt;/FQL&gt;&lt;FQL&gt;&lt;Q&gt;TPC-US^FG_EVAL_EBITDA_NTM(37894)&lt;/Q&gt;&lt;R&gt;0&lt;/R&gt;&lt;C&gt;0&lt;/C&gt;&lt;/FQL&gt;&lt;FQL&gt;&lt;Q&gt;TPC-US^FG_EVAL_EBITDA_NTM(37864)&lt;/Q&gt;&lt;R&gt;0&lt;/R&gt;&lt;C&gt;0&lt;/C&gt;&lt;/FQL&gt;&lt;FQL&gt;&lt;Q&gt;TPC-US^FG_EVAL_EBITDA_NTM(37833)&lt;/Q&gt;&lt;R&gt;0&lt;/R&gt;&lt;C&gt;0&lt;/C&gt;&lt;/FQL&gt;&lt;FQL&gt;&lt;Q&gt;TPC-US^FG_EVAL_EBITDA_NTM(37802)&lt;/Q&gt;&lt;R&gt;0&lt;/R&gt;&lt;C&gt;0&lt;/C&gt;&lt;/FQL&gt;&lt;FQL&gt;&lt;Q&gt;TPC-US^FG_EVAL_EBITDA_NTM(37772)&lt;/Q&gt;&lt;R&gt;0&lt;/R&gt;&lt;C&gt;0&lt;/C&gt;&lt;/FQL&gt;&lt;FQL&gt;&lt;Q&gt;TPC-US^FG_EVAL_EBITDA_NTM(37741)&lt;/Q&gt;&lt;R&gt;0&lt;/R&gt;&lt;C&gt;0&lt;/C&gt;&lt;/FQL&gt;&lt;FQL&gt;&lt;Q&gt;TPC-US^FG_EVAL_EBITDA_NTM(37711)&lt;/Q&gt;&lt;R&gt;0&lt;/R&gt;&lt;C&gt;0&lt;/C&gt;&lt;/FQL&gt;&lt;FQL&gt;&lt;Q&gt;TPC-US^FG_EVAL_EBITDA_NTM(37680)&lt;/Q&gt;&lt;R&gt;0&lt;/R&gt;&lt;C&gt;0&lt;/C&gt;&lt;/FQL&gt;&lt;FQL&gt;&lt;Q&gt;TPC-US^FG_EVAL_EBITDA_NTM(37652)&lt;/Q&gt;&lt;R&gt;0&lt;/R&gt;&lt;C&gt;0&lt;/C&gt;&lt;/FQL&gt;&lt;FQL&gt;&lt;Q&gt;TPC-US^FG_EVAL_EBITDA_NTM(37621)&lt;/Q&gt;&lt;R&gt;0&lt;/R&gt;&lt;C&gt;0&lt;/C&gt;&lt;/FQL&gt;&lt;FQL&gt;&lt;Q&gt;TPC-US^FG_EVAL_EBITDA_NTM(37590)&lt;/Q&gt;&lt;R&gt;0&lt;/R&gt;&lt;C&gt;0&lt;/C&gt;&lt;/FQL&gt;&lt;FQL&gt;&lt;Q&gt;TPC-US^FG_EVAL_EBITDA_NTM(37560)&lt;/Q&gt;&lt;R&gt;0&lt;/R&gt;&lt;C&gt;0&lt;/C&gt;&lt;/FQL&gt;&lt;FQL&gt;&lt;Q&gt;TPC-US^FG_EVAL_EBITDA_NTM(37529)&lt;/Q&gt;&lt;R&gt;0&lt;/R&gt;&lt;C&gt;0&lt;/C&gt;&lt;/FQL&gt;&lt;FQL&gt;&lt;Q&gt;TPC-US^FG_EVAL_EBITDA_NTM(37499)&lt;/Q&gt;&lt;R&gt;0&lt;/R&gt;&lt;C&gt;0&lt;/C&gt;&lt;/FQL&gt;&lt;FQL&gt;&lt;Q&gt;TPC-US^FG_EVAL_EBITDA_NTM(37468)&lt;/Q&gt;&lt;R&gt;0&lt;/R&gt;&lt;C&gt;0&lt;/C&gt;&lt;/FQL&gt;&lt;FQL&gt;&lt;Q&gt;TPC-US^FG_EVAL_EBITDA_NTM(37437)&lt;/Q&gt;&lt;R&gt;0&lt;/R&gt;&lt;C&gt;0&lt;/C&gt;&lt;/FQL&gt;&lt;FQL&gt;&lt;Q&gt;TPC-US^FG_EVAL_EBITDA_NTM(37407)&lt;/Q&gt;&lt;R&gt;0&lt;/R&gt;&lt;C&gt;0&lt;/C&gt;&lt;/FQL&gt;&lt;FQL&gt;&lt;Q&gt;TPC-US^FG_EVAL_EBITDA_NTM(37376)&lt;/Q&gt;&lt;R&gt;0&lt;/R&gt;&lt;C&gt;0&lt;/C&gt;&lt;/FQL&gt;&lt;FQL&gt;&lt;Q&gt;TPC-US^FG_EVAL_EBITDA_NTM(37346)&lt;/Q&gt;&lt;R&gt;0&lt;/R&gt;&lt;C&gt;0&lt;/C&gt;&lt;/FQL&gt;&lt;FQL&gt;&lt;Q&gt;TPC-US^FG_EVAL_EBITDA_NTM(37315)&lt;/Q&gt;&lt;R&gt;0&lt;/R&gt;&lt;C&gt;0&lt;/C&gt;&lt;/FQL&gt;&lt;FQL&gt;&lt;Q&gt;TPC-US^FG_EVAL_EBITDA_NTM(37287)&lt;/Q&gt;&lt;R&gt;0&lt;/R&gt;&lt;C&gt;0&lt;/C&gt;&lt;/FQL&gt;&lt;FQL&gt;&lt;Q&gt;TPC-US^FG_EVAL_EBITDA_NTM(37256)&lt;/Q&gt;&lt;R&gt;0&lt;/R&gt;&lt;C&gt;0&lt;/C&gt;&lt;/FQL&gt;&lt;FQL&gt;&lt;Q&gt;TPC-US^FG_EVAL_EBITDA_NTM(37225)&lt;/Q&gt;&lt;R&gt;0&lt;/R&gt;&lt;C&gt;0&lt;/C&gt;&lt;/FQL&gt;&lt;FQL&gt;&lt;Q&gt;TPC-US^FG_EVAL_EBITDA_NTM(37195)&lt;/Q&gt;&lt;R&gt;0&lt;/R&gt;&lt;C&gt;0&lt;/C&gt;&lt;/FQL&gt;&lt;FQL&gt;&lt;Q&gt;TPC-US^FG_EVAL_EBITDA_NTM(37164)&lt;/Q&gt;&lt;R&gt;0&lt;/R&gt;&lt;C&gt;0&lt;/C&gt;&lt;/FQL&gt;&lt;FQL&gt;&lt;Q&gt;TPC-US^FG_EVAL_EBITDA_NTM(37134)&lt;/Q&gt;&lt;R&gt;0&lt;/R&gt;&lt;C&gt;0&lt;/C&gt;&lt;/FQL&gt;&lt;FQL&gt;&lt;Q&gt;TPC-US^FG_EVAL_EBITDA_NTM(37103)&lt;/Q&gt;&lt;R&gt;0&lt;/R&gt;&lt;C&gt;0&lt;/C&gt;&lt;/FQL&gt;&lt;FQL&gt;&lt;Q&gt;TPC-US^FG_EVAL_EBITDA_NTM(37072)&lt;/Q&gt;&lt;R&gt;0&lt;/R&gt;&lt;C&gt;0&lt;/C&gt;&lt;/FQL&gt;&lt;FQL&gt;&lt;Q&gt;TPC-US^FG_EVAL_EBITDA_NTM(37042)&lt;/Q&gt;&lt;R&gt;0&lt;/R&gt;&lt;C&gt;0&lt;/C&gt;&lt;/FQL&gt;&lt;FQL&gt;&lt;Q&gt;TPC-US^FG_EVAL_EBITDA_NTM(37011)&lt;/Q&gt;&lt;R&gt;0&lt;/R&gt;&lt;C&gt;0&lt;/C&gt;&lt;/FQL&gt;&lt;FQL&gt;&lt;Q&gt;TPC-US^FG_EVAL_EBITDA_NTM(36981)&lt;/Q&gt;&lt;R&gt;0&lt;/R&gt;&lt;C&gt;0&lt;/C&gt;&lt;/FQL&gt;&lt;FQL&gt;&lt;Q&gt;TPC-US^FG_EVAL_EBITDA_NTM(36950)&lt;/Q&gt;&lt;R&gt;0&lt;/R&gt;&lt;C&gt;0&lt;/C&gt;&lt;/FQL&gt;&lt;FQL&gt;&lt;Q&gt;TPC-US^FG_EVAL_EBITDA_NTM(36922)&lt;/Q&gt;&lt;R&gt;0&lt;/R&gt;&lt;C&gt;0&lt;/C&gt;&lt;/FQL&gt;&lt;FQL&gt;&lt;Q&gt;TPC-US^FG_EVAL_EBITDA_NTM(36891)&lt;/Q&gt;&lt;R&gt;0&lt;/R&gt;&lt;C&gt;0&lt;/C&gt;&lt;/FQL&gt;&lt;FQL&gt;&lt;Q&gt;TPC-US^FG_EVAL_EBITDA_NTM(36860)&lt;/Q&gt;&lt;R&gt;0&lt;/R&gt;&lt;C&gt;0&lt;/C&gt;&lt;/FQL&gt;&lt;FQL&gt;&lt;Q&gt;TPC-US^FG_EVAL_EBITDA_NTM(36830)&lt;/Q&gt;&lt;R&gt;0&lt;/R&gt;&lt;C&gt;0&lt;/C&gt;&lt;/FQL&gt;&lt;FQL&gt;&lt;Q&gt;TPC-US^FG_EVAL_EBITDA_NTM(36799)&lt;/Q&gt;&lt;R&gt;0&lt;/R&gt;&lt;C&gt;0&lt;/C&gt;&lt;/FQL&gt;&lt;FQL&gt;&lt;Q&gt;TPC-US^FG_EVAL_EBITDA_NTM(36769)&lt;/Q&gt;&lt;R&gt;0&lt;/R&gt;&lt;C&gt;0&lt;/C&gt;&lt;/FQL&gt;&lt;FQL&gt;&lt;Q&gt;TPC-US^FG_EVAL_EBITDA_NTM(36738)&lt;/Q&gt;&lt;R&gt;0&lt;/R&gt;&lt;C&gt;0&lt;/C&gt;&lt;/FQL&gt;&lt;FQL&gt;&lt;Q&gt;TPC-US^FG_EVAL_EBITDA_NTM(36707)&lt;/Q&gt;&lt;R&gt;0&lt;/R&gt;&lt;C&gt;0&lt;/C&gt;&lt;/FQL&gt;&lt;FQL&gt;&lt;Q&gt;TPC-US^FG_EVAL_EBITDA_NTM(36677)&lt;/Q&gt;&lt;R&gt;0&lt;/R&gt;&lt;C&gt;0&lt;/C&gt;&lt;/FQL&gt;&lt;FQL&gt;&lt;Q&gt;TPC-US^FG_EVAL_EBITDA_NTM(36646)&lt;/Q&gt;&lt;R&gt;0&lt;/R&gt;&lt;C&gt;0&lt;/C&gt;&lt;/FQL&gt;&lt;FQL&gt;&lt;Q&gt;TPC-US^FG_EVAL_EBITDA_NTM(36616)&lt;/Q&gt;&lt;R&gt;0&lt;/R&gt;&lt;C&gt;0&lt;/C&gt;&lt;/FQL&gt;&lt;FQL&gt;&lt;Q&gt;TPC-US^FG_EVAL_EBITDA_NTM(36585)&lt;/Q&gt;&lt;R&gt;0&lt;/R&gt;&lt;C&gt;0&lt;/C&gt;&lt;/FQL&gt;&lt;FQL&gt;&lt;Q&gt;TPC-US^FG_EVAL_EBITDA_NTM(36556)&lt;/Q&gt;&lt;R&gt;0&lt;/R&gt;&lt;C&gt;0&lt;/C&gt;&lt;/FQL&gt;&lt;FQL&gt;&lt;Q&gt;TPC-US^FG_PRICE(43069)&lt;/Q&gt;&lt;R&gt;1&lt;/R&gt;&lt;C&gt;1&lt;/C&gt;&lt;D xsi:type="xsd:double"&gt;25.3&lt;/D&gt;&lt;/FQL&gt;&lt;FQL&gt;&lt;Q&gt;TPC-US^FG_MEAN_EPS_NTM(43069,,,90)&lt;/Q&gt;&lt;R&gt;1&lt;/R&gt;&lt;C&gt;1&lt;/C&gt;&lt;D xsi:type="xsd:double"&gt;2.776365&lt;/D&gt;&lt;/FQL&gt;&lt;FQL&gt;&lt;Q&gt;TPC-US^FG_PRICE(43039)&lt;/Q&gt;&lt;R&gt;1&lt;/R&gt;&lt;C&gt;1&lt;/C&gt;&lt;D xsi:type="xsd:double"&gt;28.2&lt;/D&gt;&lt;/FQL&gt;&lt;FQL&gt;&lt;Q&gt;TPC-US^FG_MEAN_EPS_NTM(43039,,,90)&lt;/Q&gt;&lt;R&gt;1&lt;/R&gt;&lt;C&gt;1&lt;/C&gt;&lt;D xsi:type="xsd:double"&gt;2.7320979&lt;/D&gt;&lt;/FQL&gt;&lt;FQL&gt;&lt;Q&gt;TPC-US^FG_PRICE(43008)&lt;/Q&gt;&lt;R&gt;1&lt;/R&gt;&lt;C&gt;1&lt;/C&gt;&lt;D xsi:type="xsd:double"&gt;28.4&lt;/D&gt;&lt;/FQL&gt;&lt;FQL&gt;&lt;Q&gt;TPC-US^FG_MEAN_EPS_NTM(43008,,,90)&lt;/Q&gt;&lt;R&gt;1&lt;/R&gt;&lt;C&gt;1&lt;/C&gt;&lt;D xsi:type="xsd:double"&gt;2.6887946&lt;/D&gt;&lt;/FQL&gt;&lt;FQL&gt;&lt;Q&gt;TPC-US^FG_PRICE(42978)&lt;/Q&gt;&lt;R&gt;1&lt;/R&gt;&lt;C&gt;1&lt;/C&gt;&lt;D xsi:type="xsd:double"&gt;26.15&lt;/D&gt;&lt;/FQL&gt;&lt;FQL&gt;&lt;Q&gt;TPC-US^FG_MEAN_EPS_NTM(42978,,,90)&lt;/Q&gt;&lt;R&gt;1&lt;/R&gt;&lt;C&gt;1&lt;/C&gt;&lt;D xsi:type="xsd:double"&gt;2.642508&lt;/D&gt;&lt;/FQL&gt;&lt;FQL&gt;&lt;Q&gt;TPC-US^FG_PRICE(42947)&lt;/Q&gt;&lt;R&gt;1&lt;/R&gt;&lt;C&gt;1&lt;/C&gt;&lt;D xsi:type="xsd:double"&gt;26.6&lt;/D&gt;&lt;/FQL&gt;&lt;FQL&gt;&lt;Q&gt;TPC-US^FG_MEAN_EPS_NTM(42947,,,90)&lt;/Q&gt;&lt;R&gt;1&lt;/R&gt;&lt;C&gt;1&lt;/C&gt;&lt;D xsi:type="xsd:double"&gt;2.6203043&lt;/D&gt;&lt;/FQL&gt;&lt;FQL&gt;&lt;Q&gt;TPC-US^FG_PRICE(42916)&lt;/Q&gt;&lt;R&gt;1&lt;/R&gt;&lt;C&gt;1&lt;/C&gt;&lt;D xsi:type="xsd:double"&gt;28.75&lt;/D&gt;&lt;/FQL&gt;&lt;FQL&gt;&lt;Q&gt;TPC-US^FG_MEAN_EPS_NTM(42916,,,90)&lt;/Q&gt;&lt;R&gt;1&lt;/R&gt;&lt;C&gt;1&lt;/C&gt;&lt;D xsi:type="xsd:double"&gt;2.5717075&lt;/D&gt;&lt;/FQL&gt;&lt;FQL&gt;&lt;Q&gt;TPC-US^FG_PRICE(42886)&lt;/Q&gt;&lt;R&gt;1&lt;/R&gt;&lt;C&gt;1&lt;/C&gt;&lt;D xsi:type="xsd:double"&gt;25.95&lt;/D&gt;&lt;/FQL&gt;&lt;FQL&gt;&lt;Q&gt;TPC-US^FG_MEAN_EPS_NTM(42886,,,90)&lt;/Q&gt;&lt;R&gt;1&lt;/R&gt;&lt;C&gt;1&lt;/C&gt;&lt;D xsi:type="xsd:double"&gt;2.5246782&lt;/D&gt;&lt;/FQL&gt;&lt;FQL&gt;&lt;Q&gt;TPC-US^FG_PRICE(42855)&lt;/Q&gt;&lt;R&gt;1&lt;/R&gt;&lt;C&gt;1&lt;/C&gt;&lt;D xsi:type="xsd:double"&gt;30.85&lt;/D&gt;&lt;/FQL&gt;&lt;FQL&gt;&lt;Q&gt;TPC-US^FG_MEAN_EPS_NTM(42855,,,90)&lt;/Q&gt;&lt;R&gt;1&lt;/R&gt;&lt;C&gt;1&lt;/C&gt;&lt;D xsi:type="xsd:double"&gt;2.4598176&lt;/D&gt;&lt;/FQL&gt;&lt;FQL&gt;&lt;Q&gt;TPC-US^FG_PRICE(42825)&lt;/Q&gt;&lt;R&gt;1&lt;/R&gt;&lt;C&gt;1&lt;/C&gt;&lt;D xsi:type="xsd:double"&gt;31.8&lt;/D&gt;&lt;/FQL&gt;&lt;FQL&gt;&lt;Q&gt;TPC-US^FG_MEAN_EPS_NTM(42825,,,90)&lt;/Q&gt;&lt;R&gt;1&lt;/R&gt;&lt;C&gt;1&lt;/C&gt;&lt;D xsi:type="xsd:double"&gt;2.41162&lt;/D&gt;&lt;/FQL&gt;&lt;FQL&gt;&lt;Q&gt;TPC-US^FG_PRICE(42794)&lt;/Q&gt;&lt;R&gt;1&lt;/R&gt;&lt;C&gt;1&lt;/C&gt;&lt;D xsi:type="xsd:double"&gt;30.45&lt;/D&gt;&lt;/FQL&gt;&lt;FQL&gt;&lt;Q&gt;TPC-US^FG_MEAN_EPS_NTM(42794,,,90)&lt;/Q&gt;&lt;R&gt;1&lt;/R&gt;&lt;C&gt;1&lt;/C&gt;&lt;D xsi:type="xsd:double"&gt;2.3378708&lt;/D&gt;&lt;/FQL&gt;&lt;FQL&gt;&lt;Q&gt;TPC-US^FG_PRICE(42766)&lt;/Q&gt;&lt;R&gt;1&lt;/R&gt;&lt;C&gt;1&lt;/C&gt;&lt;D xsi:</t>
        </r>
      </text>
    </comment>
    <comment ref="A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type="xsd:double"&gt;29.8&lt;/D&gt;&lt;/FQL&gt;&lt;FQL&gt;&lt;Q&gt;TPC-US^FG_MEAN_EPS_NTM(42766,,,90)&lt;/Q&gt;&lt;R&gt;1&lt;/R&gt;&lt;C&gt;1&lt;/C&gt;&lt;D xsi:type="xsd:double"&gt;2.389626&lt;/D&gt;&lt;/FQL&gt;&lt;FQL&gt;&lt;Q&gt;TPC-US^FG_PRICE(42735)&lt;/Q&gt;&lt;R&gt;1&lt;/R&gt;&lt;C&gt;1&lt;/C&gt;&lt;D xsi:type="xsd:double"&gt;28&lt;/D&gt;&lt;/FQL&gt;&lt;FQL&gt;&lt;Q&gt;TPC-US^FG_MEAN_EPS_NTM(42735,,,90)&lt;/Q&gt;&lt;R&gt;1&lt;/R&gt;&lt;C&gt;1&lt;/C&gt;&lt;D xsi:type="xsd:double"&gt;2.4040542&lt;/D&gt;&lt;/FQL&gt;&lt;FQL&gt;&lt;Q&gt;TPC-US^FG_PRICE(42704)&lt;/Q&gt;&lt;R&gt;1&lt;/R&gt;&lt;C&gt;1&lt;/C&gt;&lt;D xsi:type="xsd:double"&gt;26.1&lt;/D&gt;&lt;/FQL&gt;&lt;FQL&gt;&lt;Q&gt;TPC-US^FG_MEAN_EPS_NTM(42704,,,90)&lt;/Q&gt;&lt;R&gt;1&lt;/R&gt;&lt;C&gt;1&lt;/C&gt;&lt;D xsi:type="xsd:double"&gt;2.3647997&lt;/D&gt;&lt;/FQL&gt;&lt;FQL&gt;&lt;Q&gt;TPC-US^FG_PRICE(42674)&lt;/Q&gt;&lt;R&gt;1&lt;/R&gt;&lt;C&gt;1&lt;/C&gt;&lt;D xsi:type="xsd:double"&gt;19.05&lt;/D&gt;&lt;/FQL&gt;&lt;FQL&gt;&lt;Q&gt;TPC-US^FG_MEAN_EPS_NTM(42674,,,90)&lt;/Q&gt;&lt;R&gt;1&lt;/R&gt;&lt;C&gt;1&lt;/C&gt;&lt;D xsi:type="xsd:double"&gt;2.4335785&lt;/D&gt;&lt;/FQL&gt;&lt;FQL&gt;&lt;Q&gt;TPC-US^FG_PRICE(42643)&lt;/Q&gt;&lt;R&gt;1&lt;/R&gt;&lt;C&gt;1&lt;/C&gt;&lt;D xsi:type="xsd:double"&gt;21.47&lt;/D&gt;&lt;/FQL&gt;&lt;FQL&gt;&lt;Q&gt;TPC-US^FG_MEAN_EPS_NTM(42643,,,90)&lt;/Q&gt;&lt;R&gt;1&lt;/R&gt;&lt;C&gt;1&lt;/C&gt;&lt;D xsi:type="xsd:double"&gt;2.4036353&lt;/D&gt;&lt;/FQL&gt;&lt;FQL&gt;&lt;Q&gt;TPC-US^FG_PRICE(42613)&lt;/Q&gt;&lt;R&gt;1&lt;/R&gt;&lt;C&gt;1&lt;/C&gt;&lt;D xsi:type="xsd:double"&gt;23.19&lt;/D&gt;&lt;/FQL&gt;&lt;FQL&gt;&lt;Q&gt;TPC-US^FG_MEAN_EPS_NTM(42613,,,90)&lt;/Q&gt;&lt;R&gt;1&lt;/R&gt;&lt;C&gt;1&lt;/C&gt;&lt;D xsi:type="xsd:double"&gt;2.3639276&lt;/D&gt;&lt;/FQL&gt;&lt;FQL&gt;&lt;Q&gt;TPC-US^FG_PRICE(42582)&lt;/Q&gt;&lt;R&gt;1&lt;/R&gt;&lt;C&gt;1&lt;/C&gt;&lt;D xsi:type="xsd:double"&gt;25.12&lt;/D&gt;&lt;/FQL&gt;&lt;FQL&gt;&lt;Q&gt;TPC-US^FG_MEAN_EPS_NTM(42582,,,90)&lt;/Q&gt;&lt;R&gt;1&lt;/R&gt;&lt;C&gt;1&lt;/C&gt;&lt;D xsi:type="xsd:double"&gt;2.3279133&lt;/D&gt;&lt;/FQL&gt;&lt;FQL&gt;&lt;Q&gt;TPC-US^FG_PRICE(42551)&lt;/Q&gt;&lt;R&gt;1&lt;/R&gt;&lt;C&gt;1&lt;/C&gt;&lt;D xsi:type="xsd:double"&gt;23.55&lt;/D&gt;&lt;/FQL&gt;&lt;FQL&gt;&lt;Q&gt;TPC-US^FG_MEAN_EPS_NTM(42551,,,90)&lt;/Q&gt;&lt;R&gt;1&lt;/R&gt;&lt;C&gt;1&lt;/C&gt;&lt;D xsi:type="xsd:double"&gt;2.2908974&lt;/D&gt;&lt;/FQL&gt;&lt;FQL&gt;&lt;Q&gt;TPC-US^FG_PRICE(42521)&lt;/Q&gt;&lt;R&gt;1&lt;/R&gt;&lt;C&gt;1&lt;/C&gt;&lt;D xsi:type="xsd:double"&gt;22.62&lt;/D&gt;&lt;/FQL&gt;&lt;FQL&gt;&lt;Q&gt;TPC-US^FG_MEAN_EPS_NTM(42521,,,90)&lt;/Q&gt;&lt;R&gt;1&lt;/R&gt;&lt;C&gt;1&lt;/C&gt;&lt;D xsi:type="xsd:double"&gt;2.2626534&lt;/D&gt;&lt;/FQL&gt;&lt;FQL&gt;&lt;Q&gt;TPC-US^FG_PRICE(42490)&lt;/Q&gt;&lt;R&gt;1&lt;/R&gt;&lt;C&gt;1&lt;/C&gt;&lt;D xsi:type="xsd:double"&gt;15.82&lt;/D&gt;&lt;/FQL&gt;&lt;FQL&gt;&lt;Q&gt;TPC-US^FG_MEAN_EPS_NTM(42490,,,90)&lt;/Q&gt;&lt;R&gt;1&lt;/R&gt;&lt;C&gt;1&lt;/C&gt;&lt;D xsi:type="xsd:double"&gt;2.1000726&lt;/D&gt;&lt;/FQL&gt;&lt;FQL&gt;&lt;Q&gt;TPC-US^FG_PRICE(42460)&lt;/Q&gt;&lt;R&gt;1&lt;/R&gt;&lt;C&gt;1&lt;/C&gt;&lt;D xsi:type="xsd:double"&gt;15.54&lt;/D&gt;&lt;/FQL&gt;&lt;FQL&gt;&lt;Q&gt;TPC-US^FG_MEAN_EPS_NTM(42460,,,90)&lt;/Q&gt;&lt;R&gt;1&lt;/R&gt;&lt;C&gt;1&lt;/C&gt;&lt;D xsi:type="xsd:double"&gt;2.047362&lt;/D&gt;&lt;/FQL&gt;&lt;FQL&gt;&lt;Q&gt;TPC-US^FG_PRICE(42429)&lt;/Q&gt;&lt;R&gt;1&lt;/R&gt;&lt;C&gt;1&lt;/C&gt;&lt;D xsi:type="xsd:double"&gt;13.36&lt;/D&gt;&lt;/FQL&gt;&lt;FQL&gt;&lt;Q&gt;TPC-US^FG_MEAN_EPS_NTM(42429,,,90)&lt;/Q&gt;&lt;R&gt;1&lt;/R&gt;&lt;C&gt;1&lt;/C&gt;&lt;D xsi:type="xsd:double"&gt;2.1367702&lt;/D&gt;&lt;/FQL&gt;&lt;FQL&gt;&lt;Q&gt;TPC-US^FG_PRICE(42400)&lt;/Q&gt;&lt;R&gt;1&lt;/R&gt;&lt;C&gt;1&lt;/C&gt;&lt;D xsi:type="xsd:double"&gt;13.21&lt;/D&gt;&lt;/FQL&gt;&lt;FQL&gt;&lt;Q&gt;TPC-US^FG_MEAN_EPS_NTM(42400,,,90)&lt;/Q&gt;&lt;R&gt;1&lt;/R&gt;&lt;C&gt;1&lt;/C&gt;&lt;D xsi:type="xsd:double"&gt;2.089825&lt;/D&gt;&lt;/FQL&gt;&lt;FQL&gt;&lt;Q&gt;TPC-US^FG_PRICE(42369)&lt;/Q&gt;&lt;R&gt;1&lt;/R&gt;&lt;C&gt;1&lt;/C&gt;&lt;D xsi:type="xsd:double"&gt;16.74&lt;/D&gt;&lt;/FQL&gt;&lt;FQL&gt;&lt;Q&gt;TPC-US^FG_MEAN_EPS_NTM(42369,,,90)&lt;/Q&gt;&lt;R&gt;1&lt;/R&gt;&lt;C&gt;1&lt;/C&gt;&lt;D xsi:type="xsd:double"&gt;2.4044414&lt;/D&gt;&lt;/FQL&gt;&lt;FQL&gt;&lt;Q&gt;TPC-US^FG_PRICE(42338)&lt;/Q&gt;&lt;R&gt;1&lt;/R&gt;&lt;C&gt;1&lt;/C&gt;&lt;D xsi:type="xsd:double"&gt;18.84&lt;/D&gt;&lt;/FQL&gt;&lt;FQL&gt;&lt;Q&gt;TPC-US^FG_MEAN_EPS_NTM(42338,,,90)&lt;/Q&gt;&lt;R&gt;1&lt;/R&gt;&lt;C&gt;1&lt;/C&gt;&lt;D xsi:type="xsd:double"&gt;2.383948&lt;/D&gt;&lt;/FQL&gt;&lt;FQL&gt;&lt;Q&gt;TPC-US^FG_PRICE(42308)&lt;/Q&gt;&lt;R&gt;1&lt;/R&gt;&lt;C&gt;1&lt;/C&gt;&lt;D xsi:type="xsd:double"&gt;16.78&lt;/D&gt;&lt;/FQL&gt;&lt;FQL&gt;&lt;Q&gt;TPC-US^FG_MEAN_EPS_NTM(42308,,,90)&lt;/Q&gt;&lt;R&gt;1&lt;/R&gt;&lt;C&gt;1&lt;/C&gt;&lt;D xsi:type="xsd:double"&gt;2.506149&lt;/D&gt;&lt;/FQL&gt;&lt;FQL&gt;&lt;Q&gt;TPC-US^FG_PRICE(42277)&lt;/Q&gt;&lt;R&gt;1&lt;/R&gt;&lt;C&gt;1&lt;/C&gt;&lt;D xsi:type="xsd:double"&gt;16.46&lt;/D&gt;&lt;/FQL&gt;&lt;FQL&gt;&lt;Q&gt;TPC-US^FG_MEAN_EPS_NTM(42277,,,90)&lt;/Q&gt;&lt;R&gt;1&lt;/R&gt;&lt;C&gt;1&lt;/C&gt;&lt;D xsi:type="xsd:double"&gt;2.5042424&lt;/D&gt;&lt;/FQL&gt;&lt;FQL&gt;&lt;Q&gt;TPC-US^FG_PRICE(42247)&lt;/Q&gt;&lt;R&gt;1&lt;/R&gt;&lt;C&gt;1&lt;/C&gt;&lt;D xsi:type="xsd:double"&gt;17.7&lt;/D&gt;&lt;/FQL&gt;&lt;FQL&gt;&lt;Q&gt;TPC-US^FG_MEAN_EPS_NTM(42247,,,90)&lt;/Q&gt;&lt;R&gt;1&lt;/R&gt;&lt;C&gt;1&lt;/C&gt;&lt;D xsi:type="xsd:double"&gt;2.4419067&lt;/D&gt;&lt;/FQL&gt;&lt;FQL&gt;&lt;Q&gt;TPC-US^FG_PRICE(42216)&lt;/Q&gt;&lt;R&gt;1&lt;/R&gt;&lt;C&gt;1&lt;/C&gt;&lt;D xsi:type="xsd:double"&gt;20.93&lt;/D&gt;&lt;/FQL&gt;&lt;FQL&gt;&lt;Q&gt;TPC-US^FG_MEAN_EPS_NTM(42216,,,90)&lt;/Q&gt;&lt;R&gt;1&lt;/R&gt;&lt;C&gt;1&lt;/C&gt;&lt;D xsi:type="xsd:double"&gt;2.6982422&lt;/D&gt;&lt;/FQL&gt;&lt;FQL&gt;&lt;Q&gt;TPC-US^FG_PRICE(42185)&lt;/Q&gt;&lt;R&gt;1&lt;/R&gt;&lt;C&gt;1&lt;/C&gt;&lt;D xsi:type="xsd:double"&gt;21.58&lt;/D&gt;&lt;/FQL&gt;&lt;FQL&gt;&lt;Q&gt;TPC-US^FG_MEAN_EPS_NTM(42185,,,90)&lt;/Q&gt;&lt;R&gt;1&lt;/R&gt;&lt;C&gt;1&lt;/C&gt;&lt;D xsi:type="xsd:double"&gt;2.6393824&lt;/D&gt;&lt;/FQL&gt;&lt;FQL&gt;&lt;Q&gt;TPC-US^FG_PRICE(42155)&lt;/Q&gt;&lt;R&gt;1&lt;/R&gt;&lt;C&gt;1&lt;/C&gt;&lt;D xsi:type="xsd:double"&gt;20.96&lt;/D&gt;&lt;/FQL&gt;&lt;FQL&gt;&lt;Q&gt;TPC-US^FG_MEAN_EPS_NTM(42155,,,90)&lt;/Q&gt;&lt;R&gt;1&lt;/R&gt;&lt;C&gt;1&lt;/C&gt;&lt;D xsi:type="xsd:double"&gt;2.5786238&lt;/D&gt;&lt;/FQL&gt;&lt;FQL&gt;&lt;Q&gt;TPC-US^FG_PRICE(42124)&lt;/Q&gt;&lt;R&gt;1&lt;/R&gt;&lt;C&gt;1&lt;/C&gt;&lt;D xsi:type="xsd:double"&gt;21.2&lt;/D&gt;&lt;/FQL&gt;&lt;FQL&gt;&lt;Q&gt;TPC-US^FG_MEAN_EPS_NTM(42124,,,90)&lt;/Q&gt;&lt;R&gt;1&lt;/R&gt;&lt;C&gt;1&lt;/C&gt;&lt;D xsi:type="xsd:double"&gt;2.5865111&lt;/D&gt;&lt;/FQL&gt;&lt;FQL&gt;&lt;Q&gt;TPC-US^FG_PRICE(42094)&lt;/Q&gt;&lt;R&gt;1&lt;/R&gt;&lt;C&gt;1&lt;/C&gt;&lt;D xsi:type="xsd:double"&gt;23.35&lt;/D&gt;&lt;/FQL&gt;&lt;FQL&gt;&lt;Q&gt;TPC-US^FG_MEAN_EPS_NTM(42094,,,90)&lt;/Q&gt;&lt;R&gt;1&lt;/R&gt;&lt;C&gt;1&lt;/C&gt;&lt;D xsi:type="xsd:double"&gt;2.5380116&lt;/D&gt;&lt;/FQL&gt;&lt;FQL&gt;&lt;Q&gt;TPC-US^FG_PRICE(42063)&lt;/Q&gt;&lt;R&gt;1&lt;/R&gt;&lt;C&gt;1&lt;/C&gt;&lt;D xsi:type="xsd:double"&gt;23.27&lt;/D&gt;&lt;/FQL&gt;&lt;FQL&gt;&lt;Q&gt;TPC-US^FG_MEAN_EPS_NTM(42063,,,90)&lt;/Q&gt;&lt;R&gt;1&lt;/R&gt;&lt;C&gt;1&lt;/C&gt;&lt;D xsi:type="xsd:double"&gt;2.5867476&lt;/D&gt;&lt;/FQL&gt;&lt;FQL&gt;&lt;Q&gt;TPC-US^FG_PRICE(42035)&lt;/Q&gt;&lt;R&gt;1&lt;/R&gt;&lt;C&gt;1&lt;/C&gt;&lt;D xsi:type="xsd:double"&gt;21.71&lt;/D&gt;&lt;/FQL&gt;&lt;FQL&gt;&lt;Q&gt;TPC-US^FG_MEAN_EPS_NTM(42035,,,90)&lt;/Q&gt;&lt;R&gt;1&lt;/R&gt;&lt;C&gt;1&lt;/C&gt;&lt;D xsi:type="xsd:double"&gt;2.9400377&lt;/D&gt;&lt;/FQL&gt;&lt;FQL&gt;&lt;Q&gt;TPC-US^FG_PRICE(42004)&lt;/Q&gt;&lt;R&gt;1&lt;/R&gt;&lt;C&gt;1&lt;/C&gt;&lt;D xsi:type="xsd:double"&gt;24.07&lt;/D&gt;&lt;/FQL&gt;&lt;FQL&gt;&lt;Q&gt;TPC-US^FG_MEAN_EPS_NTM(42004,,,90)&lt;/Q&gt;&lt;R&gt;1&lt;/R&gt;&lt;C&gt;1&lt;/C&gt;&lt;D xsi:type="xsd:double"&gt;2.8931081&lt;/D&gt;&lt;/FQL&gt;&lt;FQL&gt;&lt;Q&gt;TPC-US^FG_PRICE(41973)&lt;/Q&gt;&lt;R&gt;1&lt;/R&gt;&lt;C&gt;1&lt;/C&gt;&lt;D xsi:type="xsd:double"&gt;25.25&lt;/D&gt;&lt;/FQL&gt;&lt;FQL&gt;&lt;Q&gt;TPC-US^FG_MEAN_EPS_NTM(41973,,,90)&lt;/Q&gt;&lt;R&gt;1&lt;/R&gt;&lt;C&gt;1&lt;/C&gt;&lt;D xsi:type="xsd:double"&gt;2.8367531&lt;/D&gt;&lt;/FQL&gt;&lt;FQL&gt;&lt;Q&gt;TPC-US^FG_PRICE(41943)&lt;/Q&gt;&lt;R&gt;1&lt;/R&gt;&lt;C&gt;1&lt;/C&gt;&lt;D xsi:type="xsd:double"&gt;28.01&lt;/D&gt;&lt;/FQL&gt;&lt;FQL&gt;&lt;Q&gt;TPC-US^FG_MEAN_EPS_NTM(41943,,,90)&lt;/Q&gt;&lt;R&gt;1&lt;/R&gt;&lt;C&gt;1&lt;/C&gt;&lt;D xsi:type="xsd:double"&gt;2.830308&lt;/D&gt;&lt;/FQL&gt;&lt;FQL&gt;&lt;Q&gt;TPC-US^FG_PRICE(41912)&lt;/Q&gt;&lt;R&gt;1&lt;/R&gt;&lt;C&gt;1&lt;/C&gt;&lt;D xsi:type="xsd:double"&gt;26.4&lt;/D&gt;&lt;/FQL&gt;&lt;FQL&gt;&lt;Q&gt;TPC-US^FG_MEAN_EPS_NTM(41912,,,90)&lt;/Q&gt;&lt;R&gt;1&lt;/R&gt;&lt;C&gt;1&lt;/C&gt;&lt;D xsi:type="xsd:double"&gt;2.7817066&lt;/D&gt;&lt;/FQL&gt;&lt;FQL&gt;&lt;Q&gt;TPC-US^FG_PRICE(41882)&lt;/Q&gt;&lt;R&gt;1&lt;/R&gt;&lt;C&gt;1&lt;/C&gt;&lt;D xsi:type="xsd:double"&gt;29.88&lt;/D&gt;&lt;/FQL&gt;&lt;FQL&gt;&lt;Q&gt;TPC-US^FG_MEAN_EPS_NTM(41882,,,90)&lt;/Q&gt;&lt;R&gt;1&lt;/R&gt;&lt;C&gt;1&lt;/C&gt;&lt;D xsi:type="xsd:double"&gt;2.7315376&lt;/D&gt;&lt;/FQL&gt;&lt;FQL&gt;&lt;Q&gt;TPC-US^FG_PRICE(41851)&lt;/Q&gt;&lt;R&gt;1&lt;/R&gt;&lt;C&gt;1&lt;/C&gt;&lt;D xsi:type="xsd:double"&gt;27.23&lt;/D&gt;&lt;/FQL&gt;&lt;FQL&gt;&lt;Q&gt;TPC-US^FG_MEAN_EPS_NTM(41851,,,90)&lt;/Q&gt;&lt;R&gt;1&lt;/R&gt;&lt;C&gt;1&lt;/C&gt;&lt;D xsi:type="xsd:double"&gt;2.6828136&lt;/D&gt;&lt;/FQL&gt;&lt;FQL&gt;&lt;Q&gt;TPC-US^FG_PRICE(41820)&lt;/Q&gt;&lt;R&gt;1&lt;/R&gt;&lt;C&gt;1&lt;/C&gt;&lt;D xsi:type="xsd:double"&gt;31.74&lt;/D&gt;&lt;/FQL&gt;&lt;FQL&gt;&lt;Q&gt;TPC-US^FG_MEAN_EPS_NTM(41820,,,90)&lt;/Q&gt;&lt;R&gt;1&lt;/R&gt;&lt;C&gt;1&lt;/C&gt;&lt;D xsi:type="xsd:double"&gt;2.6309779&lt;/D&gt;&lt;/FQL&gt;&lt;FQL&gt;&lt;Q&gt;TPC-US^FG_PRICE(41790)&lt;/Q&gt;&lt;R&gt;1&lt;/R&gt;&lt;C&gt;1&lt;/C&gt;&lt;D xsi:type="xsd:double"&gt;30.63&lt;/D&gt;&lt;/FQL&gt;&lt;FQL&gt;&lt;Q&gt;TPC-US^FG_MEAN_EPS_NTM(41790,,,90)&lt;/Q&gt;&lt;R&gt;1&lt;/R&gt;&lt;C&gt;1&lt;/C&gt;&lt;D xsi:type="xsd:double"&gt;2.572455&lt;/D&gt;&lt;/FQL&gt;&lt;FQL&gt;&lt;Q&gt;TPC-US^FG_PRICE(41759)&lt;/Q&gt;&lt;R&gt;1&lt;/R&gt;&lt;C&gt;1&lt;/C&gt;&lt;D xsi:type="xsd:double"&gt;29.6&lt;/D&gt;&lt;/FQL&gt;&lt;FQL&gt;&lt;Q&gt;TPC-US^FG_MEAN_EPS_NTM(41759,,,90)&lt;/Q&gt;&lt;R&gt;1&lt;/R&gt;&lt;C&gt;1&lt;/C&gt;&lt;D xsi:type="xsd:double"&gt;2.5039198&lt;/D&gt;&lt;/FQL&gt;&lt;FQL&gt;&lt;Q&gt;TPC-US^FG_PRICE(41729)&lt;/Q&gt;&lt;R&gt;1&lt;/R&gt;&lt;C&gt;1&lt;/C&gt;&lt;D xsi:type="xsd:double"&gt;28.67&lt;/D&gt;&lt;/FQL&gt;&lt;FQL&gt;&lt;Q&gt;TPC-US^FG_MEAN_EPS_NTM(41729,,,90)&lt;/Q&gt;&lt;R&gt;1&lt;/R&gt;&lt;C&gt;1&lt;/C&gt;&lt;D xsi:type="xsd:double"&gt;2.4658926&lt;/D&gt;&lt;/FQL&gt;&lt;FQL&gt;&lt;Q&gt;TPC-US^FG_PRICE(41698)&lt;/Q&gt;&lt;R&gt;1&lt;/R&gt;&lt;C&gt;1&lt;/C&gt;&lt;D xsi:type="xsd:double"&gt;24.65&lt;/D&gt;&lt;/FQL&gt;&lt;FQL&gt;&lt;Q&gt;TPC-US^FG_MEAN_EPS_NTM(41698,,,90)&lt;/Q&gt;&lt;R&gt;1&lt;/R&gt;&lt;C&gt;1&lt;/C&gt;&lt;D xsi:type="xsd:double"&gt;2.40149&lt;/D&gt;&lt;/FQL&gt;&lt;FQL&gt;&lt;Q&gt;TPC-US^FG_PRICE(41670)&lt;/Q&gt;&lt;R&gt;1&lt;/R&gt;&lt;C&gt;1&lt;/C&gt;&lt;D xsi:type="xsd:double"&gt;22.6&lt;/D&gt;&lt;/FQL&gt;&lt;FQL&gt;&lt;Q&gt;TPC-US^FG_MEAN_EPS_NTM(41670,,,90)&lt;/Q&gt;&lt;R&gt;1&lt;/R&gt;&lt;C&gt;1&lt;/C&gt;&lt;D xsi:type="xsd:double"&gt;2.4924147&lt;/D&gt;&lt;/FQL&gt;&lt;FQL&gt;&lt;Q&gt;TPC-US^FG_PRICE(41639)&lt;/Q&gt;&lt;R&gt;1&lt;/R&gt;&lt;C&gt;1&lt;/C&gt;&lt;D xsi:type="xsd:double"&gt;26.3&lt;/D&gt;&lt;/FQL&gt;&lt;FQL&gt;&lt;Q&gt;TPC-US^FG_MEAN_EPS_NTM(41639,,,90)&lt;/Q&gt;&lt;R&gt;1&lt;/R&gt;&lt;C&gt;1&lt;/C&gt;&lt;D xsi:type="xsd:double"&gt;2.4501534&lt;/D&gt;&lt;/FQL&gt;&lt;FQL&gt;&lt;Q&gt;TPC-US^FG_PRICE(41608)&lt;/Q&gt;&lt;R&gt;1&lt;/R&gt;&lt;C&gt;1&lt;/C&gt;&lt;D xsi:type="xsd:double"&gt;24.49&lt;/D&gt;&lt;/FQL&gt;&lt;FQL&gt;&lt;Q&gt;TPC-US^FG_MEAN_EPS_NTM(41608,,,90)&lt;/Q&gt;&lt;R&gt;1&lt;/R&gt;&lt;C&gt;1&lt;/C&gt;&lt;D xsi:type="xsd:double"&gt;2.3865228&lt;/D&gt;&lt;/FQL&gt;&lt;FQL&gt;&lt;Q&gt;TPC-US^FG_PRICE(41578)&lt;/Q&gt;&lt;R&gt;1&lt;/R&gt;&lt;C&gt;1&lt;/C&gt;&lt;D xsi:type="xsd:double"&gt;22.95&lt;/D&gt;&lt;/FQL&gt;&lt;FQL&gt;&lt;Q&gt;TPC-US^FG_MEAN_EPS_NTM(41578,,,90)&lt;/Q&gt;&lt;R&gt;1&lt;/R&gt;&lt;C&gt;1&lt;/C&gt;&lt;D xsi:type="xsd:double"&gt;2.32666&lt;/D&gt;&lt;/FQL&gt;&lt;FQL&gt;&lt;Q&gt;TPC-US^FG_PRICE(41547)&lt;/Q&gt;&lt;R&gt;1&lt;/R&gt;&lt;C&gt;1&lt;/C&gt;&lt;D xsi:type="xsd:double"&gt;21.32&lt;/D&gt;&lt;/FQL&gt;&lt;FQL&gt;&lt;Q&gt;TPC-US^FG_MEAN_EPS_NTM(41547,,,90)&lt;/Q&gt;&lt;R&gt;1&lt;/R&gt;&lt;C&gt;1&lt;/C&gt;&lt;D xsi:type="xsd:double"&gt;2.272925&lt;/D&gt;&lt;/FQL&gt;&lt;FQL&gt;&lt;Q&gt;TPC-US^FG_PRICE(41517)&lt;/Q&gt;&lt;R&gt;1&lt;/R&gt;&lt;C&gt;1&lt;/C&gt;&lt;D xsi:type="xsd:double"&gt;19.18&lt;/D&gt;&lt;/FQL&gt;&lt;FQL&gt;&lt;Q&gt;TPC-US^FG_MEAN_EPS_NTM(41517,,,90)&lt;/Q&gt;&lt;R&gt;1&lt;/R&gt;&lt;C&gt;1&lt;/C&gt;&lt;D xsi:type="xsd:double"&gt;2.2380314&lt;/D&gt;&lt;/FQL&gt;&lt;FQL&gt;&lt;Q&gt;TPC-US^FG_PRICE(41486)&lt;/Q&gt;&lt;R&gt;1&lt;/R&gt;&lt;C&gt;1&lt;/C&gt;&lt;D xsi:type="xsd:double"&gt;19.78&lt;/D&gt;&lt;/FQL&gt;&lt;FQL&gt;&lt;Q&gt;TPC-US^FG_MEAN_EPS_NTM(41486,,,90)&lt;/Q&gt;&lt;R&gt;1&lt;/R&gt;&lt;C&gt;1&lt;/C&gt;&lt;D xsi:type="xsd:double"&gt;2.2342117&lt;/D&gt;&lt;/FQL&gt;&lt;FQL&gt;&lt;Q&gt;TPC-US^FG_PRICE(41455)&lt;/Q&gt;&lt;R&gt;1&lt;/R&gt;&lt;C&gt;1&lt;/C&gt;&lt;D xsi:type="xsd:double"&gt;18.09&lt;/D&gt;&lt;/FQL&gt;&lt;FQL&gt;&lt;Q&gt;TPC-US^FG_MEAN_EPS_NTM(41455,,,90)&lt;/Q&gt;&lt;R&gt;1&lt;/R&gt;&lt;C&gt;1&lt;/C&gt;&lt;D xsi:type="xsd:double"&gt;2.1821928&lt;/D&gt;&lt;/FQL&gt;&lt;FQL&gt;&lt;Q&gt;TPC-US^FG_PRICE(41425)&lt;/Q&gt;&lt;R&gt;1&lt;/R&gt;&lt;C&gt;1&lt;/C&gt;&lt;D xsi:type="xsd:double"&gt;18.52&lt;/D&gt;&lt;/FQL&gt;&lt;FQL&gt;&lt;Q&gt;TPC-US^FG_MEAN_EPS_NTM(41425,,,90)&lt;/Q&gt;&lt;R&gt;1&lt;/R&gt;&lt;C&gt;1&lt;/C&gt;&lt;D xsi:type="xsd:double"&gt;2.1380558&lt;/D&gt;&lt;/FQL&gt;&lt;FQL&gt;&lt;Q&gt;TPC-US^FG_PRICE(41394)&lt;/Q&gt;&lt;R&gt;1&lt;/R&gt;&lt;C&gt;1&lt;/C&gt;&lt;D xsi:type="xsd:double"&gt;16.44&lt;/D&gt;&lt;/FQL&gt;&lt;FQL&gt;&lt;Q&gt;TPC-US^FG_MEAN_EPS_NTM(41394,,,90)&lt;/Q&gt;&lt;R&gt;1&lt;/R&gt;&lt;C&gt;1&lt;/C&gt;&lt;D xsi:type="xsd:double"&gt;2.0551522&lt;/D&gt;&lt;/FQL&gt;&lt;FQL&gt;&lt;Q&gt;TPC-US^FG_PRICE(41364)&lt;/Q&gt;&lt;R&gt;1&lt;/R&gt;&lt;C&gt;1&lt;/C&gt;&lt;D xsi:type="xsd:double"&gt;19.3&lt;/D&gt;&lt;/FQL&gt;&lt;FQL&gt;&lt;Q&gt;TPC-US^FG_MEAN_EPS_NTM(41364,,,90)&lt;/Q&gt;&lt;R&gt;1&lt;/R&gt;&lt;C&gt;1&lt;/C&gt;&lt;D xsi:type="xsd:double"&gt;2.0190403&lt;/D&gt;&lt;/FQL&gt;&lt;FQL&gt;&lt;Q&gt;TPC-US^FG_PRICE(41333)&lt;/Q&gt;&lt;R&gt;1&lt;/R&gt;&lt;C&gt;1&lt;/C&gt;&lt;D xsi:type="xsd:double"&gt;17.01&lt;/D&gt;&lt;/FQL&gt;&lt;FQL&gt;&lt;Q&gt;TPC-US^FG_MEAN_EPS_NTM(41333,,,90)&lt;/Q&gt;&lt;R&gt;1&lt;/R&gt;&lt;C&gt;1&lt;/C&gt;&lt;D xsi:type="xsd:double"&gt;2.1453893&lt;/D&gt;&lt;/FQL&gt;&lt;FQL&gt;&lt;Q&gt;TPC-US^FG_PRICE(41305)&lt;/Q&gt;&lt;R&gt;1&lt;/R&gt;&lt;C&gt;1&lt;/C&gt;&lt;D xsi:type="xsd:double"&gt;16.59&lt;/D&gt;&lt;/FQL&gt;&lt;FQL&gt;&lt;Q&gt;TPC-US^FG_MEAN_EPS_NTM(41305,,,90)&lt;/Q&gt;&lt;R&gt;1&lt;/R&gt;&lt;C&gt;1&lt;/C&gt;&lt;D xsi:type="xsd:double"&gt;2.1346333&lt;/D&gt;&lt;/FQL&gt;&lt;FQL&gt;&lt;Q&gt;TPC-US^FG_PRICE(41274)&lt;/Q&gt;&lt;R&gt;1&lt;/R&gt;&lt;C&gt;1&lt;/C&gt;&lt;D xsi:type="xsd:double"&gt;13.7&lt;/D&gt;&lt;/FQL&gt;&lt;FQL&gt;&lt;Q&gt;TPC-US^FG_MEAN_EPS_NTM(41274,,,90)&lt;/Q&gt;&lt;R&gt;1&lt;/R&gt;&lt;C&gt;1&lt;/C&gt;&lt;D xsi:type="xsd:double"&gt;2.08216&lt;/D&gt;&lt;/FQL&gt;&lt;FQL&gt;&lt;Q&gt;TPC-US^FG_PRICE(41243)&lt;/Q&gt;&lt;R&gt;1&lt;/R&gt;&lt;C&gt;1&lt;/C&gt;&lt;D xsi:type="xsd:double"&gt;12.86&lt;/D&gt;&lt;/FQL&gt;&lt;FQL&gt;&lt;Q&gt;TPC-US^FG_MEAN_EPS_NTM(41243,,,90)&lt;/Q&gt;&lt;R&gt;1&lt;/R&gt;&lt;C&gt;1&lt;/C&gt;&lt;D xsi:type="xsd:double"&gt;2.0302212&lt;/D&gt;&lt;/FQL&gt;&lt;FQL&gt;&lt;Q&gt;TPC-US^FG_PRICE(41213)&lt;/Q&gt;&lt;R&gt;1&lt;/R&gt;&lt;C&gt;1&lt;/C&gt;&lt;D xsi:type="xsd:double"&gt;10.14&lt;/D&gt;&lt;/FQL&gt;&lt;FQL&gt;&lt;Q&gt;TPC-US^FG_MEAN_EPS_NTM(41213,,,90)&lt;/Q&gt;&lt;R&gt;1&lt;/R&gt;&lt;C&gt;1&lt;/C&gt;&lt;D xsi:type="xsd:double"&gt;2.0402794&lt;/D&gt;&lt;/FQL&gt;&lt;FQL&gt;&lt;Q&gt;TPC-US^FG_PRICE(41182)&lt;/Q&gt;&lt;R&gt;1&lt;/R&gt;&lt;C&gt;1&lt;/C&gt;&lt;D xsi:type="xsd:double"&gt;11.44&lt;/D&gt;&lt;/FQL&gt;&lt;FQL&gt;&lt;Q&gt;TPC-US^FG_MEAN_EPS_NTM(41182,,,90)&lt;/Q&gt;&lt;R&gt;1&lt;/R&gt;&lt;C&gt;1&lt;/C&gt;&lt;D xsi:type="xsd:double"&gt;1.9776114&lt;/D&gt;&lt;/FQL&gt;&lt;FQL&gt;&lt;Q&gt;TPC-US^FG_PRICE(41152)&lt;/Q&gt;&lt;R&gt;1&lt;/R&gt;&lt;C&gt;1&lt;/C&gt;&lt;D xsi:type="xsd:double"&gt;10.61&lt;/D&gt;&lt;/FQL&gt;&lt;FQL&gt;&lt;Q&gt;TPC-US^FG_MEAN_EPS_NTM(41152,,,90)&lt;/Q&gt;&lt;R&gt;1&lt;/R&gt;&lt;C&gt;1&lt;/C&gt;&lt;D xsi:type="xsd:double"&gt;1.9119846&lt;/D&gt;&lt;/FQL&gt;&lt;FQL&gt;&lt;Q&gt;TPC-US^FG_PRICE(41121)&lt;/Q&gt;&lt;R&gt;1&lt;/R&gt;&lt;C&gt;1&lt;/C&gt;&lt;D xsi:type="xsd:double"&gt;11.36&lt;/D&gt;&lt;/FQL&gt;&lt;FQL&gt;&lt;Q&gt;TPC-US^FG_MEAN_EPS_NTM(41121,,,90)&lt;/Q&gt;&lt;R&gt;1&lt;/R&gt;&lt;C&gt;1&lt;/C&gt;&lt;D xsi:type="xsd:double"&gt;2.1568134&lt;/D&gt;&lt;/FQL&gt;&lt;FQL&gt;&lt;Q&gt;TPC-US^FG_PRICE(41090)&lt;/Q&gt;&lt;R&gt;1&lt;/R&gt;&lt;C&gt;1&lt;/C&gt;&lt;D xsi:type="xsd:double"&gt;12.67&lt;/D&gt;&lt;/FQL&gt;&lt;FQL&gt;&lt;Q&gt;TPC-US^FG_MEAN_EPS_NTM(41090,,,90)&lt;/Q&gt;&lt;R&gt;1&lt;/R&gt;&lt;C&gt;1&lt;/C&gt;&lt;D xsi:type="xsd:double"&gt;2.0972006&lt;/D&gt;&lt;/FQL&gt;&lt;FQL&gt;&lt;Q&gt;TPC-US^FG_PRICE(41060)&lt;/Q&gt;&lt;R&gt;1&lt;/R&gt;&lt;C&gt;1&lt;/C&gt;&lt;D xsi:type="xsd:double"&gt;11.24&lt;/D&gt;&lt;/FQL&gt;&lt;FQL&gt;&lt;Q&gt;TPC-US^FG_MEAN_EPS_NTM(41060,,,90)&lt;/Q&gt;&lt;R&gt;1&lt;/R&gt;&lt;C&gt;1&lt;/C&gt;&lt;D xsi:type="xsd:double"&gt;2.078108&lt;/D&gt;&lt;/FQL&gt;&lt;FQL&gt;&lt;Q&gt;TPC-US^FG_PRICE(41029)&lt;/Q&gt;&lt;R&gt;1&lt;/R&gt;&lt;C&gt;1&lt;/C&gt;&lt;D xsi:type="xsd:double"&gt;15.21&lt;/D&gt;&lt;/FQL&gt;&lt;FQL&gt;&lt;Q&gt;TPC-US^FG_MEAN_EPS_NTM(41029,,,90)&lt;/Q&gt;&lt;R&gt;1&lt;/R&gt;&lt;C&gt;1&lt;/C&gt;&lt;D xsi:type="xsd:double"&gt;2.2709086&lt;/D&gt;&lt;/FQL&gt;&lt;FQL&gt;&lt;Q&gt;TPC-US^FG_PRICE(40999)&lt;/Q&gt;&lt;R&gt;1&lt;/R&gt;&lt;C&gt;1&lt;/C&gt;&lt;D xsi:type="xsd:double"&gt;15.58&lt;/D&gt;&lt;/FQL&gt;&lt;FQL&gt;&lt;Q&gt;TPC-US^FG_MEAN_EPS_NTM(40999,,,90)&lt;/Q&gt;&lt;R&gt;1&lt;/R&gt;&lt;C&gt;1&lt;/C&gt;&lt;D xsi:type="xsd:double"&gt;2.2438512&lt;/D&gt;&lt;/FQL&gt;&lt;FQL&gt;&lt;Q&gt;TPC-US^FG_PRICE(40968)&lt;/Q&gt;&lt;R&gt;1&lt;/R&gt;&lt;C&gt;1&lt;/C&gt;&lt;D xsi:type="xsd:double"&gt;15.78&lt;/D&gt;&lt;/FQL&gt;&lt;FQL&gt;&lt;Q&gt;TPC-US^FG_MEAN_EPS_NTM(40968,,,90)&lt;/Q&gt;&lt;R&gt;1&lt;/R&gt;&lt;C&gt;1&lt;/C&gt;&lt;D xsi:type="xsd:double"&gt;2.619452&lt;/D&gt;&lt;/FQL&gt;&lt;FQL&gt;&lt;Q&gt;TPC-US^FG_PRICE(40939)&lt;/Q&gt;&lt;R&gt;1&lt;/R&gt;&lt;C&gt;1&lt;/C&gt;&lt;D xsi:type="xsd:double"&gt;15.19&lt;/D&gt;&lt;/FQL&gt;&lt;FQL&gt;&lt;Q&gt;TPC-US^FG_MEAN_EPS_NTM(40939,,,90)&lt;/Q&gt;&lt;R&gt;1&lt;/R&gt;&lt;C&gt;1&lt;/C&gt;&lt;D xsi:type="xsd:double"&gt;2.535966&lt;/D&gt;&lt;/FQL&gt;&lt;FQL&gt;&lt;Q&gt;TPC-US^FG_PRICE(40908)&lt;/Q&gt;&lt;R&gt;1&lt;/R&gt;&lt;C&gt;1&lt;/C&gt;&lt;D xsi:type="xsd:double"&gt;12.34&lt;/D&gt;&lt;/FQL&gt;&lt;FQL&gt;&lt;Q&gt;TPC-US^FG_MEAN_EPS_NTM(40908,,,90)&lt;/Q&gt;&lt;R&gt;1&lt;/R&gt;&lt;C&gt;1&lt;/C&gt;&lt;D xsi:type="xsd:double"&gt;2.516484&lt;/D&gt;&lt;/FQL&gt;&lt;FQL&gt;&lt;Q&gt;TPC-US^FG_PRICE(40877)&lt;/Q&gt;&lt;R&gt;1&lt;/R&gt;&lt;C&gt;1&lt;/C&gt;&lt;D xsi:type="xsd:double"&gt;16.49&lt;/D&gt;&lt;/FQL&gt;&lt;FQL&gt;&lt;Q&gt;TPC-US^FG_MEAN_EPS_NTM(40877,,,90)&lt;/Q&gt;&lt;R&gt;1&lt;/R&gt;&lt;C&gt;1&lt;/C&gt;&lt;D xsi:type="xsd:double"&gt;2.4384935&lt;/D&gt;&lt;/FQL&gt;&lt;FQL&gt;&lt;Q&gt;TPC-US^FG_PRICE(40847)&lt;/Q&gt;&lt;R&gt;1&lt;/R&gt;&lt;C&gt;1&lt;/C&gt;&lt;D xsi:type="xsd:double"&gt;14.53&lt;/D&gt;&lt;/FQL&gt;&lt;FQL&gt;&lt;Q&gt;TPC-US^FG_MEAN_EPS_NTM(40847,,,90)&lt;/Q&gt;&lt;R&gt;1&lt;/R&gt;&lt;C&gt;1&lt;/C&gt;&lt;D xsi:type="xsd:double"&gt;2.3960576&lt;/D&gt;&lt;/FQL&gt;&lt;FQL&gt;&lt;Q&gt;TPC-US^FG_PRICE(40786)&lt;/Q&gt;&lt;R&gt;1&lt;/R&gt;&lt;C&gt;1&lt;/C&gt;&lt;D xsi:type="xsd:double"&gt;14.04&lt;/D&gt;&lt;/FQL&gt;&lt;FQL&gt;&lt;Q&gt;TPC-US^FG_MEAN_EPS_NTM(40816,,,90)&lt;/Q&gt;&lt;R&gt;1&lt;/R&gt;&lt;C&gt;1&lt;/C&gt;&lt;D xsi:type="xsd:double"&gt;2.362608&lt;/D&gt;&lt;/FQL&gt;&lt;FQL&gt;&lt;Q&gt;TPC-US^FG_PRICE(39752)&lt;/Q&gt;&lt;R&gt;1&lt;/R&gt;&lt;C&gt;1&lt;/C&gt;&lt;D xsi:type="xsd:double"&gt;19.02&lt;/D&gt;&lt;/FQL&gt;&lt;FQL&gt;&lt;Q&gt;TPC-US^FG_MEAN_EPS_NTM(39752,,,90)&lt;/Q&gt;&lt;R&gt;1&lt;/R&gt;&lt;C&gt;1&lt;/C&gt;&lt;D xsi:type="xsd:double"&gt;3.8480763&lt;/D&gt;&lt;/FQL&gt;&lt;FQL&gt;&lt;Q&gt;TPC-US^FG_PRICE(39721)&lt;/Q&gt;&lt;R&gt;1&lt;/R&gt;&lt;C&gt;1&lt;/C&gt;&lt;D xsi:type="xsd:double"&gt;25.79&lt;/D&gt;&lt;/FQL&gt;&lt;FQL&gt;&lt;Q&gt;TPC-US^FG_MEAN_EPS_NTM(39721,,,90)&lt;/Q&gt;&lt;R&gt;1&lt;/R&gt;&lt;C&gt;1&lt;/C&gt;&lt;D xsi:type="xsd:double"&gt;3.876922&lt;/D&gt;&lt;/FQL&gt;&lt;FQL&gt;&lt;Q&gt;TPC-US^FG_PRICE(39691)&lt;/Q&gt;&lt;R&gt;1&lt;/R&gt;&lt;C&gt;1&lt;/C&gt;&lt;D xsi:type="xsd:double"&gt;26.71&lt;/D&gt;&lt;/FQL&gt;&lt;FQL&gt;&lt;Q&gt;TPC-US^FG_MEAN_EPS_NTM(39691,,,90)&lt;/Q&gt;&lt;R&gt;1&lt;/R&gt;&lt;C&gt;1&lt;/C&gt;&lt;D xsi:type="xsd:double"&gt;3.8853087&lt;/D&gt;&lt;/FQL&gt;&lt;FQL&gt;&lt;Q&gt;TPC-US^FG_PRICE(39660)&lt;/Q&gt;&lt;R&gt;1&lt;/R&gt;&lt;C&gt;1&lt;/C&gt;&lt;D xsi:type="xsd:double"&gt;27.36&lt;/D&gt;&lt;/FQL&gt;&lt;FQL&gt;&lt;Q&gt;TPC-US^FG_MEAN_EPS_NTM(39660,,,90)&lt;/Q&gt;&lt;R&gt;1&lt;/R&gt;&lt;C&gt;1&lt;/C&gt;&lt;D xsi:type="xsd:double"&gt;3.9301655&lt;/D&gt;&lt;/FQL&gt;&lt;FQL&gt;&lt;Q&gt;TPC-US^FG_PRICE(39629)&lt;/Q&gt;&lt;R&gt;1&lt;/R&gt;&lt;C&gt;1&lt;/C&gt;&lt;D xsi:type="xsd:double"&gt;33.05&lt;/D&gt;&lt;/FQL&gt;&lt;FQL&gt;&lt;Q&gt;TPC-US^FG_MEAN_EPS_NTM(39629,,,90)&lt;/Q&gt;&lt;R&gt;1&lt;/R&gt;&lt;C&gt;1&lt;/C&gt;&lt;D xsi:type="xsd:double"&gt;3.9052823&lt;/D&gt;&lt;/FQL&gt;&lt;FQL&gt;&lt;Q&gt;TPC-US^FG_PRICE(39599)&lt;/Q&gt;&lt;R&gt;1&lt;/R&gt;&lt;C&gt;1&lt;/C&gt;&lt;D xsi:type="xsd:double"&gt;38.49&lt;/D&gt;&lt;/FQL&gt;&lt;FQL&gt;&lt;Q&gt;TPC-US^FG_MEAN_EPS_NTM(39599,,,90)&lt;/Q&gt;&lt;R&gt;1&lt;/R&gt;&lt;C&gt;1&lt;/C&gt;&lt;D xsi:type="xsd:double"&gt;3.8803988&lt;/D&gt;&lt;/FQL&gt;&lt;FQL&gt;&lt;Q&gt;TPC-US^FG_PRICE(39568)&lt;/Q&gt;&lt;R&gt;1&lt;/R&gt;&lt;C&gt;1&lt;/C&gt;&lt;D xsi:type="xsd:double"&gt;36.18&lt;/D&gt;&lt;/FQL&gt;&lt;FQL&gt;&lt;Q&gt;TPC-US^FG_MEAN_EPS_NTM(39568,,,90)&lt;/Q&gt;&lt;R&gt;1&lt;/R&gt;&lt;C&gt;1&lt;/C&gt;&lt;D xsi:type="xsd:double"&gt;3.7554238&lt;/D&gt;&lt;/FQL&gt;&lt;FQL&gt;&lt;Q&gt;TPC-US^FG_PRICE(39538)&lt;/Q&gt;&lt;R&gt;1&lt;/R&gt;&lt;C&gt;1&lt;/C&gt;&lt;D xsi:type="xsd:double"&gt;36.23&lt;/D&gt;&lt;/FQL&gt;&lt;FQL&gt;&lt;Q&gt;TPC-US^FG_MEAN_EPS_NTM(39538,,,90)&lt;/Q&gt;&lt;R&gt;1&lt;/R&gt;&lt;C&gt;1&lt;/C&gt;&lt;D xsi:type="xsd:double"&gt;3.7293422&lt;/D&gt;&lt;/FQL&gt;&lt;FQL&gt;&lt;Q&gt;TPC-US^FG_PRICE(39507)&lt;/Q&gt;&lt;R&gt;1&lt;/R&gt;&lt;C&gt;1&lt;/C&gt;&lt;D xsi:type="xsd:double"&gt;37.48&lt;/D&gt;&lt;/FQL&gt;&lt;FQL&gt;&lt;Q&gt;TPC-US^FG_MEAN_EPS_NTM(39507,,,90)&lt;/Q&gt;&lt;R&gt;1&lt;/R&gt;&lt;C&gt;1&lt;/C&gt;&lt;D xsi:type="xsd:double"&gt;3.7307022&lt;/D&gt;&lt;/FQL&gt;&lt;FQL&gt;&lt;Q&gt;TPC-US^FG_PRICE(39478)&lt;/Q&gt;&lt;R&gt;1&lt;/R&gt;&lt;C&gt;1&lt;/C&gt;&lt;D xsi:type="xsd:double"&gt;34.72&lt;/D&gt;&lt;/FQL&gt;&lt;FQL&gt;&lt;Q&gt;TPC-US^FG_MEAN_EPS_NTM(39478,,,90)&lt;/Q&gt;&lt;R&gt;1&lt;/R&gt;&lt;C&gt;1&lt;/C&gt;&lt;D xsi:type="xsd:double"&gt;3.5383232&lt;/D&gt;&lt;/FQL&gt;&lt;FQL&gt;&lt;Q&gt;TPC-US^FG_PRICE(39447)&lt;/Q&gt;&lt;R&gt;1&lt;/R&gt;&lt;C&gt;1&lt;/C&gt;&lt;D xsi:type="xsd:double"&gt;41.42&lt;/D&gt;&lt;/FQL&gt;&lt;FQL&gt;&lt;Q&gt;TPC-US^FG_MEAN_EPS_NTM(39447,,,90)&lt;/Q&gt;&lt;R&gt;1&lt;/R&gt;&lt;C&gt;1&lt;/C&gt;&lt;D xsi:type="xsd:double"&gt;3.6824875&lt;/D&gt;&lt;/FQL&gt;&lt;FQL&gt;&lt;Q&gt;TPC-US^FG_PRICE(39416)&lt;/Q&gt;&lt;R&gt;1&lt;/R&gt;&lt;C&gt;1&lt;/C&gt;&lt;D xsi:type="xsd:double"&gt;53.19&lt;/D&gt;&lt;/FQL&gt;&lt;FQL&gt;&lt;Q&gt;TPC-US^FG_MEAN_EPS_NTM(39416,,,90)&lt;/Q&gt;&lt;R&gt;1&lt;/R&gt;&lt;C&gt;1&lt;/C&gt;&lt;D xsi:type="xsd:double"&gt;3.6642041&lt;/D&gt;&lt;/FQL&gt;&lt;FQL&gt;&lt;Q&gt;TPC-US^FG_PRICE(39386)&lt;/Q&gt;&lt;R&gt;1&lt;/R&gt;&lt;C&gt;1&lt;/C&gt;&lt;D xsi:type="xsd:double"&gt;57.35&lt;/D&gt;&lt;/FQL&gt;&lt;FQL&gt;&lt;Q&gt;TPC-US^FG_MEAN_EPS_NTM(39386,,,90)&lt;/Q&gt;&lt;R&gt;1&lt;/R&gt;&lt;C&gt;1&lt;/C&gt;&lt;D xsi:type="xsd:double"&gt;3.1721058&lt;/D&gt;&lt;/FQL&gt;&lt;FQL&gt;&lt;Q&gt;TPC-US^FG_PRICE(39355)&lt;/Q&gt;&lt;R&gt;1&lt;/R&gt;&lt;C&gt;1&lt;/C&gt;&lt;D xsi:type="xsd:double"&gt;55.93&lt;/D&gt;&lt;/FQL&gt;&lt;FQL&gt;&lt;Q&gt;TPC-US^FG_MEAN_EPS_NTM(39355,,,90)&lt;/Q&gt;&lt;R&gt;1&lt;/R&gt;&lt;C&gt;1&lt;/C&gt;&lt;D xsi:type="xsd:double"&gt;3.1636412&lt;/D&gt;&lt;/FQL&gt;&lt;FQL&gt;&lt;Q&gt;TPC-US^FG_PRICE(39325)&lt;/Q&gt;&lt;R&gt;1&lt;/R&gt;&lt;C&gt;1&lt;/C&gt;&lt;D xsi:type="xsd:double"&gt;56.6&lt;/D&gt;&lt;/FQL&gt;&lt;FQL&gt;&lt;Q&gt;TPC-US^FG_MEAN_EPS_NTM(39325,,,90)&lt;/Q&gt;&lt;R&gt;1&lt;/R&gt;&lt;C&gt;1&lt;/C&gt;&lt;D xsi:type="xsd:double"&gt;3.1972826&lt;/D&gt;&lt;/FQL&gt;&lt;FQL&gt;&lt;Q&gt;TPC-US^FG_PRICE(39294)&lt;/Q&gt;&lt;R&gt;1&lt;/R&gt;&lt;C&gt;1&lt;/C&gt;&lt;D xsi:type="xsd:double"&gt;61.41&lt;/D&gt;&lt;/FQL&gt;&lt;FQL&gt;&lt;Q&gt;TPC-US^FG_MEAN_EPS_NTM(39294,,,90)&lt;/Q&gt;&lt;R&gt;1&lt;/R&gt;&lt;C&gt;1&lt;/C&gt;&lt;D xsi:type="xsd:double"&gt;2.8086853&lt;/D&gt;&lt;/FQL&gt;&lt;FQL&gt;&lt;Q&gt;TPC-US^FG_PRICE(39263)&lt;/Q&gt;&lt;R&gt;1&lt;/R&gt;&lt;C&gt;1&lt;/C&gt;&lt;D xsi:type="xsd:double"&gt;61.53&lt;/D&gt;&lt;/FQL&gt;&lt;FQL&gt;&lt;Q&gt;TPC-US^FG_MEAN_EPS_NTM(39263,,,90)&lt;/Q&gt;&lt;R&gt;1&lt;/R&gt;&lt;C&gt;1&lt;/C&gt;&lt;D xsi:type="xsd:double"&gt;2.767487&lt;/D&gt;&lt;/FQL&gt;&lt;FQL&gt;&lt;Q&gt;TPC-US^FG_PRICE(39233)&lt;/Q&gt;&lt;R&gt;1&lt;/R&gt;&lt;C&gt;1&lt;/C&gt;&lt;D xsi:type="xsd:double"&gt;55&lt;/D&gt;&lt;/FQL&gt;&lt;FQL&gt;&lt;Q&gt;TPC-US^FG_MEAN_EPS_NTM(39233,,,90)&lt;/Q&gt;&lt;R&gt;1&lt;/R&gt;&lt;C&gt;1&lt;/C&gt;&lt;D xsi:type="xsd:double"&gt;2.7446268&lt;/D&gt;&lt;/FQL&gt;&lt;FQL&gt;&lt;Q&gt;TPC-US^FG_PRICE(39202)&lt;/Q&gt;&lt;R&gt;1&lt;/R&gt;&lt;C&gt;1&lt;/C&gt;&lt;D xsi:type="xsd:double"&gt;42.6&lt;/D&gt;&lt;/FQL&gt;&lt;FQL&gt;&lt;Q&gt;TPC-US^FG_MEAN_EPS_NTM(39202,,,90)&lt;/Q&gt;&lt;R&gt;1&lt;/R&gt;&lt;C&gt;1&lt;/C&gt;&lt;D xsi:type="xsd:double"&gt;2.296162&lt;/D&gt;&lt;/FQL&gt;&lt;FQL&gt;&lt;Q&gt;TPC-US^FG_PRICE(39172)&lt;/Q&gt;&lt;R&gt;1&lt;/R&gt;&lt;C&gt;1&lt;/C&gt;&lt;D xsi:type="xsd:double"&gt;36.86&lt;/D&gt;&lt;/FQL&gt;&lt;FQL&gt;&lt;Q&gt;TPC-US^FG_MEAN_EPS_NTM(39172,,,90)&lt;/Q&gt;&lt;R&gt;1&lt;/R&gt;&lt;C&gt;1&lt;/C&gt;&lt;D xsi:type="xsd:double"&gt;2.2618608&lt;/D&gt;&lt;/FQL&gt;&lt;FQL&gt;&lt;Q&gt;TPC-US^FG_PRICE(39141)&lt;/Q&gt;&lt;R&gt;1&lt;/R&gt;&lt;C&gt;1&lt;/C&gt;&lt;D xsi:type="xsd:double"&gt;36.29&lt;/D&gt;&lt;/FQL&gt;&lt;FQL&gt;&lt;Q&gt;TPC-US^FG_MEAN_EPS_NTM(39141,,,90)&lt;/Q&gt;&lt;R&gt;1&lt;/R&gt;&lt;C&gt;1&lt;/C&gt;&lt;D xsi:type="xsd:double"&gt;2.2286665&lt;/D&gt;&lt;/FQL&gt;&lt;FQL&gt;&lt;Q&gt;TPC-US^FG_PRICE(39113)&lt;/Q&gt;&lt;R&gt;1&lt;/R&gt;&lt;C&gt;1&lt;/C&gt;&lt;D xsi:type="xsd:double"&gt;30.22&lt;/D&gt;&lt;/FQL&gt;&lt;FQL&gt;&lt;Q&gt;TPC-US^FG_MEAN_EPS_NTM(39113,,,90)&lt;/Q&gt;&lt;R&gt;1&lt;/R&gt;&lt;C&gt;1&lt;/C&gt;&lt;D xsi:type="xsd:double"&gt;2.0994225&lt;/D&gt;&lt;/FQL&gt;&lt;FQL&gt;&lt;Q&gt;TPC-US^FG_PRICE(39082)&lt;/Q&gt;&lt;R&gt;1&lt;/R&gt;&lt;C&gt;1&lt;/C&gt;&lt;D xsi:type="xsd:double"&gt;30.78&lt;/D&gt;&lt;/FQL&gt;&lt;FQL&gt;&lt;Q&gt;TPC-US^FG_MEAN_EPS_NTM(39082,,,90)&lt;/Q&gt;&lt;R&gt;1&lt;/R&gt;&lt;C&gt;1&lt;/C&gt;&lt;D xsi:type="xsd:double"&gt;2.0616152&lt;/D&gt;&lt;/FQL&gt;&lt;FQL&gt;&lt;Q&gt;TPC-US^FG_PRICE(39051)&lt;/Q&gt;&lt;R&gt;1&lt;/R&gt;&lt;C&gt;1&lt;/C&gt;&lt;D xsi:type="xsd:double"&gt;32.52&lt;/D&gt;&lt;/FQL&gt;&lt;FQL&gt;&lt;Q&gt;TPC-US^FG_MEAN_EPS_NTM(39051,,,90)&lt;/Q&gt;&lt;R&gt;1&lt;/R&gt;&lt;C&gt;1&lt;/C&gt;&lt;D xsi:type="xsd:double"&gt;1.9897698&lt;/D&gt;&lt;/FQL&gt;&lt;FQL&gt;&lt;Q&gt;TPC-US^FG_PRICE(39021)&lt;/Q&gt;&lt;R&gt;1&lt;/R&gt;&lt;C&gt;1&lt;/C&gt;&lt;D xsi:type="xsd:double"&gt;24.72&lt;/D&gt;&lt;/FQL&gt;&lt;FQL&gt;&lt;Q&gt;TPC-US^FG_MEAN_EPS_NTM(39021,,,90)&lt;/Q&gt;&lt;R&gt;1&lt;/R&gt;&lt;C&gt;1&lt;/C&gt;&lt;D xsi:type="xsd:double"&gt;1.562447&lt;/D&gt;&lt;/FQL&gt;&lt;FQL&gt;&lt;Q&gt;TPC-US^FG_PRICE(38990)&lt;/Q&gt;&lt;R&gt;1&lt;/R&gt;&lt;C&gt;1&lt;/C&gt;&lt;D xsi:type="xsd:double"&gt;20.88&lt;/D&gt;&lt;/FQL&gt;&lt;FQL&gt;&lt;Q&gt;TPC-US^FG_MEAN_EPS_NTM(38990,,,90)&lt;/Q&gt;&lt;R&gt;1&lt;/R&gt;&lt;C&gt;1&lt;/C&gt;&lt;D xsi:type="xsd:double"&gt;1.5106446&lt;/D&gt;&lt;/FQL&gt;&lt;FQL&gt;&lt;Q&gt;TPC-US^FG_PRICE(38960)&lt;/Q&gt;&lt;R&gt;1&lt;/R&gt;&lt;C&gt;1&lt;/C&gt;&lt;D xsi:type="xsd:double"&gt;23.97&lt;/D&gt;&lt;/FQL&gt;&lt;FQL&gt;&lt;Q&gt;TPC-US^FG_MEAN_EPS_NTM(38960,,,90)&lt;/Q&gt;&lt;R&gt;1&lt;/R&gt;&lt;C&gt;1&lt;/C&gt;&lt;D xsi:type="xsd:double"&gt;1.4773152&lt;/D&gt;&lt;/FQL&gt;&lt;FQL&gt;&lt;Q&gt;TPC-US^FG_PRICE(38929)&lt;/Q&gt;&lt;R&gt;1&lt;/R&gt;&lt;C&gt;1&lt;/C&gt;&lt;D xsi:type="xsd:double"&gt;22.62&lt;/D&gt;&lt;/FQL&gt;&lt;FQL&gt;&lt;Q&gt;TPC-US^FG_MEAN_EPS_NTM(38929,,,90)&lt;/Q&gt;&lt;R&gt;1&lt;/R&gt;&lt;C&gt;1&lt;/C&gt;&lt;D xsi:type="xsd:double"&gt;1.4228438&lt;/D&gt;&lt;/FQL&gt;&lt;FQL&gt;&lt;Q&gt;TPC-US^FG_PRICE(38898)&lt;/Q&gt;&lt;R&gt;1&lt;/R&gt;&lt;C&gt;1&lt;/C&gt;&lt;D xsi:type="xsd:double"&gt;22.5&lt;/D&gt;&lt;/FQL&gt;&lt;FQL&gt;&lt;Q&gt;TPC-US^FG_MEAN_EPS_NTM(38898,,,90)&lt;/Q&gt;&lt;R&gt;1&lt;/R&gt;&lt;C&gt;1&lt;/C&gt;&lt;D xsi:type="xsd:double"&gt;1.3708246&lt;/D&gt;&lt;/FQL&gt;&lt;FQL&gt;&lt;Q&gt;TPC-US^FG_PRICE(38868)&lt;/Q&gt;&lt;R&gt;1&lt;/R&gt;&lt;C&gt;1&lt;/C&gt;&lt;D xsi:type="xsd:double"&gt;24.56&lt;/D&gt;&lt;/FQL&gt;&lt;FQL&gt;&lt;Q&gt;TPC-US^FG_MEAN_EPS_NTM(38868,,,90)&lt;/Q&gt;&lt;R&gt;1&lt;/R&gt;&lt;C&gt;1&lt;/C&gt;&lt;D xsi:type="xsd:double"&gt;1.3204836&lt;/D&gt;&lt;/FQL&gt;&lt;FQL&gt;&lt;Q&gt;TPC-US^FG_PRICE(38837)&lt;/Q&gt;&lt;R&gt;1&lt;/R&gt;&lt;C&gt;1&lt;/C&gt;&lt;D xsi:type="xsd:double"&gt;30.03&lt;/D&gt;&lt;/FQL&gt;&lt;FQL&gt;&lt;Q&gt;TPC-US^FG_MEAN_EPS_NTM(38837,,,90)&lt;/Q&gt;&lt;R&gt;1&lt;/R&gt;&lt;C&gt;1&lt;/C&gt;&lt;D xsi:type="xsd:double"&gt;1.5398024&lt;/D&gt;&lt;/FQL&gt;&lt;FQL&gt;&lt;Q&gt;TPC-US^FG_PRICE(38807)&lt;/Q&gt;&lt;R&gt;1&lt;/R&gt;&lt;C&gt;1&lt;/C&gt;&lt;D xsi:type="xsd:double"&gt;30.37&lt;/D&gt;&lt;/FQL&gt;&lt;FQL&gt;&lt;Q&gt;TPC-US^FG_MEAN_EPS_NTM(38807,,,90)&lt;/Q&gt;&lt;R&gt;1&lt;/R&gt;&lt;C&gt;1&lt;/C&gt;&lt;D xsi:type="xsd:double"&gt;1.5067049&lt;/D&gt;&lt;/FQL&gt;&lt;FQL&gt;&lt;Q&gt;TPC-US^FG_PRICE(38776)&lt;/Q&gt;&lt;R&gt;1&lt;/R&gt;&lt;C&gt;1&lt;/C&gt;&lt;D xsi:type="xsd:double"&gt;30.39&lt;/D&gt;&lt;/FQL&gt;&lt;FQL&gt;&lt;Q&gt;TPC-US^FG_MEAN_EPS_NTM(38776,,,90)&lt;/Q&gt;&lt;R&gt;1&lt;/R&gt;&lt;C&gt;1&lt;/C&gt;&lt;D xsi:type="xsd:double"&gt;1.4640285&lt;/D&gt;&lt;/FQL&gt;&lt;FQL&gt;&lt;Q&gt;TPC-US^FG_PRICE(38748)&lt;/Q&gt;&lt;R&gt;1&lt;/R&gt;&lt;C&gt;1&lt;/C&gt;&lt;D xsi:type="xsd:double"&gt;27.53&lt;/D&gt;&lt;/FQL&gt;&lt;FQL&gt;&lt;Q&gt;TPC-US^FG_MEAN_EPS_NTM(38748,,,90)&lt;/Q&gt;&lt;R&gt;1&lt;/R&gt;&lt;C&gt;1&lt;/C&gt;&lt;D xsi:type="xsd:double"&gt;1.3853704&lt;/D&gt;&lt;/FQL&gt;&lt;FQL&gt;&lt;Q&gt;TPC-US^FG_PRICE(38717)&lt;/Q&gt;&lt;R&gt;1&lt;/R&gt;&lt;C&gt;1&lt;/C&gt;&lt;D xsi:type="xsd:double"&gt;24.15&lt;/D&gt;&lt;/FQL&gt;&lt;FQL&gt;&lt;Q&gt;TPC-US^FG_MEAN_EPS_NTM(38717,,,90)&lt;/Q&gt;&lt;R&gt;1&lt;/R&gt;&lt;C&gt;1&lt;/C&gt;&lt;D xsi:type="xsd:double"&gt;1.3490411&lt;/D&gt;&lt;/FQL&gt;&lt;FQL&gt;&lt;Q&gt;TPC-US^FG_PRICE(38686)&lt;/Q&gt;&lt;R&gt;1&lt;/R&gt;&lt;C&gt;1&lt;/C&gt;&lt;D xsi:type="xsd:double"&gt;25.9&lt;/D&gt;&lt;/FQL&gt;&lt;FQL&gt;&lt;Q&gt;TPC-US^FG_MEAN_EPS_NTM(38686,,,90)&lt;/Q&gt;&lt;R&gt;1&lt;/R&gt;&lt;C&gt;1&lt;/C&gt;&lt;D xsi:type="xsd:double"&gt;1.320274&lt;/D&gt;&lt;/FQL&gt;&lt;FQL&gt;&lt;Q&gt;TPC-US^FG_PRICE(38656)&lt;/Q&gt;&lt;R&gt;1&lt;/R&gt;&lt;C&gt;1&lt;/C&gt;&lt;D xsi:type="xsd:double"&gt;20.38&lt;/D&gt;&lt;/FQL&gt;&lt;FQL&gt;&lt;Q&gt;TPC-US^FG_MEAN_EPS_NTM(38656,,,90)&lt;/Q&gt;&lt;R&gt;1&lt;/R&gt;&lt;C&gt;1&lt;/C&gt;&lt;D xsi:type="xsd:double"&gt;1.2165754&lt;/D&gt;&lt;/FQL&gt;&lt;FQL&gt;&lt;Q&gt;TPC-US^FG_PRICE(38625)&lt;/Q&gt;&lt;R&gt;1&lt;/R&gt;&lt;C&gt;1&lt;/C&gt;&lt;D xsi:type="xsd:double"&gt;18.2&lt;/D&gt;&lt;/FQL&gt;&lt;FQL&gt;&lt;Q&gt;TPC-US^FG_MEAN_EPS_NTM(38625,,,90)&lt;/Q&gt;&lt;R&gt;1&lt;/R&gt;&lt;C&gt;1&lt;/C&gt;&lt;D xsi:type="xsd:double"&gt;1.199589&lt;/D&gt;&lt;/FQL&gt;&lt;FQL&gt;&lt;Q&gt;TPC-US^FG_PRICE(38595)&lt;/Q&gt;&lt;R&gt;1&lt;/R&gt;&lt;C&gt;1&lt;/C&gt;&lt;D xsi:type="xsd:double"&gt;19.39&lt;/D&gt;&lt;/FQL&gt;&lt;FQL&gt;&lt;Q&gt;TPC-US^FG_MEAN_EPS_NTM(38595,,,90)&lt;/Q&gt;&lt;R&gt;1&lt;/R&gt;&lt;C&gt;1&lt;/C&gt;&lt;D xsi:type="xsd:double"&gt;1.1831506&lt;/D&gt;&lt;/FQL&gt;&lt;FQL&gt;&lt;Q&gt;TPC-US^FG_PRICE(38564)&lt;/Q&gt;&lt;R&gt;1&lt;/R&gt;&lt;C&gt;1&lt;/C&gt;&lt;D xsi:type="xsd:double"&gt;17.61&lt;/D&gt;&lt;/FQL&gt;&lt;FQL&gt;&lt;Q&gt;TPC-US^FG_MEAN_EPS_NTM(38564,,,90)&lt;/Q&gt;&lt;R&gt;1&lt;/R&gt;&lt;C&gt;1&lt;/C&gt;&lt;D xsi:type="xsd:double"&gt;1.2032877&lt;/D&gt;&lt;/FQL&gt;&lt;FQL&gt;&lt;Q&gt;TPC-US^FG_PRICE(38533)&lt;/Q&gt;&lt;R&gt;1&lt;/R&gt;&lt;C&gt;1&lt;/C&gt;&lt;D xsi:type="xsd:double"&gt;16.42&lt;/D&gt;&lt;/FQL&gt;&lt;FQL&gt;&lt;Q&gt;TPC-US^FG_MEAN_EPS_NTM(38533,,,90)&lt;/Q&gt;&lt;R&gt;1&lt;/R&gt;&lt;C&gt;1&lt;/C&gt;&lt;D xsi:type="xsd:double"&gt;1.1945479&lt;/D&gt;&lt;/FQL&gt;&lt;FQL&gt;&lt;Q&gt;TPC-US^FG_PRICE(38503)&lt;/Q&gt;&lt;R&gt;1&lt;/R&gt;&lt;C&gt;1&lt;/C&gt;&lt;D xsi:type="xsd:double"&gt;15.08&lt;/D&gt;&lt;/FQL&gt;&lt;FQL&gt;&lt;Q&gt;TPC-US^FG_MEAN_EPS_NTM(38503,,,90)&lt;/Q&gt;&lt;R&gt;1&lt;/R&gt;&lt;C&gt;1&lt;/C&gt;&lt;D xsi:type="xsd:double"&gt;1.1855068&lt;/D&gt;&lt;/FQL&gt;&lt;FQL&gt;&lt;Q&gt;TPC-US^FG_PRICE(38472)&lt;/Q&gt;&lt;R&gt;1&lt;/R&gt;&lt;C&gt;1&lt;/C&gt;&lt;D xsi:type="xsd:double"&gt;13.86&lt;/D&gt;&lt;/FQL&gt;&lt;FQL&gt;&lt;Q&gt;TPC-US^FG_MEAN_EPS_NTM(38472,,,90)&lt;/Q&gt;&lt;R&gt;1&lt;/R&gt;&lt;C&gt;1&lt;/C&gt;&lt;D xsi:type="xsd:double"&gt;1.1989042&lt;/D&gt;&lt;/FQL&gt;&lt;FQL&gt;&lt;Q&gt;TPC-US^FG_PRICE(38442)&lt;/Q&gt;&lt;R&gt;1&lt;/R&gt;&lt;C&gt;1&lt;/C&gt;&lt;D xsi:type="xsd:double"&gt;13.79&lt;/D&gt;&lt;/FQL&gt;&lt;FQL&gt;&lt;Q&gt;TPC-US^FG_MEAN_EPS_NTM(38442,,,90)&lt;/Q&gt;&lt;R&gt;1&lt;/R&gt;&lt;C&gt;1&lt;/C&gt;&lt;D xsi:type="xsd:double"&gt;1.1869863&lt;/D&gt;&lt;/FQL&gt;&lt;FQL&gt;&lt;Q&gt;TPC-US^FG_PRICE(38411)&lt;/Q&gt;&lt;R&gt;1&lt;/R&gt;&lt;C&gt;1&lt;/C&gt;&lt;D xsi:type="xsd:double"&gt;15.96&lt;/D&gt;&lt;/FQL&gt;&lt;FQL&gt;&lt;Q&gt;TPC-US^FG_MEAN_EPS_NTM(38411,,,90)&lt;/Q&gt;&lt;R&gt;1&lt;/R&gt;&lt;C&gt;1&lt;/C&gt;&lt;D xsi:type="xsd:double"&gt;1.1782876&lt;/D&gt;&lt;/FQL&gt;&lt;FQL&gt;&lt;Q&gt;TPC-US^FG_PRICE(38383)&lt;/Q&gt;&lt;R&gt;1&lt;/R&gt;&lt;C&gt;1&lt;/C&gt;&lt;D xsi:type="xsd:double"&gt;17.28&lt;/D&gt;&lt;/FQL&gt;&lt;FQL&gt;&lt;Q&gt;TPC-US^FG_MEAN_EPS_NTM(38383,,,90)&lt;/Q&gt;&lt;R&gt;1&lt;/R&gt;&lt;C&gt;1&lt;/C&gt;&lt;D xsi:type="xsd:double"&gt;0.989074&lt;/D&gt;&lt;/FQL&gt;&lt;FQL&gt;&lt;Q&gt;TPC-US^FG_PRICE(38352)&lt;/Q&gt;&lt;R&gt;1&lt;/R&gt;&lt;C&gt;1&lt;/C&gt;&lt;D xsi:type="xsd:double"&gt;16.69&lt;/D&gt;&lt;/FQL&gt;&lt;FQL&gt;&lt;Q&gt;TPC-US^FG_MEAN_EPS_NTM(38352,,,90)&lt;/Q&gt;&lt;R&gt;1&lt;/R&gt;&lt;C&gt;1&lt;/C&gt;&lt;D xsi:type="xsd:double"&gt;0.828148&lt;/D&gt;&lt;/FQL&gt;&lt;FQL&gt;&lt;Q&gt;TPC-US^FG_PRICE(38321)&lt;/Q&gt;&lt;R&gt;1&lt;/R&gt;&lt;C&gt;1&lt;/C&gt;&lt;D xsi:type="xsd:double"&gt;14.95&lt;/D&gt;&lt;/FQL&gt;&lt;FQL&gt;&lt;Q&gt;TPC-US^FG_MEAN_EPS_NTM(38321,,,90)&lt;/Q&gt;&lt;R&gt;1&lt;/R&gt;&lt;C&gt;1&lt;/C&gt;&lt;D xsi:type="xsd:double"&gt;1.1372602&lt;/D&gt;&lt;/FQL&gt;&lt;FQL&gt;&lt;Q&gt;TPC-US^FG_PRICE(38291)&lt;/Q&gt;&lt;R&gt;1&lt;/R&gt;&lt;C&gt;1&lt;/C&gt;&lt;D xsi:type="xsd:double"&gt;15.8&lt;/D&gt;&lt;/FQL&gt;&lt;FQL&gt;&lt;Q&gt;TPC-US^FG_MEAN_EPS_NTM(38291,,,90)&lt;/Q&gt;&lt;R&gt;1&lt;/R&gt;&lt;C&gt;1&lt;/C&gt;&lt;D xsi:type="xsd:double"&gt;1.1241096&lt;/D&gt;&lt;/FQL&gt;&lt;FQL&gt;&lt;Q&gt;TPC-US^FG_PRICE(38260)&lt;/Q&gt;&lt;R&gt;1&lt;/R&gt;&lt;C&gt;1&lt;/C&gt;&lt;D xsi:type="xsd:double"&gt;14.26&lt;/D&gt;&lt;/FQL&gt;&lt;FQL&gt;&lt;Q&gt;TPC-US^FG_MEAN_EPS_NTM(38260,,,90)&lt;/Q&gt;&lt;R&gt;1&lt;/R&gt;&lt;C&gt;1&lt;/C&gt;&lt;D xsi:type="xsd:double"&gt;1.1121918&lt;/D&gt;&lt;/FQL&gt;&lt;FQL&gt;&lt;Q&gt;TPC-US^FG_PRICE(38230)&lt;/Q&gt;&lt;R&gt;1&lt;/R&gt;&lt;C&gt;1&lt;/C&gt;&lt;D xsi:type="xsd:double"&gt;15.1&lt;/D&gt;&lt;/FQL&gt;&lt;FQL&gt;&lt;Q&gt;TPC-US^FG_MEAN_EPS_NTM(38230,,,90)&lt;/Q&gt;&lt;R&gt;1&lt;/R&gt;&lt;C&gt;1&lt;/C&gt;&lt;D xsi:type="xsd:double"&gt;1.1300137&lt;/D&gt;&lt;/FQL&gt;&lt;FQL&gt;&lt;Q&gt;TPC-US^FG_PRICE(38199)&lt;/Q&gt;&lt;R&gt;1&lt;/R&gt;&lt;C&gt;1&lt;/C&gt;&lt;D xsi:type="xsd:double"&gt;10.94&lt;/D&gt;&lt;/FQL&gt;&lt;FQL&gt;&lt;Q&gt;TPC-US^FG_MEAN_EPS_NTM(38199,,,90)&lt;/Q&gt;&lt;R&gt;1&lt;/R&gt;&lt;C&gt;1&lt;/C&gt;&lt;D xsi:type="xsd:double"&gt;1.1034384&lt;/D&gt;&lt;/FQL&gt;&lt;FQL&gt;&lt;Q&gt;TPC-US^FG_PRICE(38168)&lt;/Q&gt;&lt;R&gt;1&lt;/R&gt;&lt;C&gt;1&lt;/C&gt;&lt;D xsi:type="xsd:double"&gt;10.67&lt;/D&gt;&lt;/FQL&gt;&lt;FQL&gt;&lt;Q&gt;TPC-US^FG_MEAN_EPS_NTM(38168,,,90)&lt;/Q&gt;&lt;R&gt;1&lt;/R&gt;&lt;C&gt;1&lt;/C&gt;&lt;D xsi:type="xsd:double"&gt;1.1050822&lt;/D&gt;&lt;/FQL&gt;&lt;FQL&gt;&lt;Q&gt;TPC-US^FG_PRICE(38138)&lt;/Q&gt;&lt;R&gt;1&lt;/R&gt;&lt;C&gt;1&lt;/C&gt;&lt;D xsi:type="xsd:double"&gt;10.9&lt;/D&gt;&lt;/FQL&gt;&lt;FQL&gt;&lt;Q&gt;TPC-US^FG_MEAN_EPS_NTM(38138,,,90)&lt;/Q&gt;&lt;R&gt;1&lt;/R&gt;&lt;C&gt;1&lt;/C&gt;&lt;D xsi:type="xsd:double"&gt;1.0087945&lt;/D&gt;&lt;/FQL&gt;&lt;FQL&gt;&lt;Q&gt;TPC-US^FG_PRICE(38107)&lt;/Q&gt;&lt;R&gt;1&lt;/R&gt;&lt;C&gt;1&lt;/C&gt;&lt;D xsi:type="xsd:double"&gt;14.1&lt;/D&gt;&lt;/FQL&gt;&lt;FQL&gt;&lt;Q&gt;TPC-US^FG_MEAN_EPS_NTM(38107,,,90)&lt;/Q&gt;&lt;R&gt;0&lt;/R&gt;&lt;C&gt;0&lt;/C&gt;&lt;/FQL&gt;&lt;FQL&gt;&lt;Q&gt;TPC-US^FG_PRICE(38077)&lt;/Q&gt;&lt;R&gt;1&lt;/R&gt;&lt;C&gt;1&lt;/C&gt;&lt;D xsi:type="xsd:double"&gt;15.75&lt;/D&gt;&lt;/FQL&gt;&lt;FQL&gt;&lt;Q&gt;TPC-US^FG_MEAN_EPS_NTM(38077,,,90)&lt;/Q&gt;&lt;R&gt;0&lt;/R&gt;&lt;C&gt;0&lt;/C&gt;&lt;/FQL&gt;&lt;FQL&gt;&lt;Q&gt;TPC-US^FG_PRICE(38046)&lt;/Q&gt;&lt;R&gt;1&lt;/R&gt;&lt;C&gt;1&lt;/C&gt;&lt;D xsi:type="xsd:double"&gt;13.77&lt;/D&gt;&lt;/FQL&gt;&lt;FQL&gt;&lt;Q&gt;TPC-US^FG_MEAN_EPS_NTM(38046,,,90)&lt;/Q&gt;&lt;R&gt;0&lt;/R&gt;&lt;C&gt;0&lt;/C&gt;&lt;/FQL&gt;&lt;FQL&gt;&lt;Q&gt;TPC-US^FG_PRICE(38017)&lt;/Q&gt;&lt;R&gt;1&lt;/R&gt;&lt;C&gt;1&lt;/C&gt;&lt;D xsi:type="xsd:double"&gt;12.61&lt;/D&gt;&lt;/FQL&gt;&lt;FQL&gt;&lt;Q&gt;TPC-US^FG_MEAN_EPS_NTM(38017,,,90)&lt;/Q&gt;&lt;R&gt;0&lt;/R&gt;&lt;C&gt;0&lt;/C&gt;&lt;/FQL&gt;&lt;FQL&gt;&lt;Q&gt;TPC-US^FG_PRICE(37986)&lt;/Q&gt;&lt;R&gt;1&lt;/R&gt;&lt;C&gt;1&lt;/C&gt;&lt;D xsi:type="xsd:double"&gt;9.15&lt;/D&gt;&lt;/FQL&gt;&lt;FQL&gt;&lt;Q&gt;TPC-US^FG_MEAN_EPS_NTM(37986,,,90)&lt;/Q&gt;&lt;R&gt;0&lt;/R&gt;&lt;C&gt;0&lt;/C&gt;&lt;/FQL&gt;&lt;FQL&gt;&lt;Q&gt;TPC-US^FG_PRICE(37955)&lt;/Q&gt;&lt;R&gt;1&lt;/R&gt;&lt;C&gt;1&lt;/C&gt;&lt;D xsi:type="xsd:double"&gt;9.01&lt;/D&gt;&lt;/FQL&gt;&lt;FQL&gt;&lt;Q&gt;TPC-US^FG_MEAN_EPS_NTM(37955,,,90)&lt;/Q&gt;&lt;R&gt;0&lt;/R&gt;&lt;C&gt;0&lt;/C&gt;&lt;/FQL&gt;&lt;FQL&gt;&lt;Q&gt;TPC-US^FG_PRICE(37925)&lt;/Q&gt;&lt;R&gt;1&lt;/R&gt;&lt;C&gt;1&lt;/C&gt;&lt;D xsi:type="xsd:double"&gt;8.29&lt;/D&gt;&lt;/FQL&gt;&lt;FQL&gt;&lt;Q&gt;TPC-US^FG_MEAN_EPS_NTM(37925,,,90)&lt;/Q&gt;&lt;R&gt;0&lt;/R&gt;&lt;C&gt;0&lt;/C&gt;&lt;/FQL&gt;&lt;FQL&gt;&lt;Q&gt;TPC-US^FG_PRICE(37894)&lt;/Q&gt;&lt;R&gt;1&lt;/R&gt;&lt;C&gt;1&lt;/C&gt;&lt;D xsi:type="xsd:double"&gt;6.86&lt;/D&gt;&lt;/FQL&gt;&lt;FQL&gt;&lt;Q&gt;TPC-US^FG_MEAN_EPS_NTM(37894,,,90)&lt;/Q&gt;&lt;R&gt;0&lt;/R&gt;&lt;C&gt;0&lt;/C&gt;&lt;/FQL&gt;&lt;FQL&gt;&lt;Q&gt;TPC-US^FG_PRICE(37864)&lt;/Q&gt;&lt;R&gt;1&lt;/R&gt;&lt;C&gt;1&lt;/C&gt;&lt;D xsi:type="xsd:double"&gt;8.4&lt;/D&gt;&lt;/FQL&gt;&lt;FQL&gt;&lt;Q&gt;TPC-US^FG_MEAN_EPS_NTM(37864,,,90)&lt;/Q&gt;&lt;R&gt;0&lt;/R&gt;&lt;C&gt;0&lt;/C&gt;&lt;/FQL&gt;&lt;FQL&gt;&lt;Q&gt;TPC-US^FG_PRICE(37833)&lt;/Q&gt;&lt;R&gt;1&lt;/R&gt;&lt;C&gt;1&lt;/C&gt;&lt;D xsi:type="xsd:double"&gt;8.95&lt;/D&gt;&lt;/FQL&gt;&lt;FQL&gt;&lt;Q&gt;TPC-US^FG_MEAN_EPS_NTM(37833,,,90)&lt;/Q&gt;&lt;R&gt;0&lt;/R&gt;&lt;C&gt;0&lt;/C&gt;&lt;/FQL&gt;&lt;FQL&gt;&lt;Q&gt;TPC-US^FG_PRICE(37802)&lt;/Q&gt;&lt;R&gt;1&lt;/R&gt;&lt;C&gt;1&lt;/C&gt;&lt;D xsi:type="xsd:double"&gt;7.95&lt;/D&gt;&lt;/FQL&gt;&lt;FQL&gt;&lt;Q&gt;TPC-US^FG_MEAN_EPS_NTM(37802,,,90)&lt;/Q&gt;&lt;R&gt;0&lt;/R&gt;&lt;C&gt;0&lt;/C&gt;&lt;/FQL&gt;&lt;FQL&gt;&lt;Q&gt;TPC-US^FG_PRICE(37772)&lt;/Q&gt;&lt;R&gt;1&lt;/R&gt;&lt;C&gt;1&lt;/C&gt;&lt;D xsi:type="xsd:double"&gt;6.94&lt;/D&gt;&lt;/FQL&gt;&lt;FQL&gt;&lt;Q&gt;TPC-US^FG_MEAN_EPS_NTM(37772,,,90)&lt;/Q&gt;&lt;R&gt;0&lt;/R&gt;&lt;C&gt;0&lt;/C&gt;&lt;/FQL&gt;&lt;FQL&gt;&lt;Q&gt;TPC-US^FG_PRICE(37741)&lt;/Q&gt;&lt;R&gt;1&lt;/R&gt;&lt;C&gt;1&lt;/C&gt;&lt;D xsi:type="xsd:double"&gt;6.15&lt;/D&gt;&lt;/FQL&gt;&lt;FQL&gt;&lt;Q&gt;TPC-US^FG_MEAN_EPS_NTM(37741,,,90)&lt;/Q&gt;&lt;R&gt;0&lt;/R&gt;&lt;C&gt;0&lt;/C&gt;&lt;/FQL&gt;&lt;FQL&gt;&lt;Q&gt;TPC-US^FG_PRICE(37711)&lt;/Q&gt;&lt;R&gt;1&lt;/R&gt;&lt;C&gt;1&lt;/C&gt;&lt;D xsi:type="xsd:double"&gt;3.99&lt;/D&gt;&lt;/FQL&gt;&lt;FQL&gt;&lt;Q&gt;TPC-US^FG_MEAN_EPS_NTM(37711,,,90)&lt;/Q&gt;&lt;R&gt;0&lt;/R&gt;&lt;C&gt;0&lt;/C&gt;&lt;/FQL&gt;&lt;FQL&gt;&lt;Q&gt;TPC-US^FG_PRICE(37680)&lt;/Q&gt;&lt;R&gt;1&lt;/R&gt;&lt;C&gt;1&lt;/C&gt;&lt;D xsi:type="xsd:double"&gt;4.02&lt;/D&gt;&lt;/FQL&gt;&lt;FQL&gt;&lt;Q&gt;TPC-US^FG_MEAN_EPS_NTM(37680,,,90)&lt;/Q&gt;&lt;R&gt;0&lt;/R&gt;&lt;C&gt;0&lt;/C&gt;&lt;/FQL&gt;&lt;FQL&gt;&lt;Q&gt;TPC-US^FG_PRICE(37652)&lt;/Q&gt;&lt;R&gt;1&lt;/R&gt;&lt;C&gt;1&lt;/C&gt;&lt;D xsi:type="xsd:double"&gt;3.9&lt;/D&gt;&lt;/FQL&gt;&lt;FQL&gt;&lt;Q&gt;TPC-US^FG_MEAN_EPS_NTM(37652,,,90)&lt;/Q&gt;&lt;R&gt;0&lt;/R&gt;&lt;C&gt;0&lt;/C&gt;&lt;/FQL&gt;&lt;FQL&gt;&lt;Q&gt;TPC-US^FG_PRICE(37621)&lt;/Q&gt;&lt;R&gt;1&lt;/R&gt;&lt;C&gt;1&lt;/C&gt;&lt;D xsi:type="xsd:double"&gt;4.44&lt;/D&gt;&lt;/FQL&gt;&lt;FQL&gt;&lt;Q&gt;TPC-US^FG_MEAN_EPS_NTM(37621,,,90)&lt;/Q&gt;&lt;R&gt;0&lt;/R&gt;&lt;C&gt;0&lt;/C&gt;&lt;/FQL&gt;&lt;FQL&gt;&lt;Q&gt;TPC-US^FG_PRICE(37590)&lt;/Q&gt;&lt;R&gt;1&lt;/R&gt;&lt;C&gt;1&lt;/C&gt;&lt;D xsi:type="xsd:double"&gt;3.21&lt;/D&gt;&lt;/FQL&gt;&lt;FQL&gt;&lt;Q&gt;TPC-US^FG_MEAN_EPS_NTM(37590,,,90)&lt;/Q&gt;&lt;R&gt;0&lt;/R&gt;&lt;C&gt;0&lt;/C&gt;&lt;/FQL&gt;&lt;FQL&gt;&lt;Q&gt;TPC-US^FG_PRICE(37560)&lt;/Q&gt;&lt;R&gt;1&lt;/R&gt;&lt;C&gt;1&lt;/C&gt;&lt;D xsi:type="xsd:double"&gt;3.7&lt;/D&gt;&lt;/FQL&gt;&lt;FQL&gt;&lt;Q&gt;TPC-US^FG_MEAN_EPS_NTM(37560,,,90)&lt;/Q&gt;&lt;R&gt;0&lt;/R&gt;&lt;C&gt;0&lt;/C&gt;&lt;/FQL&gt;&lt;FQL&gt;&lt;Q&gt;TPC-US^FG_PRICE(37529)&lt;/Q&gt;&lt;R&gt;1&lt;/R&gt;&lt;C&gt;1&lt;/C&gt;&lt;D xsi:type="xsd:double"&gt;4.2&lt;/D&gt;&lt;/FQL&gt;&lt;FQL&gt;&lt;Q&gt;TPC-US^FG_MEAN_EPS_NTM(37529,,,90)&lt;/Q&gt;&lt;R&gt;0&lt;/R&gt;&lt;C&gt;0&lt;/C&gt;&lt;/FQL&gt;&lt;FQL&gt;&lt;Q&gt;TPC-US^FG_PRICE(37499)&lt;/Q&gt;&lt;R&gt;1&lt;/R&gt;&lt;C&gt;1&lt;/C&gt;&lt;D xsi:type="xsd:double"&gt;4.1&lt;/D&gt;&lt;/FQL&gt;&lt;FQL&gt;&lt;Q&gt;TPC-US^FG_MEAN_EPS_NTM(37499,,,90)&lt;/Q&gt;&lt;R&gt;0&lt;/R&gt;&lt;C&gt;0&lt;/C&gt;&lt;/FQL&gt;&lt;FQL&gt;&lt;Q&gt;TPC-US^FG_PRICE(37468)&lt;/Q&gt;&lt;R&gt;1&lt;/R&gt;&lt;C&gt;1&lt;/C&gt;&lt;D xsi:type="xsd:double"&gt;3.8&lt;/D&gt;&lt;/FQL&gt;&lt;FQL&gt;&lt;Q&gt;TPC-US^FG_MEAN_EPS_NTM(37468,,,90)&lt;/Q&gt;&lt;R&gt;0&lt;/R&gt;&lt;C&gt;0&lt;/C&gt;&lt;/FQL&gt;&lt;FQL&gt;&lt;Q&gt;TPC-US^FG_PRICE(37437)&lt;/Q&gt;&lt;R&gt;1&lt;/R&gt;&lt;C&gt;1&lt;/C&gt;&lt;D xsi:type="xsd:double"&gt;4&lt;/D&gt;&lt;/FQL&gt;&lt;FQL&gt;&lt;Q&gt;TPC-US^FG_MEAN_EPS_NTM(37437,,,90)&lt;/Q&gt;&lt;R&gt;0&lt;/R&gt;&lt;C&gt;0&lt;/C&gt;&lt;/FQL&gt;&lt;FQL&gt;&lt;Q&gt;TPC-US^FG_PRICE(37407)&lt;/Q&gt;&lt;R&gt;1&lt;/R&gt;&lt;C&gt;1&lt;/C&gt;&lt;D xsi:type="xsd:double"&gt;3.95&lt;/D&gt;&lt;/FQL&gt;&lt;FQL&gt;&lt;Q&gt;TPC-US^FG_MEAN_EPS_NTM(37407,,,90)&lt;/Q&gt;&lt;R&gt;0&lt;/R&gt;&lt;C&gt;0&lt;/C&gt;&lt;/FQL&gt;&lt;FQL&gt;&lt;Q&gt;TPC-US^FG_PRICE(37376)&lt;/Q&gt;&lt;R&gt;1&lt;/R&gt;&lt;C&gt;1&lt;/C&gt;&lt;D xsi:type="xsd:double"&gt;5.2&lt;/D&gt;&lt;/FQL&gt;&lt;FQL&gt;&lt;Q&gt;TPC-US^FG_MEAN_EPS_NTM(37376,,,90)&lt;/Q&gt;&lt;R&gt;0&lt;/R&gt;&lt;C&gt;0&lt;/C&gt;&lt;/FQL&gt;&lt;FQL&gt;&lt;Q&gt;TPC-US^FG_PRICE(37346)&lt;/Q&gt;&lt;R&gt;1&lt;/R&gt;&lt;C&gt;1&lt;/C&gt;&lt;D xsi:type="xsd:double"&gt;5.75&lt;/D&gt;&lt;/FQL&gt;&lt;FQL&gt;&lt;Q&gt;TPC-US^FG_MEAN_EPS_NTM(37346,,,90)&lt;/Q&gt;&lt;R&gt;0&lt;/R&gt;&lt;C&gt;0&lt;/C&gt;&lt;/FQL&gt;&lt;FQL&gt;&lt;Q&gt;TPC-US^FG_PRICE(37315)&lt;/Q&gt;&lt;R&gt;1&lt;/R&gt;&lt;C&gt;1&lt;/C&gt;&lt;D xsi:type="xsd:double"&gt;6.19&lt;/D&gt;&lt;/FQL&gt;&lt;FQL&gt;&lt;Q&gt;TPC-US^FG_MEAN_EPS_NTM(37315,,,90)&lt;/Q&gt;&lt;R&gt;0&lt;/R&gt;&lt;C&gt;0&lt;/C&gt;&lt;/FQL&gt;&lt;FQL&gt;&lt;Q&gt;TPC-US^FG_PRICE(37287)&lt;/Q&gt;&lt;R&gt;1&lt;/R&gt;&lt;C&gt;1&lt;/C&gt;&lt;D xsi:type="xsd:double"&gt;7.19&lt;/D&gt;&lt;/FQL&gt;&lt;FQL&gt;&lt;Q&gt;TPC-US^FG_MEAN_EPS_NTM(37287,,,90)&lt;/Q&gt;&lt;R&gt;0&lt;/R&gt;&lt;C&gt;0&lt;/C&gt;&lt;/FQL&gt;&lt;FQL&gt;&lt;Q&gt;TPC-US^FG_PRICE(37256)&lt;/Q&gt;&lt;R&gt;1&lt;/R&gt;&lt;C&gt;1&lt;/C&gt;&lt;D xsi:type="xsd:double"&gt;7&lt;/D&gt;&lt;/FQL&gt;&lt;FQL&gt;&lt;Q&gt;TPC-US^FG_MEAN_EPS_NTM(37256,,,90)&lt;/Q&gt;&lt;R&gt;0&lt;/R&gt;&lt;C&gt;0&lt;/C&gt;&lt;/FQL&gt;&lt;FQL&gt;&lt;Q&gt;TPC-US^FG_PRICE(37225)&lt;/Q&gt;&lt;R&gt;1&lt;/R&gt;&lt;C&gt;1&lt;/C&gt;&lt;D xsi:type="xsd:double"&gt;6.78&lt;/D&gt;&lt;/FQL&gt;&lt;FQL&gt;&lt;Q&gt;TPC-US^FG_MEAN_EPS_NTM(37225,,,90)&lt;/Q&gt;&lt;R&gt;0&lt;/R&gt;&lt;C&gt;0&lt;/C&gt;&lt;/FQL&gt;&lt;FQL&gt;&lt;Q&gt;TPC-US^FG_PRICE(37195)&lt;/Q&gt;&lt;R&gt;1&lt;/R&gt;&lt;C&gt;1&lt;/C&gt;&lt;D xsi:type="xsd:double"&gt;7.3&lt;/D&gt;&lt;/FQL&gt;&lt;FQL&gt;&lt;Q&gt;TPC-US^FG_MEAN_EPS_NTM(37195,,,90)&lt;/Q&gt;&lt;R&gt;0&lt;/R&gt;&lt;C&gt;0&lt;/C&gt;&lt;/FQL&gt;&lt;FQL&gt;&lt;Q&gt;TPC-US^FG_PRICE(37164)&lt;/Q&gt;&lt;R&gt;1&lt;/R&gt;&lt;C&gt;1&lt;/C&gt;&lt;D xsi:type="xsd:double"&gt;6.5&lt;/D&gt;&lt;/FQL&gt;&lt;FQL&gt;&lt;Q&gt;TPC-US^FG_MEAN_EPS_NTM(37164,,,90)&lt;/Q&gt;&lt;R&gt;0&lt;/R&gt;&lt;C&gt;0&lt;/C&gt;&lt;/FQL&gt;&lt;FQL&gt;&lt;Q&gt;TPC-US^FG_PRICE(37134)&lt;/Q&gt;&lt;R&gt;1&lt;/R&gt;&lt;C&gt;1&lt;/C&gt;&lt;D xsi:type="xsd:double"&gt;5.85&lt;/D&gt;&lt;/FQL&gt;&lt;FQL&gt;&lt;Q&gt;TPC-US^FG_MEAN_EPS_NTM(37134,,,90)&lt;/Q&gt;&lt;R&gt;0&lt;/R&gt;&lt;C&gt;0&lt;/C&gt;&lt;/FQL&gt;&lt;FQL&gt;&lt;Q&gt;TPC-US^FG_PRICE(37103)&lt;/Q&gt;&lt;R&gt;1&lt;/R&gt;&lt;C&gt;1&lt;/C&gt;&lt;D xsi:type="xsd:double"&gt;8.05&lt;/D&gt;&lt;/FQL&gt;&lt;FQL&gt;&lt;Q&gt;TPC-US^FG_MEAN_EPS_NTM(37103,,,90)&lt;/Q&gt;&lt;R&gt;0&lt;/R&gt;&lt;C&gt;0&lt;/C&gt;&lt;/FQL&gt;&lt;FQL&gt;&lt;Q&gt;TPC-US^FG_PRICE(37072)&lt;/Q&gt;&lt;R&gt;1&lt;/R&gt;&lt;C&gt;1&lt;/C&gt;&lt;D xsi:type="xsd:double"&gt;10&lt;/D&gt;&lt;/FQL&gt;&lt;FQL&gt;&lt;Q&gt;TPC-US^FG_PRICE(40816)&lt;/Q&gt;&lt;R&gt;1&lt;/R&gt;&lt;C&gt;1&lt;/C&gt;&lt;D xsi:type="xsd:double"&gt;11.49&lt;/D&gt;&lt;/FQL&gt;&lt;FQL&gt;&lt;Q&gt;TPC-US^FG_EVAL_EBITDA_NTM(41968)&lt;/Q&gt;&lt;R&gt;1&lt;/R&gt;&lt;C&gt;1&lt;/C&gt;&lt;D xsi:type="xsd:double"&gt;5.9669721271046612&lt;/D&gt;&lt;/FQL&gt;&lt;FQL&gt;&lt;Q&gt;TPC-US^FG_PRICE(41968)&lt;/Q&gt;&lt;R&gt;1&lt;/R&gt;&lt;C&gt;1&lt;/C&gt;&lt;D xsi:type="xsd:double"&gt;25.87&lt;/D&gt;&lt;/FQL&gt;&lt;FQL&gt;&lt;Q&gt;TPC-US^FG_MEAN_EPS_NTM(41968,,,90)&lt;/Q&gt;&lt;R&gt;1&lt;/R&gt;&lt;C&gt;1&lt;/C&gt;&lt;D xsi:type="xsd:double"&gt;2.832241&lt;/D&gt;&lt;/FQL&gt;&lt;FQL&gt;&lt;Q&gt;TPC^FMA_EPS(NTMA,0,,,,"PORTAGG","MEANR")&lt;/Q&gt;&lt;R&gt;0&lt;/R&gt;&lt;C&gt;0&lt;/C&gt;&lt;/FQL&gt;&lt;FQL&gt;&lt;Q&gt;TPC^RTP_EPS_ACT&lt;/Q&gt;&lt;R&gt;1&lt;/R&gt;&lt;C&gt;1&lt;/C&gt;&lt;D xsi:type="xsd:double"&gt;1.8&lt;/D&gt;&lt;/FQL&gt;&lt;FQL&gt;&lt;Q&gt;TPC^FE_ACTUAL(ACTUAL,EPS,ANNUAL,0,,,,'')&lt;/Q&gt;&lt;R&gt;1&lt;/R&gt;&lt;C&gt;1&lt;/C&gt;&lt;D xsi:type="xsd:double"&gt;1.8&lt;/D&gt;&lt;/FQL&gt;&lt;FQL&gt;&lt;Q&gt;TPC^FE_ACTUAL(ACTUAL,EPS,QUARTERLY,0,,,,'')&lt;/Q&gt;&lt;R&gt;1&lt;/R&gt;&lt;C&gt;1&lt;/C&gt;&lt;D xsi:type="xsd:double"&gt;0.73&lt;/D&gt;&lt;/FQL&gt;&lt;FQL&gt;&lt;Q&gt;TPC^FE_ACTUAL(ACTUAL,EPS,QUARTERLY,38168,,,,'')&lt;/Q&gt;&lt;R&gt;0&lt;/R&gt;&lt;C&gt;0&lt;/C&gt;&lt;/FQL&gt;&lt;FQL&gt;&lt;Q&gt;TPC^FE_ACTUAL(ACTUAL,EPS,QUARTERLY,38260,,,,'')&lt;/Q&gt;&lt;R&gt;0&lt;/R&gt;&lt;C&gt;0&lt;/C&gt;&lt;/FQL&gt;&lt;FQL&gt;&lt;Q&gt;TPC^FE_ACTUAL(ACTUAL,EPS,QUARTERLY,38352,,,,'')&lt;/Q&gt;&lt;R&gt;0&lt;/R&gt;&lt;C&gt;0&lt;/C&gt;&lt;/FQL&gt;&lt;FQL&gt;&lt;Q&gt;TPC^FE_ACTUAL(ACTUAL,EPS,QUARTERLY,38442,,,,'')&lt;/Q&gt;&lt;R&gt;0&lt;/R&gt;&lt;C&gt;0&lt;/C&gt;&lt;/FQL&gt;&lt;FQL&gt;&lt;Q&gt;TPC^FE_ACTUAL(ACTUAL,EPS,QUARTERLY,38533,,,,'')&lt;/Q&gt;&lt;R&gt;0&lt;/R&gt;&lt;C&gt;0&lt;/C&gt;&lt;/FQL&gt;&lt;FQL&gt;&lt;Q&gt;TPC^FE_ACTUAL(ACTUAL,EPS,QUARTERLY,38625,,,,'')&lt;/Q&gt;&lt;R&gt;0&lt;/R&gt;&lt;C&gt;0&lt;/C&gt;&lt;/FQL&gt;&lt;FQL&gt;&lt;Q&gt;TPC^FE_ACTUAL(ACTUAL,EPS,QUARTERLY,38717,,,,'')&lt;/Q&gt;&lt;R&gt;0&lt;/R&gt;&lt;C&gt;0&lt;/C&gt;&lt;/FQL&gt;&lt;FQL&gt;&lt;Q&gt;TPC^FE_ACTUAL(ACTUAL,EPS,QUARTERLY,38807,,,,'')&lt;/Q&gt;&lt;R&gt;0&lt;/R&gt;&lt;C&gt;0&lt;/C&gt;&lt;/FQL&gt;&lt;FQL&gt;&lt;Q&gt;TPC^FE_ACTUAL(ACTUAL,EPS,QUARTERLY,38898,,,,'')&lt;/Q&gt;&lt;R&gt;0&lt;/R&gt;&lt;C&gt;0&lt;/C&gt;&lt;/FQL&gt;&lt;FQL&gt;&lt;Q&gt;TPC^FE_ACTUAL(ACTUAL,EPS,QUARTERLY,38990,,,,'')&lt;/Q&gt;&lt;R&gt;0&lt;/R&gt;&lt;C&gt;0&lt;/C&gt;&lt;/FQL&gt;&lt;FQL&gt;&lt;Q&gt;TPC^FE_ACTUAL(ACTUAL,EPS,QUARTERLY,39082,,,,'')&lt;/Q&gt;&lt;R&gt;0&lt;/R&gt;&lt;C&gt;0&lt;/C&gt;&lt;/FQL&gt;&lt;FQL&gt;&lt;Q&gt;TPC^FE_ACTUAL(ACTUAL,EPS,QUARTERLY,39172,,,,'')&lt;/Q&gt;&lt;R&gt;0&lt;/R&gt;&lt;C&gt;0&lt;/C&gt;&lt;/FQL&gt;&lt;FQL&gt;&lt;Q&gt;TPC^FE_ACTUAL(ACTUAL,EPS,QUARTERLY,39263,,,,'')&lt;/Q&gt;&lt;R&gt;0&lt;/R&gt;&lt;C&gt;0&lt;/C&gt;&lt;/FQL&gt;&lt;FQL&gt;&lt;Q&gt;TPC^FE_ACTUAL(ACTUAL,EPS,QUARTERLY,39355,,,,'')&lt;/Q&gt;&lt;R&gt;0&lt;/R&gt;&lt;C&gt;0&lt;/C&gt;&lt;/FQL&gt;&lt;FQL&gt;&lt;Q&gt;TPC^FE_ACTUAL(ACTUAL,EPS,QUARTERLY,39447,,,,'')&lt;/Q&gt;&lt;R&gt;0&lt;/R&gt;&lt;C&gt;0&lt;/C&gt;&lt;/FQL&gt;&lt;FQL&gt;&lt;Q&gt;TPC^FE_ACTUAL(ACTUAL,EPS,QUARTERLY,39538,,,,'')&lt;/Q&gt;&lt;R&gt;0&lt;/R&gt;&lt;C&gt;0&lt;/C&gt;&lt;/FQL&gt;&lt;FQL&gt;&lt;Q&gt;TPC^FE_ACTUAL(ACTUAL,EPS,QUARTERLY,39629,,,,'')&lt;/Q&gt;&lt;R&gt;0&lt;/R&gt;&lt;C&gt;0&lt;/C&gt;&lt;/FQL&gt;&lt;FQL&gt;&lt;Q&gt;TPC^FE_ACTUAL(ACTUAL,EPS,QUARTERLY,39721,,,,'')&lt;/Q&gt;&lt;R&gt;0&lt;/R&gt;&lt;C&gt;0&lt;/C&gt;&lt;/FQL&gt;&lt;FQL&gt;&lt;Q&gt;TPC^FE_ACTUAL(ACTUAL,EPS,QUARTERLY,39813,,,,'')&lt;/Q&gt;&lt;R&gt;0&lt;/R&gt;&lt;C&gt;0&lt;/C&gt;&lt;/FQL&gt;&lt;FQL&gt;&lt;Q&gt;TPC^FE_ACTUAL(ACTUAL,EPS,QUARTERLY,39903,,,,'')&lt;/Q&gt;&lt;R&gt;0&lt;/R&gt;&lt;C&gt;0&lt;/C&gt;&lt;/FQL&gt;&lt;FQL&gt;&lt;Q&gt;TPC^FE_ACTUAL(ACTUAL,EPS,QUARTERLY,39994,,,,'')&lt;/Q&gt;&lt;R&gt;0&lt;/R&gt;&lt;C&gt;0&lt;/C&gt;&lt;/FQL&gt;&lt;FQL&gt;&lt;Q&gt;TPC^FE_ACTUAL(ACTUAL,EPS,QUARTERLY,40086,,,,'')&lt;/Q&gt;&lt;R&gt;0&lt;/R&gt;&lt;C&gt;0&lt;/C&gt;&lt;/FQL&gt;&lt;FQL&gt;&lt;Q&gt;TPC^FE_ACTUAL(ACTUAL,EPS,QUARTERLY,40178,,,,'')&lt;/Q&gt;&lt;R&gt;0&lt;/R&gt;&lt;C&gt;0&lt;/C&gt;&lt;/FQL&gt;&lt;FQL&gt;&lt;Q&gt;TPC^FE_ACTUAL(ACTUAL,EPS,QUARTERLY,40268,,,,'')&lt;/Q&gt;&lt;R&gt;0&lt;/R&gt;&lt;C&gt;0&lt;/C&gt;&lt;/FQL&gt;&lt;FQL&gt;&lt;Q&gt;TPC^FE_ACTUAL(ACTUAL,EPS,QUARTERLY,40359,,,,'')&lt;/Q&gt;&lt;R&gt;0&lt;/R&gt;&lt;C&gt;0&lt;/C&gt;&lt;/FQL&gt;&lt;FQL&gt;&lt;Q&gt;TPC^FE_ACTUAL(ACTUAL,EPS,QUARTERLY,40451,,,,'')&lt;/Q&gt;&lt;R&gt;0&lt;/R&gt;&lt;C&gt;0&lt;/C&gt;&lt;/FQL&gt;&lt;FQL&gt;&lt;Q&gt;TPC^FE_ACTUAL(ACTUAL,EPS,QUARTERLY,40543,,,,'')&lt;/Q&gt;&lt;R&gt;0&lt;/R&gt;&lt;C&gt;0&lt;/C&gt;&lt;/FQL&gt;&lt;FQL&gt;&lt;Q&gt;TPC^FE_ACTUAL(ACTUAL,EPS,QUARTERLY,40633,,,,'')&lt;/Q&gt;&lt;R&gt;0&lt;/R&gt;&lt;C&gt;0&lt;/C&gt;&lt;/FQL&gt;&lt;FQL&gt;&lt;Q&gt;TPC^FE_ACTUAL(ACTUAL,EPS,QUARTERLY,40724,,,,'')&lt;/Q&gt;&lt;R&gt;0&lt;/R&gt;&lt;C&gt;0&lt;/C&gt;&lt;/FQL&gt;&lt;FQL&gt;&lt;Q&gt;TPC^FE_ACTUAL(ACTUAL,EPS,QUARTERLY,40816,,,,'')&lt;/Q&gt;&lt;R&gt;0&lt;/R&gt;&lt;C&gt;0&lt;/C&gt;&lt;/FQL&gt;&lt;FQL&gt;&lt;Q&gt;TPC^FE_ACTUAL(ACTUAL,EPS,QUARTERLY,40908,,,,'')&lt;/Q&gt;&lt;R&gt;0&lt;/R&gt;&lt;C&gt;0&lt;/C&gt;&lt;/FQL&gt;&lt;FQL&gt;&lt;Q&gt;TPC^FE_ACTUAL(ACTUAL,EPS,QUARTERLY,40999,,,,'')&lt;/Q&gt;&lt;R&gt;0&lt;/R&gt;&lt;C&gt;0&lt;/C&gt;&lt;/FQL&gt;&lt;FQL&gt;&lt;Q&gt;TPC^FE_ACTUAL(ACTUAL,EPS,QUARTERLY,41090,,,,'')&lt;/Q&gt;&lt;R&gt;0&lt;/R&gt;&lt;C&gt;0&lt;/C&gt;&lt;/FQL&gt;&lt;FQL&gt;&lt;Q&gt;TPC^FE_ACTUAL(ACTUAL,EPS,QUARTERLY,41182,,,,'')&lt;/Q&gt;&lt;R&gt;0&lt;/R&gt;&lt;C&gt;0&lt;/C&gt;&lt;/FQL&gt;&lt;FQL&gt;&lt;Q&gt;TPC^FE_ACTUAL(ACTUAL,EPS,QUARTERLY,41274,,,,'')&lt;/Q&gt;&lt;R&gt;0&lt;/R&gt;&lt;C&gt;0&lt;/C&gt;&lt;/FQL&gt;&lt;FQL&gt;&lt;Q&gt;TPC^FE_ACTUAL(ACTUAL,EPS,QUARTERLY,41364,,,,'')&lt;/Q&gt;&lt;R&gt;0&lt;/R&gt;&lt;C&gt;0&lt;/C&gt;&lt;/FQL&gt;&lt;FQL&gt;&lt;Q&gt;TPC^FE_ACTUAL(ACTUAL,EPS,QUARTERLY,41455,,,,'')&lt;/Q&gt;&lt;R&gt;0&lt;/R&gt;&lt;C&gt;0&lt;/C&gt;&lt;/FQL&gt;&lt;FQL&gt;&lt;Q&gt;TPC^FE_ACTUAL(ACTUAL,EPS,QUARTERLY,41547,,,,'')&lt;/Q&gt;&lt;R&gt;0&lt;/R&gt;&lt;C&gt;0&lt;/C&gt;&lt;/FQL&gt;&lt;FQL&gt;&lt;Q&gt;TPC^FE_ACTUAL(ACTUAL,EPS,QUARTERLY,41639,,,,'')&lt;/Q&gt;&lt;R&gt;0&lt;/R&gt;&lt;C&gt;0&lt;/C&gt;&lt;/FQL&gt;&lt;FQL&gt;&lt;Q&gt;TPC^FE_ACTUAL(ACTUAL,EPS,QUARTERLY,41729,,,,'')&lt;/Q&gt;&lt;R&gt;0&lt;/R&gt;&lt;C&gt;0&lt;/C&gt;&lt;/FQL&gt;&lt;FQL&gt;&lt;Q&gt;TPC^FE_ACTUAL(ACTUAL,EPS,QUARTERLY,41820,,,,'')&lt;/Q&gt;&lt;R&gt;0&lt;/R&gt;&lt;C&gt;0&lt;/C&gt;&lt;/FQL&gt;&lt;FQL&gt;&lt;Q&gt;TPC^FE_ACTUAL(ACTUAL,EPS,QUARTERLY,4191</t>
        </r>
      </text>
    </comment>
    <comment ref="A4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2,,,,'')&lt;/Q&gt;&lt;R&gt;0&lt;/R&gt;&lt;C&gt;0&lt;/C&gt;&lt;/FQL&gt;&lt;FQL&gt;&lt;Q&gt;TPC^FF_EPS_DIL(ANN_R,0)&lt;/Q&gt;&lt;R&gt;1&lt;/R&gt;&lt;C&gt;1&lt;/C&gt;&lt;D xsi:type="xsd:double"&gt;1.8&lt;/D&gt;&lt;/FQL&gt;&lt;FQL&gt;&lt;Q&gt;TPC^FF_EPS_DIL(QTR,0)&lt;/Q&gt;&lt;R&gt;1&lt;/R&gt;&lt;C&gt;1&lt;/C&gt;&lt;D xsi:type="xsd:double"&gt;0.73&lt;/D&gt;&lt;/FQL&gt;&lt;FQL&gt;&lt;Q&gt;TPC^FF_EPS_DIL(QTR,38168)&lt;/Q&gt;&lt;R&gt;1&lt;/R&gt;&lt;C&gt;1&lt;/C&gt;&lt;D xsi:type="xsd:double"&gt;0.48&lt;/D&gt;&lt;/FQL&gt;&lt;FQL&gt;&lt;Q&gt;TPC^FF_EPS_DIL(QTR,38260)&lt;/Q&gt;&lt;R&gt;1&lt;/R&gt;&lt;C&gt;1&lt;/C&gt;&lt;D xsi:type="xsd:double"&gt;0.25&lt;/D&gt;&lt;/FQL&gt;&lt;FQL&gt;&lt;Q&gt;TPC^FF_EPS_DIL(QTR,38352)&lt;/Q&gt;&lt;R&gt;1&lt;/R&gt;&lt;C&gt;1&lt;/C&gt;&lt;D xsi:type="xsd:double"&gt;0.23&lt;/D&gt;&lt;/FQL&gt;&lt;FQL&gt;&lt;Q&gt;TPC^FF_EPS_DIL(QTR,38442)&lt;/Q&gt;&lt;R&gt;1&lt;/R&gt;&lt;C&gt;1&lt;/C&gt;&lt;D xsi:type="xsd:double"&gt;0.2&lt;/D&gt;&lt;/FQL&gt;&lt;FQL&gt;&lt;Q&gt;TPC^FF_EPS_DIL(QTR,38533)&lt;/Q&gt;&lt;R&gt;1&lt;/R&gt;&lt;C&gt;1&lt;/C&gt;&lt;D xsi:type="xsd:double"&gt;0.24&lt;/D&gt;&lt;/FQL&gt;&lt;FQL&gt;&lt;Q&gt;TPC^FF_EPS_DIL(QTR,38625)&lt;/Q&gt;&lt;R&gt;1&lt;/R&gt;&lt;C&gt;1&lt;/C&gt;&lt;D xsi:type="xsd:double"&gt;0.22&lt;/D&gt;&lt;/FQL&gt;&lt;FQL&gt;&lt;Q&gt;TPC^FF_EPS_DIL(QTR,38717)&lt;/Q&gt;&lt;R&gt;1&lt;/R&gt;&lt;C&gt;1&lt;/C&gt;&lt;D xsi:type="xsd:double"&gt;-0.45&lt;/D&gt;&lt;/FQL&gt;&lt;FQL&gt;&lt;Q&gt;TPC^FF_EPS_DIL(QTR,38807)&lt;/Q&gt;&lt;R&gt;1&lt;/R&gt;&lt;C&gt;1&lt;/C&gt;&lt;D xsi:type="xsd:double"&gt;0.3&lt;/D&gt;&lt;/FQL&gt;&lt;FQL&gt;&lt;Q&gt;TPC^FF_EPS_DIL(QTR,38898)&lt;/Q&gt;&lt;R&gt;1&lt;/R&gt;&lt;C&gt;1&lt;/C&gt;&lt;D xsi:type="xsd:double"&gt;0.16&lt;/D&gt;&lt;/FQL&gt;&lt;FQL&gt;&lt;Q&gt;TPC^FF_EPS_DIL(QTR,38990)&lt;/Q&gt;&lt;R&gt;1&lt;/R&gt;&lt;C&gt;1&lt;/C&gt;&lt;D xsi:type="xsd:double"&gt;0.36&lt;/D&gt;&lt;/FQL&gt;&lt;FQL&gt;&lt;Q&gt;TPC^FF_EPS_DIL(QTR,39082)&lt;/Q&gt;&lt;R&gt;1&lt;/R&gt;&lt;C&gt;1&lt;/C&gt;&lt;D xsi:type="xsd:double"&gt;0.72&lt;/D&gt;&lt;/FQL&gt;&lt;FQL&gt;&lt;Q&gt;TPC^FF_EPS_DIL(QTR,39172)&lt;/Q&gt;&lt;R&gt;1&lt;/R&gt;&lt;C&gt;1&lt;/C&gt;&lt;D xsi:type="xsd:double"&gt;0.84&lt;/D&gt;&lt;/FQL&gt;&lt;FQL&gt;&lt;Q&gt;TPC^FF_EPS_DIL(QTR,39263)&lt;/Q&gt;&lt;R&gt;1&lt;/R&gt;&lt;C&gt;1&lt;/C&gt;&lt;D xsi:type="xsd:double"&gt;1.01&lt;/D&gt;&lt;/FQL&gt;&lt;FQL&gt;&lt;Q&gt;TPC^FF_EPS_DIL(QTR,39355)&lt;/Q&gt;&lt;R&gt;1&lt;/R&gt;&lt;C&gt;1&lt;/C&gt;&lt;D xsi:type="xsd:double"&gt;0.87&lt;/D&gt;&lt;/FQL&gt;&lt;FQL&gt;&lt;Q&gt;TPC^FF_EPS_DIL(QTR,39447)&lt;/Q&gt;&lt;R&gt;1&lt;/R&gt;&lt;C&gt;1&lt;/C&gt;&lt;D xsi:type="xsd:double"&gt;0.83&lt;/D&gt;&lt;/FQL&gt;&lt;FQL&gt;&lt;Q&gt;TPC^FF_EPS_DIL(QTR,39538)&lt;/Q&gt;&lt;R&gt;1&lt;/R&gt;&lt;C&gt;1&lt;/C&gt;&lt;D xsi:type="xsd:double"&gt;0.91&lt;/D&gt;&lt;/FQL&gt;&lt;FQL&gt;&lt;Q&gt;TPC^FF_EPS_DIL(QTR,39629)&lt;/Q&gt;&lt;R&gt;1&lt;/R&gt;&lt;C&gt;1&lt;/C&gt;&lt;D xsi:type="xsd:double"&gt;1.03&lt;/D&gt;&lt;/FQL&gt;&lt;FQL&gt;&lt;Q&gt;TPC^FF_EPS_DIL(QTR,39721)&lt;/Q&gt;&lt;R&gt;1&lt;/R&gt;&lt;C&gt;1&lt;/C&gt;&lt;D xsi:type="xsd:double"&gt;1.01&lt;/D&gt;&lt;/FQL&gt;&lt;FQL&gt;&lt;Q&gt;TPC^FF_EPS_DIL(QTR,39813)&lt;/Q&gt;&lt;R&gt;1&lt;/R&gt;&lt;C&gt;1&lt;/C&gt;&lt;D xsi:type="xsd:double"&gt;-5.14&lt;/D&gt;&lt;/FQL&gt;&lt;FQL&gt;&lt;Q&gt;TPC^FF_EPS_DIL(QTR,39903)&lt;/Q&gt;&lt;R&gt;1&lt;/R&gt;&lt;C&gt;1&lt;/C&gt;&lt;D xsi:type="xsd:double"&gt;0.8&lt;/D&gt;&lt;/FQL&gt;&lt;FQL&gt;&lt;Q&gt;TPC^FF_EPS_DIL(QTR,39994)&lt;/Q&gt;&lt;R&gt;1&lt;/R&gt;&lt;C&gt;1&lt;/C&gt;&lt;D xsi:type="xsd:double"&gt;0.79&lt;/D&gt;&lt;/FQL&gt;&lt;FQL&gt;&lt;Q&gt;TPC^FF_EPS_DIL(QTR,40086)&lt;/Q&gt;&lt;R&gt;1&lt;/R&gt;&lt;C&gt;1&lt;/C&gt;&lt;D xsi:type="xsd:double"&gt;0.54&lt;/D&gt;&lt;/FQL&gt;&lt;FQL&gt;&lt;Q&gt;TPC^FF_EPS_DIL(QTR,40178)&lt;/Q&gt;&lt;R&gt;1&lt;/R&gt;&lt;C&gt;1&lt;/C&gt;&lt;D xsi:type="xsd:double"&gt;0.66&lt;/D&gt;&lt;/FQL&gt;&lt;FQL&gt;&lt;Q&gt;TPC^FF_EPS_DIL(QTR,40268)&lt;/Q&gt;&lt;R&gt;1&lt;/R&gt;&lt;C&gt;1&lt;/C&gt;&lt;D xsi:type="xsd:double"&gt;0.42&lt;/D&gt;&lt;/FQL&gt;&lt;FQL&gt;&lt;Q&gt;TPC^FF_EPS_DIL(QTR,40359)&lt;/Q&gt;&lt;R&gt;1&lt;/R&gt;&lt;C&gt;1&lt;/C&gt;&lt;D xsi:type="xsd:double"&gt;0.66&lt;/D&gt;&lt;/FQL&gt;&lt;FQL&gt;&lt;Q&gt;TPC^FF_EPS_DIL(QTR,40451)&lt;/Q&gt;&lt;R&gt;1&lt;/R&gt;&lt;C&gt;1&lt;/C&gt;&lt;D xsi:type="xsd:double"&gt;0.65&lt;/D&gt;&lt;/FQL&gt;&lt;FQL&gt;&lt;Q&gt;TPC^FF_EPS_DIL(QTR,40543)&lt;/Q&gt;&lt;R&gt;1&lt;/R&gt;&lt;C&gt;1&lt;/C&gt;&lt;D xsi:type="xsd:double"&gt;0.4&lt;/D&gt;&lt;/FQL&gt;&lt;FQL&gt;&lt;Q&gt;TPC^FF_EPS_DIL(QTR,40633)&lt;/Q&gt;&lt;R&gt;1&lt;/R&gt;&lt;C&gt;1&lt;/C&gt;&lt;D xsi:type="xsd:double"&gt;0.14&lt;/D&gt;&lt;/FQL&gt;&lt;FQL&gt;&lt;Q&gt;TPC^FF_EPS_DIL(QTR,40724)&lt;/Q&gt;&lt;R&gt;1&lt;/R&gt;&lt;C&gt;1&lt;/C&gt;&lt;D xsi:type="xsd:double"&gt;0.41&lt;/D&gt;&lt;/FQL&gt;&lt;FQL&gt;&lt;Q&gt;TPC^FF_EPS_DIL(QTR,40816)&lt;/Q&gt;&lt;R&gt;1&lt;/R&gt;&lt;C&gt;1&lt;/C&gt;&lt;D xsi:type="xsd:double"&gt;0.74&lt;/D&gt;&lt;/FQL&gt;&lt;FQL&gt;&lt;Q&gt;TPC^FF_EPS_DIL(QTR,40908)&lt;/Q&gt;&lt;R&gt;1&lt;/R&gt;&lt;C&gt;1&lt;/C&gt;&lt;D xsi:type="xsd:double"&gt;0.5&lt;/D&gt;&lt;/FQL&gt;&lt;FQL&gt;&lt;Q&gt;TPC^FF_EPS_DIL(QTR,40999)&lt;/Q&gt;&lt;R&gt;1&lt;/R&gt;&lt;C&gt;1&lt;/C&gt;&lt;D xsi:type="xsd:double"&gt;-0.03&lt;/D&gt;&lt;/FQL&gt;&lt;FQL&gt;&lt;Q&gt;TPC^FF_EPS_DIL(QTR,41090)&lt;/Q&gt;&lt;R&gt;1&lt;/R&gt;&lt;C&gt;1&lt;/C&gt;&lt;D xsi:type="xsd:double"&gt;-7.35&lt;/D&gt;&lt;/FQL&gt;&lt;FQL&gt;&lt;Q&gt;TPC^FF_EPS_DIL(QTR,41182)&lt;/Q&gt;&lt;R&gt;1&lt;/R&gt;&lt;C&gt;1&lt;/C&gt;&lt;D xsi:type="xsd:double"&gt;0.88&lt;/D&gt;&lt;/FQL&gt;&lt;FQL&gt;&lt;Q&gt;TPC^FF_EPS_DIL(QTR,41274)&lt;/Q&gt;&lt;R&gt;1&lt;/R&gt;&lt;C&gt;1&lt;/C&gt;&lt;D xsi:type="xsd:double"&gt;0.86&lt;/D&gt;&lt;/FQL&gt;&lt;FQL&gt;&lt;Q&gt;TPC^FF_EPS_DIL(QTR,41364)&lt;/Q&gt;&lt;R&gt;1&lt;/R&gt;&lt;C&gt;1&lt;/C&gt;&lt;D xsi:type="xsd:double"&gt;0.31&lt;/D&gt;&lt;/FQL&gt;&lt;FQL&gt;&lt;Q&gt;TPC^FF_EPS_DIL(QTR,41455)&lt;/Q&gt;&lt;R&gt;1&lt;/R&gt;&lt;C&gt;1&lt;/C&gt;&lt;D xsi:type="xsd:double"&gt;0.32&lt;/D&gt;&lt;/FQL&gt;&lt;FQL&gt;&lt;Q&gt;TPC^FF_EPS_DIL(QTR,41547)&lt;/Q&gt;&lt;R&gt;1&lt;/R&gt;&lt;C&gt;1&lt;/C&gt;&lt;D xsi:type="xsd:double"&gt;0.49&lt;/D&gt;&lt;/FQL&gt;&lt;FQL&gt;&lt;Q&gt;TPC^FF_EPS_DIL(QTR,41639)&lt;/Q&gt;&lt;R&gt;1&lt;/R&gt;&lt;C&gt;1&lt;/C&gt;&lt;D xsi:type="xsd:double"&gt;0.68&lt;/D&gt;&lt;/FQL&gt;&lt;FQL&gt;&lt;Q&gt;TPC^FF_EPS_DIL(QTR,41729)&lt;/Q&gt;&lt;R&gt;1&lt;/R&gt;&lt;C&gt;1&lt;/C&gt;&lt;D xsi:type="xsd:double"&gt;0.33&lt;/D&gt;&lt;/FQL&gt;&lt;FQL&gt;&lt;Q&gt;TPC^FF_EPS_DIL(QTR,41820)&lt;/Q&gt;&lt;R&gt;1&lt;/R&gt;&lt;C&gt;1&lt;/C&gt;&lt;D xsi:type="xsd:double"&gt;0.58&lt;/D&gt;&lt;/FQL&gt;&lt;FQL&gt;&lt;Q&gt;TPC^FF_EPS_DIL(QTR,41912)&lt;/Q&gt;&lt;R&gt;1&lt;/R&gt;&lt;C&gt;1&lt;/C&gt;&lt;D xsi:type="xsd:double"&gt;0.73&lt;/D&gt;&lt;/FQL&gt;&lt;FQL&gt;&lt;Q&gt;TPC^FF_SALES(ANN,38168)&lt;/Q&gt;&lt;R&gt;1&lt;/R&gt;&lt;C&gt;1&lt;/C&gt;&lt;D xsi:type="xsd:double"&gt;1374.103&lt;/D&gt;&lt;/FQL&gt;&lt;FQL&gt;&lt;Q&gt;TPC^FF_SALES(QTR,38168)&lt;/Q&gt;&lt;R&gt;1&lt;/R&gt;&lt;C&gt;1&lt;/C&gt;&lt;D xsi:type="xsd:double"&gt;495.808&lt;/D&gt;&lt;/FQL&gt;&lt;FQL&gt;&lt;Q&gt;TPC^FF_SALES(QTR,38260)&lt;/Q&gt;&lt;R&gt;1&lt;/R&gt;&lt;C&gt;1&lt;/C&gt;&lt;D xsi:type="xsd:double"&gt;467.743&lt;/D&gt;&lt;/FQL&gt;&lt;FQL&gt;&lt;Q&gt;TPC^FF_SALES(QTR,38352)&lt;/Q&gt;&lt;R&gt;1&lt;/R&gt;&lt;C&gt;1&lt;/C&gt;&lt;D xsi:type="xsd:double"&gt;398.46&lt;/D&gt;&lt;/FQL&gt;&lt;FQL&gt;&lt;Q&gt;TPC^FF_SALES(QTR,38442)&lt;/Q&gt;&lt;R&gt;1&lt;/R&gt;&lt;C&gt;1&lt;/C&gt;&lt;D xsi:type="xsd:double"&gt;371.553&lt;/D&gt;&lt;/FQL&gt;&lt;FQL&gt;&lt;Q&gt;TPC^FF_SALES(QTR,38533)&lt;/Q&gt;&lt;R&gt;1&lt;/R&gt;&lt;C&gt;1&lt;/C&gt;&lt;D xsi:type="xsd:double"&gt;378.384&lt;/D&gt;&lt;/FQL&gt;&lt;FQL&gt;&lt;Q&gt;TPC^FF_SALES(QTR,38625)&lt;/Q&gt;&lt;R&gt;1&lt;/R&gt;&lt;C&gt;1&lt;/C&gt;&lt;D xsi:type="xsd:double"&gt;380.314&lt;/D&gt;&lt;/FQL&gt;&lt;FQL&gt;&lt;Q&gt;TPC^FF_SALES(QTR,38717)&lt;/Q&gt;&lt;R&gt;1&lt;/R&gt;&lt;C&gt;1&lt;/C&gt;&lt;D xsi:type="xsd:double"&gt;603.226&lt;/D&gt;&lt;/FQL&gt;&lt;FQL&gt;&lt;Q&gt;TPC^FF_SALES(QTR,38807)&lt;/Q&gt;&lt;R&gt;1&lt;/R&gt;&lt;C&gt;1&lt;/C&gt;&lt;D xsi:type="xsd:double"&gt;612.763&lt;/D&gt;&lt;/FQL&gt;&lt;FQL&gt;&lt;Q&gt;TPC^FF_SALES(QTR,38898)&lt;/Q&gt;&lt;R&gt;1&lt;/R&gt;&lt;C&gt;1&lt;/C&gt;&lt;D xsi:type="xsd:double"&gt;712.462&lt;/D&gt;&lt;/FQL&gt;&lt;FQL&gt;&lt;Q&gt;TPC^FF_SALES(QTR,38990)&lt;/Q&gt;&lt;R&gt;1&lt;/R&gt;&lt;C&gt;1&lt;/C&gt;&lt;D xsi:type="xsd:double"&gt;773.282&lt;/D&gt;&lt;/FQL&gt;&lt;FQL&gt;&lt;Q&gt;TPC^FF_SALES(QTR,39082)&lt;/Q&gt;&lt;R&gt;1&lt;/R&gt;&lt;C&gt;1&lt;/C&gt;&lt;D xsi:type="xsd:double"&gt;944.332&lt;/D&gt;&lt;/FQL&gt;&lt;FQL&gt;&lt;Q&gt;TPC^FF_SALES(QTR,39172)&lt;/Q&gt;&lt;R&gt;1&lt;/R&gt;&lt;C&gt;1&lt;/C&gt;&lt;D xsi:type="xsd:double"&gt;987.356&lt;/D&gt;&lt;/FQL&gt;&lt;FQL&gt;&lt;Q&gt;TPC^FF_SALES(QTR,39263)&lt;/Q&gt;&lt;R&gt;1&lt;/R&gt;&lt;C&gt;1&lt;/C&gt;&lt;D xsi:type="xsd:double"&gt;1151.62&lt;/D&gt;&lt;/FQL&gt;&lt;FQL&gt;&lt;Q&gt;TPC^FF_SALES(QTR,39355)&lt;/Q&gt;&lt;R&gt;1&lt;/R&gt;&lt;C&gt;1&lt;/C&gt;&lt;D xsi:type="xsd:double"&gt;1242.666&lt;/D&gt;&lt;/FQL&gt;&lt;FQL&gt;&lt;Q&gt;TPC^FF_SALES(QTR,39447)&lt;/Q&gt;&lt;R&gt;1&lt;/R&gt;&lt;C&gt;1&lt;/C&gt;&lt;D xsi:type="xsd:double"&gt;1246.716&lt;/D&gt;&lt;/FQL&gt;&lt;FQL&gt;&lt;Q&gt;TPC^FF_SALES(QTR,39538)&lt;/Q&gt;&lt;R&gt;1&lt;/R&gt;&lt;C&gt;1&lt;/C&gt;&lt;D xsi:type="xsd:double"&gt;1256.336&lt;/D&gt;&lt;/FQL&gt;&lt;FQL&gt;&lt;Q&gt;TPC^FF_SALES(QTR,39629)&lt;/Q&gt;&lt;R&gt;1&lt;/R&gt;&lt;C&gt;1&lt;/C&gt;&lt;D xsi:type="xsd:double"&gt;1388.387&lt;/D&gt;&lt;/FQL&gt;&lt;FQL&gt;&lt;Q&gt;TPC^FF_SALES(QTR,39721)&lt;/Q&gt;&lt;R&gt;1&lt;/R&gt;&lt;C&gt;1&lt;/C&gt;&lt;D xsi:type="xsd:double"&gt;1412.635&lt;/D&gt;&lt;/FQL&gt;&lt;FQL&gt;&lt;Q&gt;TPC^FF_SALES(QTR,39813)&lt;/Q&gt;&lt;R&gt;1&lt;/R&gt;&lt;C&gt;1&lt;/C&gt;&lt;D xsi:type="xsd:double"&gt;1602.928&lt;/D&gt;&lt;/FQL&gt;&lt;FQL&gt;&lt;Q&gt;TPC^FF_SALES(QTR,39903)&lt;/Q&gt;&lt;R&gt;1&lt;/R&gt;&lt;C&gt;1&lt;/C&gt;&lt;D xsi:type="xsd:double"&gt;1518.282&lt;/D&gt;&lt;/FQL&gt;&lt;FQL&gt;&lt;Q&gt;TPC^FF_SALES(QTR,39994)&lt;/Q&gt;&lt;R&gt;1&lt;/R&gt;&lt;C&gt;1&lt;/C&gt;&lt;D xsi:type="xsd:double"&gt;1382.748&lt;/D&gt;&lt;/FQL&gt;&lt;FQL&gt;&lt;Q&gt;TPC^FF_SALES(QTR,40086)&lt;/Q&gt;&lt;R&gt;1&lt;/R&gt;&lt;C&gt;1&lt;/C&gt;&lt;D xsi:type="xsd:double"&gt;1168.769&lt;/D&gt;&lt;/FQL&gt;&lt;FQL&gt;&lt;Q&gt;TPC^FF_SALES(QTR,40178)&lt;/Q&gt;&lt;R&gt;1&lt;/R&gt;&lt;C&gt;1&lt;/C&gt;&lt;D xsi:type="xsd:double"&gt;1082.167&lt;/D&gt;&lt;/FQL&gt;&lt;FQL&gt;&lt;Q&gt;TPC^FF_SALES(QTR,40268)&lt;/Q&gt;&lt;R&gt;1&lt;/R&gt;&lt;C&gt;1&lt;/C&gt;&lt;D xsi:type="xsd:double"&gt;865.075&lt;/D&gt;&lt;/FQL&gt;&lt;FQL&gt;&lt;Q&gt;TPC^FF_SALES(QTR,40359)&lt;/Q&gt;&lt;R&gt;1&lt;/R&gt;&lt;C&gt;1&lt;/C&gt;&lt;D xsi:type="xsd:double"&gt;914.376&lt;/D&gt;&lt;/FQL&gt;&lt;FQL&gt;&lt;Q&gt;TPC^FF_SALES(QTR,40451)&lt;/Q&gt;&lt;R&gt;1&lt;/R&gt;&lt;C&gt;1&lt;/C&gt;&lt;D xsi:type="xsd:double"&gt;731.806&lt;/D&gt;&lt;/FQL&gt;&lt;FQL&gt;&lt;Q&gt;TPC^FF_SALES(QTR,40543)&lt;/Q&gt;&lt;R&gt;1&lt;/R&gt;&lt;C&gt;1&lt;/C&gt;&lt;D xsi:type="xsd:double"&gt;687.953&lt;/D&gt;&lt;/FQL&gt;&lt;FQL&gt;&lt;Q&gt;TPC^FF_SALES(QTR,40633)&lt;/Q&gt;&lt;R&gt;1&lt;/R&gt;&lt;C&gt;1&lt;/C&gt;&lt;D xsi:type="xsd:double"&gt;615.289&lt;/D&gt;&lt;/FQL&gt;&lt;FQL&gt;&lt;Q&gt;TPC^FF_SALES(QTR,40724)&lt;/Q&gt;&lt;R&gt;1&lt;/R&gt;&lt;C&gt;1&lt;/C&gt;&lt;D xsi:type="xsd:double"&gt;819.858&lt;/D&gt;&lt;/FQL&gt;&lt;FQL&gt;&lt;Q&gt;TPC^FF_SALES(QTR,40816)&lt;/Q&gt;&lt;R&gt;1&lt;/R&gt;&lt;C&gt;1&lt;/C&gt;&lt;D xsi:type="xsd:double"&gt;1166.41&lt;/D&gt;&lt;/FQL&gt;&lt;FQL&gt;&lt;Q&gt;TPC^FF_SALES(QTR,40908)&lt;/Q&gt;&lt;R&gt;1&lt;/R&gt;&lt;C&gt;1&lt;/C&gt;&lt;D xsi:type="xsd:double"&gt;1114.76&lt;/D&gt;&lt;/FQL&gt;&lt;FQL&gt;&lt;Q&gt;TPC^FF_SALES(QTR,40999)&lt;/Q&gt;&lt;R&gt;1&lt;/R&gt;&lt;C&gt;1&lt;/C&gt;&lt;D xsi:type="xsd:double"&gt;912.534&lt;/D&gt;&lt;/FQL&gt;&lt;FQL&gt;&lt;Q&gt;TPC^FF_SALES(QTR,41090)&lt;/Q&gt;&lt;R&gt;1&lt;/R&gt;&lt;C&gt;1&lt;/C&gt;&lt;D xsi:type="xsd:double"&gt;985.346&lt;/D&gt;&lt;/FQL&gt;&lt;FQL&gt;&lt;Q&gt;TPC^FF_SALES(QTR,41182)&lt;/Q&gt;&lt;R&gt;1&lt;/R&gt;&lt;C&gt;1&lt;/C&gt;&lt;D xsi:type="xsd:double"&gt;1099.393&lt;/D&gt;&lt;/FQL&gt;&lt;FQL&gt;&lt;Q&gt;TPC^FF_SALES(QTR,41274)&lt;/Q&gt;&lt;R&gt;1&lt;/R&gt;&lt;C&gt;1&lt;/C&gt;&lt;D xsi:type="xsd:double"&gt;1114.198&lt;/D&gt;&lt;/FQL&gt;&lt;FQL&gt;&lt;Q&gt;TPC^FF_SALES(QTR,41364)&lt;/Q&gt;&lt;R&gt;1&lt;/R&gt;&lt;C&gt;1&lt;/C&gt;&lt;D xsi:type="xsd:double"&gt;992.928&lt;/D&gt;&lt;/FQL&gt;&lt;FQL&gt;&lt;Q&gt;TPC^FF_SALES(QTR,41455)&lt;/Q&gt;&lt;R&gt;1&lt;/R&gt;&lt;C&gt;1&lt;/C&gt;&lt;D xsi:type="xsd:double"&gt;1053.065&lt;/D&gt;&lt;/FQL&gt;&lt;FQL&gt;&lt;Q&gt;TPC^FF_SALES(QTR,41547)&lt;/Q&gt;&lt;R&gt;1&lt;/R&gt;&lt;C&gt;1&lt;/C&gt;&lt;D xsi:type="xsd:double"&gt;1030.388&lt;/D&gt;&lt;/FQL&gt;&lt;FQL&gt;&lt;Q&gt;TPC^FF_SALES(QTR,41639)&lt;/Q&gt;&lt;R&gt;1&lt;/R&gt;&lt;C&gt;1&lt;/C&gt;&lt;D xsi:type="xsd:double"&gt;1099.291&lt;/D&gt;&lt;/FQL&gt;&lt;FQL&gt;&lt;Q&gt;TPC^FF_SALES(QTR,41729)&lt;/Q&gt;&lt;R&gt;1&lt;/R&gt;&lt;C&gt;1&lt;/C&gt;&lt;D xsi:type="xsd:double"&gt;955.233&lt;/D&gt;&lt;/FQL&gt;&lt;FQL&gt;&lt;Q&gt;TPC^FF_SALES(QTR,41820)&lt;/Q&gt;&lt;R&gt;1&lt;/R&gt;&lt;C&gt;1&lt;/C&gt;&lt;D xsi:type="xsd:double"&gt;1084.51&lt;/D&gt;&lt;/FQL&gt;&lt;FQL&gt;&lt;Q&gt;TPC^FF_SALES(QTR,41912)&lt;/Q&gt;&lt;R&gt;1&lt;/R&gt;&lt;C&gt;1&lt;/C&gt;&lt;D xsi:type="xsd:double"&gt;1250.689&lt;/D&gt;&lt;/FQL&gt;&lt;FQL&gt;&lt;Q&gt;TPC-US^FG_MEAN_EPS_NTM(40786,,,90)&lt;/Q&gt;&lt;R&gt;1&lt;/R&gt;&lt;C&gt;1&lt;/C&gt;&lt;D xsi:type="xsd:double"&gt;2.3474243&lt;/D&gt;&lt;/FQL&gt;&lt;FQL&gt;&lt;Q&gt;TPC-US^FG_PRICE(40755)&lt;/Q&gt;&lt;R&gt;1&lt;/R&gt;&lt;C&gt;1&lt;/C&gt;&lt;D xsi:type="xsd:double"&gt;15.78&lt;/D&gt;&lt;/FQL&gt;&lt;FQL&gt;&lt;Q&gt;TPC-US^FG_MEAN_EPS_NTM(40755,,,90)&lt;/Q&gt;&lt;R&gt;1&lt;/R&gt;&lt;C&gt;1&lt;/C&gt;&lt;D xsi:type="xsd:double"&gt;2.4506621&lt;/D&gt;&lt;/FQL&gt;&lt;FQL&gt;&lt;Q&gt;TPC-US^FG_PRICE(40724)&lt;/Q&gt;&lt;R&gt;1&lt;/R&gt;&lt;C&gt;1&lt;/C&gt;&lt;D xsi:type="xsd:double"&gt;19.18&lt;/D&gt;&lt;/FQL&gt;&lt;FQL&gt;&lt;Q&gt;TPC-US^FG_MEAN_EPS_NTM(40724,,,90)&lt;/Q&gt;&lt;R&gt;1&lt;/R&gt;&lt;C&gt;1&lt;/C&gt;&lt;D xsi:type="xsd:double"&gt;2.4172685&lt;/D&gt;&lt;/FQL&gt;&lt;FQL&gt;&lt;Q&gt;TPC-US^FG_PRICE(40694)&lt;/Q&gt;&lt;R&gt;1&lt;/R&gt;&lt;C&gt;1&lt;/C&gt;&lt;D xsi:type="xsd:double"&gt;20.3&lt;/D&gt;&lt;/FQL&gt;&lt;FQL&gt;&lt;Q&gt;TPC-US^FG_MEAN_EPS_NTM(40694,,,90)&lt;/Q&gt;&lt;R&gt;1&lt;/R&gt;&lt;C&gt;1&lt;/C&gt;&lt;D xsi:type="xsd:double"&gt;2.3710294&lt;/D&gt;&lt;/FQL&gt;&lt;FQL&gt;&lt;Q&gt;TPC-US^FG_PRICE(40663)&lt;/Q&gt;&lt;R&gt;1&lt;/R&gt;&lt;C&gt;1&lt;/C&gt;&lt;D xsi:type="xsd:double"&gt;26.66&lt;/D&gt;&lt;/FQL&gt;&lt;FQL&gt;&lt;Q&gt;TPC-US^FG_MEAN_EPS_NTM(40663,,,90)&lt;/Q&gt;&lt;R&gt;1&lt;/R&gt;&lt;C&gt;1&lt;/C&gt;&lt;D xsi:type="xsd:double"&gt;2.456197&lt;/D&gt;&lt;/FQL&gt;&lt;FQL&gt;&lt;Q&gt;TPC-US^FG_MEAN_EPS_NTM(36860,,,90)&lt;/Q&gt;&lt;R&gt;0&lt;/R&gt;&lt;C&gt;0&lt;/C&gt;&lt;/FQL&gt;&lt;FQL&gt;&lt;Q&gt;TPC-US^FG_PRICE(40633)&lt;/Q&gt;&lt;R&gt;1&lt;/R&gt;&lt;C&gt;1&lt;/C&gt;&lt;D xsi:type="xsd:double"&gt;24.36&lt;/D&gt;&lt;/FQL&gt;&lt;FQL&gt;&lt;Q&gt;TPC-US^FG_MEAN_EPS_NTM(37072,,,90)&lt;/Q&gt;&lt;R&gt;0&lt;/R&gt;&lt;C&gt;0&lt;/C&gt;&lt;/FQL&gt;&lt;FQL&gt;&lt;Q&gt;TPC-US^FG_PRICE(37042)&lt;/Q&gt;&lt;R&gt;1&lt;/R&gt;&lt;C&gt;1&lt;/C&gt;&lt;D xsi:type="xsd:double"&gt;8.65&lt;/D&gt;&lt;/FQL&gt;&lt;FQL&gt;&lt;Q&gt;TPC-US^FG_MEAN_EPS_NTM(37042,,,90)&lt;/Q&gt;&lt;R&gt;0&lt;/R&gt;&lt;C&gt;0&lt;/C&gt;&lt;/FQL&gt;&lt;FQL&gt;&lt;Q&gt;TPC-US^FG_PRICE(37011)&lt;/Q&gt;&lt;R&gt;1&lt;/R&gt;&lt;C&gt;1&lt;/C&gt;&lt;D xsi:type="xsd:double"&gt;7.15&lt;/D&gt;&lt;/FQL&gt;&lt;FQL&gt;&lt;Q&gt;TPC-US^FG_MEAN_EPS_NTM(37011,,,90)&lt;/Q&gt;&lt;R&gt;0&lt;/R&gt;&lt;C&gt;0&lt;/C&gt;&lt;/FQL&gt;&lt;FQL&gt;&lt;Q&gt;TPC-US^FG_PRICE(36981)&lt;/Q&gt;&lt;R&gt;1&lt;/R&gt;&lt;C&gt;1&lt;/C&gt;&lt;D xsi:type="xsd:double"&gt;7.25&lt;/D&gt;&lt;/FQL&gt;&lt;FQL&gt;&lt;Q&gt;TPC-US^FG_MEAN_EPS_NTM(40633,,,90)&lt;/Q&gt;&lt;R&gt;1&lt;/R&gt;&lt;C&gt;1&lt;/C&gt;&lt;D xsi:type="xsd:double"&gt;2.4435349&lt;/D&gt;&lt;/FQL&gt;&lt;FQL&gt;&lt;Q&gt;TPC-US^FG_EVAL_EBITDA_NTM(42131)&lt;/Q&gt;&lt;R&gt;1&lt;/R&gt;&lt;C&gt;1&lt;/C&gt;&lt;D xsi:type="xsd:double"&gt;5.8174177135565213&lt;/D&gt;&lt;/FQL&gt;&lt;FQL&gt;&lt;Q&gt;TPC-US^FG_PRICE(42131)&lt;/Q&gt;&lt;R&gt;1&lt;/R&gt;&lt;C&gt;1&lt;/C&gt;&lt;D xsi:type="xsd:double"&gt;22.4&lt;/D&gt;&lt;/FQL&gt;&lt;FQL&gt;&lt;Q&gt;TPC-US^FG_MEAN_EPS_NTM(42131,,,90)&lt;/Q&gt;&lt;R&gt;1&lt;/R&gt;&lt;C&gt;1&lt;/C&gt;&lt;D xsi:type="xsd:double"&gt;2.598529&lt;/D&gt;&lt;/FQL&gt;&lt;FQL&gt;&lt;Q&gt;GVA-US^FMA_BACKLOG_VALUE(0,0,,,,"PORTFOLIO","MEANR")&lt;/Q&gt;&lt;R&gt;0&lt;/R&gt;&lt;C&gt;0&lt;/C&gt;&lt;/FQL&gt;&lt;FQL&gt;&lt;Q&gt;TPC-US^FMA_BACKLOG_VALUE(0,0,,,,"PORTFOLIO","MEANR")&lt;/Q&gt;&lt;R&gt;0&lt;/R&gt;&lt;C&gt;0&lt;/C&gt;&lt;/FQL&gt;&lt;FQL&gt;&lt;Q&gt;TPC-US^FG_MKT_VALUE(0)&lt;/Q&gt;&lt;R&gt;1&lt;/R&gt;&lt;C&gt;1&lt;/C&gt;&lt;D xsi:type="xsd:double"&gt;1010.40955&lt;/D&gt;&lt;/FQL&gt;&lt;FQL&gt;&lt;Q&gt;TPC-US^FG_MKT_VALUE(40359)&lt;/Q&gt;&lt;R&gt;1&lt;/R&gt;&lt;C&gt;1&lt;/C&gt;&lt;D xsi:type="xsd:double"&gt;800.8568&lt;/D&gt;&lt;/FQL&gt;&lt;FQL&gt;&lt;Q&gt;TPC-US^FG_MKT_VALUE(40451)&lt;/Q&gt;&lt;R&gt;1&lt;/R&gt;&lt;C&gt;1&lt;/C&gt;&lt;D xsi:type="xsd:double"&gt;946.0299&lt;/D&gt;&lt;/FQL&gt;&lt;FQL&gt;&lt;Q&gt;TPC-US^FG_MKT_VALUE(40543)&lt;/Q&gt;&lt;R&gt;1&lt;/R&gt;&lt;C&gt;1&lt;/C&gt;&lt;D xsi:type="xsd:double"&gt;1008.1882&lt;/D&gt;&lt;/FQL&gt;&lt;FQL&gt;&lt;Q&gt;TPC-US^FG_MKT_VALUE(40633)&lt;/Q&gt;&lt;R&gt;1&lt;/R&gt;&lt;C&gt;1&lt;/C&gt;&lt;D xsi:type="xsd:double"&gt;1147.9144&lt;/D&gt;&lt;/FQL&gt;&lt;FQL&gt;&lt;Q&gt;TPC-US^FG_MKT_VALUE(40724)&lt;/Q&gt;&lt;R&gt;1&lt;/R&gt;&lt;C&gt;1&lt;/C&gt;&lt;D xsi:type="xsd:double"&gt;906.94745&lt;/D&gt;&lt;/FQL&gt;&lt;FQL&gt;&lt;Q&gt;TPC-US^FG_MKT_VALUE(40816)&lt;/Q&gt;&lt;R&gt;1&lt;/R&gt;&lt;C&gt;1&lt;/C&gt;&lt;D xsi:type="xsd:double"&gt;543.6499&lt;/D&gt;&lt;/FQL&gt;&lt;FQL&gt;&lt;Q&gt;TPC-US^FG_MKT_VALUE(40908)&lt;/Q&gt;&lt;R&gt;1&lt;/R&gt;&lt;C&gt;1&lt;/C&gt;&lt;D xsi:type="xsd:double"&gt;584.0432&lt;/D&gt;&lt;/FQL&gt;&lt;FQL&gt;&lt;Q&gt;TPC-US^FG_MKT_VALUE(40999)&lt;/Q&gt;&lt;R&gt;1&lt;/R&gt;&lt;C&gt;1&lt;/C&gt;&lt;D xsi:type="xsd:double"&gt;737.9927&lt;/D&gt;&lt;/FQL&gt;&lt;FQL&gt;&lt;Q&gt;TPC-US^FG_MKT_VALUE(41090)&lt;/Q&gt;&lt;R&gt;1&lt;/R&gt;&lt;C&gt;1&lt;/C&gt;&lt;D xsi:type="xsd:double"&gt;602.5352&lt;/D&gt;&lt;/FQL&gt;&lt;FQL&gt;&lt;Q&gt;TPC-US^FG_MKT_VALUE(41182)&lt;/Q&gt;&lt;R&gt;1&lt;/R&gt;&lt;C&gt;1&lt;/C&gt;&lt;D xsi:type="xsd:double"&gt;544.04126&lt;/D&gt;&lt;/FQL&gt;&lt;FQL&gt;&lt;Q&gt;TPC-US^FG_MKT_VALUE(41274)&lt;/Q&gt;&lt;R&gt;1&lt;/R&gt;&lt;C&gt;1&lt;/C&gt;&lt;D xsi:type="xsd:double"&gt;651.51794&lt;/D&gt;&lt;/FQL&gt;&lt;FQL&gt;&lt;Q&gt;TPC-US^FG_MKT_VALUE(41364)&lt;/Q&gt;&lt;R&gt;1&lt;/R&gt;&lt;C&gt;1&lt;/C&gt;&lt;D xsi:type="xsd:double"&gt;918.2108&lt;/D&gt;&lt;/FQL&gt;&lt;FQL&gt;&lt;Q&gt;TPC-US^FG_MKT_VALUE(41455)&lt;/Q&gt;&lt;R&gt;1&lt;/R&gt;&lt;C&gt;1&lt;/C&gt;&lt;D xsi:type="xsd:double"&gt;866.4545&lt;/D&gt;&lt;/FQL&gt;&lt;FQL&gt;&lt;Q&gt;TPC-US^FG_MKT_VALUE(41547)&lt;/Q&gt;&lt;R&gt;1&lt;/R&gt;&lt;C&gt;1&lt;/C&gt;&lt;D xsi:type="xsd:double"&gt;1025.8203&lt;/D&gt;&lt;/FQL&gt;&lt;FQL&gt;&lt;Q&gt;TPC-US^FG_MKT_VALUE(41639)&lt;/Q&gt;&lt;R&gt;1&lt;/R&gt;&lt;C&gt;1&lt;/C&gt;&lt;D xsi:type="xsd:double"&gt;1273.4845&lt;/D&gt;&lt;/FQL&gt;&lt;FQL&gt;&lt;Q&gt;TPC-US^FG_MKT_VALUE(41729)&lt;/Q&gt;&lt;R&gt;1&lt;/R&gt;&lt;C&gt;1&lt;/C&gt;&lt;D xsi:type="xsd:double"&gt;1391.2966&lt;/D&gt;&lt;/FQL&gt;&lt;FQL&gt;&lt;Q&gt;TPC-US^FG_MKT_VALUE(41820)&lt;/Q&gt;&lt;R&gt;1&lt;/R&gt;&lt;C&gt;1&lt;/C&gt;&lt;D xsi:type="xsd:double"&gt;1541.667&lt;/D&gt;&lt;/FQL&gt;&lt;FQL&gt;&lt;Q&gt;TPC-US^FG_MKT_VALUE(41912)&lt;/Q&gt;&lt;R&gt;1&lt;/R&gt;&lt;C&gt;1&lt;/C&gt;&lt;D xsi:type="xsd:double"&gt;1284.2517&lt;/D&gt;&lt;/FQL&gt;&lt;FQL&gt;&lt;Q&gt;TPC-US^FG_MKT_VALUE(42004)&lt;/Q&gt;&lt;R&gt;1&lt;/R&gt;&lt;C&gt;1&lt;/C&gt;&lt;D xsi:type="xsd:double"&gt;1171.5228&lt;/D&gt;&lt;/FQL&gt;&lt;FQL&gt;&lt;Q&gt;TPC-US^FG_MKT_VALUE(42094)&lt;/Q&gt;&lt;R&gt;1&lt;/R&gt;&lt;C&gt;1&lt;/C&gt;&lt;D xsi:type="xsd:double"&gt;1144.1835&lt;/D&gt;&lt;/FQL&gt;&lt;FQL&gt;&lt;Q&gt;TPC-US^FG_PRICE(40359)&lt;/Q&gt;&lt;R&gt;1&lt;/R&gt;&lt;C&gt;1&lt;/C&gt;&lt;D xsi:type="xsd:double"&gt;16.48&lt;/D&gt;&lt;/FQL&gt;&lt;FQL&gt;&lt;Q&gt;TPC-US^FG_MEAN_EPS_NTM(40209,,,90)&lt;/Q&gt;&lt;R&gt;1&lt;/R&gt;&lt;C&gt;1&lt;/C&gt;&lt;D xsi:type="xsd:double"&gt;2.5349228&lt;/D&gt;&lt;/FQL&gt;&lt;FQL&gt;&lt;Q&gt;TPC-US^FG_MEAN_EPS_NTM(40451,,,90)&lt;/Q&gt;&lt;R&gt;1&lt;/R&gt;&lt;C&gt;1&lt;/C&gt;&lt;D xsi:type="xsd:double"&gt;2.3375685&lt;/D&gt;&lt;/FQL&gt;&lt;FQL&gt;&lt;Q&gt;TPC-US^FG_MEAN_EPS_NTM(40512,,,90)&lt;/Q&gt;&lt;R&gt;1&lt;/R&gt;&lt;C&gt;1&lt;/C&gt;&lt;D xsi:type="xsd:double"&gt;2.3659275&lt;/D&gt;&lt;/FQL&gt;&lt;FQL&gt;&lt;Q&gt;TPC-US^FG_PRICE(40543)&lt;/Q&gt;&lt;R&gt;1&lt;/R&gt;&lt;C&gt;1&lt;/C&gt;&lt;D xsi:type="xsd:double"&gt;21.41&lt;/D&gt;&lt;/FQL&gt;&lt;FQL&gt;&lt;Q&gt;TPC-US^FG_PRICE(40512)&lt;/Q&gt;&lt;R&gt;1&lt;/R&gt;&lt;C&gt;1&lt;/C&gt;&lt;D xsi:type="xsd:double"&gt;19.05&lt;/D&gt;&lt;/FQL&gt;&lt;FQL&gt;&lt;Q&gt;TPC-US^FG_MEAN_EPS_NTM(40574,,,90)&lt;/Q&gt;&lt;R&gt;1&lt;/R&gt;&lt;C&gt;1&lt;/C&gt;&lt;D xsi:type="xsd:double"&gt;2.4070992&lt;/D&gt;&lt;/FQL&gt;&lt;FQL&gt;&lt;Q&gt;TPC-US^FG_MEAN_EPS_NTM(36981,,,90)&lt;/Q&gt;&lt;R&gt;0&lt;/R&gt;&lt;C&gt;0&lt;/C&gt;&lt;/FQL&gt;&lt;FQL&gt;&lt;Q&gt;TPC-US^FG_PRICE(40574)&lt;/Q&gt;&lt;R&gt;1&lt;/R&gt;&lt;C&gt;1&lt;/C&gt;&lt;D xsi:type="xsd:double"&gt;22.71&lt;/D&gt;&lt;/FQL&gt;&lt;FQL&gt;&lt;Q&gt;TPC-US^FG_MEAN_EPS_NTM(40602,,,90)&lt;/Q&gt;&lt;R&gt;1&lt;/R&gt;&lt;C&gt;1&lt;/C&gt;&lt;D xsi:type="xsd:double"&gt;2.4145432&lt;/D&gt;&lt;/FQL&gt;&lt;FQL&gt;&lt;Q&gt;TPC-US^FG_PRICE(40602)&lt;/Q&gt;&lt;R&gt;1&lt;/R&gt;&lt;C&gt;1&lt;/C&gt;&lt;D xsi:type="xsd:double"&gt;23.82&lt;/D&gt;&lt;/FQL&gt;&lt;FQL&gt;&lt;Q&gt;TPC-US^FG_MEAN_EPS_NTM(40543,,,90)&lt;/Q&gt;&lt;R&gt;1&lt;/R&gt;&lt;C&gt;1&lt;/C&gt;&lt;D xsi:type="xsd:double"&gt;2.38594&lt;/D&gt;&lt;/FQL&gt;&lt;FQL&gt;&lt;Q&gt;TPC-US^FG_PRICE(40025)&lt;/Q&gt;&lt;R&gt;1&lt;/R&gt;&lt;C&gt;1&lt;/C&gt;&lt;D xsi:type="xsd:double"&gt;18.45&lt;/D&gt;&lt;/FQL&gt;&lt;FQL&gt;&lt;Q&gt;TPC-US^FG_MEAN_EPS_NTM(36891,,,90)&lt;/Q&gt;&lt;R&gt;0&lt;/R&gt;&lt;C&gt;0&lt;/C&gt;&lt;/FQL&gt;&lt;FQL&gt;&lt;Q&gt;TPC-US^FG_PRICE(40482)&lt;/Q&gt;&lt;R&gt;1&lt;/R&gt;&lt;C&gt;1&lt;/C&gt;&lt;D xsi:type="xsd:double"&gt;23.21&lt;/D&gt;&lt;/FQL&gt;&lt;FQL&gt;&lt;Q&gt;TPC-US^FG_PRICE(40421)&lt;/Q&gt;&lt;R&gt;1&lt;/R&gt;&lt;C&gt;1&lt;/C&gt;&lt;D xsi:type="xsd:double"&gt;19.76&lt;/D&gt;&lt;/FQL&gt;&lt;FQL&gt;&lt;Q&gt;TPC-US^FG_MEAN_EPS_NTM(36922,,,90)&lt;/Q&gt;&lt;R&gt;0&lt;/R&gt;&lt;C&gt;0&lt;/C&gt;&lt;/FQL&gt;&lt;FQL&gt;&lt;Q&gt;TPC-US^FG_MEAN_EPS_NTM(36950,,,90)&lt;/Q&gt;&lt;R&gt;0&lt;/R&gt;&lt;C&gt;0&lt;/C&gt;&lt;/FQL&gt;&lt;FQL&gt;&lt;Q&gt;TPC-US^FG_PRICE(36950)&lt;/Q&gt;&lt;R&gt;1&lt;/R&gt;&lt;C&gt;1&lt;/C&gt;&lt;D xsi:type="xsd:double"&gt;4.28&lt;/D&gt;&lt;/FQL&gt;&lt;FQL&gt;&lt;Q&gt;TPC-US^FG_PRICE(36922)&lt;/Q&gt;&lt;R&gt;1&lt;/R&gt;&lt;C&gt;1&lt;/C&gt;&lt;D xsi:type="xsd:double"&gt;3.23&lt;/D&gt;&lt;/FQL&gt;&lt;FQL&gt;&lt;Q&gt;TPC-US^FG_PRICE(40209)&lt;/Q&gt;&lt;R&gt;1&lt;/R&gt;&lt;C&gt;1&lt;/C&gt;&lt;D xsi:type="xsd:double"&gt;19.06&lt;/D&gt;&lt;/FQL&gt;&lt;FQL&gt;&lt;Q&gt;TPC-US^FG_MEAN_EPS_NTM(36738,,,90)&lt;/Q&gt;&lt;R&gt;0&lt;/R&gt;&lt;C&gt;0&lt;/C&gt;&lt;/FQL&gt;&lt;FQL&gt;&lt;Q&gt;TPC-US^FG_PRICE(40298)&lt;/Q&gt;&lt;R&gt;1&lt;/R&gt;&lt;C&gt;1&lt;/C&gt;&lt;D xsi:type="xsd:double"&gt;24.27&lt;/D&gt;&lt;/FQL&gt;&lt;FQL&gt;&lt;Q&gt;TPC-US^FG_PRICE(36860)&lt;/Q&gt;&lt;R&gt;1&lt;/R&gt;&lt;C&gt;1&lt;/C&gt;&lt;D xsi:type="xsd:double"&gt;3.75&lt;/D&gt;&lt;/FQL&gt;&lt;FQL&gt;&lt;Q&gt;TPC-US^FG_MKT_VALUE(42185)&lt;/Q&gt;&lt;R&gt;1&lt;/R&gt;&lt;C&gt;1&lt;/C&gt;&lt;D xsi:type="xsd:double"&gt;1058.9218&lt;/D&gt;&lt;/FQL&gt;&lt;FQL&gt;&lt;Q&gt;TPC-US^FG_MKT_VALUE(42277)&lt;/Q&gt;&lt;R&gt;1&lt;/R&gt;&lt;C&gt;1&lt;/C&gt;&lt;D xsi:type="xsd:double"&gt;807.73676&lt;/D&gt;&lt;/FQL&gt;&lt;FQL&gt;&lt;Q&gt;TPC-US^FG_MKT_VALUE(42369)&lt;/Q&gt;&lt;R&gt;1&lt;/R&gt;&lt;C&gt;1&lt;/C&gt;&lt;D xsi:type="xsd:double"&gt;821.4771&lt;/D&gt;&lt;/FQL&gt;&lt;FQL&gt;&lt;Q&gt;TPC-US^FG_MKT_VALUE(42460)&lt;/Q&gt;&lt;R&gt;1&lt;/R&gt;&lt;C&gt;1&lt;/C&gt;&lt;D xsi:type="xsd:double"&gt;655.6153&lt;/D&gt;&lt;/FQL&gt;&lt;FQL&gt;&lt;Q&gt;TPC-US^FG_PRICE(36738)&lt;/Q&gt;&lt;R&gt;1&lt;/R&gt;&lt;C&gt;1&lt;/C&gt;&lt;D xsi:type="xsd:double"&gt;4&lt;/D&gt;&lt;/FQL&gt;&lt;FQL&gt;&lt;Q&gt;TPC-US^FG_MEAN_EPS_NTM(40421,,,90)&lt;/Q&gt;&lt;R&gt;1&lt;/R&gt;&lt;C&gt;1&lt;/C&gt;&lt;D xsi:type="xsd:double"&gt;2.3312187&lt;/D&gt;&lt;/FQL&gt;&lt;FQL&gt;&lt;Q&gt;TPC-US^FG_MEAN_EPS_NTM(40482,,,90)&lt;/Q&gt;&lt;R&gt;1&lt;/R&gt;&lt;C&gt;1&lt;/C&gt;&lt;D xsi:type="xsd:double"&gt;2.377643&lt;/D&gt;&lt;/FQL&gt;&lt;FQL&gt;&lt;Q&gt;TPC-US^FG_MEAN_EPS_NTM(40390,,,90)&lt;/Q&gt;&lt;R&gt;1&lt;/R&gt;&lt;C&gt;1&lt;/C&gt;&lt;D xsi:type="xsd:double"&gt;2.234337&lt;/D&gt;&lt;/FQL&gt;&lt;FQL&gt;&lt;Q&gt;TPC-US^FG_MEAN_EPS_NTM(40237,,,90)&lt;/Q&gt;&lt;R&gt;1&lt;/R&gt;&lt;C&gt;1&lt;/C&gt;&lt;D xsi:type="xsd:double"&gt;2.3429186&lt;/D&gt;&lt;/FQL&gt;&lt;FQL&gt;&lt;Q&gt;TPC-US^FG_PRICE(36891)&lt;/Q&gt;&lt;R&gt;1&lt;/R&gt;&lt;C&gt;1&lt;/C&gt;&lt;D xsi:type="xsd:double"&gt;3&lt;/D&gt;&lt;/FQL&gt;&lt;FQL&gt;&lt;Q&gt;TPC-US^FG_MEAN_EPS_NTM(40056,,,90)&lt;/Q&gt;&lt;R&gt;1&lt;/R&gt;&lt;C&gt;1&lt;/C&gt;&lt;D xsi:type="xsd:double"&gt;2.6046882&lt;/D&gt;&lt;/FQL&gt;&lt;FQL&gt;&lt;Q&gt;TPC-US^FG_PRICE(40390)&lt;/Q&gt;&lt;R&gt;1&lt;/R&gt;&lt;C&gt;1&lt;/C&gt;&lt;D xsi:type="xsd:double"&gt;19.28&lt;/D&gt;&lt;/FQL&gt;&lt;FQL&gt;&lt;Q&gt;TPC-US^FG_PRICE(40451)&lt;/Q&gt;&lt;R&gt;1&lt;/R&gt;&lt;C&gt;1&lt;/C&gt;&lt;D xsi:type="xsd:double"&gt;20.09&lt;/D&gt;&lt;/FQL&gt;&lt;FQL&gt;&lt;Q&gt;TPC^ECQ_MEAN_EBITD(2019/1C,NOW)&lt;/Q&gt;&lt;R&gt;1&lt;/R&gt;&lt;C&gt;1&lt;/C&gt;&lt;D xsi:type="xsd:double"&gt;69.68407&lt;/D&gt;&lt;/FQL&gt;&lt;FQL&gt;&lt;Q&gt;TPC^ECQ_MEAN_EBITD(2020/2C,NOW)&lt;/Q&gt;&lt;R&gt;0&lt;/R&gt;&lt;C&gt;0&lt;/C&gt;&lt;/FQL&gt;&lt;FQL&gt;&lt;Q&gt;TPC^ECQ_MEAN_EBITD(2017/2C,NOW)&lt;/Q&gt;&lt;R&gt;1&lt;/R&gt;&lt;C&gt;1&lt;/C&gt;&lt;D xsi:type="xsd:double"&gt;72.53972&lt;/D&gt;&lt;/FQL&gt;&lt;FQL&gt;&lt;Q&gt;TPC^ECQ_MEAN_EPS(2017/1C,NOW)&lt;/Q&gt;&lt;R&gt;1&lt;/R&gt;&lt;C&gt;1&lt;/C&gt;&lt;D xsi:type="xsd:double"&gt;0.27&lt;/D&gt;&lt;/FQL&gt;&lt;FQL&gt;&lt;Q&gt;TPC^ECA_MEAN_EBITD(2018,NOW)&lt;/Q&gt;&lt;R&gt;1&lt;/R&gt;&lt;C&gt;1&lt;/C&gt;&lt;D xsi:type="xsd:double"&gt;324.04428&lt;/D&gt;&lt;/FQL&gt;&lt;FQL&gt;&lt;Q&gt;TPC^ECQ_MEAN_EBIT(2017/2C,NOW)&lt;/Q&gt;&lt;R&gt;1&lt;/R&gt;&lt;C&gt;1&lt;/C&gt;&lt;D xsi:type="xsd:double"&gt;34.01583&lt;/D&gt;&lt;/FQL&gt;&lt;FQL&gt;&lt;Q&gt;TPC^ECQ_MEAN_EBIT(2016/3C,NOW)&lt;/Q&gt;&lt;R&gt;1&lt;/R&gt;&lt;C&gt;1&lt;/C&gt;&lt;D xsi:type="xsd:double"&gt;61.43825&lt;/D&gt;&lt;/FQL&gt;&lt;FQL&gt;&lt;Q&gt;TPC^ECQ_MEAN_EBIT(2020/2C,NOW)&lt;/Q&gt;&lt;R&gt;0&lt;/R&gt;&lt;C&gt;0&lt;/C&gt;&lt;/FQL&gt;&lt;FQL&gt;&lt;Q&gt;TPC^ECQ_MEAN_SALES(2016/4C,NOW)&lt;/Q&gt;&lt;R&gt;1&lt;/R&gt;&lt;C&gt;1&lt;/C&gt;&lt;D xsi:type="xsd:double"&gt;1246.59&lt;/D&gt;&lt;/FQL&gt;&lt;FQL&gt;&lt;Q&gt;TPC^ECQ_MEAN_SALES(2016/3C,NOW)&lt;/Q&gt;&lt;R&gt;1&lt;/R&gt;&lt;C&gt;1&lt;/C&gt;&lt;D xsi:type="xsd:double"&gt;1332.97&lt;/D&gt;&lt;/FQL&gt;&lt;FQL&gt;&lt;Q&gt;TPC^ECA_MEAN_EBIT(2020,NOW)&lt;/Q&gt;&lt;R&gt;0&lt;/R&gt;&lt;C&gt;0&lt;/C&gt;&lt;/FQL&gt;&lt;FQL&gt;&lt;Q&gt;TPC^ECA_MEAN_EPS(2017,NOW)&lt;/Q&gt;&lt;R&gt;1&lt;/R&gt;&lt;C&gt;1&lt;/C&gt;&lt;D xsi:type="xsd:double"&gt;2.25899&lt;/D&gt;&lt;/FQL&gt;&lt;FQL&gt;&lt;Q&gt;TPC^ECQ_MEAN_SALES(2016/1C,NOW)&lt;/Q&gt;&lt;R&gt;1&lt;/R&gt;&lt;C&gt;1&lt;/C&gt;&lt;D xsi:type="xsd:double"&gt;1085.36&lt;/D&gt;&lt;/FQL&gt;&lt;FQL&gt;&lt;Q&gt;TPC^ECQ_MEAN_SALES(2016/2C,NOW)&lt;/Q&gt;&lt;R&gt;1&lt;/R&gt;&lt;C&gt;1&lt;/C&gt;&lt;D xsi:type="xsd:double"&gt;1308.13&lt;/D&gt;&lt;/FQL&gt;&lt;FQL&gt;&lt;Q&gt;TPC^ECQ_MEAN_NET(2017/2C,NOW)&lt;/Q&gt;&lt;R&gt;1&lt;/R&gt;&lt;C&gt;1&lt;/C&gt;&lt;D xsi:type="xsd:double"&gt;30.096&lt;/D&gt;&lt;/FQL&gt;&lt;FQL&gt;&lt;Q&gt;TPC^ECA_MEAN_EBITD(2019,NOW)&lt;/Q&gt;&lt;R&gt;1&lt;/R&gt;&lt;C&gt;1&lt;/C&gt;&lt;D xsi:type="xsd:double"&gt;363.9145&lt;/D&gt;&lt;/FQL&gt;&lt;FQL&gt;&lt;Q&gt;TPC^ECQ_MEAN_NET(2016/3C,NOW)&lt;/Q&gt;&lt;R&gt;1&lt;/R&gt;&lt;C&gt;1&lt;/C&gt;&lt;D xsi:type="xsd:double"&gt;28.801&lt;/D&gt;&lt;/FQL&gt;&lt;FQL&gt;&lt;Q&gt;TPC^ECA_MEAN_NET(2016,NOW)&lt;/Q&gt;&lt;R&gt;1&lt;/R&gt;&lt;C&gt;1&lt;/C&gt;&lt;D xsi:type="xsd:double"&gt;95.822&lt;/D&gt;&lt;/FQL&gt;&lt;FQL&gt;&lt;Q&gt;TPC^ECQ_MEAN_EBITD(2019/2C,NOW)&lt;/Q&gt;&lt;R&gt;1&lt;/R&gt;&lt;C&gt;1&lt;/C&gt;&lt;D xsi:type="xsd:double"&gt;93.21384&lt;/D&gt;&lt;/FQL&gt;&lt;FQL&gt;&lt;Q&gt;TPC^ECQ_MEAN_EBITD(2020/4C,NOW)&lt;/Q&gt;&lt;R&gt;0&lt;/R&gt;&lt;C&gt;0&lt;/C&gt;&lt;/FQL&gt;&lt;FQL&gt;&lt;Q&gt;TPC-US^FG_PRICE(36830)&lt;/Q&gt;&lt;R&gt;1&lt;/R&gt;&lt;C&gt;1&lt;/C&gt;&lt;D xsi:type="xsd:double"&gt;4&lt;/D&gt;&lt;/FQL&gt;&lt;FQL&gt;&lt;Q&gt;TPC-US^FG_MEAN_EPS_NTM(36830,,,90)&lt;/Q&gt;&lt;R&gt;0&lt;/R&gt;&lt;C&gt;0&lt;/C&gt;&lt;/FQL&gt;&lt;FQL&gt;&lt;Q&gt;TPC-US^FG_PRICE(36799)&lt;/Q&gt;&lt;R&gt;1&lt;/R&gt;&lt;C&gt;1&lt;/C&gt;&lt;D xsi:type="xsd:double"&gt;4.25&lt;/D&gt;&lt;/FQL&gt;&lt;FQL&gt;&lt;Q&gt;TPC-US^FG_MEAN_EPS_NTM(36799,,,90)&lt;/Q&gt;&lt;R&gt;0&lt;/R&gt;&lt;C&gt;0&lt;/C&gt;&lt;/FQL&gt;&lt;FQL&gt;&lt;Q&gt;TPC-US^FG_MEAN_EPS_NTM(36769,,,90)&lt;/Q&gt;&lt;R&gt;0&lt;/R&gt;&lt;C&gt;0&lt;/C&gt;&lt;/FQL&gt;&lt;FQL&gt;&lt;Q&gt;TPC-US^FG_PRICE(36769)&lt;/Q&gt;&lt;R&gt;1&lt;/R&gt;&lt;C&gt;1&lt;/C&gt;&lt;D xsi:type="xsd:double"&gt;4.375&lt;/D&gt;&lt;/FQL&gt;&lt;FQL&gt;&lt;Q&gt;TPC^ECQ_MEAN_EBIT(2016/1C,NOW)&lt;/Q&gt;&lt;R&gt;1&lt;/R&gt;&lt;C&gt;1&lt;/C&gt;&lt;D xsi:type="xsd:double"&gt;40.320858&lt;/D&gt;&lt;/FQL&gt;&lt;FQL&gt;&lt;Q&gt;TPC^ECQ_MEAN_EBITD(2019/4C,NOW)&lt;/Q&gt;&lt;R&gt;1&lt;/R&gt;&lt;C&gt;1&lt;/C&gt;&lt;D xsi:type="xsd:double"&gt;90.59763&lt;/D&gt;&lt;/FQL&gt;&lt;FQL&gt;&lt;Q&gt;TPC^ECQ_MEAN_EBITD(2016/4C,NOW)&lt;/Q&gt;&lt;R&gt;1&lt;/R&gt;&lt;C&gt;1&lt;/C&gt;&lt;D xsi:type="xsd:double"&gt;71.007126&lt;/D&gt;&lt;/FQL&gt;&lt;FQL&gt;&lt;Q&gt;TPC^ECA_MEAN_EBIT(2016,NOW)&lt;/Q&gt;&lt;R&gt;1&lt;/R&gt;&lt;C&gt;1&lt;/C&gt;&lt;D xsi:type="xsd:double"&gt;203.70224&lt;/D&gt;&lt;/FQL&gt;&lt;FQL&gt;&lt;Q&gt;TPC^ECQ_MEAN_EBIT(2019/2C,NOW)&lt;/Q&gt;&lt;R&gt;1&lt;/R&gt;&lt;C&gt;1&lt;/C&gt;&lt;D xsi:type="xsd:double"&gt;78.6705&lt;/D&gt;&lt;/FQL&gt;&lt;FQL&gt;&lt;Q&gt;TPC-US^FG_MEAN_EPS_NTM(40147,,,90)&lt;/Q&gt;&lt;R&gt;1&lt;/R&gt;&lt;C&gt;1&lt;/C&gt;&lt;D xsi:type="xsd:double"&gt;2.5258417&lt;/D&gt;&lt;/FQL&gt;&lt;FQL&gt;&lt;Q&gt;TPC-US^FG_PRICE(40147)&lt;/Q&gt;&lt;R&gt;1&lt;/R&gt;&lt;C&gt;1&lt;/C&gt;&lt;D xsi:type="xsd:double"&gt;16.62&lt;/D&gt;&lt;/FQL&gt;&lt;FQL&gt;&lt;Q&gt;TPC-US^FG_PRICE(40086)&lt;/Q&gt;&lt;R&gt;1&lt;/R&gt;&lt;C&gt;1&lt;/C&gt;&lt;D xsi:type="xsd:double"&gt;21.3&lt;/D&gt;&lt;/FQL&gt;&lt;FQL&gt;&lt;Q&gt;TPC-US^FG_MEAN_EPS_NTM(40178,,,90)&lt;/Q&gt;&lt;R&gt;1&lt;/R&gt;&lt;C&gt;1&lt;/C&gt;&lt;D xsi:type="xsd:double"&gt;2.51208&lt;/D&gt;&lt;/FQL&gt;&lt;FQL&gt;&lt;Q&gt;TPC-US^FG_PRICE(40237)&lt;/Q&gt;&lt;R&gt;1&lt;/R&gt;&lt;C&gt;1&lt;/C&gt;&lt;D xsi:type="xsd:double"&gt;19.77&lt;/D&gt;&lt;/FQL&gt;&lt;FQL&gt;&lt;Q&gt;TPC-US^FG_MEAN_EPS_NTM(40268,,,90)&lt;/Q&gt;&lt;R&gt;1&lt;/R&gt;&lt;C&gt;1&lt;/C&gt;&lt;D xsi:type="xsd:double"&gt;2.228183&lt;/D&gt;&lt;/FQL&gt;&lt;FQL&gt;&lt;Q&gt;TPC-US^FG_PRICE(40268)&lt;/Q&gt;&lt;R&gt;1&lt;/R&gt;&lt;C&gt;1&lt;/C&gt;&lt;D xsi:type="xsd:double"&gt;21.75&lt;/D&gt;&lt;/FQL&gt;&lt;FQL&gt;&lt;Q&gt;TPC-US^FG_MEAN_EPS_NTM(40298,,,90)&lt;/Q&gt;&lt;R&gt;1&lt;/R&gt;&lt;C&gt;1&lt;/C&gt;&lt;D xsi:type="xsd:double"&gt;2.233754&lt;/D&gt;&lt;/FQL&gt;&lt;FQL&gt;&lt;Q&gt;TPC-US^FG_MEAN_EPS_NTM(40117,,,90)&lt;/Q&gt;&lt;R&gt;1&lt;/R&gt;&lt;C&gt;1&lt;/C&gt;&lt;D xsi:type="xsd:double"&gt;2.6344361&lt;/D&gt;&lt;/FQL&gt;&lt;FQL&gt;&lt;Q&gt;TPC-US^FG_MEAN_EPS_NTM(40086,,,90)&lt;/Q&gt;&lt;R&gt;1&lt;/R&gt;&lt;C&gt;1&lt;/C&gt;&lt;D xsi:type="xsd:double"&gt;2.588432&lt;/D&gt;&lt;/FQL&gt;&lt;FQL&gt;&lt;Q&gt;TPC-US^FG_PRICE(40178)&lt;/Q&gt;&lt;R&gt;1&lt;/R&gt;&lt;C&gt;1&lt;/C&gt;&lt;D xsi:type="xsd:double"&gt;18.08&lt;/D&gt;&lt;/FQL&gt;&lt;FQL&gt;&lt;Q&gt;TPC-US^FG_PRICE(40117)&lt;/Q&gt;&lt;R&gt;1&lt;/R&gt;&lt;C&gt;1&lt;/C&gt;&lt;D xsi:type="xsd:double"&gt;17.65&lt;/D&gt;&lt;/FQL&gt;&lt;FQL&gt;&lt;Q&gt;TPC-US^FG_PRICE(40329)&lt;/Q&gt;&lt;R&gt;1&lt;/R&gt;&lt;C&gt;1&lt;/C&gt;&lt;D xsi:type="xsd:double"&gt;22.3&lt;/D&gt;&lt;/FQL&gt;&lt;FQL&gt;&lt;Q&gt;TPC-US^FG_MEAN_EPS_NTM(40329,,,90)&lt;/Q&gt;&lt;R&gt;1&lt;/R&gt;&lt;C&gt;1&lt;/C&gt;&lt;D xsi:type="xsd:double"&gt;2.2070875&lt;/D&gt;&lt;/FQL&gt;&lt;FQL&gt;&lt;Q&gt;TPC-US^FG_MEAN_EPS_NTM(40359,,,90)&lt;/Q&gt;&lt;R&gt;1&lt;/R&gt;&lt;C&gt;1&lt;/C&gt;&lt;D xsi:type="xsd:double"&gt;2.246662&lt;/D&gt;&lt;/FQL&gt;&lt;FQL&gt;&lt;Q&gt;TPC-US^FG_PRICE(2009/1C)&lt;/Q&gt;&lt;R&gt;1&lt;/R&gt;&lt;C&gt;1&lt;/C&gt;&lt;D xsi:type="xsd:double"&gt;12.3&lt;/D&gt;&lt;/FQL&gt;&lt;FQL&gt;&lt;Q&gt;TPC-US^FG_PRICE(42370)&lt;/Q&gt;&lt;R&gt;1&lt;/R&gt;&lt;C&gt;1&lt;/C&gt;&lt;D xsi:type="xsd:double"&gt;16.74&lt;/D&gt;&lt;/FQL&gt;&lt;FQL&gt;&lt;Q&gt;TPC-US^FG_PRICE(42667)&lt;/Q&gt;&lt;R&gt;1&lt;/R&gt;&lt;C&gt;1&lt;/C&gt;&lt;D xsi:type="xsd:double"&gt;19.15&lt;/D&gt;&lt;/FQL&gt;&lt;FQL&gt;&lt;Q&gt;SPY-US^FG_PRICE(42370)&lt;/Q&gt;&lt;R&gt;1&lt;/R&gt;&lt;C&gt;1&lt;/C&gt;&lt;D xsi:type="xsd:double"&gt;203.87&lt;/D&gt;&lt;/FQL&gt;&lt;FQL&gt;&lt;Q&gt;SPY-US^FG_PRICE(42667)&lt;/Q&gt;&lt;R&gt;1&lt;/R&gt;&lt;C&gt;1&lt;/C&gt;&lt;D xsi:type="xsd:double"&gt;213.98&lt;/D&gt;&lt;/FQL&gt;&lt;FQL&gt;&lt;Q&gt;TPC-US^FG_PRICE(36707)&lt;/Q&gt;&lt;R&gt;1&lt;/R&gt;&lt;C&gt;1&lt;/C&gt;&lt;D xsi:type="xsd:double"&gt;3.5&lt;/D&gt;&lt;/FQL&gt;&lt;FQL&gt;&lt;Q&gt;TPC-US^FG_MEAN_EPS_NTM(36707,,,90)&lt;/Q&gt;&lt;R&gt;0&lt;/R&gt;&lt;C&gt;0&lt;/C&gt;&lt;/FQL&gt;&lt;FQL&gt;&lt;Q&gt;TPC-US^FG_PRICE(40056)&lt;/Q&gt;&lt;R&gt;1&lt;/R&gt;&lt;C&gt;1&lt;/C&gt;&lt;D xsi:type="xsd:double"&gt;19.62&lt;/D&gt;&lt;/FQL&gt;&lt;FQL&gt;&lt;Q&gt;TPC^ECA_MEAN_SALES(2020,NOW)&lt;/Q&gt;&lt;R&gt;0&lt;/R&gt;&lt;C&gt;0&lt;/C&gt;&lt;/FQL&gt;&lt;FQL&gt;&lt;Q&gt;TPC^ECQ_MEAN_SALES(2020/4C,NOW)&lt;/Q&gt;&lt;R&gt;0&lt;/R&gt;&lt;C&gt;0&lt;/C&gt;&lt;/FQL&gt;&lt;FQL&gt;&lt;Q&gt;TPC^ECQ_MEAN_NET(2019/3C,NOW)&lt;/Q&gt;&lt;R&gt;1&lt;/R&gt;&lt;C&gt;1&lt;/C&gt;&lt;D xsi:type="xsd:double"&gt;52.944298&lt;/D&gt;&lt;/FQL&gt;&lt;FQL&gt;&lt;Q&gt;TPC^ECQ_MEAN_SALES(2020/1C,NOW)&lt;/Q&gt;&lt;R&gt;0&lt;/R&gt;&lt;C&gt;0&lt;/C&gt;&lt;/FQL&gt;&lt;FQL&gt;&lt;Q&gt;TPC^ECA_MEAN_SALES(2019,NOW)&lt;/Q&gt;&lt;R&gt;1&lt;/R&gt;&lt;C&gt;1&lt;/C&gt;&lt;D xsi:type="xsd:double"&gt;5842.13&lt;/D&gt;&lt;/FQL&gt;&lt;FQL&gt;&lt;Q&gt;TPC^ECQ_MEAN_SALES(2018/2C,NOW)&lt;/Q&gt;&lt;R&gt;1&lt;/R&gt;&lt;C&gt;1&lt;/C&gt;&lt;D xsi:type="xsd:double"&gt;1401.996&lt;/D&gt;&lt;/FQL&gt;&lt;FQL&gt;&lt;Q&gt;TPC^ECQ_MEAN_EPS(2016/1C,NOW)&lt;/Q&gt;&lt;R&gt;1&lt;/R&gt;&lt;C&gt;1&lt;/C&gt;&lt;D xsi:type="xsd:double"&gt;0.31&lt;/D&gt;&lt;/FQL&gt;&lt;FQL&gt;&lt;Q&gt;TPC^ECQ_MEAN_EPS(2016/2C,NOW)&lt;/Q&gt;&lt;R&gt;1&lt;/R&gt;&lt;C&gt;1&lt;/C&gt;&lt;D xsi:type="xsd:double"&gt;0.43&lt;/D&gt;&lt;/FQL&gt;&lt;FQL&gt;&lt;Q&gt;TPC^ECQ_MEAN_EPS(2016/3C,NOW)&lt;/Q&gt;&lt;R&gt;1&lt;/R&gt;&lt;C&gt;1&lt;/C&gt;&lt;D xsi:type="xsd:double"&gt;0.57&lt;/D&gt;&lt;/FQL&gt;&lt;FQL&gt;&lt;Q&gt;TPC^ECQ_MEAN_EPS(2016/4C,NOW)&lt;/Q&gt;&lt;R&gt;1&lt;/R&gt;&lt;C&gt;1&lt;/C&gt;&lt;D xsi:type="xsd:double"&gt;0.6&lt;/D&gt;&lt;/FQL&gt;&lt;FQL&gt;&lt;Q&gt;TPC^ECA_MEAN_EPS(2016,NOW)&lt;/Q&gt;&lt;R&gt;1&lt;/R&gt;&lt;C&gt;1&lt;/C&gt;&lt;D xsi:type="xsd:double"&gt;1.92&lt;/D&gt;&lt;/FQL&gt;&lt;FQL&gt;&lt;Q&gt;TPC^ECQ_MEAN_SALES(2020/2C,NOW)&lt;/Q&gt;&lt;R&gt;0&lt;/R&gt;&lt;C&gt;0&lt;/C&gt;&lt;/FQL&gt;&lt;FQL&gt;&lt;Q&gt;TPC^ECQ_MEAN_EPS(2018/3C,NOW)&lt;/Q&gt;&lt;R&gt;1&lt;/R&gt;&lt;C&gt;1&lt;/C&gt;&lt;D xsi:type="xsd:double"&gt;0.878708&lt;/D&gt;&lt;/FQL&gt;&lt;FQL&gt;&lt;Q&gt;TPC^ECQ_MEAN_SALES(2019/2C,NOW)&lt;/Q&gt;&lt;R&gt;1&lt;/R&gt;&lt;C&gt;1&lt;/C&gt;&lt;D xsi:type="xsd:double"&gt;1442.4166&lt;/D&gt;&lt;/FQL&gt;&lt;FQL&gt;&lt;Q&gt;TPC^ECQ_MEAN_SALES(2017/4C,NOW)&lt;/Q&gt;&lt;R&gt;1&lt;/R&gt;&lt;C&gt;1&lt;/C&gt;&lt;D xsi:type="xsd:double"&gt;1193.06&lt;/D&gt;&lt;/FQL&gt;&lt;FQL&gt;&lt;Q&gt;TPC^ECQ_MEAN_SALES(2019/1C,NOW)&lt;/Q&gt;&lt;R&gt;1&lt;/R&gt;&lt;C&gt;1&lt;/C&gt;&lt;D xsi:type="xsd:double"&gt;1242.37&lt;/D&gt;&lt;/FQL&gt;&lt;FQL&gt;&lt;Q&gt;TPC^ECQ_MEAN_SALES(2019/4C,NOW)&lt;/Q&gt;&lt;R&gt;1&lt;/R&gt;&lt;C&gt;1&lt;/C&gt;&lt;D xsi:type="xsd:double"&gt;1455.9434&lt;/D&gt;&lt;/FQL&gt;&lt;FQL&gt;&lt;Q&gt;TPC^ECQ_MEAN_EPS(2019/3C,NOW)&lt;/Q&gt;&lt;R&gt;1&lt;/R&gt;&lt;C&gt;1&lt;/C&gt;&lt;D xsi:type="xsd:double"&gt;1.042547&lt;/D&gt;&lt;/FQL&gt;&lt;FQL&gt;&lt;Q&gt;TPC^ECA_MEAN_SALES(2018,NOW)&lt;/Q&gt;&lt;R&gt;1&lt;/R&gt;&lt;C&gt;1&lt;/C&gt;&lt;D xsi:type="xsd:double"&gt;5496.8726&lt;/D&gt;&lt;/FQL&gt;&lt;FQL&gt;&lt;Q&gt;TPC^ECQ_MEAN_SALES(2018/1C,NOW)&lt;/Q&gt;&lt;R&gt;1&lt;/R&gt;&lt;C&gt;1&lt;/C&gt;&lt;D xsi:type="xsd:double"&gt;1224.792&lt;/D&gt;&lt;/FQL&gt;&lt;FQL&gt;&lt;Q&gt;TPC-US^FG_MEAN_EPS_NTM(40025,,,90)&lt;/Q&gt;&lt;R&gt;1&lt;/R&gt;&lt;C&gt;1&lt;/C&gt;&lt;D xsi:type="xsd:double"&gt;2.6443305&lt;/D&gt;&lt;/FQL&gt;&lt;FQL&gt;&lt;Q&gt;TPC-US^FG_PRICE(39994)&lt;/Q&gt;&lt;R&gt;1&lt;/R&gt;&lt;C&gt;1&lt;/C&gt;&lt;D xsi:type="xsd:double"&gt;17.36&lt;/D&gt;&lt;/FQL&gt;&lt;FQL&gt;&lt;Q&gt;TPC-US^FG_MEAN_EPS_NTM(39994,,,90)&lt;/Q&gt;&lt;R&gt;1&lt;/R&gt;&lt;C&gt;1&lt;/C&gt;&lt;D xsi:type="xsd:double"&gt;2.663504&lt;/D&gt;&lt;/FQL&gt;&lt;FQL&gt;&lt;Q&gt;TPC-US^FG_PRICE(39964)&lt;/Q&gt;&lt;R&gt;1&lt;/R&gt;&lt;C&gt;1&lt;/C&gt;&lt;D xsi:type="xsd:double"&gt;20.65&lt;/D&gt;&lt;/FQL&gt;&lt;FQL&gt;&lt;Q&gt;TPC-US^FG_MEAN_EPS_NTM(39964,,,90)&lt;/Q&gt;&lt;R&gt;1&lt;/R&gt;&lt;C&gt;1&lt;/C&gt;&lt;D xsi:type="xsd:double"&gt;2.683296&lt;/D&gt;&lt;/FQL&gt;&lt;FQL&gt;&lt;Q&gt;TPC-US^FG_PRICE(39933)&lt;/Q&gt;&lt;R&gt;1&lt;/R&gt;&lt;C&gt;1&lt;/C&gt;&lt;D xsi:type="xsd:double"&gt;17.3&lt;/D&gt;&lt;/FQL&gt;&lt;FQL&gt;&lt;Q&gt;TPC-US^FG_MEAN_EPS_NTM(39933,,,90)&lt;/Q&gt;&lt;R&gt;1&lt;/R&gt;&lt;C&gt;1&lt;/C&gt;&lt;D xsi:type="xsd:double"&gt;2.6423414&lt;/D&gt;&lt;/FQL&gt;&lt;FQL&gt;&lt;Q&gt;TPC-US^FG_PRICE(39903)&lt;/Q&gt;&lt;R&gt;1&lt;/R&gt;&lt;C&gt;1&lt;/C&gt;&lt;D xsi:type="xsd:double"&gt;12.3&lt;/D&gt;&lt;/FQL&gt;&lt;FQL&gt;&lt;Q&gt;TPC-US^FG_MEAN_EPS_NTM(39903,,,90)&lt;/Q&gt;&lt;R&gt;1&lt;/R&gt;&lt;C&gt;1&lt;/C&gt;&lt;D xsi:type="xsd:double"&gt;2.7568736&lt;/D&gt;&lt;/FQL&gt;&lt;FQL&gt;&lt;Q&gt;TPC-US^FG_PRICE(39872)&lt;/Q&gt;&lt;R&gt;1&lt;/R&gt;&lt;C&gt;1&lt;/C&gt;&lt;D xsi:type="xsd:double"&gt;15.32&lt;/D&gt;&lt;/FQL&gt;&lt;FQL&gt;&lt;Q&gt;TPC-US^FG_MEAN_EPS_NTM(39872,,,90)&lt;/Q&gt;&lt;R&gt;1&lt;/R&gt;&lt;C&gt;1&lt;/C&gt;&lt;D xsi:type="xsd:double"&gt;2.7546954&lt;/D&gt;&lt;/FQL&gt;&lt;FQL&gt;&lt;Q&gt;TPC-US^FG_PRICE(39844)&lt;/Q&gt;&lt;R&gt;1&lt;/R&gt;&lt;C&gt;1&lt;/C&gt;&lt;D xsi:type="xsd:double"&gt;20.85&lt;/D&gt;&lt;/FQL&gt;&lt;FQL&gt;&lt;Q&gt;TPC-US^FG_MEAN_EPS_NTM(39844,,,90)&lt;/Q&gt;&lt;R&gt;1&lt;/R&gt;&lt;C&gt;1&lt;/C&gt;&lt;D xsi:type="xsd:double"&gt;2.9474044&lt;/D&gt;&lt;/FQL&gt;&lt;FQL&gt;&lt;Q&gt;TPC-US^FG_PRICE(39813)&lt;/Q&gt;&lt;R&gt;1&lt;/R&gt;&lt;C&gt;1&lt;/C&gt;&lt;D xsi:type="xsd:double"&gt;23.38&lt;/D&gt;&lt;/FQL&gt;&lt;FQL&gt;&lt;Q&gt;TPC-US^FG_MEAN_EPS_NTM(39813,,,90)&lt;/Q&gt;&lt;R&gt;1&lt;/R&gt;&lt;C&gt;1&lt;/C&gt;&lt;D xsi:type="xsd:double"&gt;2.9447775&lt;/D&gt;&lt;/FQL&gt;&lt;FQL&gt;&lt;Q&gt;TPC-US^FG_PRICE(39782)&lt;/Q&gt;&lt;R&gt;1&lt;/R&gt;&lt;C&gt;1&lt;/C&gt;&lt;D xsi:type="xsd:double"&gt;19.15&lt;/D&gt;&lt;/FQL&gt;&lt;FQL&gt;&lt;Q&gt;TPC-US^FG_MEAN_EPS_NTM(39782,,,90)&lt;/Q&gt;&lt;R&gt;1&lt;/R&gt;&lt;C&gt;1&lt;/C&gt;&lt;D xsi:type="xsd:double"&gt;3.000141&lt;/D&gt;&lt;/FQL&gt;&lt;FQL&gt;&lt;Q&gt;TPC-US^FG_PRICE(36677)&lt;/Q&gt;&lt;R&gt;1&lt;/R&gt;&lt;C&gt;1&lt;/C&gt;&lt;D xsi:type="xsd:double"&gt;2.875&lt;/D&gt;&lt;/FQL&gt;&lt;FQL&gt;&lt;Q&gt;TPC-US^FG_MEAN_EPS_NTM(36677,,,90)&lt;/Q&gt;&lt;R&gt;0&lt;/R&gt;&lt;C&gt;0&lt;/C&gt;&lt;/FQL&gt;&lt;FQL&gt;&lt;Q&gt;TPC-US^FG_PRICE(36646)&lt;/Q&gt;&lt;R&gt;1&lt;/R&gt;&lt;C&gt;1&lt;/C&gt;&lt;D xsi:type="xsd:double"&gt;3.4375&lt;/D&gt;&lt;/FQL&gt;&lt;FQL&gt;&lt;Q&gt;TPC-US^FG_MEAN_EPS_NTM(36646,,,90)&lt;/Q&gt;&lt;R&gt;0&lt;/R&gt;&lt;C&gt;0&lt;/C&gt;&lt;/FQL&gt;&lt;FQL&gt;&lt;Q&gt;TPC-US^FG_PRICE(36616)&lt;/Q&gt;&lt;R&gt;1&lt;/R&gt;&lt;C&gt;1&lt;/C&gt;&lt;D xsi:type="xsd:double"&gt;4.4375&lt;/D&gt;&lt;/FQL&gt;&lt;FQL&gt;&lt;Q&gt;TPC-US^FG_MEAN_EPS_NTM(36616,,,90)&lt;/Q&gt;&lt;R&gt;0&lt;/R&gt;&lt;C&gt;0&lt;/C&gt;&lt;/FQL&gt;&lt;FQL&gt;&lt;Q&gt;TPC-US^FG_PRICE(36585)&lt;/Q&gt;&lt;R&gt;1&lt;/R&gt;&lt;C&gt;1&lt;/C&gt;&lt;D xsi:type="xsd:double"&gt;3.9375&lt;/D&gt;&lt;/FQL&gt;&lt;FQL&gt;&lt;Q&gt;TPC-US^FG_MEAN_EPS_NTM(36585,,,90)&lt;/Q&gt;&lt;R&gt;0&lt;/R&gt;&lt;C&gt;0&lt;/C&gt;&lt;/FQL&gt;&lt;FQL&gt;&lt;Q&gt;TPC-US^FG_PRICE(36556)&lt;/Q&gt;&lt;R&gt;1&lt;/R&gt;&lt;C&gt;1&lt;/C&gt;&lt;D xsi:type="xsd:double"&gt;4.6875&lt;/D&gt;&lt;/FQL&gt;&lt;FQL&gt;&lt;Q&gt;TPC-US^FG_MEAN_EPS_NTM(36556,,,90)&lt;/Q&gt;&lt;R&gt;0&lt;/R&gt;&lt;C&gt;0&lt;/C&gt;&lt;/FQL&gt;&lt;FQL&gt;&lt;Q&gt;TPC^ECQ_MEAN_NET(2018/2C,NOW)&lt;/Q&gt;&lt;R&gt;1&lt;/R&gt;&lt;C&gt;1&lt;/C&gt;&lt;D xsi:type="xsd:double"&gt;37.244225&lt;/D&gt;&lt;/FQL&gt;&lt;FQL&gt;&lt;Q&gt;TPC^ECQ_MEAN_NET(2017/4C,NOW)&lt;/Q&gt;&lt;R&gt;1&lt;/R&gt;&lt;C&gt;1&lt;/C&gt;&lt;D xsi:type="xsd:double"&gt;25.8278&lt;/D&gt;&lt;/FQL&gt;&lt;FQL&gt;&lt;Q&gt;TPC^ECQ_MEAN_SALES(2018/3C,NOW)&lt;/Q&gt;&lt;R&gt;1&lt;/R&gt;&lt;C&gt;1&lt;/C&gt;&lt;D xsi:type="xsd:double"&gt;1638.8&lt;/D&gt;&lt;/FQL&gt;&lt;FQL&gt;&lt;Q&gt;TPC^ECQ_MEAN_NET(2020/1C,NOW)&lt;/Q&gt;&lt;R&gt;0&lt;/R&gt;&lt;C&gt;0&lt;/C&gt;&lt;/FQL&gt;&lt;FQL&gt;&lt;Q&gt;TPC^ECQ_MEAN_NET(2018/4C,NOW)&lt;/Q&gt;&lt;R&gt;1&lt;/R&gt;&lt;C&gt;1&lt;/C&gt;&lt;D xsi:type="xsd:double"&gt;37.01145&lt;/D&gt;&lt;/FQL&gt;&lt;FQL&gt;&lt;Q&gt;TPC-US^FG_EVAL_EBITDA_NTM(42825)&lt;/Q&gt;&lt;R&gt;1&lt;/R&gt;&lt;C&gt;1&lt;/C&gt;&lt;D xsi:type="xsd:double"&gt;6.7045308652572926&lt;/D&gt;&lt;/FQL&gt;&lt;FQL&gt;&lt;Q&gt;TPC-US^FG_EVAL_EBITDA_NTM(42855)&lt;/Q&gt;&lt;R&gt;1&lt;/R&gt;&lt;C&gt;1&lt;/C&gt;&lt;D xsi:type="xsd:double"&gt;6.4917819969266457&lt;/D&gt;&lt;/FQL&gt;&lt;FQL&gt;&lt;Q&gt;TPC-US^FG_EVAL_EBITDA_NTM(42886)&lt;/Q&gt;&lt;R&gt;1&lt;/R&gt;&lt;C&gt;1&lt;/C&gt;&lt;D xsi:type="xsd:double"&gt;5.6403677813268738&lt;/D&gt;&lt;/FQL&gt;&lt;FQL&gt;&lt;Q&gt;TPC-US^FG_EVAL_EBITDA_NTM(42916)&lt;/Q&gt;&lt;R&gt;1&lt;/R&gt;&lt;C&gt;1&lt;/C&gt;&lt;D xsi:type="xsd:double"&gt;6.1619521380551907&lt;/D&gt;&lt;/FQL&gt;&lt;FQL&gt;&lt;Q&gt;TPC-US^FG_EVAL_EBITDA_NTM(42947)&lt;/Q&gt;&lt;R&gt;1&lt;/R&gt;&lt;C&gt;1&lt;/C&gt;&lt;D xsi:type="xsd:double"&gt;5.7372049806298326&lt;/D&gt;&lt;/FQL&gt;&lt;FQL&gt;&lt;Q&gt;TPC-US^FG_EVAL_EBITDA_NTM(42978)&lt;/Q&gt;&lt;R&gt;1&lt;/R&gt;&lt;C&gt;1&lt;/C&gt;&lt;D xsi:type="xsd:double"&gt;5.6317898280320042&lt;/D&gt;&lt;/FQL&gt;&lt;FQL&gt;&lt;Q&gt;TPC-US^FG_EVAL_EBITDA_NTM(43008)&lt;/Q&gt;&lt;R&gt;1&lt;/R&gt;&lt;C&gt;1&lt;/C&gt;&lt;D xsi:type="xsd:double"&gt;5.9591296598128176&lt;/D&gt;&lt;/FQL&gt;&lt;FQL&gt;&lt;Q&gt;TPC-US^FG_EVAL_EBITDA_NTM(43039)&lt;/Q&gt;&lt;R&gt;1&lt;/R&gt;&lt;C&gt;1&lt;/C&gt;&lt;D xsi:type="xsd:double"&gt;5.9059069819092933&lt;/D&gt;&lt;/FQL&gt;&lt;FQL&gt;&lt;Q&gt;TPC-US^FG_EVAL_EBITDA_NTM(43069)&lt;/Q&gt;&lt;R&gt;1&lt;/R&gt;&lt;C&gt;1&lt;/C&gt;&lt;D xsi:type="xsd:double"&gt;5.3993816400543073&lt;/D&gt;&lt;/FQL&gt;&lt;FQL&gt;&lt;Q&gt;TPC^ECQ_MEAN_NET(2020/2C,NOW)&lt;/Q&gt;&lt;R&gt;0&lt;/R&gt;&lt;C&gt;0&lt;/C&gt;&lt;/FQL&gt;&lt;FQL&gt;&lt;Q&gt;TPC^ECA_MEAN_NET(2018,NOW)&lt;/Q&gt;&lt;R&gt;1&lt;/R&gt;&lt;C&gt;1&lt;/C&gt;&lt;D xsi:type="xsd:double"&gt;136.524&lt;/D&gt;&lt;/FQL&gt;&lt;FQL&gt;&lt;Q&gt;TPC^ECQ_MEAN_NET(2019/4C,NOW)&lt;/Q&gt;&lt;R&gt;1&lt;/R&gt;&lt;C&gt;1&lt;/C&gt;&lt;D xsi:type="xsd:double"&gt;40.24357&lt;/D&gt;&lt;/FQL&gt;&lt;FQL&gt;&lt;Q&gt;TPC^ECQ_MEAN_NET(2019/1C,NOW)&lt;/Q&gt;&lt;R&gt;1&lt;/R&gt;&lt;C&gt;1&lt;/C&gt;&lt;D xsi:type="xsd:double"&gt;27.442667&lt;/D&gt;&lt;/FQL&gt;&lt;FQL&gt;&lt;Q&gt;TPC^ECA_MEAN_NET(2019,NOW)&lt;/Q&gt;&lt;R&gt;1&lt;/R&gt;&lt;C&gt;1&lt;/C&gt;&lt;D xsi:type="xsd:double"&gt;157.203&lt;/D&gt;&lt;/FQL&gt;&lt;FQL&gt;&lt;Q&gt;TPC^ECQ_MEAN_NET(2020/4C,NOW)&lt;/Q&gt;&lt;R&gt;0&lt;/R&gt;&lt;C&gt;0&lt;/C&gt;&lt;/FQL&gt;&lt;FQL&gt;&lt;Q&gt;TPC^ECA_MEAN_NET(2020,NOW)&lt;/Q&gt;&lt;R&gt;0&lt;/R&gt;&lt;C&gt;0&lt;/C&gt;&lt;/FQL&gt;&lt;FQL&gt;&lt;Q&gt;TPC^ECQ_MEAN_EPS(2018/1C,NOW)&lt;/Q&gt;&lt;R&gt;1&lt;/R&gt;&lt;C&gt;1&lt;/C&gt;&lt;D xsi:type="xsd:double"&gt;0.44620666&lt;/D&gt;&lt;/FQL&gt;&lt;FQL&gt;&lt;Q&gt;TPC^ECA_MEAN_EPS(2018,NOW)&lt;/Q&gt;&lt;R&gt;1&lt;/R&gt;&lt;C&gt;1&lt;/C&gt;&lt;D xsi:type="xsd:double"&gt;2.6562488&lt;/D&gt;&lt;/FQL&gt;&lt;FQL&gt;&lt;Q&gt;TPC^ECQ_MEAN_EPS(2019/4C,NOW)&lt;/Q&gt;&lt;R&gt;1&lt;/R&gt;&lt;C&gt;1&lt;/C&gt;&lt;D xsi:type="xsd:double"&gt;0.7745193&lt;/D&gt;&lt;/FQL&gt;&lt;FQL&gt;&lt;Q&gt;TPC^ECQ_MEAN_EPS(2019/2C,NOW)&lt;/Q&gt;&lt;R&gt;1&lt;/R&gt;&lt;C&gt;1&lt;/C&gt;&lt;D xsi:type="xsd:double"&gt;0.80547166&lt;/D&gt;&lt;/FQL&gt;&lt;FQL&gt;&lt;Q&gt;TPC^ECQ_MEAN_EPS(2018/2C,NOW)&lt;/Q&gt;&lt;R&gt;1&lt;/R&gt;&lt;C&gt;1&lt;/C&gt;&lt;D xsi:type="xsd:double"&gt;0.684858&lt;/D&gt;&lt;/FQL&gt;&lt;FQL&gt;&lt;Q&gt;TPC^ECQ_MEAN_EPS(2019/1C,NOW)&lt;/Q&gt;&lt;R&gt;1&lt;/R&gt;&lt;C&gt;1&lt;/C&gt;&lt;D xsi:type="xsd:double"&gt;0.5195803&lt;/D&gt;&lt;/FQL&gt;&lt;FQL&gt;&lt;Q&gt;TPC^ECA_MEAN_EPS(2019,NOW)&lt;/Q&gt;&lt;R&gt;1&lt;/R&gt;&lt;C&gt;1&lt;/C&gt;&lt;D xsi:type="xsd:double"&gt;2.980816&lt;/D&gt;&lt;/FQL&gt;&lt;FQL&gt;&lt;Q&gt;TPC^ECQ_MEAN_EPS(2020/1C,NOW)&lt;/Q&gt;&lt;R&gt;0&lt;/R&gt;&lt;C&gt;0&lt;/C&gt;&lt;/FQL&gt;&lt;FQL&gt;&lt;Q&gt;TPC^ECQ_MEAN_EPS(2018/4C,NOW)&lt;/Q&gt;&lt;R&gt;1&lt;/R&gt;&lt;C&gt;1&lt;/C&gt;&lt;D xsi:type="xsd:double"&gt;0.70100933&lt;/D&gt;&lt;/FQL&gt;&lt;FQL&gt;&lt;Q&gt;TPC^ECQ_MEAN_EPS(2020/2C,NOW)&lt;/Q&gt;&lt;R&gt;0&lt;/R&gt;&lt;C&gt;0&lt;/C&gt;&lt;/FQL&gt;&lt;FQL&gt;&lt;Q&gt;TPC^ECQ_MEAN_EPS(2017/4C,NOW)&lt;/Q&gt;&lt;R&gt;1&lt;/R&gt;&lt;C&gt;1&lt;/C&gt;&lt;D xsi:type="xsd:double"&gt;0.55&lt;/D&gt;&lt;/FQL&gt;&lt;FQL&gt;&lt;Q&gt;TPC^ECQ_MEAN_EPS(2020/4C,NOW)&lt;/Q&gt;&lt;R&gt;0&lt;/R&gt;&lt;C&gt;0&lt;/C&gt;&lt;/FQL&gt;&lt;FQL&gt;&lt;Q&gt;TPC^ECA_MEAN_EPS(2020,NOW)&lt;/Q&gt;&lt;R&gt;0&lt;/R&gt;&lt;C&gt;0&lt;/C&gt;&lt;/FQL&gt;&lt;/Schema&gt;</t>
        </r>
      </text>
    </comment>
  </commentList>
</comments>
</file>

<file path=xl/sharedStrings.xml><?xml version="1.0" encoding="utf-8"?>
<sst xmlns="http://schemas.openxmlformats.org/spreadsheetml/2006/main" count="418" uniqueCount="153">
  <si>
    <t>ASSETS</t>
  </si>
  <si>
    <t>Current assets</t>
  </si>
  <si>
    <t>Cash and cash equivalents</t>
  </si>
  <si>
    <t>Deferred income taxes</t>
  </si>
  <si>
    <t>Long-term assets</t>
  </si>
  <si>
    <t>Accumulated depreciation</t>
  </si>
  <si>
    <t>Goodwill</t>
  </si>
  <si>
    <t>Other assets</t>
  </si>
  <si>
    <t>Total assets</t>
  </si>
  <si>
    <t>LIABILITIES</t>
  </si>
  <si>
    <t>Current liabilities</t>
  </si>
  <si>
    <t>Current maturities of long-term debt</t>
  </si>
  <si>
    <t>Long-term liabilities</t>
  </si>
  <si>
    <t>Total liabilities</t>
  </si>
  <si>
    <t>EQUITY</t>
  </si>
  <si>
    <t>Accumulated other comprehensive loss</t>
  </si>
  <si>
    <t>CASH FLOWS FROM OPERATING ACTIVITIES</t>
  </si>
  <si>
    <t>Consolidated net income</t>
  </si>
  <si>
    <t>Adjustments to reconcile consolidated net income to net cash provided by operating activities</t>
  </si>
  <si>
    <t>Depreciation and amortization</t>
  </si>
  <si>
    <t>Stock-based compensation expense</t>
  </si>
  <si>
    <t>Net cash provided by operating activities</t>
  </si>
  <si>
    <t>CASH FLOWS FROM INVESTING ACTIVITIES</t>
  </si>
  <si>
    <t>Net cash used in investing activities</t>
  </si>
  <si>
    <t>CASH FLOWS FROM FINANCING ACTIVITIES</t>
  </si>
  <si>
    <t>Net cash used in financing activities</t>
  </si>
  <si>
    <t>Net increase (decrease) in cash and cash equivalents</t>
  </si>
  <si>
    <t>Income Statement (US$ Millions)</t>
  </si>
  <si>
    <t>Fiscal YE December</t>
  </si>
  <si>
    <t>1Q</t>
  </si>
  <si>
    <t>2Q</t>
  </si>
  <si>
    <t>3Q</t>
  </si>
  <si>
    <t>4Q</t>
  </si>
  <si>
    <t>Year</t>
  </si>
  <si>
    <t>2QE</t>
  </si>
  <si>
    <t>3QE</t>
  </si>
  <si>
    <t>4QE</t>
  </si>
  <si>
    <t>1QE</t>
  </si>
  <si>
    <t>Total Revenue</t>
  </si>
  <si>
    <t>Net Income</t>
  </si>
  <si>
    <t>Balance Sheet</t>
  </si>
  <si>
    <t>Total Equity</t>
  </si>
  <si>
    <t>Property, plant and equipment, gross</t>
  </si>
  <si>
    <t>Cash Flow</t>
  </si>
  <si>
    <t>Total Liabilities and Stockholders Equity</t>
  </si>
  <si>
    <t>Cash and cash equivalents at end of period</t>
  </si>
  <si>
    <t>Cash and cash equivalents at beginning of period</t>
  </si>
  <si>
    <t>Assumptions</t>
  </si>
  <si>
    <t>LTM Sales</t>
  </si>
  <si>
    <t>This sheet contains FactSet XML data for use with this workbook's =FDS codes.  Modifying the worksheet's contents may damage the workbook's =FDS functionality.</t>
  </si>
  <si>
    <t>Other Current Assets</t>
  </si>
  <si>
    <t>Total Current Assets</t>
  </si>
  <si>
    <t>Total Current Liabilities</t>
  </si>
  <si>
    <t>Retained Earnings</t>
  </si>
  <si>
    <t>Revenue</t>
  </si>
  <si>
    <t>Tutor Perini</t>
  </si>
  <si>
    <t>TPC</t>
  </si>
  <si>
    <t>Cost of Operations</t>
  </si>
  <si>
    <t>Income From Construction Operations</t>
  </si>
  <si>
    <t>Other Income, net</t>
  </si>
  <si>
    <t>Interest Expense</t>
  </si>
  <si>
    <t>Income Before Taxes</t>
  </si>
  <si>
    <t>Provision for Income Taxes</t>
  </si>
  <si>
    <t>Basic EPS</t>
  </si>
  <si>
    <t>Diluted EPS</t>
  </si>
  <si>
    <t>Basic Shares</t>
  </si>
  <si>
    <t>Diluted Shares</t>
  </si>
  <si>
    <t>Restricted Cash</t>
  </si>
  <si>
    <t>Accounts Receivable, including retainage</t>
  </si>
  <si>
    <t>Costs and Estimated Earnings in Excess of Billings</t>
  </si>
  <si>
    <t>Deferred Income taxes</t>
  </si>
  <si>
    <t>Property, Plant and Equipment (less Accumulated Depreciation)</t>
  </si>
  <si>
    <t>Intangible Assets, net</t>
  </si>
  <si>
    <t>Long-term Investments</t>
  </si>
  <si>
    <t>Accounts payable, including retainage</t>
  </si>
  <si>
    <t>Billings in Excess of Costs and Estimated Earnings</t>
  </si>
  <si>
    <t>Accrued Expenses</t>
  </si>
  <si>
    <t>Deferred Income Taxes</t>
  </si>
  <si>
    <t>Other Long-term Liabilities</t>
  </si>
  <si>
    <t>Contingencies and Commitments</t>
  </si>
  <si>
    <t>Long-term debt, less current maturities</t>
  </si>
  <si>
    <t>Common stock - $1 par value</t>
  </si>
  <si>
    <t>Additional Paid-in Capital</t>
  </si>
  <si>
    <t>Adjustments of investments to fair value</t>
  </si>
  <si>
    <t>Loss on sale of equipment</t>
  </si>
  <si>
    <t>Changes in other components of working capital</t>
  </si>
  <si>
    <t>Acquisition of property and equipment</t>
  </si>
  <si>
    <t>Proceeds from sale of PP&amp;E</t>
  </si>
  <si>
    <t>Proceeds from sale of available-for-sale securities</t>
  </si>
  <si>
    <t>Increase in Restricted Cash</t>
  </si>
  <si>
    <t>Investment in other activities</t>
  </si>
  <si>
    <t>Proceeds from LT Debt</t>
  </si>
  <si>
    <t>Repayment of LT Debt</t>
  </si>
  <si>
    <t>Issuance of Common stock and effect of cashless exercise</t>
  </si>
  <si>
    <t>Deferred Debt costs</t>
  </si>
  <si>
    <t>Business acquisition related payments</t>
  </si>
  <si>
    <t>Common Stock repurchased</t>
  </si>
  <si>
    <t>Other,net</t>
  </si>
  <si>
    <t>Other, net</t>
  </si>
  <si>
    <t>Goodwill and Intangible Asset Impairment</t>
  </si>
  <si>
    <t>Drivers</t>
  </si>
  <si>
    <t>Tax rate</t>
  </si>
  <si>
    <t>G&amp;A (% of sales)</t>
  </si>
  <si>
    <t>Revenues by Segment</t>
  </si>
  <si>
    <t>Building</t>
  </si>
  <si>
    <t>Civil</t>
  </si>
  <si>
    <t>Management Services</t>
  </si>
  <si>
    <t>Operating Income by Segment</t>
  </si>
  <si>
    <t>Total Operating Income</t>
  </si>
  <si>
    <t>Corporate</t>
  </si>
  <si>
    <t>Specialty Contractors</t>
  </si>
  <si>
    <t>Eliminations</t>
  </si>
  <si>
    <t xml:space="preserve">Civil </t>
  </si>
  <si>
    <t>Total</t>
  </si>
  <si>
    <t>Backlog</t>
  </si>
  <si>
    <t>Revenue Recognized</t>
  </si>
  <si>
    <t>New Business Awarded</t>
  </si>
  <si>
    <t>Margins</t>
  </si>
  <si>
    <t>Corporate (% of sales)</t>
  </si>
  <si>
    <t>Eliminations (% of construction revenue)</t>
  </si>
  <si>
    <t>Seasonality</t>
  </si>
  <si>
    <t>LTM Revenue</t>
  </si>
  <si>
    <t>Price</t>
  </si>
  <si>
    <t>Eliminations (#)</t>
  </si>
  <si>
    <t>% of revenue</t>
  </si>
  <si>
    <t>Building Backlog</t>
  </si>
  <si>
    <t>Building Revenue</t>
  </si>
  <si>
    <t>Civil Backlog</t>
  </si>
  <si>
    <t>Civil Revenue</t>
  </si>
  <si>
    <t>Spec Backlog</t>
  </si>
  <si>
    <t>Spec Backlog T+1</t>
  </si>
  <si>
    <t>Spec Revenue</t>
  </si>
  <si>
    <t>Spec</t>
  </si>
  <si>
    <t>Backlog Growth rates</t>
  </si>
  <si>
    <t>Total Rev</t>
  </si>
  <si>
    <t>Slope</t>
  </si>
  <si>
    <t>Intercept</t>
  </si>
  <si>
    <t>DSO</t>
  </si>
  <si>
    <t>DPO</t>
  </si>
  <si>
    <t>New Order</t>
  </si>
  <si>
    <t>Shareholders’ equity</t>
  </si>
  <si>
    <t>Operating Margin</t>
  </si>
  <si>
    <t>mean</t>
  </si>
  <si>
    <t>Price to backlog</t>
  </si>
  <si>
    <t>Bidding Pipeline</t>
  </si>
  <si>
    <t>CCC</t>
  </si>
  <si>
    <t>2019E</t>
  </si>
  <si>
    <t>NCI</t>
  </si>
  <si>
    <t>2020E</t>
  </si>
  <si>
    <t>2021E</t>
  </si>
  <si>
    <t>2022E</t>
  </si>
  <si>
    <t>EBITDA</t>
  </si>
  <si>
    <t>**NOTE - I DID NOT CREATE THIS MODEL, IT WAS PROVIDED AS PART OF A MODELING TEST ON AN INTERVIEW. I HAVE BEEN UPDATING IT QUARTERLY SINCE Q12018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</si>
</sst>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_);_(* \(#,##0.00\);_(* &quot;-&quot;?_);_(@_)"/>
    <numFmt numFmtId="165" formatCode="_(* #,##0.0_);_(* \(#,##0.0\);_(* &quot;-&quot;?_);_(@_)"/>
    <numFmt numFmtId="166" formatCode="0.0%"/>
    <numFmt numFmtId="167" formatCode="_(* #,##0.000_);_(* \(#,##0.000\);_(* &quot;-&quot;?_);_(@_)"/>
    <numFmt numFmtId="168" formatCode="0.0"/>
    <numFmt numFmtId="169" formatCode="#,##0.0_);\(#,##0.0\)"/>
    <numFmt numFmtId="170" formatCode="_(&quot;$&quot;#,##0.0_);\(&quot;$&quot;#,##0.0\);_(&quot;$&quot;#,##0.0_)"/>
    <numFmt numFmtId="171" formatCode="d/m/yy"/>
    <numFmt numFmtId="172" formatCode="_(#,##0.0\x_);\(#,##0.0\x\);_(#,##0.0\x_)"/>
    <numFmt numFmtId="173" formatCode="_(#,##0.0_);\(#,##0.0\);_(#,##0.0_)"/>
    <numFmt numFmtId="174" formatCode="_(#,##0.0%_);\(#,##0.0%\);_(#,##0.0%_)"/>
    <numFmt numFmtId="175" formatCode="_(###0_);\(###0\);_(###0_)"/>
    <numFmt numFmtId="176" formatCode="_)d/m/yy_)"/>
    <numFmt numFmtId="177" formatCode="#,##0;\(#,##0\)"/>
    <numFmt numFmtId="178" formatCode="#,##0.0"/>
    <numFmt numFmtId="179" formatCode="&quot;$&quot;#,##0.0"/>
    <numFmt numFmtId="180" formatCode="&quot;$&quot;#,##0.0;\(&quot;$&quot;#,##0.0\)"/>
    <numFmt numFmtId="181" formatCode="&quot;$&quot;#,##0.0_);\(&quot;$&quot;#,##0.0\)"/>
    <numFmt numFmtId="182" formatCode="d\ mmmm\ yyyy"/>
    <numFmt numFmtId="183" formatCode="_(&quot;$&quot;* #,##0.0000_);_(&quot;$&quot;* \(#,##0.0000\);_(&quot;$&quot;* &quot;-&quot;??_);_(@_)"/>
    <numFmt numFmtId="184" formatCode="0.0;\-0.0;#"/>
    <numFmt numFmtId="185" formatCode="mmm\-yyyy"/>
    <numFmt numFmtId="186" formatCode="#,##0.0\ ;\(#,##0.0\)"/>
    <numFmt numFmtId="187" formatCode="\€#,##0_);\(\€#,##0\)"/>
    <numFmt numFmtId="188" formatCode="#."/>
    <numFmt numFmtId="189" formatCode="[&gt;0.5]#,##0;[&lt;-0.5]\-#,##0;\-"/>
    <numFmt numFmtId="190" formatCode="#,##0;[Red]\(#,##0\)"/>
    <numFmt numFmtId="191" formatCode="#,##0\ \ \ ;\(#,##0\)\ \ "/>
    <numFmt numFmtId="192" formatCode="##0.00"/>
    <numFmt numFmtId="193" formatCode="_(#,##0_);\(#,##0\);_(#,##0_)"/>
    <numFmt numFmtId="194" formatCode="#,##0.000_);[Red]\(#,##0.000\)"/>
    <numFmt numFmtId="195" formatCode="_ &quot;RM&quot;* #,##0_ ;_ &quot;RM&quot;* \-#,##0_ ;_ &quot;RM&quot;* &quot;-&quot;_ ;_ @_ "/>
    <numFmt numFmtId="196" formatCode="&quot;RM&quot;#,##0.00_);\(&quot;RM&quot;#,##0.00\)"/>
    <numFmt numFmtId="197" formatCode="#,##0.00_);\(#,##0.00\);&quot;-&quot;?"/>
    <numFmt numFmtId="198" formatCode="&quot;RM&quot;#,##0.00;[Red]&quot;RM&quot;\-#,##0.00"/>
    <numFmt numFmtId="199" formatCode="#,##0.0_);[Red]\(#,##0.0\)"/>
    <numFmt numFmtId="200" formatCode="#,##0.0;\(#,##0.0\)"/>
    <numFmt numFmtId="201" formatCode="0.000"/>
    <numFmt numFmtId="202" formatCode="_(* #,##0_);_(* \(#,##0\);_(* &quot;-&quot;??_);_(@_)"/>
    <numFmt numFmtId="203" formatCode="_(* #,##0_);_(* \(#,##0\);_(* &quot;-&quot;?_);_(@_)"/>
    <numFmt numFmtId="204" formatCode="#,##0.0;\(#,##0.0\);\-"/>
    <numFmt numFmtId="205" formatCode="0.0%;\(0.0%\);\-\%"/>
    <numFmt numFmtId="206" formatCode="_(* #,##0.00000_);_(* \(#,##0.00000\);_(* &quot;-&quot;?_);_(@_)"/>
    <numFmt numFmtId="207" formatCode="_(* #,##0.000000_);_(* \(#,##0.000000\);_(* &quot;-&quot;?_);_(@_)"/>
  </numFmts>
  <fonts count="109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8"/>
      <color indexed="9"/>
      <name val="Arial"/>
      <family val="2"/>
    </font>
    <font>
      <b/>
      <sz val="7.5"/>
      <color indexed="18"/>
      <name val="Verdana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8"/>
      <color rgb="FFFF0000"/>
      <name val="Arial"/>
      <family val="2"/>
    </font>
    <font>
      <i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0070C0"/>
      <name val="Arial"/>
      <family val="2"/>
    </font>
    <font>
      <b/>
      <sz val="8"/>
      <color theme="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color indexed="8"/>
      <name val="MS Sans Serif"/>
      <family val="2"/>
    </font>
    <font>
      <sz val="10"/>
      <name val="Times New Roman"/>
      <family val="1"/>
    </font>
    <font>
      <sz val="10"/>
      <name val="Tms Rmn"/>
    </font>
    <font>
      <sz val="10"/>
      <name val="Palatino"/>
    </font>
    <font>
      <b/>
      <sz val="10"/>
      <color indexed="17"/>
      <name val="MS Sans Serif"/>
      <family val="2"/>
    </font>
    <font>
      <sz val="11"/>
      <name val="돋움"/>
      <charset val="129"/>
    </font>
    <font>
      <sz val="10"/>
      <name val="MS Sans Serif"/>
      <family val="2"/>
    </font>
    <font>
      <sz val="9"/>
      <name val="AGaramond"/>
    </font>
    <font>
      <sz val="7"/>
      <color indexed="8"/>
      <name val="Arial"/>
      <family val="2"/>
    </font>
    <font>
      <b/>
      <sz val="10"/>
      <name val="Helvetica"/>
      <family val="2"/>
    </font>
    <font>
      <sz val="8"/>
      <color indexed="12"/>
      <name val="Arial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8"/>
      <name val="Helvetica"/>
    </font>
    <font>
      <i/>
      <sz val="8"/>
      <color indexed="18"/>
      <name val="MS Sans Serif"/>
      <family val="2"/>
    </font>
    <font>
      <sz val="12"/>
      <name val="System"/>
      <family val="1"/>
      <charset val="129"/>
    </font>
    <font>
      <b/>
      <sz val="7"/>
      <name val="Arial"/>
      <family val="2"/>
    </font>
    <font>
      <b/>
      <sz val="8"/>
      <name val="Book Antiqua"/>
      <family val="1"/>
    </font>
    <font>
      <sz val="8"/>
      <color indexed="12"/>
      <name val="Times New Roman"/>
      <family val="1"/>
    </font>
    <font>
      <sz val="10"/>
      <name val="Geneva"/>
    </font>
    <font>
      <b/>
      <sz val="24"/>
      <name val="Arial"/>
      <family val="2"/>
    </font>
    <font>
      <sz val="8"/>
      <color indexed="8"/>
      <name val="Times New Roman"/>
      <family val="1"/>
    </font>
    <font>
      <sz val="11"/>
      <color indexed="12"/>
      <name val="Book Antiqua"/>
      <family val="1"/>
    </font>
    <font>
      <sz val="8"/>
      <name val="Helv"/>
    </font>
    <font>
      <vertAlign val="superscript"/>
      <sz val="12"/>
      <name val="Helv"/>
    </font>
    <font>
      <sz val="8"/>
      <color indexed="14"/>
      <name val="Times New Roman"/>
      <family val="1"/>
    </font>
    <font>
      <sz val="9"/>
      <color indexed="12"/>
      <name val="Times New Roman"/>
      <family val="1"/>
    </font>
    <font>
      <sz val="9"/>
      <name val="Arial"/>
      <family val="2"/>
    </font>
    <font>
      <sz val="8"/>
      <color indexed="10"/>
      <name val="Arial"/>
      <family val="2"/>
    </font>
    <font>
      <sz val="10"/>
      <color indexed="12"/>
      <name val="MS Sans Serif"/>
      <family val="2"/>
    </font>
    <font>
      <b/>
      <sz val="10"/>
      <name val="Times New Roman"/>
      <family val="1"/>
    </font>
    <font>
      <sz val="9"/>
      <name val="GillSans"/>
    </font>
    <font>
      <sz val="9"/>
      <name val="GillSans Light"/>
    </font>
    <font>
      <i/>
      <sz val="8"/>
      <name val="MS Sans Serif"/>
      <family val="2"/>
    </font>
    <font>
      <b/>
      <sz val="12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2"/>
      <color indexed="39"/>
      <name val="Arial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b/>
      <sz val="10"/>
      <name val="Helv"/>
    </font>
    <font>
      <b/>
      <sz val="9"/>
      <name val="Helv"/>
    </font>
    <font>
      <sz val="8.5"/>
      <name val="Helv"/>
    </font>
    <font>
      <sz val="10"/>
      <name val="Helv"/>
    </font>
    <font>
      <b/>
      <sz val="10"/>
      <color indexed="56"/>
      <name val="Wingdings"/>
      <charset val="2"/>
    </font>
    <font>
      <b/>
      <u/>
      <sz val="8"/>
      <color indexed="56"/>
      <name val="Arial"/>
      <family val="2"/>
    </font>
    <font>
      <sz val="10"/>
      <color indexed="62"/>
      <name val="Arial"/>
      <family val="2"/>
    </font>
    <font>
      <sz val="7"/>
      <name val="Arial"/>
      <family val="2"/>
    </font>
    <font>
      <sz val="8"/>
      <color indexed="12"/>
      <name val="Helv"/>
      <family val="2"/>
    </font>
    <font>
      <sz val="10"/>
      <color indexed="17"/>
      <name val="Arial"/>
      <family val="2"/>
    </font>
    <font>
      <i/>
      <sz val="8"/>
      <color indexed="14"/>
      <name val="MS Sans Serif"/>
      <family val="2"/>
    </font>
    <font>
      <b/>
      <sz val="10"/>
      <color indexed="17"/>
      <name val="Arial"/>
      <family val="2"/>
    </font>
    <font>
      <sz val="7"/>
      <name val="Helv"/>
    </font>
    <font>
      <sz val="10"/>
      <color indexed="8"/>
      <name val="Arial"/>
      <family val="2"/>
    </font>
    <font>
      <sz val="8"/>
      <color indexed="12"/>
      <name val="Helv"/>
    </font>
    <font>
      <sz val="10"/>
      <name val="Arial Narrow MT"/>
      <family val="2"/>
    </font>
    <font>
      <sz val="10"/>
      <name val="Arial Narrow"/>
      <family val="2"/>
    </font>
    <font>
      <sz val="8"/>
      <name val="Helv"/>
      <family val="2"/>
    </font>
    <font>
      <sz val="10"/>
      <name val="Arial Black"/>
      <family val="2"/>
    </font>
    <font>
      <b/>
      <sz val="14"/>
      <name val="Arial Black"/>
      <family val="2"/>
    </font>
    <font>
      <b/>
      <sz val="13"/>
      <name val="Arial"/>
      <family val="2"/>
    </font>
    <font>
      <b/>
      <sz val="14"/>
      <name val="Arial"/>
      <family val="2"/>
    </font>
    <font>
      <i/>
      <sz val="7"/>
      <name val="Arial"/>
      <family val="2"/>
    </font>
    <font>
      <sz val="9"/>
      <name val="Helv"/>
    </font>
    <font>
      <b/>
      <sz val="14"/>
      <name val="Helv"/>
    </font>
    <font>
      <b/>
      <sz val="11"/>
      <name val="Times New Roman"/>
      <family val="1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2"/>
      <name val="Helv"/>
    </font>
    <font>
      <sz val="10"/>
      <name val="MS Serif"/>
      <family val="1"/>
    </font>
    <font>
      <sz val="8"/>
      <color indexed="16"/>
      <name val="Helv"/>
    </font>
    <font>
      <b/>
      <sz val="10"/>
      <color indexed="50"/>
      <name val="Arial"/>
      <family val="2"/>
    </font>
    <font>
      <sz val="12"/>
      <name val="뼻뮝"/>
      <family val="1"/>
      <charset val="129"/>
    </font>
    <font>
      <sz val="8"/>
      <color indexed="8"/>
      <name val="Arial"/>
      <family val="2"/>
    </font>
    <font>
      <sz val="8"/>
      <color rgb="FF0000FF"/>
      <name val="Arial"/>
      <family val="2"/>
    </font>
    <font>
      <b/>
      <sz val="8"/>
      <color rgb="FF00B050"/>
      <name val="Arial"/>
      <family val="2"/>
    </font>
    <font>
      <sz val="7"/>
      <color rgb="FF0000FF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8"/>
      <color theme="1" tint="4.9989318521683403E-2"/>
      <name val="Arial"/>
      <family val="2"/>
    </font>
    <font>
      <b/>
      <sz val="9"/>
      <color indexed="81"/>
      <name val="Tahoma"/>
      <charset val="1"/>
    </font>
    <font>
      <sz val="10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5"/>
      </patternFill>
    </fill>
    <fill>
      <patternFill patternType="mediumGray"/>
    </fill>
    <fill>
      <patternFill patternType="solid">
        <fgColor indexed="22"/>
        <bgColor indexed="55"/>
      </patternFill>
    </fill>
    <fill>
      <patternFill patternType="solid">
        <fgColor indexed="24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32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 style="medium">
        <color indexed="62"/>
      </left>
      <right style="medium">
        <color indexed="62"/>
      </right>
      <top style="medium">
        <color indexed="62"/>
      </top>
      <bottom style="medium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/>
      <bottom style="hair">
        <color indexed="8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ont="0" applyFill="0" applyBorder="0" applyAlignment="0" applyProtection="0"/>
    <xf numFmtId="0" fontId="28" fillId="0" borderId="0" applyFont="0" applyFill="0" applyBorder="0" applyAlignment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6" fontId="29" fillId="0" borderId="0"/>
    <xf numFmtId="0" fontId="30" fillId="0" borderId="0" applyNumberFormat="0" applyBorder="0" applyAlignment="0"/>
    <xf numFmtId="0" fontId="25" fillId="7" borderId="17" applyNumberFormat="0" applyFont="0" applyBorder="0" applyAlignment="0" applyProtection="0">
      <alignment horizontal="left"/>
      <protection locked="0"/>
    </xf>
    <xf numFmtId="169" fontId="31" fillId="0" borderId="18">
      <alignment horizontal="right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0" fontId="34" fillId="0" borderId="0"/>
    <xf numFmtId="39" fontId="35" fillId="0" borderId="0">
      <alignment horizontal="right" vertical="center"/>
    </xf>
    <xf numFmtId="0" fontId="36" fillId="0" borderId="0">
      <alignment horizontal="right"/>
    </xf>
    <xf numFmtId="0" fontId="37" fillId="0" borderId="0">
      <protection locked="0"/>
    </xf>
    <xf numFmtId="0" fontId="25" fillId="0" borderId="0" applyNumberFormat="0" applyFill="0" applyBorder="0" applyAlignment="0" applyProtection="0"/>
    <xf numFmtId="0" fontId="25" fillId="0" borderId="0"/>
    <xf numFmtId="170" fontId="11" fillId="0" borderId="19">
      <alignment horizontal="center" vertical="center"/>
      <protection locked="0"/>
    </xf>
    <xf numFmtId="171" fontId="11" fillId="0" borderId="19">
      <alignment horizontal="center" vertical="center"/>
      <protection locked="0"/>
    </xf>
    <xf numFmtId="172" fontId="11" fillId="0" borderId="19">
      <alignment horizontal="center" vertical="center"/>
      <protection locked="0"/>
    </xf>
    <xf numFmtId="173" fontId="11" fillId="0" borderId="19">
      <alignment horizontal="center" vertical="center"/>
      <protection locked="0"/>
    </xf>
    <xf numFmtId="174" fontId="11" fillId="0" borderId="19">
      <alignment horizontal="center" vertical="center"/>
      <protection locked="0"/>
    </xf>
    <xf numFmtId="175" fontId="11" fillId="0" borderId="19">
      <alignment horizontal="center" vertical="center"/>
      <protection locked="0"/>
    </xf>
    <xf numFmtId="0" fontId="11" fillId="0" borderId="19" applyAlignment="0">
      <protection locked="0"/>
    </xf>
    <xf numFmtId="170" fontId="11" fillId="0" borderId="19">
      <alignment vertical="center"/>
      <protection locked="0"/>
    </xf>
    <xf numFmtId="176" fontId="11" fillId="0" borderId="19">
      <alignment horizontal="right" vertical="center"/>
      <protection locked="0"/>
    </xf>
    <xf numFmtId="172" fontId="11" fillId="0" borderId="19">
      <alignment vertical="center"/>
      <protection locked="0"/>
    </xf>
    <xf numFmtId="173" fontId="11" fillId="0" borderId="19">
      <alignment vertical="center"/>
      <protection locked="0"/>
    </xf>
    <xf numFmtId="174" fontId="11" fillId="0" borderId="19">
      <alignment vertical="center"/>
      <protection locked="0"/>
    </xf>
    <xf numFmtId="175" fontId="11" fillId="0" borderId="19">
      <alignment horizontal="right" vertical="center"/>
      <protection locked="0"/>
    </xf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38" fontId="11" fillId="0" borderId="0"/>
    <xf numFmtId="2" fontId="40" fillId="0" borderId="0"/>
    <xf numFmtId="177" fontId="40" fillId="0" borderId="0">
      <alignment horizontal="right"/>
    </xf>
    <xf numFmtId="166" fontId="40" fillId="0" borderId="0">
      <alignment horizontal="right"/>
    </xf>
    <xf numFmtId="38" fontId="41" fillId="0" borderId="0" applyNumberFormat="0" applyBorder="0" applyAlignment="0" applyProtection="0"/>
    <xf numFmtId="178" fontId="11" fillId="0" borderId="20" applyNumberFormat="0" applyFont="0" applyFill="0" applyAlignment="0" applyProtection="0"/>
    <xf numFmtId="179" fontId="25" fillId="0" borderId="0" applyFont="0" applyFill="0" applyBorder="0" applyAlignment="0" applyProtection="0"/>
    <xf numFmtId="0" fontId="42" fillId="0" borderId="0"/>
    <xf numFmtId="0" fontId="11" fillId="0" borderId="0" applyNumberFormat="0" applyFont="0" applyFill="0" applyBorder="0">
      <alignment horizontal="center" vertical="center"/>
      <protection locked="0"/>
    </xf>
    <xf numFmtId="170" fontId="11" fillId="0" borderId="0" applyFill="0" applyBorder="0">
      <alignment horizontal="center" vertical="center"/>
    </xf>
    <xf numFmtId="171" fontId="11" fillId="0" borderId="0" applyFill="0" applyBorder="0">
      <alignment horizontal="center" vertical="center"/>
    </xf>
    <xf numFmtId="172" fontId="11" fillId="0" borderId="0" applyFill="0" applyBorder="0">
      <alignment horizontal="center" vertical="center"/>
    </xf>
    <xf numFmtId="173" fontId="11" fillId="0" borderId="0" applyFill="0" applyBorder="0">
      <alignment horizontal="center" vertical="center"/>
    </xf>
    <xf numFmtId="174" fontId="11" fillId="0" borderId="0" applyFill="0" applyBorder="0">
      <alignment horizontal="center" vertical="center"/>
    </xf>
    <xf numFmtId="175" fontId="11" fillId="0" borderId="0" applyFill="0" applyBorder="0">
      <alignment horizontal="center" vertical="center"/>
    </xf>
    <xf numFmtId="0" fontId="43" fillId="8" borderId="0" applyNumberFormat="0" applyFont="0" applyAlignment="0">
      <alignment vertical="center"/>
      <protection locked="0"/>
    </xf>
    <xf numFmtId="0" fontId="40" fillId="0" borderId="0"/>
    <xf numFmtId="0" fontId="44" fillId="0" borderId="3" applyNumberFormat="0" applyFill="0" applyBorder="0" applyAlignment="0" applyProtection="0">
      <alignment horizontal="center"/>
    </xf>
    <xf numFmtId="0" fontId="45" fillId="0" borderId="0" applyFont="0" applyFill="0" applyBorder="0" applyAlignment="0" applyProtection="0"/>
    <xf numFmtId="179" fontId="25" fillId="0" borderId="21" applyFill="0" applyBorder="0" applyProtection="0"/>
    <xf numFmtId="169" fontId="46" fillId="0" borderId="0" applyFont="0" applyFill="0" applyBorder="0" applyAlignment="0" applyProtection="0"/>
    <xf numFmtId="39" fontId="46" fillId="0" borderId="0" applyFont="0" applyFill="0" applyBorder="0" applyAlignment="0" applyProtection="0"/>
    <xf numFmtId="3" fontId="25" fillId="0" borderId="0" applyFont="0" applyFill="0" applyBorder="0" applyAlignment="0" applyProtection="0"/>
    <xf numFmtId="4" fontId="47" fillId="0" borderId="0">
      <alignment vertical="center"/>
    </xf>
    <xf numFmtId="0" fontId="48" fillId="0" borderId="0" applyFont="0" applyFill="0" applyBorder="0" applyAlignment="0" applyProtection="0"/>
    <xf numFmtId="0" fontId="49" fillId="0" borderId="22">
      <protection locked="0"/>
    </xf>
    <xf numFmtId="180" fontId="50" fillId="0" borderId="11" applyBorder="0"/>
    <xf numFmtId="181" fontId="46" fillId="0" borderId="0" applyFont="0" applyFill="0" applyBorder="0" applyAlignment="0" applyProtection="0"/>
    <xf numFmtId="7" fontId="46" fillId="0" borderId="0" applyFont="0" applyFill="0" applyBorder="0" applyAlignment="0" applyProtection="0"/>
    <xf numFmtId="182" fontId="50" fillId="0" borderId="0" applyFont="0" applyFill="0" applyBorder="0" applyAlignment="0" applyProtection="0"/>
    <xf numFmtId="183" fontId="50" fillId="0" borderId="23" applyNumberFormat="0" applyFill="0">
      <alignment horizontal="right"/>
    </xf>
    <xf numFmtId="184" fontId="50" fillId="0" borderId="23">
      <alignment horizontal="right" vertical="center"/>
    </xf>
    <xf numFmtId="49" fontId="51" fillId="0" borderId="23">
      <alignment horizontal="left" vertical="center"/>
    </xf>
    <xf numFmtId="183" fontId="50" fillId="0" borderId="23" applyNumberFormat="0" applyFill="0">
      <alignment horizontal="right"/>
    </xf>
    <xf numFmtId="0" fontId="25" fillId="0" borderId="0" applyFont="0" applyFill="0" applyBorder="0" applyAlignment="0" applyProtection="0"/>
    <xf numFmtId="185" fontId="10" fillId="0" borderId="3"/>
    <xf numFmtId="2" fontId="25" fillId="9" borderId="0">
      <alignment horizontal="left"/>
      <protection hidden="1"/>
    </xf>
    <xf numFmtId="0" fontId="52" fillId="0" borderId="0" applyFont="0" applyFill="0" applyBorder="0" applyAlignment="0" applyProtection="0"/>
    <xf numFmtId="186" fontId="53" fillId="0" borderId="1" applyNumberFormat="0" applyBorder="0"/>
    <xf numFmtId="187" fontId="54" fillId="0" borderId="0"/>
    <xf numFmtId="188" fontId="25" fillId="0" borderId="0">
      <protection locked="0"/>
    </xf>
    <xf numFmtId="188" fontId="25" fillId="0" borderId="0">
      <protection locked="0"/>
    </xf>
    <xf numFmtId="188" fontId="25" fillId="0" borderId="0">
      <protection locked="0"/>
    </xf>
    <xf numFmtId="188" fontId="25" fillId="0" borderId="0">
      <protection locked="0"/>
    </xf>
    <xf numFmtId="188" fontId="25" fillId="0" borderId="0">
      <protection locked="0"/>
    </xf>
    <xf numFmtId="188" fontId="25" fillId="0" borderId="0">
      <protection locked="0"/>
    </xf>
    <xf numFmtId="188" fontId="25" fillId="0" borderId="0">
      <protection locked="0"/>
    </xf>
    <xf numFmtId="2" fontId="25" fillId="0" borderId="0" applyFont="0" applyFill="0" applyBorder="0" applyAlignment="0" applyProtection="0"/>
    <xf numFmtId="178" fontId="55" fillId="0" borderId="0" applyNumberFormat="0" applyFill="0" applyBorder="0" applyAlignment="0" applyProtection="0"/>
    <xf numFmtId="38" fontId="56" fillId="0" borderId="0" applyBorder="0"/>
    <xf numFmtId="0" fontId="57" fillId="0" borderId="3" applyProtection="0">
      <alignment horizontal="center"/>
    </xf>
    <xf numFmtId="0" fontId="58" fillId="0" borderId="0"/>
    <xf numFmtId="0" fontId="59" fillId="0" borderId="0"/>
    <xf numFmtId="38" fontId="11" fillId="10" borderId="0" applyNumberFormat="0" applyBorder="0" applyAlignment="0" applyProtection="0"/>
    <xf numFmtId="38" fontId="60" fillId="0" borderId="0" applyBorder="0" applyAlignment="0">
      <alignment horizontal="center"/>
    </xf>
    <xf numFmtId="0" fontId="61" fillId="0" borderId="0" applyAlignment="0" applyProtection="0"/>
    <xf numFmtId="0" fontId="62" fillId="0" borderId="0" applyAlignment="0" applyProtection="0"/>
    <xf numFmtId="0" fontId="63" fillId="0" borderId="0" applyAlignment="0" applyProtection="0"/>
    <xf numFmtId="0" fontId="64" fillId="10" borderId="0"/>
    <xf numFmtId="189" fontId="65" fillId="0" borderId="0">
      <alignment horizontal="left" vertical="center"/>
    </xf>
    <xf numFmtId="178" fontId="9" fillId="0" borderId="0" applyNumberFormat="0" applyFill="0" applyBorder="0" applyAlignment="0" applyProtection="0"/>
    <xf numFmtId="178" fontId="66" fillId="0" borderId="0" applyNumberFormat="0" applyFill="0" applyBorder="0" applyAlignment="0" applyProtection="0"/>
    <xf numFmtId="0" fontId="67" fillId="0" borderId="23">
      <alignment horizontal="left"/>
    </xf>
    <xf numFmtId="0" fontId="68" fillId="0" borderId="24">
      <alignment horizontal="right" vertical="center"/>
    </xf>
    <xf numFmtId="0" fontId="69" fillId="0" borderId="23">
      <alignment horizontal="left" vertical="center"/>
    </xf>
    <xf numFmtId="0" fontId="70" fillId="0" borderId="23">
      <alignment horizontal="left" vertical="center"/>
    </xf>
    <xf numFmtId="0" fontId="67" fillId="0" borderId="23">
      <alignment horizontal="left"/>
    </xf>
    <xf numFmtId="0" fontId="67" fillId="11" borderId="0">
      <alignment horizontal="centerContinuous" wrapText="1"/>
    </xf>
    <xf numFmtId="49" fontId="68" fillId="11" borderId="3">
      <alignment horizontal="left" vertical="center"/>
    </xf>
    <xf numFmtId="0" fontId="67" fillId="11" borderId="0">
      <alignment horizontal="centerContinuous" vertical="center" wrapText="1"/>
    </xf>
    <xf numFmtId="0" fontId="71" fillId="0" borderId="0" applyFill="0" applyBorder="0" applyAlignment="0">
      <protection locked="0"/>
    </xf>
    <xf numFmtId="0" fontId="72" fillId="0" borderId="0" applyFill="0" applyBorder="0" applyAlignment="0">
      <protection locked="0"/>
    </xf>
    <xf numFmtId="4" fontId="73" fillId="12" borderId="25"/>
    <xf numFmtId="190" fontId="74" fillId="0" borderId="0" applyBorder="0" applyAlignment="0"/>
    <xf numFmtId="10" fontId="11" fillId="13" borderId="12" applyNumberFormat="0" applyBorder="0" applyAlignment="0" applyProtection="0"/>
    <xf numFmtId="191" fontId="75" fillId="0" borderId="0"/>
    <xf numFmtId="166" fontId="75" fillId="0" borderId="0"/>
    <xf numFmtId="192" fontId="76" fillId="0" borderId="26" applyBorder="0">
      <protection locked="0"/>
    </xf>
    <xf numFmtId="0" fontId="40" fillId="0" borderId="0">
      <alignment horizontal="right"/>
    </xf>
    <xf numFmtId="3" fontId="25" fillId="0" borderId="16" applyBorder="0">
      <alignment textRotation="90"/>
    </xf>
    <xf numFmtId="10" fontId="5" fillId="14" borderId="27" applyNumberFormat="0"/>
    <xf numFmtId="0" fontId="10" fillId="0" borderId="28" applyFill="0">
      <alignment horizontal="center" vertical="center"/>
    </xf>
    <xf numFmtId="0" fontId="11" fillId="0" borderId="28" applyFill="0">
      <alignment horizontal="center" vertical="center"/>
    </xf>
    <xf numFmtId="193" fontId="11" fillId="0" borderId="28" applyFill="0">
      <alignment horizontal="center" vertical="center"/>
    </xf>
    <xf numFmtId="14" fontId="10" fillId="0" borderId="3" applyFont="0" applyFill="0" applyBorder="0" applyAlignment="0" applyProtection="0"/>
    <xf numFmtId="0" fontId="77" fillId="0" borderId="0" applyNumberFormat="0" applyBorder="0" applyAlignment="0" applyProtection="0"/>
    <xf numFmtId="0" fontId="24" fillId="0" borderId="0" applyFill="0" applyBorder="0" applyAlignment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78" fillId="0" borderId="0">
      <alignment horizontal="right"/>
    </xf>
    <xf numFmtId="0" fontId="79" fillId="0" borderId="0"/>
    <xf numFmtId="0" fontId="76" fillId="0" borderId="29" applyNumberFormat="0" applyAlignment="0"/>
    <xf numFmtId="1" fontId="28" fillId="0" borderId="0"/>
    <xf numFmtId="4" fontId="80" fillId="0" borderId="0"/>
    <xf numFmtId="169" fontId="33" fillId="0" borderId="18">
      <alignment horizontal="right"/>
    </xf>
    <xf numFmtId="0" fontId="81" fillId="0" borderId="0"/>
    <xf numFmtId="38" fontId="11" fillId="0" borderId="12" applyFont="0" applyFill="0" applyBorder="0" applyAlignment="0" applyProtection="0"/>
    <xf numFmtId="194" fontId="11" fillId="0" borderId="0" applyFont="0" applyFill="0" applyBorder="0" applyAlignment="0"/>
    <xf numFmtId="168" fontId="50" fillId="0" borderId="11" applyBorder="0"/>
    <xf numFmtId="0" fontId="40" fillId="0" borderId="0">
      <alignment horizontal="right"/>
    </xf>
    <xf numFmtId="0" fontId="40" fillId="0" borderId="0"/>
    <xf numFmtId="0" fontId="33" fillId="0" borderId="0"/>
    <xf numFmtId="14" fontId="11" fillId="0" borderId="0" applyFont="0" applyFill="0" applyBorder="0" applyAlignment="0" applyProtection="0"/>
    <xf numFmtId="3" fontId="83" fillId="8" borderId="0" applyAlignment="0"/>
    <xf numFmtId="178" fontId="11" fillId="15" borderId="0" applyNumberFormat="0" applyFont="0" applyBorder="0" applyAlignment="0" applyProtection="0"/>
    <xf numFmtId="168" fontId="25" fillId="0" borderId="0" applyFill="0"/>
    <xf numFmtId="10" fontId="25" fillId="0" borderId="0" applyFont="0" applyFill="0" applyBorder="0" applyAlignment="0" applyProtection="0"/>
    <xf numFmtId="0" fontId="50" fillId="0" borderId="11" applyBorder="0"/>
    <xf numFmtId="166" fontId="54" fillId="0" borderId="21" applyFill="0" applyBorder="0" applyProtection="0"/>
    <xf numFmtId="166" fontId="46" fillId="0" borderId="0" applyFont="0" applyFill="0" applyBorder="0" applyAlignment="0" applyProtection="0"/>
    <xf numFmtId="10" fontId="46" fillId="0" borderId="0" applyFont="0" applyFill="0" applyBorder="0" applyAlignment="0" applyProtection="0"/>
    <xf numFmtId="166" fontId="84" fillId="0" borderId="0"/>
    <xf numFmtId="0" fontId="10" fillId="0" borderId="0" applyFill="0" applyBorder="0">
      <alignment horizontal="right" vertical="center"/>
    </xf>
    <xf numFmtId="38" fontId="11" fillId="0" borderId="0" applyFill="0" applyBorder="0" applyAlignment="0" applyProtection="0">
      <alignment horizontal="right"/>
    </xf>
    <xf numFmtId="0" fontId="46" fillId="0" borderId="0"/>
    <xf numFmtId="0" fontId="85" fillId="0" borderId="0">
      <alignment horizontal="right"/>
    </xf>
    <xf numFmtId="189" fontId="28" fillId="0" borderId="0" applyFill="0" applyBorder="0" applyAlignment="0" applyProtection="0"/>
    <xf numFmtId="168" fontId="35" fillId="0" borderId="0">
      <alignment horizontal="right" vertical="center"/>
    </xf>
    <xf numFmtId="0" fontId="86" fillId="0" borderId="1">
      <alignment horizontal="right" vertical="center"/>
    </xf>
    <xf numFmtId="38" fontId="25" fillId="0" borderId="0" applyNumberFormat="0" applyBorder="0" applyAlignment="0" applyProtection="0"/>
    <xf numFmtId="195" fontId="25" fillId="0" borderId="0">
      <alignment horizontal="right"/>
    </xf>
    <xf numFmtId="196" fontId="25" fillId="0" borderId="0">
      <alignment horizontal="right"/>
    </xf>
    <xf numFmtId="197" fontId="25" fillId="0" borderId="0">
      <alignment horizontal="right"/>
    </xf>
    <xf numFmtId="198" fontId="25" fillId="0" borderId="0">
      <alignment horizontal="right"/>
      <protection locked="0"/>
    </xf>
    <xf numFmtId="0" fontId="54" fillId="0" borderId="0">
      <alignment horizontal="right"/>
    </xf>
    <xf numFmtId="170" fontId="11" fillId="0" borderId="0" applyFill="0" applyBorder="0">
      <alignment horizontal="right" vertical="center"/>
    </xf>
    <xf numFmtId="176" fontId="11" fillId="0" borderId="0" applyFill="0" applyBorder="0">
      <alignment horizontal="right" vertical="center"/>
    </xf>
    <xf numFmtId="172" fontId="11" fillId="0" borderId="0" applyFill="0" applyBorder="0">
      <alignment horizontal="right" vertical="center"/>
    </xf>
    <xf numFmtId="173" fontId="11" fillId="0" borderId="0" applyFill="0" applyBorder="0">
      <alignment horizontal="right" vertical="center"/>
    </xf>
    <xf numFmtId="174" fontId="11" fillId="0" borderId="0" applyFill="0" applyBorder="0">
      <alignment horizontal="right" vertical="center"/>
    </xf>
    <xf numFmtId="175" fontId="11" fillId="0" borderId="0" applyFill="0" applyBorder="0">
      <alignment horizontal="right" vertical="center"/>
    </xf>
    <xf numFmtId="0" fontId="87" fillId="0" borderId="0" applyFill="0" applyBorder="0" applyAlignment="0"/>
    <xf numFmtId="38" fontId="25" fillId="1" borderId="0">
      <alignment horizontal="right"/>
    </xf>
    <xf numFmtId="38" fontId="25" fillId="1" borderId="0">
      <alignment horizontal="right"/>
    </xf>
    <xf numFmtId="38" fontId="25" fillId="1" borderId="0">
      <alignment horizontal="right"/>
    </xf>
    <xf numFmtId="0" fontId="70" fillId="16" borderId="0" applyNumberFormat="0" applyFont="0" applyBorder="0" applyAlignment="0" applyProtection="0"/>
    <xf numFmtId="0" fontId="88" fillId="0" borderId="0" applyFill="0" applyBorder="0" applyAlignment="0"/>
    <xf numFmtId="0" fontId="50" fillId="0" borderId="0">
      <alignment horizontal="right"/>
    </xf>
    <xf numFmtId="49" fontId="50" fillId="0" borderId="0">
      <alignment horizontal="center"/>
    </xf>
    <xf numFmtId="0" fontId="51" fillId="0" borderId="0">
      <alignment horizontal="right"/>
    </xf>
    <xf numFmtId="0" fontId="50" fillId="0" borderId="0">
      <alignment horizontal="left"/>
    </xf>
    <xf numFmtId="0" fontId="89" fillId="0" borderId="0" applyNumberFormat="0" applyFill="0" applyBorder="0" applyProtection="0">
      <protection locked="0"/>
    </xf>
    <xf numFmtId="3" fontId="25" fillId="10" borderId="30" applyFont="0" applyFill="0" applyBorder="0" applyAlignment="0" applyProtection="0"/>
    <xf numFmtId="4" fontId="25" fillId="10" borderId="30" applyFont="0" applyFill="0" applyBorder="0" applyAlignment="0" applyProtection="0"/>
    <xf numFmtId="194" fontId="25" fillId="10" borderId="30" applyFont="0" applyFill="0" applyBorder="0" applyAlignment="0" applyProtection="0"/>
    <xf numFmtId="199" fontId="25" fillId="10" borderId="31" applyFont="0" applyFill="0" applyBorder="0" applyAlignment="0" applyProtection="0"/>
    <xf numFmtId="10" fontId="25" fillId="10" borderId="30" applyFont="0" applyFill="0" applyBorder="0" applyAlignment="0" applyProtection="0"/>
    <xf numFmtId="9" fontId="25" fillId="10" borderId="30" applyFont="0" applyFill="0" applyBorder="0" applyAlignment="0" applyProtection="0"/>
    <xf numFmtId="2" fontId="25" fillId="10" borderId="30" applyFont="0" applyFill="0" applyBorder="0" applyAlignment="0" applyProtection="0"/>
    <xf numFmtId="200" fontId="11" fillId="0" borderId="0" applyAlignment="0" applyProtection="0"/>
    <xf numFmtId="49" fontId="90" fillId="0" borderId="0">
      <alignment horizontal="left" vertical="center"/>
    </xf>
    <xf numFmtId="0" fontId="11" fillId="0" borderId="3">
      <alignment horizontal="right" vertical="center" wrapText="1"/>
    </xf>
    <xf numFmtId="0" fontId="40" fillId="0" borderId="0">
      <alignment horizontal="right"/>
    </xf>
    <xf numFmtId="0" fontId="88" fillId="0" borderId="9">
      <alignment vertical="center"/>
    </xf>
    <xf numFmtId="49" fontId="51" fillId="0" borderId="23">
      <alignment horizontal="left"/>
    </xf>
    <xf numFmtId="0" fontId="80" fillId="0" borderId="6" applyBorder="0">
      <alignment horizontal="center"/>
    </xf>
    <xf numFmtId="183" fontId="50" fillId="0" borderId="0" applyNumberFormat="0">
      <alignment horizontal="right"/>
    </xf>
    <xf numFmtId="0" fontId="68" fillId="17" borderId="0">
      <alignment horizontal="centerContinuous" vertical="center" wrapText="1"/>
    </xf>
    <xf numFmtId="0" fontId="74" fillId="0" borderId="3" applyNumberFormat="0" applyFill="0" applyProtection="0">
      <alignment horizontal="right"/>
      <protection locked="0"/>
    </xf>
    <xf numFmtId="0" fontId="68" fillId="0" borderId="32">
      <alignment horizontal="left" vertical="center"/>
    </xf>
    <xf numFmtId="0" fontId="74" fillId="0" borderId="0" applyNumberFormat="0" applyFill="0" applyBorder="0" applyAlignment="0" applyProtection="0">
      <protection locked="0"/>
    </xf>
    <xf numFmtId="0" fontId="91" fillId="0" borderId="0">
      <alignment horizontal="left" vertical="top"/>
    </xf>
    <xf numFmtId="187" fontId="82" fillId="0" borderId="0" applyNumberFormat="0" applyFill="0" applyBorder="0">
      <alignment horizontal="left"/>
    </xf>
    <xf numFmtId="187" fontId="82" fillId="0" borderId="0" applyNumberFormat="0" applyFill="0" applyBorder="0">
      <alignment horizontal="right"/>
    </xf>
    <xf numFmtId="0" fontId="54" fillId="0" borderId="0" applyNumberFormat="0" applyProtection="0"/>
    <xf numFmtId="3" fontId="90" fillId="0" borderId="0" applyFill="0" applyBorder="0" applyAlignment="0" applyProtection="0"/>
    <xf numFmtId="40" fontId="92" fillId="0" borderId="0"/>
    <xf numFmtId="0" fontId="93" fillId="0" borderId="3">
      <alignment horizontal="left"/>
    </xf>
    <xf numFmtId="0" fontId="94" fillId="18" borderId="0" applyFont="0">
      <alignment vertical="center"/>
    </xf>
    <xf numFmtId="0" fontId="67" fillId="0" borderId="0">
      <alignment horizontal="left"/>
    </xf>
    <xf numFmtId="0" fontId="95" fillId="0" borderId="0">
      <alignment horizontal="left"/>
    </xf>
    <xf numFmtId="0" fontId="70" fillId="0" borderId="0">
      <alignment horizontal="left"/>
    </xf>
    <xf numFmtId="0" fontId="93" fillId="0" borderId="9"/>
    <xf numFmtId="0" fontId="91" fillId="0" borderId="0">
      <alignment horizontal="left" vertical="top"/>
    </xf>
    <xf numFmtId="0" fontId="95" fillId="0" borderId="0">
      <alignment horizontal="left"/>
    </xf>
    <xf numFmtId="0" fontId="70" fillId="0" borderId="0">
      <alignment horizontal="left"/>
    </xf>
    <xf numFmtId="0" fontId="96" fillId="0" borderId="3" applyNumberFormat="0" applyFill="0" applyProtection="0"/>
    <xf numFmtId="186" fontId="97" fillId="0" borderId="0" applyNumberFormat="0"/>
    <xf numFmtId="4" fontId="98" fillId="7" borderId="33"/>
    <xf numFmtId="201" fontId="28" fillId="0" borderId="0" applyFont="0" applyFill="0" applyBorder="0" applyAlignment="0" applyProtection="0"/>
    <xf numFmtId="37" fontId="28" fillId="0" borderId="0" applyFont="0" applyFill="0" applyBorder="0" applyAlignment="0" applyProtection="0"/>
    <xf numFmtId="49" fontId="90" fillId="0" borderId="23">
      <alignment horizontal="left"/>
    </xf>
    <xf numFmtId="0" fontId="68" fillId="0" borderId="24">
      <alignment horizontal="left"/>
    </xf>
    <xf numFmtId="0" fontId="67" fillId="0" borderId="0">
      <alignment horizontal="left" vertical="center"/>
    </xf>
    <xf numFmtId="49" fontId="50" fillId="0" borderId="24">
      <alignment horizontal="left"/>
    </xf>
    <xf numFmtId="0" fontId="33" fillId="0" borderId="0"/>
    <xf numFmtId="0" fontId="99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5" fillId="0" borderId="0"/>
  </cellStyleXfs>
  <cellXfs count="473">
    <xf numFmtId="0" fontId="0" fillId="0" borderId="0" xfId="0"/>
    <xf numFmtId="0" fontId="0" fillId="2" borderId="0" xfId="0" applyFill="1"/>
    <xf numFmtId="0" fontId="6" fillId="2" borderId="0" xfId="0" applyFont="1" applyFill="1"/>
    <xf numFmtId="165" fontId="11" fillId="2" borderId="0" xfId="0" applyNumberFormat="1" applyFont="1" applyFill="1"/>
    <xf numFmtId="0" fontId="11" fillId="2" borderId="0" xfId="0" applyFont="1" applyFill="1"/>
    <xf numFmtId="165" fontId="10" fillId="2" borderId="0" xfId="0" applyNumberFormat="1" applyFont="1" applyFill="1" applyBorder="1"/>
    <xf numFmtId="165" fontId="11" fillId="2" borderId="0" xfId="0" applyNumberFormat="1" applyFont="1" applyFill="1" applyBorder="1"/>
    <xf numFmtId="0" fontId="5" fillId="3" borderId="0" xfId="0" applyFont="1" applyFill="1"/>
    <xf numFmtId="0" fontId="0" fillId="3" borderId="0" xfId="0" applyFill="1"/>
    <xf numFmtId="44" fontId="5" fillId="3" borderId="0" xfId="0" applyNumberFormat="1" applyFont="1" applyFill="1"/>
    <xf numFmtId="43" fontId="8" fillId="3" borderId="0" xfId="0" applyNumberFormat="1" applyFont="1" applyFill="1"/>
    <xf numFmtId="164" fontId="5" fillId="3" borderId="0" xfId="0" applyNumberFormat="1" applyFont="1" applyFill="1"/>
    <xf numFmtId="0" fontId="6" fillId="3" borderId="0" xfId="0" applyFont="1" applyFill="1"/>
    <xf numFmtId="0" fontId="7" fillId="3" borderId="0" xfId="0" applyFont="1" applyFill="1" applyAlignment="1">
      <alignment horizontal="right"/>
    </xf>
    <xf numFmtId="15" fontId="6" fillId="3" borderId="0" xfId="0" applyNumberFormat="1" applyFont="1" applyFill="1"/>
    <xf numFmtId="1" fontId="6" fillId="3" borderId="0" xfId="2" applyNumberFormat="1" applyFont="1" applyFill="1" applyAlignment="1">
      <alignment horizontal="right"/>
    </xf>
    <xf numFmtId="1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Alignment="1">
      <alignment horizontal="right"/>
    </xf>
    <xf numFmtId="1" fontId="6" fillId="3" borderId="0" xfId="2" applyNumberFormat="1" applyFont="1" applyFill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2" borderId="0" xfId="0" applyFont="1" applyFill="1"/>
    <xf numFmtId="165" fontId="10" fillId="2" borderId="5" xfId="0" applyNumberFormat="1" applyFont="1" applyFill="1" applyBorder="1"/>
    <xf numFmtId="0" fontId="3" fillId="2" borderId="5" xfId="0" applyFont="1" applyFill="1" applyBorder="1"/>
    <xf numFmtId="165" fontId="0" fillId="2" borderId="0" xfId="0" applyNumberFormat="1" applyFill="1"/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6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0" fontId="12" fillId="0" borderId="0" xfId="0" applyFont="1" applyAlignment="1">
      <alignment horizontal="left" vertical="top"/>
    </xf>
    <xf numFmtId="0" fontId="3" fillId="2" borderId="9" xfId="0" applyFont="1" applyFill="1" applyBorder="1"/>
    <xf numFmtId="0" fontId="0" fillId="2" borderId="11" xfId="0" applyFill="1" applyBorder="1"/>
    <xf numFmtId="0" fontId="3" fillId="2" borderId="10" xfId="0" applyFont="1" applyFill="1" applyBorder="1"/>
    <xf numFmtId="0" fontId="3" fillId="2" borderId="12" xfId="0" applyFont="1" applyFill="1" applyBorder="1"/>
    <xf numFmtId="0" fontId="15" fillId="2" borderId="0" xfId="0" applyFont="1" applyFill="1" applyAlignment="1">
      <alignment horizontal="center"/>
    </xf>
    <xf numFmtId="0" fontId="12" fillId="0" borderId="0" xfId="0" applyFont="1" applyBorder="1" applyAlignment="1">
      <alignment horizontal="left"/>
    </xf>
    <xf numFmtId="0" fontId="13" fillId="0" borderId="0" xfId="0" applyFont="1" applyBorder="1" applyAlignment="1">
      <alignment horizontal="right"/>
    </xf>
    <xf numFmtId="0" fontId="12" fillId="0" borderId="0" xfId="0" applyFont="1" applyBorder="1" applyAlignment="1"/>
    <xf numFmtId="0" fontId="12" fillId="0" borderId="0" xfId="0" applyFont="1" applyBorder="1" applyAlignment="1">
      <alignment horizontal="right"/>
    </xf>
    <xf numFmtId="0" fontId="0" fillId="0" borderId="0" xfId="0" applyBorder="1"/>
    <xf numFmtId="0" fontId="13" fillId="0" borderId="0" xfId="0" applyFont="1" applyBorder="1" applyAlignment="1">
      <alignment horizontal="left"/>
    </xf>
    <xf numFmtId="3" fontId="12" fillId="0" borderId="0" xfId="0" applyNumberFormat="1" applyFont="1" applyBorder="1" applyAlignment="1">
      <alignment horizontal="right"/>
    </xf>
    <xf numFmtId="0" fontId="0" fillId="0" borderId="0" xfId="0" applyBorder="1" applyAlignment="1"/>
    <xf numFmtId="0" fontId="0" fillId="3" borderId="13" xfId="0" applyFill="1" applyBorder="1" applyAlignment="1">
      <alignment vertical="top"/>
    </xf>
    <xf numFmtId="0" fontId="0" fillId="0" borderId="13" xfId="0" applyBorder="1"/>
    <xf numFmtId="0" fontId="13" fillId="0" borderId="13" xfId="0" applyFont="1" applyBorder="1" applyAlignment="1">
      <alignment horizontal="right"/>
    </xf>
    <xf numFmtId="3" fontId="13" fillId="0" borderId="13" xfId="0" applyNumberFormat="1" applyFont="1" applyBorder="1" applyAlignment="1">
      <alignment horizontal="right"/>
    </xf>
    <xf numFmtId="0" fontId="0" fillId="0" borderId="13" xfId="0" applyBorder="1" applyAlignment="1"/>
    <xf numFmtId="0" fontId="0" fillId="0" borderId="11" xfId="0" applyBorder="1"/>
    <xf numFmtId="0" fontId="12" fillId="0" borderId="11" xfId="0" applyFont="1" applyBorder="1" applyAlignment="1"/>
    <xf numFmtId="0" fontId="12" fillId="0" borderId="11" xfId="0" applyFont="1" applyBorder="1" applyAlignment="1">
      <alignment horizontal="left"/>
    </xf>
    <xf numFmtId="0" fontId="0" fillId="3" borderId="11" xfId="0" applyFill="1" applyBorder="1"/>
    <xf numFmtId="0" fontId="3" fillId="2" borderId="11" xfId="0" applyFont="1" applyFill="1" applyBorder="1"/>
    <xf numFmtId="0" fontId="0" fillId="2" borderId="11" xfId="0" applyFont="1" applyFill="1" applyBorder="1"/>
    <xf numFmtId="0" fontId="3" fillId="4" borderId="10" xfId="0" applyFont="1" applyFill="1" applyBorder="1"/>
    <xf numFmtId="0" fontId="3" fillId="6" borderId="10" xfId="0" applyFont="1" applyFill="1" applyBorder="1"/>
    <xf numFmtId="165" fontId="10" fillId="0" borderId="0" xfId="0" applyNumberFormat="1" applyFont="1" applyFill="1" applyBorder="1"/>
    <xf numFmtId="165" fontId="11" fillId="0" borderId="0" xfId="0" applyNumberFormat="1" applyFont="1" applyFill="1"/>
    <xf numFmtId="0" fontId="0" fillId="0" borderId="11" xfId="0" applyFill="1" applyBorder="1"/>
    <xf numFmtId="0" fontId="16" fillId="2" borderId="0" xfId="0" applyFont="1" applyFill="1"/>
    <xf numFmtId="0" fontId="17" fillId="4" borderId="5" xfId="0" applyFont="1" applyFill="1" applyBorder="1"/>
    <xf numFmtId="0" fontId="17" fillId="6" borderId="5" xfId="0" applyFont="1" applyFill="1" applyBorder="1"/>
    <xf numFmtId="165" fontId="0" fillId="2" borderId="11" xfId="0" applyNumberFormat="1" applyFill="1" applyBorder="1"/>
    <xf numFmtId="165" fontId="16" fillId="2" borderId="0" xfId="0" applyNumberFormat="1" applyFont="1" applyFill="1"/>
    <xf numFmtId="165" fontId="16" fillId="2" borderId="11" xfId="0" applyNumberFormat="1" applyFont="1" applyFill="1" applyBorder="1"/>
    <xf numFmtId="165" fontId="16" fillId="2" borderId="0" xfId="2" applyNumberFormat="1" applyFont="1" applyFill="1"/>
    <xf numFmtId="165" fontId="17" fillId="2" borderId="5" xfId="0" applyNumberFormat="1" applyFont="1" applyFill="1" applyBorder="1"/>
    <xf numFmtId="165" fontId="17" fillId="2" borderId="10" xfId="0" applyNumberFormat="1" applyFont="1" applyFill="1" applyBorder="1"/>
    <xf numFmtId="165" fontId="17" fillId="2" borderId="0" xfId="0" applyNumberFormat="1" applyFont="1" applyFill="1"/>
    <xf numFmtId="165" fontId="17" fillId="2" borderId="11" xfId="0" applyNumberFormat="1" applyFont="1" applyFill="1" applyBorder="1"/>
    <xf numFmtId="165" fontId="17" fillId="2" borderId="0" xfId="2" applyNumberFormat="1" applyFont="1" applyFill="1"/>
    <xf numFmtId="165" fontId="16" fillId="0" borderId="0" xfId="0" applyNumberFormat="1" applyFont="1" applyFill="1"/>
    <xf numFmtId="165" fontId="16" fillId="0" borderId="11" xfId="0" applyNumberFormat="1" applyFont="1" applyFill="1" applyBorder="1"/>
    <xf numFmtId="165" fontId="17" fillId="4" borderId="5" xfId="0" applyNumberFormat="1" applyFont="1" applyFill="1" applyBorder="1"/>
    <xf numFmtId="165" fontId="17" fillId="4" borderId="10" xfId="0" applyNumberFormat="1" applyFont="1" applyFill="1" applyBorder="1"/>
    <xf numFmtId="165" fontId="17" fillId="2" borderId="9" xfId="0" applyNumberFormat="1" applyFont="1" applyFill="1" applyBorder="1"/>
    <xf numFmtId="165" fontId="17" fillId="2" borderId="12" xfId="0" applyNumberFormat="1" applyFont="1" applyFill="1" applyBorder="1"/>
    <xf numFmtId="0" fontId="17" fillId="2" borderId="9" xfId="0" applyFont="1" applyFill="1" applyBorder="1"/>
    <xf numFmtId="164" fontId="16" fillId="2" borderId="0" xfId="0" applyNumberFormat="1" applyFont="1" applyFill="1"/>
    <xf numFmtId="164" fontId="16" fillId="2" borderId="11" xfId="0" applyNumberFormat="1" applyFont="1" applyFill="1" applyBorder="1"/>
    <xf numFmtId="164" fontId="17" fillId="6" borderId="5" xfId="0" applyNumberFormat="1" applyFont="1" applyFill="1" applyBorder="1"/>
    <xf numFmtId="164" fontId="17" fillId="6" borderId="10" xfId="0" applyNumberFormat="1" applyFont="1" applyFill="1" applyBorder="1"/>
    <xf numFmtId="165" fontId="17" fillId="0" borderId="0" xfId="0" applyNumberFormat="1" applyFont="1" applyAlignment="1">
      <alignment horizontal="left"/>
    </xf>
    <xf numFmtId="165" fontId="16" fillId="0" borderId="0" xfId="0" applyNumberFormat="1" applyFont="1"/>
    <xf numFmtId="165" fontId="16" fillId="0" borderId="13" xfId="0" applyNumberFormat="1" applyFont="1" applyBorder="1"/>
    <xf numFmtId="165" fontId="16" fillId="0" borderId="11" xfId="0" applyNumberFormat="1" applyFont="1" applyBorder="1"/>
    <xf numFmtId="165" fontId="16" fillId="0" borderId="0" xfId="0" applyNumberFormat="1" applyFont="1" applyAlignment="1">
      <alignment horizontal="left"/>
    </xf>
    <xf numFmtId="165" fontId="16" fillId="0" borderId="13" xfId="0" applyNumberFormat="1" applyFont="1" applyBorder="1" applyAlignment="1"/>
    <xf numFmtId="165" fontId="16" fillId="0" borderId="0" xfId="0" applyNumberFormat="1" applyFont="1" applyAlignment="1"/>
    <xf numFmtId="165" fontId="16" fillId="0" borderId="11" xfId="0" applyNumberFormat="1" applyFont="1" applyBorder="1" applyAlignment="1"/>
    <xf numFmtId="165" fontId="17" fillId="0" borderId="0" xfId="0" applyNumberFormat="1" applyFont="1" applyAlignment="1">
      <alignment horizontal="right"/>
    </xf>
    <xf numFmtId="165" fontId="17" fillId="0" borderId="13" xfId="0" applyNumberFormat="1" applyFont="1" applyBorder="1" applyAlignment="1">
      <alignment horizontal="right"/>
    </xf>
    <xf numFmtId="165" fontId="16" fillId="0" borderId="0" xfId="0" applyNumberFormat="1" applyFont="1" applyAlignment="1">
      <alignment horizontal="right"/>
    </xf>
    <xf numFmtId="165" fontId="16" fillId="0" borderId="11" xfId="0" applyNumberFormat="1" applyFont="1" applyBorder="1" applyAlignment="1">
      <alignment horizontal="left"/>
    </xf>
    <xf numFmtId="165" fontId="16" fillId="0" borderId="0" xfId="0" applyNumberFormat="1" applyFont="1" applyBorder="1" applyAlignment="1">
      <alignment horizontal="left"/>
    </xf>
    <xf numFmtId="165" fontId="16" fillId="0" borderId="0" xfId="0" applyNumberFormat="1" applyFont="1" applyBorder="1" applyAlignment="1"/>
    <xf numFmtId="165" fontId="16" fillId="0" borderId="0" xfId="0" applyNumberFormat="1" applyFont="1" applyBorder="1" applyAlignment="1">
      <alignment horizontal="right"/>
    </xf>
    <xf numFmtId="165" fontId="16" fillId="0" borderId="0" xfId="0" applyNumberFormat="1" applyFont="1" applyBorder="1"/>
    <xf numFmtId="165" fontId="17" fillId="0" borderId="0" xfId="0" applyNumberFormat="1" applyFont="1" applyBorder="1" applyAlignment="1">
      <alignment horizontal="left"/>
    </xf>
    <xf numFmtId="165" fontId="17" fillId="0" borderId="11" xfId="0" applyNumberFormat="1" applyFont="1" applyBorder="1" applyAlignment="1">
      <alignment horizontal="left"/>
    </xf>
    <xf numFmtId="0" fontId="0" fillId="0" borderId="0" xfId="0" applyFont="1"/>
    <xf numFmtId="165" fontId="16" fillId="0" borderId="13" xfId="0" applyNumberFormat="1" applyFont="1" applyBorder="1" applyAlignment="1">
      <alignment horizontal="right"/>
    </xf>
    <xf numFmtId="0" fontId="0" fillId="0" borderId="0" xfId="0" applyFont="1" applyBorder="1"/>
    <xf numFmtId="0" fontId="17" fillId="2" borderId="0" xfId="0" applyFont="1" applyFill="1" applyAlignment="1">
      <alignment vertical="top"/>
    </xf>
    <xf numFmtId="0" fontId="16" fillId="2" borderId="0" xfId="0" applyFont="1" applyFill="1" applyAlignment="1">
      <alignment vertical="top"/>
    </xf>
    <xf numFmtId="0" fontId="17" fillId="2" borderId="9" xfId="0" applyFont="1" applyFill="1" applyBorder="1" applyAlignment="1">
      <alignment vertical="top"/>
    </xf>
    <xf numFmtId="0" fontId="17" fillId="2" borderId="5" xfId="0" applyFont="1" applyFill="1" applyBorder="1" applyAlignment="1">
      <alignment vertical="top"/>
    </xf>
    <xf numFmtId="0" fontId="19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left"/>
    </xf>
    <xf numFmtId="165" fontId="0" fillId="2" borderId="11" xfId="0" applyNumberFormat="1" applyFont="1" applyFill="1" applyBorder="1"/>
    <xf numFmtId="165" fontId="21" fillId="2" borderId="0" xfId="0" applyNumberFormat="1" applyFont="1" applyFill="1"/>
    <xf numFmtId="166" fontId="0" fillId="2" borderId="0" xfId="3" applyNumberFormat="1" applyFont="1" applyFill="1"/>
    <xf numFmtId="166" fontId="16" fillId="2" borderId="0" xfId="3" applyNumberFormat="1" applyFont="1" applyFill="1"/>
    <xf numFmtId="166" fontId="16" fillId="2" borderId="11" xfId="3" applyNumberFormat="1" applyFont="1" applyFill="1" applyBorder="1"/>
    <xf numFmtId="165" fontId="6" fillId="3" borderId="0" xfId="0" applyNumberFormat="1" applyFont="1" applyFill="1"/>
    <xf numFmtId="165" fontId="16" fillId="3" borderId="0" xfId="0" applyNumberFormat="1" applyFont="1" applyFill="1"/>
    <xf numFmtId="165" fontId="16" fillId="3" borderId="11" xfId="0" applyNumberFormat="1" applyFont="1" applyFill="1" applyBorder="1"/>
    <xf numFmtId="166" fontId="21" fillId="2" borderId="0" xfId="3" applyNumberFormat="1" applyFont="1" applyFill="1"/>
    <xf numFmtId="166" fontId="21" fillId="2" borderId="11" xfId="3" applyNumberFormat="1" applyFont="1" applyFill="1" applyBorder="1"/>
    <xf numFmtId="0" fontId="23" fillId="3" borderId="0" xfId="0" applyFont="1" applyFill="1" applyAlignment="1">
      <alignment vertical="top"/>
    </xf>
    <xf numFmtId="0" fontId="14" fillId="3" borderId="0" xfId="0" applyFont="1" applyFill="1"/>
    <xf numFmtId="166" fontId="16" fillId="2" borderId="0" xfId="3" applyNumberFormat="1" applyFont="1" applyFill="1" applyAlignment="1">
      <alignment vertical="top"/>
    </xf>
    <xf numFmtId="166" fontId="18" fillId="2" borderId="0" xfId="3" applyNumberFormat="1" applyFont="1" applyFill="1" applyAlignment="1">
      <alignment vertical="top"/>
    </xf>
    <xf numFmtId="166" fontId="17" fillId="2" borderId="9" xfId="3" applyNumberFormat="1" applyFont="1" applyFill="1" applyBorder="1" applyAlignment="1">
      <alignment vertical="top"/>
    </xf>
    <xf numFmtId="166" fontId="17" fillId="2" borderId="5" xfId="3" applyNumberFormat="1" applyFont="1" applyFill="1" applyBorder="1" applyAlignment="1">
      <alignment vertical="top"/>
    </xf>
    <xf numFmtId="166" fontId="17" fillId="2" borderId="0" xfId="3" applyNumberFormat="1" applyFont="1" applyFill="1" applyAlignment="1">
      <alignment vertical="top"/>
    </xf>
    <xf numFmtId="166" fontId="20" fillId="2" borderId="0" xfId="3" applyNumberFormat="1" applyFont="1" applyFill="1" applyAlignment="1">
      <alignment vertical="top"/>
    </xf>
    <xf numFmtId="165" fontId="11" fillId="0" borderId="0" xfId="0" applyNumberFormat="1" applyFont="1" applyFill="1" applyBorder="1" applyAlignment="1">
      <alignment horizontal="left"/>
    </xf>
    <xf numFmtId="0" fontId="11" fillId="0" borderId="0" xfId="0" applyFont="1" applyBorder="1"/>
    <xf numFmtId="0" fontId="16" fillId="2" borderId="3" xfId="0" applyFont="1" applyFill="1" applyBorder="1"/>
    <xf numFmtId="0" fontId="16" fillId="2" borderId="0" xfId="0" applyFont="1" applyFill="1" applyBorder="1"/>
    <xf numFmtId="0" fontId="23" fillId="3" borderId="0" xfId="0" applyFont="1" applyFill="1"/>
    <xf numFmtId="0" fontId="16" fillId="0" borderId="0" xfId="0" applyFont="1"/>
    <xf numFmtId="0" fontId="17" fillId="0" borderId="0" xfId="0" applyFont="1"/>
    <xf numFmtId="2" fontId="16" fillId="0" borderId="0" xfId="0" applyNumberFormat="1" applyFont="1"/>
    <xf numFmtId="0" fontId="11" fillId="2" borderId="0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65" fontId="10" fillId="2" borderId="5" xfId="0" applyNumberFormat="1" applyFont="1" applyFill="1" applyBorder="1" applyAlignment="1">
      <alignment horizontal="left"/>
    </xf>
    <xf numFmtId="165" fontId="10" fillId="2" borderId="0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65" fontId="11" fillId="2" borderId="0" xfId="0" applyNumberFormat="1" applyFont="1" applyFill="1" applyBorder="1" applyAlignment="1">
      <alignment horizontal="left"/>
    </xf>
    <xf numFmtId="165" fontId="10" fillId="0" borderId="0" xfId="0" applyNumberFormat="1" applyFont="1" applyFill="1" applyBorder="1" applyAlignment="1">
      <alignment horizontal="left"/>
    </xf>
    <xf numFmtId="0" fontId="17" fillId="2" borderId="9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35" xfId="0" applyFont="1" applyFill="1" applyBorder="1" applyAlignment="1">
      <alignment horizontal="left"/>
    </xf>
    <xf numFmtId="0" fontId="16" fillId="2" borderId="35" xfId="0" applyFont="1" applyFill="1" applyBorder="1"/>
    <xf numFmtId="0" fontId="0" fillId="2" borderId="36" xfId="0" applyFill="1" applyBorder="1"/>
    <xf numFmtId="165" fontId="16" fillId="2" borderId="35" xfId="0" applyNumberFormat="1" applyFont="1" applyFill="1" applyBorder="1"/>
    <xf numFmtId="165" fontId="16" fillId="2" borderId="36" xfId="0" applyNumberFormat="1" applyFont="1" applyFill="1" applyBorder="1"/>
    <xf numFmtId="0" fontId="0" fillId="5" borderId="4" xfId="0" applyFill="1" applyBorder="1"/>
    <xf numFmtId="165" fontId="16" fillId="0" borderId="3" xfId="0" applyNumberFormat="1" applyFont="1" applyFill="1" applyBorder="1"/>
    <xf numFmtId="165" fontId="16" fillId="0" borderId="4" xfId="0" applyNumberFormat="1" applyFont="1" applyFill="1" applyBorder="1"/>
    <xf numFmtId="165" fontId="17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/>
    <xf numFmtId="165" fontId="16" fillId="2" borderId="2" xfId="0" applyNumberFormat="1" applyFont="1" applyFill="1" applyBorder="1" applyAlignment="1">
      <alignment horizontal="left"/>
    </xf>
    <xf numFmtId="165" fontId="16" fillId="2" borderId="0" xfId="0" applyNumberFormat="1" applyFont="1" applyFill="1" applyAlignment="1">
      <alignment horizontal="center"/>
    </xf>
    <xf numFmtId="165" fontId="16" fillId="2" borderId="2" xfId="0" applyNumberFormat="1" applyFont="1" applyFill="1" applyBorder="1" applyAlignment="1"/>
    <xf numFmtId="165" fontId="16" fillId="2" borderId="11" xfId="0" applyNumberFormat="1" applyFont="1" applyFill="1" applyBorder="1" applyAlignment="1">
      <alignment horizontal="left"/>
    </xf>
    <xf numFmtId="165" fontId="16" fillId="2" borderId="11" xfId="0" applyNumberFormat="1" applyFont="1" applyFill="1" applyBorder="1" applyAlignment="1"/>
    <xf numFmtId="165" fontId="16" fillId="2" borderId="0" xfId="2" applyNumberFormat="1" applyFont="1" applyFill="1" applyBorder="1" applyAlignment="1">
      <alignment horizontal="left"/>
    </xf>
    <xf numFmtId="165" fontId="16" fillId="2" borderId="0" xfId="2" applyNumberFormat="1" applyFont="1" applyFill="1" applyBorder="1" applyAlignment="1">
      <alignment horizontal="right"/>
    </xf>
    <xf numFmtId="165" fontId="16" fillId="2" borderId="11" xfId="0" applyNumberFormat="1" applyFont="1" applyFill="1" applyBorder="1" applyAlignment="1">
      <alignment horizontal="right"/>
    </xf>
    <xf numFmtId="165" fontId="17" fillId="2" borderId="9" xfId="0" applyNumberFormat="1" applyFont="1" applyFill="1" applyBorder="1" applyAlignment="1">
      <alignment horizontal="left"/>
    </xf>
    <xf numFmtId="165" fontId="17" fillId="2" borderId="12" xfId="0" applyNumberFormat="1" applyFont="1" applyFill="1" applyBorder="1" applyAlignment="1"/>
    <xf numFmtId="165" fontId="16" fillId="2" borderId="0" xfId="0" applyNumberFormat="1" applyFont="1" applyFill="1" applyBorder="1" applyAlignment="1">
      <alignment horizontal="left"/>
    </xf>
    <xf numFmtId="165" fontId="16" fillId="2" borderId="0" xfId="0" applyNumberFormat="1" applyFont="1" applyFill="1" applyBorder="1" applyAlignment="1"/>
    <xf numFmtId="165" fontId="16" fillId="2" borderId="0" xfId="0" applyNumberFormat="1" applyFont="1" applyFill="1" applyBorder="1" applyAlignment="1">
      <alignment horizontal="center"/>
    </xf>
    <xf numFmtId="165" fontId="17" fillId="2" borderId="5" xfId="0" applyNumberFormat="1" applyFont="1" applyFill="1" applyBorder="1" applyAlignment="1">
      <alignment horizontal="left"/>
    </xf>
    <xf numFmtId="165" fontId="17" fillId="2" borderId="10" xfId="0" applyNumberFormat="1" applyFont="1" applyFill="1" applyBorder="1" applyAlignment="1">
      <alignment horizontal="left"/>
    </xf>
    <xf numFmtId="165" fontId="21" fillId="2" borderId="0" xfId="0" applyNumberFormat="1" applyFont="1" applyFill="1" applyAlignment="1"/>
    <xf numFmtId="165" fontId="17" fillId="2" borderId="12" xfId="0" applyNumberFormat="1" applyFont="1" applyFill="1" applyBorder="1" applyAlignment="1">
      <alignment horizontal="left"/>
    </xf>
    <xf numFmtId="165" fontId="17" fillId="2" borderId="0" xfId="0" applyNumberFormat="1" applyFont="1" applyFill="1" applyBorder="1" applyAlignment="1">
      <alignment horizontal="left"/>
    </xf>
    <xf numFmtId="165" fontId="17" fillId="2" borderId="0" xfId="0" applyNumberFormat="1" applyFont="1" applyFill="1" applyBorder="1" applyAlignment="1">
      <alignment horizontal="right"/>
    </xf>
    <xf numFmtId="165" fontId="17" fillId="2" borderId="5" xfId="0" applyNumberFormat="1" applyFont="1" applyFill="1" applyBorder="1" applyAlignment="1"/>
    <xf numFmtId="165" fontId="19" fillId="2" borderId="0" xfId="0" applyNumberFormat="1" applyFont="1" applyFill="1" applyBorder="1" applyAlignment="1">
      <alignment horizontal="center"/>
    </xf>
    <xf numFmtId="165" fontId="19" fillId="2" borderId="11" xfId="0" applyNumberFormat="1" applyFont="1" applyFill="1" applyBorder="1" applyAlignment="1">
      <alignment horizontal="center"/>
    </xf>
    <xf numFmtId="165" fontId="21" fillId="2" borderId="11" xfId="0" applyNumberFormat="1" applyFont="1" applyFill="1" applyBorder="1" applyAlignment="1"/>
    <xf numFmtId="165" fontId="23" fillId="3" borderId="0" xfId="0" applyNumberFormat="1" applyFont="1" applyFill="1" applyBorder="1" applyAlignment="1"/>
    <xf numFmtId="165" fontId="23" fillId="3" borderId="11" xfId="0" applyNumberFormat="1" applyFont="1" applyFill="1" applyBorder="1" applyAlignment="1"/>
    <xf numFmtId="165" fontId="23" fillId="3" borderId="0" xfId="0" applyNumberFormat="1" applyFont="1" applyFill="1" applyAlignment="1"/>
    <xf numFmtId="165" fontId="22" fillId="3" borderId="0" xfId="0" applyNumberFormat="1" applyFont="1" applyFill="1" applyAlignment="1"/>
    <xf numFmtId="165" fontId="22" fillId="3" borderId="11" xfId="0" applyNumberFormat="1" applyFont="1" applyFill="1" applyBorder="1" applyAlignment="1"/>
    <xf numFmtId="165" fontId="16" fillId="2" borderId="0" xfId="3" applyNumberFormat="1" applyFont="1" applyFill="1" applyBorder="1" applyAlignment="1"/>
    <xf numFmtId="165" fontId="16" fillId="2" borderId="11" xfId="3" applyNumberFormat="1" applyFont="1" applyFill="1" applyBorder="1" applyAlignment="1"/>
    <xf numFmtId="165" fontId="21" fillId="2" borderId="0" xfId="3" applyNumberFormat="1" applyFont="1" applyFill="1" applyBorder="1" applyAlignment="1"/>
    <xf numFmtId="165" fontId="21" fillId="2" borderId="11" xfId="3" applyNumberFormat="1" applyFont="1" applyFill="1" applyBorder="1" applyAlignment="1"/>
    <xf numFmtId="165" fontId="21" fillId="2" borderId="0" xfId="3" applyNumberFormat="1" applyFont="1" applyFill="1" applyAlignment="1"/>
    <xf numFmtId="165" fontId="16" fillId="2" borderId="0" xfId="3" applyNumberFormat="1" applyFont="1" applyFill="1" applyAlignment="1"/>
    <xf numFmtId="0" fontId="16" fillId="2" borderId="0" xfId="0" applyFont="1" applyFill="1" applyAlignment="1">
      <alignment vertical="center"/>
    </xf>
    <xf numFmtId="44" fontId="16" fillId="0" borderId="0" xfId="0" applyNumberFormat="1" applyFont="1"/>
    <xf numFmtId="167" fontId="16" fillId="0" borderId="1" xfId="0" applyNumberFormat="1" applyFont="1" applyBorder="1" applyAlignment="1">
      <alignment horizontal="left"/>
    </xf>
    <xf numFmtId="167" fontId="16" fillId="0" borderId="1" xfId="0" applyNumberFormat="1" applyFont="1" applyBorder="1"/>
    <xf numFmtId="167" fontId="16" fillId="0" borderId="8" xfId="0" applyNumberFormat="1" applyFont="1" applyBorder="1" applyAlignment="1">
      <alignment horizontal="right"/>
    </xf>
    <xf numFmtId="167" fontId="0" fillId="0" borderId="1" xfId="0" applyNumberFormat="1" applyFont="1" applyBorder="1"/>
    <xf numFmtId="167" fontId="16" fillId="0" borderId="3" xfId="0" applyNumberFormat="1" applyFont="1" applyBorder="1" applyAlignment="1">
      <alignment horizontal="left"/>
    </xf>
    <xf numFmtId="167" fontId="16" fillId="0" borderId="3" xfId="0" applyNumberFormat="1" applyFont="1" applyBorder="1"/>
    <xf numFmtId="167" fontId="17" fillId="0" borderId="15" xfId="0" applyNumberFormat="1" applyFont="1" applyBorder="1" applyAlignment="1">
      <alignment horizontal="right"/>
    </xf>
    <xf numFmtId="167" fontId="17" fillId="0" borderId="3" xfId="0" applyNumberFormat="1" applyFont="1" applyBorder="1" applyAlignment="1">
      <alignment horizontal="left"/>
    </xf>
    <xf numFmtId="167" fontId="0" fillId="0" borderId="3" xfId="0" applyNumberFormat="1" applyBorder="1"/>
    <xf numFmtId="167" fontId="17" fillId="0" borderId="5" xfId="0" applyNumberFormat="1" applyFont="1" applyBorder="1" applyAlignment="1">
      <alignment horizontal="left"/>
    </xf>
    <xf numFmtId="167" fontId="17" fillId="0" borderId="5" xfId="0" applyNumberFormat="1" applyFont="1" applyBorder="1"/>
    <xf numFmtId="167" fontId="17" fillId="0" borderId="14" xfId="0" applyNumberFormat="1" applyFont="1" applyBorder="1" applyAlignment="1">
      <alignment horizontal="right"/>
    </xf>
    <xf numFmtId="167" fontId="17" fillId="0" borderId="5" xfId="0" applyNumberFormat="1" applyFont="1" applyBorder="1" applyAlignment="1"/>
    <xf numFmtId="167" fontId="3" fillId="0" borderId="5" xfId="0" applyNumberFormat="1" applyFont="1" applyBorder="1"/>
    <xf numFmtId="167" fontId="16" fillId="0" borderId="5" xfId="0" applyNumberFormat="1" applyFont="1" applyBorder="1"/>
    <xf numFmtId="167" fontId="16" fillId="0" borderId="5" xfId="0" applyNumberFormat="1" applyFont="1" applyBorder="1" applyAlignment="1">
      <alignment horizontal="left"/>
    </xf>
    <xf numFmtId="167" fontId="0" fillId="0" borderId="5" xfId="0" applyNumberFormat="1" applyBorder="1"/>
    <xf numFmtId="167" fontId="17" fillId="0" borderId="14" xfId="0" applyNumberFormat="1" applyFont="1" applyBorder="1"/>
    <xf numFmtId="166" fontId="16" fillId="2" borderId="3" xfId="3" applyNumberFormat="1" applyFont="1" applyFill="1" applyBorder="1"/>
    <xf numFmtId="166" fontId="16" fillId="2" borderId="4" xfId="3" applyNumberFormat="1" applyFont="1" applyFill="1" applyBorder="1"/>
    <xf numFmtId="166" fontId="11" fillId="2" borderId="0" xfId="3" applyNumberFormat="1" applyFont="1" applyFill="1" applyBorder="1"/>
    <xf numFmtId="166" fontId="0" fillId="2" borderId="0" xfId="3" applyNumberFormat="1" applyFont="1" applyFill="1" applyBorder="1"/>
    <xf numFmtId="166" fontId="16" fillId="2" borderId="0" xfId="3" applyNumberFormat="1" applyFont="1" applyFill="1" applyBorder="1"/>
    <xf numFmtId="166" fontId="21" fillId="2" borderId="0" xfId="3" applyNumberFormat="1" applyFont="1" applyFill="1" applyBorder="1"/>
    <xf numFmtId="166" fontId="0" fillId="2" borderId="3" xfId="3" applyNumberFormat="1" applyFont="1" applyFill="1" applyBorder="1"/>
    <xf numFmtId="166" fontId="16" fillId="2" borderId="0" xfId="3" applyNumberFormat="1" applyFont="1" applyFill="1" applyAlignment="1">
      <alignment vertical="center"/>
    </xf>
    <xf numFmtId="166" fontId="16" fillId="2" borderId="0" xfId="3" applyNumberFormat="1" applyFont="1" applyFill="1" applyBorder="1" applyAlignment="1"/>
    <xf numFmtId="166" fontId="16" fillId="2" borderId="11" xfId="3" applyNumberFormat="1" applyFont="1" applyFill="1" applyBorder="1" applyAlignment="1"/>
    <xf numFmtId="166" fontId="21" fillId="2" borderId="0" xfId="3" applyNumberFormat="1" applyFont="1" applyFill="1" applyBorder="1" applyAlignment="1"/>
    <xf numFmtId="166" fontId="21" fillId="2" borderId="11" xfId="3" applyNumberFormat="1" applyFont="1" applyFill="1" applyBorder="1" applyAlignment="1"/>
    <xf numFmtId="166" fontId="21" fillId="2" borderId="0" xfId="3" applyNumberFormat="1" applyFont="1" applyFill="1" applyAlignment="1"/>
    <xf numFmtId="166" fontId="16" fillId="2" borderId="0" xfId="3" applyNumberFormat="1" applyFont="1" applyFill="1" applyAlignment="1"/>
    <xf numFmtId="165" fontId="11" fillId="2" borderId="0" xfId="2" applyNumberFormat="1" applyFont="1" applyFill="1" applyBorder="1" applyAlignment="1">
      <alignment horizontal="right"/>
    </xf>
    <xf numFmtId="165" fontId="17" fillId="0" borderId="10" xfId="0" applyNumberFormat="1" applyFont="1" applyBorder="1" applyAlignment="1"/>
    <xf numFmtId="165" fontId="17" fillId="0" borderId="5" xfId="0" applyNumberFormat="1" applyFont="1" applyBorder="1" applyAlignment="1"/>
    <xf numFmtId="165" fontId="17" fillId="0" borderId="10" xfId="0" applyNumberFormat="1" applyFont="1" applyBorder="1" applyAlignment="1">
      <alignment horizontal="left"/>
    </xf>
    <xf numFmtId="165" fontId="17" fillId="0" borderId="5" xfId="0" applyNumberFormat="1" applyFont="1" applyBorder="1" applyAlignment="1">
      <alignment horizontal="left"/>
    </xf>
    <xf numFmtId="165" fontId="17" fillId="0" borderId="10" xfId="0" applyNumberFormat="1" applyFont="1" applyBorder="1"/>
    <xf numFmtId="165" fontId="17" fillId="0" borderId="5" xfId="0" applyNumberFormat="1" applyFont="1" applyBorder="1"/>
    <xf numFmtId="165" fontId="16" fillId="0" borderId="2" xfId="0" applyNumberFormat="1" applyFont="1" applyBorder="1" applyAlignment="1">
      <alignment horizontal="left"/>
    </xf>
    <xf numFmtId="165" fontId="16" fillId="0" borderId="1" xfId="0" applyNumberFormat="1" applyFont="1" applyBorder="1"/>
    <xf numFmtId="165" fontId="16" fillId="0" borderId="1" xfId="0" applyNumberFormat="1" applyFont="1" applyBorder="1" applyAlignment="1">
      <alignment horizontal="left"/>
    </xf>
    <xf numFmtId="165" fontId="17" fillId="0" borderId="4" xfId="0" applyNumberFormat="1" applyFont="1" applyBorder="1" applyAlignment="1">
      <alignment horizontal="left"/>
    </xf>
    <xf numFmtId="165" fontId="17" fillId="0" borderId="3" xfId="0" applyNumberFormat="1" applyFont="1" applyBorder="1"/>
    <xf numFmtId="165" fontId="17" fillId="0" borderId="3" xfId="0" applyNumberFormat="1" applyFont="1" applyBorder="1" applyAlignment="1">
      <alignment horizontal="left"/>
    </xf>
    <xf numFmtId="165" fontId="5" fillId="3" borderId="0" xfId="0" applyNumberFormat="1" applyFont="1" applyFill="1"/>
    <xf numFmtId="0" fontId="16" fillId="0" borderId="0" xfId="0" applyFont="1" applyFill="1" applyBorder="1"/>
    <xf numFmtId="166" fontId="16" fillId="0" borderId="0" xfId="3" applyNumberFormat="1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166" fontId="11" fillId="0" borderId="0" xfId="3" applyNumberFormat="1" applyFont="1" applyFill="1" applyBorder="1"/>
    <xf numFmtId="166" fontId="0" fillId="0" borderId="0" xfId="3" applyNumberFormat="1" applyFont="1" applyFill="1" applyBorder="1"/>
    <xf numFmtId="165" fontId="16" fillId="0" borderId="0" xfId="0" applyNumberFormat="1" applyFont="1" applyFill="1" applyBorder="1"/>
    <xf numFmtId="9" fontId="16" fillId="0" borderId="0" xfId="3" applyFont="1" applyFill="1" applyBorder="1"/>
    <xf numFmtId="1" fontId="11" fillId="0" borderId="3" xfId="0" applyNumberFormat="1" applyFont="1" applyBorder="1"/>
    <xf numFmtId="202" fontId="100" fillId="0" borderId="0" xfId="4" applyNumberFormat="1" applyFont="1"/>
    <xf numFmtId="0" fontId="11" fillId="2" borderId="0" xfId="0" applyFont="1" applyFill="1" applyAlignment="1">
      <alignment horizontal="left" indent="1"/>
    </xf>
    <xf numFmtId="0" fontId="11" fillId="2" borderId="40" xfId="0" applyFont="1" applyFill="1" applyBorder="1" applyAlignment="1">
      <alignment horizontal="left"/>
    </xf>
    <xf numFmtId="165" fontId="11" fillId="2" borderId="40" xfId="0" applyNumberFormat="1" applyFont="1" applyFill="1" applyBorder="1"/>
    <xf numFmtId="0" fontId="11" fillId="2" borderId="40" xfId="0" applyFont="1" applyFill="1" applyBorder="1"/>
    <xf numFmtId="165" fontId="16" fillId="2" borderId="40" xfId="0" applyNumberFormat="1" applyFont="1" applyFill="1" applyBorder="1"/>
    <xf numFmtId="165" fontId="16" fillId="2" borderId="10" xfId="0" applyNumberFormat="1" applyFont="1" applyFill="1" applyBorder="1"/>
    <xf numFmtId="0" fontId="16" fillId="2" borderId="11" xfId="0" applyFont="1" applyFill="1" applyBorder="1"/>
    <xf numFmtId="0" fontId="16" fillId="2" borderId="40" xfId="0" applyFont="1" applyFill="1" applyBorder="1"/>
    <xf numFmtId="0" fontId="16" fillId="2" borderId="10" xfId="0" applyFont="1" applyFill="1" applyBorder="1"/>
    <xf numFmtId="0" fontId="11" fillId="2" borderId="0" xfId="0" applyFont="1" applyFill="1" applyBorder="1"/>
    <xf numFmtId="165" fontId="16" fillId="2" borderId="0" xfId="0" applyNumberFormat="1" applyFont="1" applyFill="1" applyBorder="1"/>
    <xf numFmtId="0" fontId="11" fillId="2" borderId="0" xfId="0" applyFont="1" applyFill="1" applyBorder="1" applyAlignment="1">
      <alignment horizontal="left" indent="1"/>
    </xf>
    <xf numFmtId="0" fontId="23" fillId="3" borderId="6" xfId="0" applyFont="1" applyFill="1" applyBorder="1"/>
    <xf numFmtId="0" fontId="23" fillId="3" borderId="3" xfId="0" applyFont="1" applyFill="1" applyBorder="1"/>
    <xf numFmtId="14" fontId="23" fillId="3" borderId="3" xfId="0" applyNumberFormat="1" applyFont="1" applyFill="1" applyBorder="1"/>
    <xf numFmtId="14" fontId="23" fillId="3" borderId="4" xfId="0" applyNumberFormat="1" applyFont="1" applyFill="1" applyBorder="1"/>
    <xf numFmtId="14" fontId="23" fillId="3" borderId="34" xfId="0" applyNumberFormat="1" applyFont="1" applyFill="1" applyBorder="1"/>
    <xf numFmtId="165" fontId="16" fillId="0" borderId="0" xfId="0" applyNumberFormat="1" applyFont="1" applyAlignment="1">
      <alignment horizontal="left" indent="1"/>
    </xf>
    <xf numFmtId="165" fontId="16" fillId="0" borderId="6" xfId="0" applyNumberFormat="1" applyFont="1" applyBorder="1"/>
    <xf numFmtId="165" fontId="16" fillId="0" borderId="37" xfId="0" applyNumberFormat="1" applyFont="1" applyBorder="1" applyAlignment="1">
      <alignment horizontal="left" indent="1"/>
    </xf>
    <xf numFmtId="165" fontId="16" fillId="0" borderId="37" xfId="0" applyNumberFormat="1" applyFont="1" applyBorder="1"/>
    <xf numFmtId="165" fontId="16" fillId="0" borderId="39" xfId="0" applyNumberFormat="1" applyFont="1" applyBorder="1"/>
    <xf numFmtId="165" fontId="16" fillId="0" borderId="38" xfId="0" applyNumberFormat="1" applyFont="1" applyBorder="1"/>
    <xf numFmtId="0" fontId="16" fillId="0" borderId="6" xfId="0" applyFont="1" applyBorder="1"/>
    <xf numFmtId="166" fontId="11" fillId="0" borderId="37" xfId="3" applyNumberFormat="1" applyFont="1" applyFill="1" applyBorder="1"/>
    <xf numFmtId="166" fontId="11" fillId="2" borderId="37" xfId="3" applyNumberFormat="1" applyFont="1" applyFill="1" applyBorder="1"/>
    <xf numFmtId="166" fontId="0" fillId="2" borderId="37" xfId="3" applyNumberFormat="1" applyFont="1" applyFill="1" applyBorder="1"/>
    <xf numFmtId="166" fontId="16" fillId="2" borderId="37" xfId="3" applyNumberFormat="1" applyFont="1" applyFill="1" applyBorder="1"/>
    <xf numFmtId="166" fontId="16" fillId="2" borderId="39" xfId="3" applyNumberFormat="1" applyFont="1" applyFill="1" applyBorder="1"/>
    <xf numFmtId="166" fontId="21" fillId="2" borderId="39" xfId="3" applyNumberFormat="1" applyFont="1" applyFill="1" applyBorder="1"/>
    <xf numFmtId="166" fontId="10" fillId="2" borderId="0" xfId="3" applyNumberFormat="1" applyFont="1" applyFill="1"/>
    <xf numFmtId="0" fontId="10" fillId="2" borderId="37" xfId="0" applyFont="1" applyFill="1" applyBorder="1" applyAlignment="1">
      <alignment horizontal="left"/>
    </xf>
    <xf numFmtId="165" fontId="10" fillId="2" borderId="37" xfId="0" applyNumberFormat="1" applyFont="1" applyFill="1" applyBorder="1"/>
    <xf numFmtId="0" fontId="10" fillId="2" borderId="37" xfId="0" applyFont="1" applyFill="1" applyBorder="1"/>
    <xf numFmtId="0" fontId="3" fillId="2" borderId="39" xfId="0" applyFont="1" applyFill="1" applyBorder="1"/>
    <xf numFmtId="165" fontId="17" fillId="2" borderId="37" xfId="0" applyNumberFormat="1" applyFont="1" applyFill="1" applyBorder="1"/>
    <xf numFmtId="165" fontId="17" fillId="2" borderId="39" xfId="0" applyNumberFormat="1" applyFont="1" applyFill="1" applyBorder="1"/>
    <xf numFmtId="165" fontId="11" fillId="2" borderId="5" xfId="0" applyNumberFormat="1" applyFont="1" applyFill="1" applyBorder="1" applyAlignment="1">
      <alignment horizontal="left"/>
    </xf>
    <xf numFmtId="165" fontId="11" fillId="2" borderId="5" xfId="0" applyNumberFormat="1" applyFont="1" applyFill="1" applyBorder="1"/>
    <xf numFmtId="0" fontId="0" fillId="2" borderId="10" xfId="0" applyFont="1" applyFill="1" applyBorder="1"/>
    <xf numFmtId="165" fontId="16" fillId="2" borderId="5" xfId="0" applyNumberFormat="1" applyFont="1" applyFill="1" applyBorder="1"/>
    <xf numFmtId="165" fontId="17" fillId="0" borderId="0" xfId="0" applyNumberFormat="1" applyFont="1"/>
    <xf numFmtId="203" fontId="16" fillId="0" borderId="39" xfId="0" applyNumberFormat="1" applyFont="1" applyBorder="1"/>
    <xf numFmtId="203" fontId="16" fillId="0" borderId="38" xfId="0" applyNumberFormat="1" applyFont="1" applyBorder="1"/>
    <xf numFmtId="43" fontId="16" fillId="2" borderId="0" xfId="2" applyFont="1" applyFill="1" applyBorder="1"/>
    <xf numFmtId="43" fontId="11" fillId="0" borderId="0" xfId="2" applyFont="1" applyFill="1" applyBorder="1"/>
    <xf numFmtId="43" fontId="11" fillId="2" borderId="0" xfId="2" applyFont="1" applyFill="1" applyBorder="1" applyAlignment="1">
      <alignment horizontal="left" indent="1"/>
    </xf>
    <xf numFmtId="43" fontId="0" fillId="2" borderId="0" xfId="2" applyFont="1" applyFill="1" applyBorder="1"/>
    <xf numFmtId="43" fontId="16" fillId="2" borderId="11" xfId="2" applyFont="1" applyFill="1" applyBorder="1"/>
    <xf numFmtId="166" fontId="101" fillId="2" borderId="0" xfId="3" applyNumberFormat="1" applyFont="1" applyFill="1" applyBorder="1"/>
    <xf numFmtId="166" fontId="101" fillId="2" borderId="11" xfId="3" applyNumberFormat="1" applyFont="1" applyFill="1" applyBorder="1"/>
    <xf numFmtId="43" fontId="101" fillId="2" borderId="0" xfId="2" applyFont="1" applyFill="1" applyBorder="1"/>
    <xf numFmtId="43" fontId="101" fillId="2" borderId="11" xfId="2" applyFont="1" applyFill="1" applyBorder="1"/>
    <xf numFmtId="166" fontId="101" fillId="2" borderId="3" xfId="3" applyNumberFormat="1" applyFont="1" applyFill="1" applyBorder="1"/>
    <xf numFmtId="166" fontId="101" fillId="2" borderId="4" xfId="3" applyNumberFormat="1" applyFont="1" applyFill="1" applyBorder="1"/>
    <xf numFmtId="166" fontId="101" fillId="2" borderId="0" xfId="3" applyNumberFormat="1" applyFont="1" applyFill="1"/>
    <xf numFmtId="0" fontId="16" fillId="0" borderId="35" xfId="0" applyFont="1" applyBorder="1"/>
    <xf numFmtId="0" fontId="16" fillId="0" borderId="41" xfId="0" applyFont="1" applyBorder="1"/>
    <xf numFmtId="0" fontId="16" fillId="0" borderId="0" xfId="0" applyFont="1" applyBorder="1"/>
    <xf numFmtId="0" fontId="16" fillId="0" borderId="0" xfId="0" applyFont="1" applyAlignment="1">
      <alignment horizontal="center"/>
    </xf>
    <xf numFmtId="9" fontId="101" fillId="0" borderId="0" xfId="0" applyNumberFormat="1" applyFont="1"/>
    <xf numFmtId="1" fontId="16" fillId="0" borderId="0" xfId="0" applyNumberFormat="1" applyFont="1" applyBorder="1"/>
    <xf numFmtId="1" fontId="101" fillId="0" borderId="0" xfId="0" applyNumberFormat="1" applyFont="1" applyBorder="1"/>
    <xf numFmtId="0" fontId="16" fillId="0" borderId="42" xfId="0" applyFont="1" applyBorder="1"/>
    <xf numFmtId="1" fontId="16" fillId="0" borderId="43" xfId="0" applyNumberFormat="1" applyFont="1" applyBorder="1"/>
    <xf numFmtId="1" fontId="16" fillId="0" borderId="44" xfId="0" applyNumberFormat="1" applyFont="1" applyBorder="1"/>
    <xf numFmtId="1" fontId="102" fillId="0" borderId="0" xfId="0" applyNumberFormat="1" applyFont="1" applyBorder="1"/>
    <xf numFmtId="2" fontId="6" fillId="3" borderId="0" xfId="2" applyNumberFormat="1" applyFont="1" applyFill="1" applyAlignment="1">
      <alignment horizontal="right"/>
    </xf>
    <xf numFmtId="165" fontId="102" fillId="2" borderId="11" xfId="0" applyNumberFormat="1" applyFont="1" applyFill="1" applyBorder="1"/>
    <xf numFmtId="1" fontId="16" fillId="0" borderId="35" xfId="0" applyNumberFormat="1" applyFont="1" applyBorder="1"/>
    <xf numFmtId="1" fontId="16" fillId="0" borderId="41" xfId="0" applyNumberFormat="1" applyFont="1" applyBorder="1"/>
    <xf numFmtId="1" fontId="16" fillId="0" borderId="0" xfId="0" applyNumberFormat="1" applyFont="1"/>
    <xf numFmtId="1" fontId="11" fillId="0" borderId="0" xfId="0" applyNumberFormat="1" applyFont="1" applyFill="1" applyBorder="1" applyAlignment="1" applyProtection="1">
      <alignment horizontal="right"/>
    </xf>
    <xf numFmtId="1" fontId="16" fillId="0" borderId="6" xfId="0" applyNumberFormat="1" applyFont="1" applyBorder="1"/>
    <xf numFmtId="1" fontId="16" fillId="2" borderId="0" xfId="0" applyNumberFormat="1" applyFont="1" applyFill="1" applyBorder="1"/>
    <xf numFmtId="165" fontId="101" fillId="0" borderId="11" xfId="0" applyNumberFormat="1" applyFont="1" applyFill="1" applyBorder="1"/>
    <xf numFmtId="9" fontId="16" fillId="2" borderId="0" xfId="3" applyNumberFormat="1" applyFont="1" applyFill="1" applyBorder="1"/>
    <xf numFmtId="0" fontId="0" fillId="2" borderId="6" xfId="0" applyFill="1" applyBorder="1"/>
    <xf numFmtId="165" fontId="16" fillId="2" borderId="6" xfId="0" applyNumberFormat="1" applyFont="1" applyFill="1" applyBorder="1"/>
    <xf numFmtId="165" fontId="16" fillId="3" borderId="6" xfId="0" applyNumberFormat="1" applyFont="1" applyFill="1" applyBorder="1"/>
    <xf numFmtId="166" fontId="16" fillId="2" borderId="6" xfId="3" applyNumberFormat="1" applyFont="1" applyFill="1" applyBorder="1"/>
    <xf numFmtId="166" fontId="16" fillId="2" borderId="38" xfId="3" applyNumberFormat="1" applyFont="1" applyFill="1" applyBorder="1"/>
    <xf numFmtId="43" fontId="16" fillId="2" borderId="6" xfId="2" applyFont="1" applyFill="1" applyBorder="1"/>
    <xf numFmtId="166" fontId="16" fillId="2" borderId="34" xfId="3" applyNumberFormat="1" applyFont="1" applyFill="1" applyBorder="1"/>
    <xf numFmtId="0" fontId="16" fillId="2" borderId="6" xfId="0" applyFont="1" applyFill="1" applyBorder="1"/>
    <xf numFmtId="10" fontId="16" fillId="0" borderId="0" xfId="0" applyNumberFormat="1" applyFont="1"/>
    <xf numFmtId="204" fontId="17" fillId="0" borderId="0" xfId="0" applyNumberFormat="1" applyFont="1"/>
    <xf numFmtId="204" fontId="17" fillId="0" borderId="6" xfId="0" applyNumberFormat="1" applyFont="1" applyBorder="1"/>
    <xf numFmtId="0" fontId="16" fillId="0" borderId="34" xfId="0" applyFont="1" applyBorder="1"/>
    <xf numFmtId="0" fontId="16" fillId="0" borderId="3" xfId="0" applyFont="1" applyBorder="1"/>
    <xf numFmtId="2" fontId="16" fillId="0" borderId="34" xfId="0" applyNumberFormat="1" applyFont="1" applyBorder="1"/>
    <xf numFmtId="1" fontId="16" fillId="0" borderId="13" xfId="0" applyNumberFormat="1" applyFont="1" applyBorder="1"/>
    <xf numFmtId="1" fontId="102" fillId="0" borderId="13" xfId="0" applyNumberFormat="1" applyFont="1" applyBorder="1"/>
    <xf numFmtId="0" fontId="16" fillId="0" borderId="15" xfId="0" applyFont="1" applyBorder="1"/>
    <xf numFmtId="166" fontId="101" fillId="0" borderId="6" xfId="0" applyNumberFormat="1" applyFont="1" applyBorder="1"/>
    <xf numFmtId="0" fontId="10" fillId="2" borderId="0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9" fontId="16" fillId="2" borderId="11" xfId="0" applyNumberFormat="1" applyFont="1" applyFill="1" applyBorder="1"/>
    <xf numFmtId="0" fontId="16" fillId="2" borderId="0" xfId="0" applyFont="1" applyFill="1" applyAlignment="1">
      <alignment horizontal="left" vertical="center" indent="4"/>
    </xf>
    <xf numFmtId="165" fontId="103" fillId="0" borderId="0" xfId="0" applyNumberFormat="1" applyFont="1" applyAlignment="1">
      <alignment horizontal="left"/>
    </xf>
    <xf numFmtId="165" fontId="103" fillId="0" borderId="11" xfId="0" applyNumberFormat="1" applyFont="1" applyBorder="1" applyAlignment="1">
      <alignment horizontal="left"/>
    </xf>
    <xf numFmtId="165" fontId="103" fillId="0" borderId="0" xfId="0" applyNumberFormat="1" applyFont="1"/>
    <xf numFmtId="165" fontId="16" fillId="19" borderId="0" xfId="0" applyNumberFormat="1" applyFont="1" applyFill="1"/>
    <xf numFmtId="165" fontId="16" fillId="19" borderId="40" xfId="0" applyNumberFormat="1" applyFont="1" applyFill="1" applyBorder="1"/>
    <xf numFmtId="165" fontId="16" fillId="19" borderId="0" xfId="0" applyNumberFormat="1" applyFont="1" applyFill="1" applyBorder="1"/>
    <xf numFmtId="165" fontId="17" fillId="19" borderId="37" xfId="0" applyNumberFormat="1" applyFont="1" applyFill="1" applyBorder="1"/>
    <xf numFmtId="165" fontId="16" fillId="19" borderId="5" xfId="0" applyNumberFormat="1" applyFont="1" applyFill="1" applyBorder="1"/>
    <xf numFmtId="165" fontId="17" fillId="19" borderId="0" xfId="0" applyNumberFormat="1" applyFont="1" applyFill="1"/>
    <xf numFmtId="165" fontId="17" fillId="19" borderId="0" xfId="2" applyNumberFormat="1" applyFont="1" applyFill="1"/>
    <xf numFmtId="165" fontId="17" fillId="19" borderId="5" xfId="0" applyNumberFormat="1" applyFont="1" applyFill="1" applyBorder="1"/>
    <xf numFmtId="165" fontId="17" fillId="19" borderId="9" xfId="0" applyNumberFormat="1" applyFont="1" applyFill="1" applyBorder="1"/>
    <xf numFmtId="165" fontId="16" fillId="19" borderId="0" xfId="2" applyNumberFormat="1" applyFont="1" applyFill="1" applyBorder="1" applyAlignment="1">
      <alignment horizontal="right"/>
    </xf>
    <xf numFmtId="165" fontId="17" fillId="19" borderId="9" xfId="0" applyNumberFormat="1" applyFont="1" applyFill="1" applyBorder="1" applyAlignment="1">
      <alignment horizontal="left"/>
    </xf>
    <xf numFmtId="165" fontId="16" fillId="19" borderId="0" xfId="0" applyNumberFormat="1" applyFont="1" applyFill="1" applyBorder="1" applyAlignment="1"/>
    <xf numFmtId="165" fontId="17" fillId="19" borderId="5" xfId="0" applyNumberFormat="1" applyFont="1" applyFill="1" applyBorder="1" applyAlignment="1">
      <alignment horizontal="left"/>
    </xf>
    <xf numFmtId="165" fontId="16" fillId="19" borderId="0" xfId="0" applyNumberFormat="1" applyFont="1" applyFill="1" applyBorder="1" applyAlignment="1">
      <alignment horizontal="left"/>
    </xf>
    <xf numFmtId="165" fontId="17" fillId="19" borderId="5" xfId="0" applyNumberFormat="1" applyFont="1" applyFill="1" applyBorder="1" applyAlignment="1"/>
    <xf numFmtId="165" fontId="16" fillId="19" borderId="0" xfId="0" applyNumberFormat="1" applyFont="1" applyFill="1" applyAlignment="1"/>
    <xf numFmtId="165" fontId="101" fillId="0" borderId="6" xfId="0" applyNumberFormat="1" applyFont="1" applyBorder="1"/>
    <xf numFmtId="165" fontId="101" fillId="0" borderId="0" xfId="0" applyNumberFormat="1" applyFont="1"/>
    <xf numFmtId="9" fontId="16" fillId="0" borderId="0" xfId="0" applyNumberFormat="1" applyFont="1"/>
    <xf numFmtId="165" fontId="16" fillId="0" borderId="40" xfId="0" applyNumberFormat="1" applyFont="1" applyFill="1" applyBorder="1"/>
    <xf numFmtId="165" fontId="17" fillId="0" borderId="37" xfId="0" applyNumberFormat="1" applyFont="1" applyFill="1" applyBorder="1"/>
    <xf numFmtId="165" fontId="16" fillId="0" borderId="5" xfId="0" applyNumberFormat="1" applyFont="1" applyFill="1" applyBorder="1"/>
    <xf numFmtId="165" fontId="17" fillId="0" borderId="0" xfId="0" applyNumberFormat="1" applyFont="1" applyFill="1"/>
    <xf numFmtId="165" fontId="17" fillId="0" borderId="0" xfId="2" applyNumberFormat="1" applyFont="1" applyFill="1"/>
    <xf numFmtId="165" fontId="17" fillId="0" borderId="5" xfId="0" applyNumberFormat="1" applyFont="1" applyFill="1" applyBorder="1"/>
    <xf numFmtId="165" fontId="17" fillId="0" borderId="9" xfId="0" applyNumberFormat="1" applyFont="1" applyFill="1" applyBorder="1"/>
    <xf numFmtId="165" fontId="16" fillId="0" borderId="0" xfId="0" applyNumberFormat="1" applyFont="1" applyFill="1" applyAlignment="1"/>
    <xf numFmtId="165" fontId="16" fillId="0" borderId="0" xfId="2" applyNumberFormat="1" applyFont="1" applyFill="1" applyBorder="1" applyAlignment="1">
      <alignment horizontal="right"/>
    </xf>
    <xf numFmtId="165" fontId="17" fillId="0" borderId="9" xfId="0" applyNumberFormat="1" applyFont="1" applyFill="1" applyBorder="1" applyAlignment="1">
      <alignment horizontal="left"/>
    </xf>
    <xf numFmtId="165" fontId="16" fillId="0" borderId="0" xfId="0" applyNumberFormat="1" applyFont="1" applyFill="1" applyBorder="1" applyAlignment="1"/>
    <xf numFmtId="165" fontId="17" fillId="0" borderId="5" xfId="0" applyNumberFormat="1" applyFont="1" applyFill="1" applyBorder="1" applyAlignment="1">
      <alignment horizontal="left"/>
    </xf>
    <xf numFmtId="165" fontId="16" fillId="0" borderId="0" xfId="0" applyNumberFormat="1" applyFont="1" applyFill="1" applyBorder="1" applyAlignment="1">
      <alignment horizontal="left"/>
    </xf>
    <xf numFmtId="165" fontId="17" fillId="0" borderId="5" xfId="0" applyNumberFormat="1" applyFont="1" applyFill="1" applyBorder="1" applyAlignment="1"/>
    <xf numFmtId="165" fontId="11" fillId="19" borderId="0" xfId="2" applyNumberFormat="1" applyFont="1" applyFill="1" applyBorder="1" applyAlignment="1">
      <alignment horizontal="right"/>
    </xf>
    <xf numFmtId="165" fontId="103" fillId="0" borderId="0" xfId="0" applyNumberFormat="1" applyFont="1" applyFill="1" applyAlignment="1">
      <alignment horizontal="left"/>
    </xf>
    <xf numFmtId="165" fontId="16" fillId="0" borderId="0" xfId="0" applyNumberFormat="1" applyFont="1" applyFill="1" applyBorder="1" applyAlignment="1">
      <alignment horizontal="right"/>
    </xf>
    <xf numFmtId="165" fontId="16" fillId="0" borderId="0" xfId="0" applyNumberFormat="1" applyFont="1" applyFill="1" applyAlignment="1">
      <alignment horizontal="right"/>
    </xf>
    <xf numFmtId="165" fontId="17" fillId="0" borderId="0" xfId="0" applyNumberFormat="1" applyFont="1" applyFill="1" applyBorder="1" applyAlignment="1">
      <alignment horizontal="left"/>
    </xf>
    <xf numFmtId="165" fontId="16" fillId="0" borderId="1" xfId="0" applyNumberFormat="1" applyFont="1" applyFill="1" applyBorder="1" applyAlignment="1">
      <alignment horizontal="left"/>
    </xf>
    <xf numFmtId="165" fontId="17" fillId="0" borderId="3" xfId="0" applyNumberFormat="1" applyFont="1" applyFill="1" applyBorder="1" applyAlignment="1">
      <alignment horizontal="left"/>
    </xf>
    <xf numFmtId="165" fontId="11" fillId="0" borderId="6" xfId="0" applyNumberFormat="1" applyFont="1" applyBorder="1"/>
    <xf numFmtId="9" fontId="16" fillId="2" borderId="11" xfId="3" applyFont="1" applyFill="1" applyBorder="1"/>
    <xf numFmtId="164" fontId="17" fillId="2" borderId="0" xfId="0" applyNumberFormat="1" applyFont="1" applyFill="1" applyAlignment="1">
      <alignment horizontal="left"/>
    </xf>
    <xf numFmtId="164" fontId="17" fillId="2" borderId="0" xfId="0" applyNumberFormat="1" applyFont="1" applyFill="1"/>
    <xf numFmtId="164" fontId="3" fillId="2" borderId="11" xfId="0" applyNumberFormat="1" applyFont="1" applyFill="1" applyBorder="1"/>
    <xf numFmtId="164" fontId="17" fillId="2" borderId="11" xfId="0" applyNumberFormat="1" applyFont="1" applyFill="1" applyBorder="1"/>
    <xf numFmtId="14" fontId="16" fillId="0" borderId="0" xfId="0" applyNumberFormat="1" applyFont="1"/>
    <xf numFmtId="0" fontId="16" fillId="0" borderId="0" xfId="0" applyNumberFormat="1" applyFont="1" applyFill="1"/>
    <xf numFmtId="2" fontId="16" fillId="0" borderId="6" xfId="0" applyNumberFormat="1" applyFont="1" applyBorder="1"/>
    <xf numFmtId="165" fontId="16" fillId="0" borderId="0" xfId="2" applyNumberFormat="1" applyFont="1" applyFill="1"/>
    <xf numFmtId="165" fontId="11" fillId="0" borderId="0" xfId="2" applyNumberFormat="1" applyFont="1" applyFill="1" applyBorder="1" applyAlignment="1">
      <alignment horizontal="right"/>
    </xf>
    <xf numFmtId="165" fontId="16" fillId="0" borderId="0" xfId="0" applyNumberFormat="1" applyFont="1" applyFill="1" applyBorder="1" applyAlignment="1">
      <alignment horizontal="center"/>
    </xf>
    <xf numFmtId="165" fontId="16" fillId="0" borderId="0" xfId="0" applyNumberFormat="1" applyFont="1" applyFill="1" applyAlignment="1">
      <alignment horizontal="center"/>
    </xf>
    <xf numFmtId="165" fontId="103" fillId="0" borderId="0" xfId="0" applyNumberFormat="1" applyFont="1" applyFill="1"/>
    <xf numFmtId="165" fontId="16" fillId="0" borderId="1" xfId="0" applyNumberFormat="1" applyFont="1" applyFill="1" applyBorder="1"/>
    <xf numFmtId="165" fontId="17" fillId="0" borderId="3" xfId="0" applyNumberFormat="1" applyFont="1" applyFill="1" applyBorder="1"/>
    <xf numFmtId="166" fontId="16" fillId="0" borderId="0" xfId="3" applyNumberFormat="1" applyFont="1"/>
    <xf numFmtId="165" fontId="17" fillId="0" borderId="0" xfId="0" applyNumberFormat="1" applyFont="1" applyFill="1" applyBorder="1" applyAlignment="1">
      <alignment horizontal="right"/>
    </xf>
    <xf numFmtId="165" fontId="11" fillId="0" borderId="0" xfId="0" applyNumberFormat="1" applyFont="1"/>
    <xf numFmtId="165" fontId="11" fillId="2" borderId="11" xfId="0" applyNumberFormat="1" applyFont="1" applyFill="1" applyBorder="1"/>
    <xf numFmtId="1" fontId="11" fillId="0" borderId="0" xfId="0" applyNumberFormat="1" applyFont="1" applyBorder="1"/>
    <xf numFmtId="1" fontId="11" fillId="2" borderId="0" xfId="0" applyNumberFormat="1" applyFont="1" applyFill="1" applyBorder="1"/>
    <xf numFmtId="1" fontId="11" fillId="0" borderId="35" xfId="0" applyNumberFormat="1" applyFont="1" applyBorder="1"/>
    <xf numFmtId="2" fontId="11" fillId="0" borderId="3" xfId="0" applyNumberFormat="1" applyFont="1" applyBorder="1"/>
    <xf numFmtId="1" fontId="11" fillId="0" borderId="3" xfId="0" applyNumberFormat="1" applyFont="1" applyFill="1" applyBorder="1" applyAlignment="1" applyProtection="1">
      <alignment horizontal="right"/>
    </xf>
    <xf numFmtId="1" fontId="102" fillId="0" borderId="3" xfId="0" applyNumberFormat="1" applyFont="1" applyBorder="1"/>
    <xf numFmtId="1" fontId="101" fillId="0" borderId="35" xfId="0" applyNumberFormat="1" applyFont="1" applyBorder="1"/>
    <xf numFmtId="166" fontId="101" fillId="0" borderId="0" xfId="0" applyNumberFormat="1" applyFont="1" applyBorder="1"/>
    <xf numFmtId="9" fontId="16" fillId="0" borderId="0" xfId="3" applyFont="1"/>
    <xf numFmtId="14" fontId="16" fillId="2" borderId="0" xfId="3" applyNumberFormat="1" applyFont="1" applyFill="1" applyBorder="1" applyAlignment="1"/>
    <xf numFmtId="165" fontId="104" fillId="2" borderId="0" xfId="0" applyNumberFormat="1" applyFont="1" applyFill="1"/>
    <xf numFmtId="43" fontId="104" fillId="2" borderId="11" xfId="2" applyFont="1" applyFill="1" applyBorder="1"/>
    <xf numFmtId="43" fontId="104" fillId="2" borderId="0" xfId="2" applyFont="1" applyFill="1"/>
    <xf numFmtId="165" fontId="19" fillId="19" borderId="0" xfId="0" applyNumberFormat="1" applyFont="1" applyFill="1" applyBorder="1" applyAlignment="1">
      <alignment horizontal="center"/>
    </xf>
    <xf numFmtId="205" fontId="16" fillId="0" borderId="0" xfId="0" applyNumberFormat="1" applyFont="1"/>
    <xf numFmtId="165" fontId="19" fillId="0" borderId="0" xfId="0" applyNumberFormat="1" applyFont="1" applyFill="1" applyBorder="1" applyAlignment="1">
      <alignment horizontal="center"/>
    </xf>
    <xf numFmtId="167" fontId="17" fillId="0" borderId="3" xfId="0" applyNumberFormat="1" applyFont="1" applyFill="1" applyBorder="1"/>
    <xf numFmtId="167" fontId="17" fillId="0" borderId="10" xfId="0" applyNumberFormat="1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4" fillId="0" borderId="0" xfId="0" applyFont="1" applyFill="1" applyBorder="1"/>
    <xf numFmtId="166" fontId="105" fillId="0" borderId="11" xfId="3" applyNumberFormat="1" applyFont="1" applyFill="1" applyBorder="1" applyAlignment="1"/>
    <xf numFmtId="166" fontId="105" fillId="0" borderId="39" xfId="3" applyNumberFormat="1" applyFont="1" applyFill="1" applyBorder="1" applyAlignment="1"/>
    <xf numFmtId="205" fontId="16" fillId="0" borderId="6" xfId="0" applyNumberFormat="1" applyFont="1" applyBorder="1"/>
    <xf numFmtId="165" fontId="11" fillId="0" borderId="11" xfId="0" applyNumberFormat="1" applyFont="1" applyFill="1" applyBorder="1"/>
    <xf numFmtId="165" fontId="16" fillId="0" borderId="10" xfId="0" applyNumberFormat="1" applyFont="1" applyFill="1" applyBorder="1"/>
    <xf numFmtId="165" fontId="17" fillId="0" borderId="39" xfId="0" applyNumberFormat="1" applyFont="1" applyFill="1" applyBorder="1"/>
    <xf numFmtId="165" fontId="17" fillId="0" borderId="11" xfId="0" applyNumberFormat="1" applyFont="1" applyFill="1" applyBorder="1"/>
    <xf numFmtId="165" fontId="17" fillId="0" borderId="10" xfId="0" applyNumberFormat="1" applyFont="1" applyFill="1" applyBorder="1"/>
    <xf numFmtId="165" fontId="17" fillId="0" borderId="12" xfId="0" applyNumberFormat="1" applyFont="1" applyFill="1" applyBorder="1"/>
    <xf numFmtId="165" fontId="16" fillId="0" borderId="11" xfId="0" applyNumberFormat="1" applyFont="1" applyFill="1" applyBorder="1" applyAlignment="1">
      <alignment horizontal="right"/>
    </xf>
    <xf numFmtId="165" fontId="17" fillId="0" borderId="12" xfId="0" applyNumberFormat="1" applyFont="1" applyFill="1" applyBorder="1" applyAlignment="1"/>
    <xf numFmtId="165" fontId="16" fillId="0" borderId="11" xfId="0" applyNumberFormat="1" applyFont="1" applyFill="1" applyBorder="1" applyAlignment="1">
      <alignment horizontal="left"/>
    </xf>
    <xf numFmtId="165" fontId="17" fillId="0" borderId="10" xfId="0" applyNumberFormat="1" applyFont="1" applyFill="1" applyBorder="1" applyAlignment="1">
      <alignment horizontal="left"/>
    </xf>
    <xf numFmtId="165" fontId="16" fillId="0" borderId="11" xfId="0" applyNumberFormat="1" applyFont="1" applyFill="1" applyBorder="1" applyAlignment="1"/>
    <xf numFmtId="165" fontId="17" fillId="0" borderId="12" xfId="0" applyNumberFormat="1" applyFont="1" applyFill="1" applyBorder="1" applyAlignment="1">
      <alignment horizontal="left"/>
    </xf>
    <xf numFmtId="165" fontId="19" fillId="0" borderId="11" xfId="0" applyNumberFormat="1" applyFont="1" applyFill="1" applyBorder="1" applyAlignment="1">
      <alignment horizontal="center"/>
    </xf>
    <xf numFmtId="165" fontId="17" fillId="19" borderId="0" xfId="0" applyNumberFormat="1" applyFont="1" applyFill="1" applyBorder="1" applyAlignment="1">
      <alignment horizontal="left"/>
    </xf>
    <xf numFmtId="165" fontId="106" fillId="0" borderId="6" xfId="0" applyNumberFormat="1" applyFont="1" applyBorder="1"/>
    <xf numFmtId="165" fontId="16" fillId="19" borderId="1" xfId="0" applyNumberFormat="1" applyFont="1" applyFill="1" applyBorder="1" applyAlignment="1">
      <alignment horizontal="left"/>
    </xf>
    <xf numFmtId="205" fontId="16" fillId="0" borderId="0" xfId="3" applyNumberFormat="1" applyFont="1"/>
    <xf numFmtId="207" fontId="16" fillId="19" borderId="0" xfId="0" applyNumberFormat="1" applyFont="1" applyFill="1" applyAlignment="1"/>
    <xf numFmtId="206" fontId="16" fillId="19" borderId="0" xfId="0" applyNumberFormat="1" applyFont="1" applyFill="1" applyBorder="1" applyAlignment="1"/>
    <xf numFmtId="165" fontId="16" fillId="19" borderId="0" xfId="0" applyNumberFormat="1" applyFont="1" applyFill="1" applyBorder="1" applyAlignment="1">
      <alignment horizontal="right"/>
    </xf>
    <xf numFmtId="165" fontId="16" fillId="19" borderId="0" xfId="0" applyNumberFormat="1" applyFont="1" applyFill="1" applyAlignment="1">
      <alignment horizontal="right"/>
    </xf>
    <xf numFmtId="165" fontId="17" fillId="19" borderId="3" xfId="0" applyNumberFormat="1" applyFont="1" applyFill="1" applyBorder="1" applyAlignment="1">
      <alignment horizontal="left"/>
    </xf>
    <xf numFmtId="43" fontId="16" fillId="2" borderId="0" xfId="0" applyNumberFormat="1" applyFont="1" applyFill="1"/>
    <xf numFmtId="3" fontId="108" fillId="0" borderId="0" xfId="0" applyNumberFormat="1" applyFont="1"/>
    <xf numFmtId="43" fontId="16" fillId="0" borderId="0" xfId="0" applyNumberFormat="1" applyFont="1"/>
    <xf numFmtId="43" fontId="16" fillId="0" borderId="0" xfId="0" applyNumberFormat="1" applyFont="1" applyBorder="1"/>
    <xf numFmtId="0" fontId="9" fillId="3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</cellXfs>
  <cellStyles count="238">
    <cellStyle name="_x000a_386grabber=M" xfId="6" xr:uid="{00000000-0005-0000-0000-000000000000}"/>
    <cellStyle name="******************************************" xfId="7" xr:uid="{00000000-0005-0000-0000-000001000000}"/>
    <cellStyle name=";;;" xfId="8" xr:uid="{00000000-0005-0000-0000-000002000000}"/>
    <cellStyle name="_~0034700" xfId="9" xr:uid="{00000000-0005-0000-0000-000003000000}"/>
    <cellStyle name="_Financials1" xfId="10" xr:uid="{00000000-0005-0000-0000-000004000000}"/>
    <cellStyle name="_FNC - Model" xfId="11" xr:uid="{00000000-0005-0000-0000-000005000000}"/>
    <cellStyle name="_HSP - Model" xfId="12" xr:uid="{00000000-0005-0000-0000-000006000000}"/>
    <cellStyle name="_JFCP-MAYdba" xfId="13" xr:uid="{00000000-0005-0000-0000-000007000000}"/>
    <cellStyle name="_MAY - Model" xfId="14" xr:uid="{00000000-0005-0000-0000-000008000000}"/>
    <cellStyle name="_MIA - Model.xls Chart 1" xfId="15" xr:uid="{00000000-0005-0000-0000-000009000000}"/>
    <cellStyle name="_SHL - Model.xls Chart 1" xfId="16" xr:uid="{00000000-0005-0000-0000-00000A000000}"/>
    <cellStyle name="_SHL - Model.xls Chart 2" xfId="17" xr:uid="{00000000-0005-0000-0000-00000B000000}"/>
    <cellStyle name="=C:\WINNT\SYSTEM32\COMMAND.COM" xfId="18" xr:uid="{00000000-0005-0000-0000-00000C000000}"/>
    <cellStyle name="0.0%" xfId="19" xr:uid="{00000000-0005-0000-0000-00000D000000}"/>
    <cellStyle name="1" xfId="20" xr:uid="{00000000-0005-0000-0000-00000E000000}"/>
    <cellStyle name="30 Percent" xfId="21" xr:uid="{00000000-0005-0000-0000-00000F000000}"/>
    <cellStyle name="a" xfId="22" xr:uid="{00000000-0005-0000-0000-000010000000}"/>
    <cellStyle name="AeE­ [0]_INQUIRY ¿μ¾÷AßAø " xfId="23" xr:uid="{00000000-0005-0000-0000-000011000000}"/>
    <cellStyle name="AeE­_INQUIRY ¿μ¾÷AßAø " xfId="24" xr:uid="{00000000-0005-0000-0000-000012000000}"/>
    <cellStyle name="AFE" xfId="25" xr:uid="{00000000-0005-0000-0000-000013000000}"/>
    <cellStyle name="Agara" xfId="26" xr:uid="{00000000-0005-0000-0000-000014000000}"/>
    <cellStyle name="Aggregate" xfId="27" xr:uid="{00000000-0005-0000-0000-000015000000}"/>
    <cellStyle name="Analyst Name" xfId="28" xr:uid="{00000000-0005-0000-0000-000016000000}"/>
    <cellStyle name="Analyst_Data" xfId="29" xr:uid="{00000000-0005-0000-0000-000017000000}"/>
    <cellStyle name="ANCLAS,REZONES Y SUS PARTES,DE FUNDICION,DE HIERRO O DE ACERO" xfId="30" xr:uid="{00000000-0005-0000-0000-000018000000}"/>
    <cellStyle name="Arial 10" xfId="31" xr:uid="{00000000-0005-0000-0000-000019000000}"/>
    <cellStyle name="Assumptions Center Currency" xfId="32" xr:uid="{00000000-0005-0000-0000-00001A000000}"/>
    <cellStyle name="Assumptions Center Date" xfId="33" xr:uid="{00000000-0005-0000-0000-00001B000000}"/>
    <cellStyle name="Assumptions Center Multiple" xfId="34" xr:uid="{00000000-0005-0000-0000-00001C000000}"/>
    <cellStyle name="Assumptions Center Number" xfId="35" xr:uid="{00000000-0005-0000-0000-00001D000000}"/>
    <cellStyle name="Assumptions Center Percentage" xfId="36" xr:uid="{00000000-0005-0000-0000-00001E000000}"/>
    <cellStyle name="Assumptions Center Year" xfId="37" xr:uid="{00000000-0005-0000-0000-00001F000000}"/>
    <cellStyle name="Assumptions Heading" xfId="38" xr:uid="{00000000-0005-0000-0000-000020000000}"/>
    <cellStyle name="Assumptions Right Currency" xfId="39" xr:uid="{00000000-0005-0000-0000-000021000000}"/>
    <cellStyle name="Assumptions Right Date" xfId="40" xr:uid="{00000000-0005-0000-0000-000022000000}"/>
    <cellStyle name="Assumptions Right Multiple" xfId="41" xr:uid="{00000000-0005-0000-0000-000023000000}"/>
    <cellStyle name="Assumptions Right Number" xfId="42" xr:uid="{00000000-0005-0000-0000-000024000000}"/>
    <cellStyle name="Assumptions Right Percentage" xfId="43" xr:uid="{00000000-0005-0000-0000-000025000000}"/>
    <cellStyle name="Assumptions Right Year" xfId="44" xr:uid="{00000000-0005-0000-0000-000026000000}"/>
    <cellStyle name="AÞ¸¶ [0]_INQUIRY ¿μ¾÷AßAø " xfId="45" xr:uid="{00000000-0005-0000-0000-000027000000}"/>
    <cellStyle name="AÞ¸¶_INQUIRY ¿μ¾÷AßAø " xfId="46" xr:uid="{00000000-0005-0000-0000-000028000000}"/>
    <cellStyle name="Black" xfId="47" xr:uid="{00000000-0005-0000-0000-000029000000}"/>
    <cellStyle name="Black Decimal" xfId="48" xr:uid="{00000000-0005-0000-0000-00002A000000}"/>
    <cellStyle name="Black Number" xfId="49" xr:uid="{00000000-0005-0000-0000-00002B000000}"/>
    <cellStyle name="black percentage" xfId="50" xr:uid="{00000000-0005-0000-0000-00002C000000}"/>
    <cellStyle name="BLUE" xfId="51" xr:uid="{00000000-0005-0000-0000-00002D000000}"/>
    <cellStyle name="Border_Current" xfId="52" xr:uid="{00000000-0005-0000-0000-00002E000000}"/>
    <cellStyle name="BRACKET" xfId="53" xr:uid="{00000000-0005-0000-0000-00002F000000}"/>
    <cellStyle name="C￥AØ_≫c¾÷ºIº° AN°e " xfId="54" xr:uid="{00000000-0005-0000-0000-000030000000}"/>
    <cellStyle name="Cell Link" xfId="55" xr:uid="{00000000-0005-0000-0000-000031000000}"/>
    <cellStyle name="Center Currency" xfId="56" xr:uid="{00000000-0005-0000-0000-000032000000}"/>
    <cellStyle name="Center Date" xfId="57" xr:uid="{00000000-0005-0000-0000-000033000000}"/>
    <cellStyle name="Center Multiple" xfId="58" xr:uid="{00000000-0005-0000-0000-000034000000}"/>
    <cellStyle name="Center Number" xfId="59" xr:uid="{00000000-0005-0000-0000-000035000000}"/>
    <cellStyle name="Center Percentage" xfId="60" xr:uid="{00000000-0005-0000-0000-000036000000}"/>
    <cellStyle name="Center Year" xfId="61" xr:uid="{00000000-0005-0000-0000-000037000000}"/>
    <cellStyle name="Chart Box" xfId="62" xr:uid="{00000000-0005-0000-0000-000038000000}"/>
    <cellStyle name="Chinese" xfId="63" xr:uid="{00000000-0005-0000-0000-000039000000}"/>
    <cellStyle name="COL HEADINGS" xfId="64" xr:uid="{00000000-0005-0000-0000-00003A000000}"/>
    <cellStyle name="Comma" xfId="2" builtinId="3"/>
    <cellStyle name="Comma [1]" xfId="65" xr:uid="{00000000-0005-0000-0000-00003C000000}"/>
    <cellStyle name="Comma 2" xfId="4" xr:uid="{00000000-0005-0000-0000-00003D000000}"/>
    <cellStyle name="Comma(1)" xfId="66" xr:uid="{00000000-0005-0000-0000-00003E000000}"/>
    <cellStyle name="Comma.1" xfId="67" xr:uid="{00000000-0005-0000-0000-00003F000000}"/>
    <cellStyle name="Comma.2" xfId="68" xr:uid="{00000000-0005-0000-0000-000040000000}"/>
    <cellStyle name="Comma0" xfId="69" xr:uid="{00000000-0005-0000-0000-000041000000}"/>
    <cellStyle name="Company Name" xfId="70" xr:uid="{00000000-0005-0000-0000-000042000000}"/>
    <cellStyle name="Currency [1]" xfId="71" xr:uid="{00000000-0005-0000-0000-000043000000}"/>
    <cellStyle name="Currency [2]" xfId="72" xr:uid="{00000000-0005-0000-0000-000044000000}"/>
    <cellStyle name="Currency 0.0" xfId="73" xr:uid="{00000000-0005-0000-0000-000045000000}"/>
    <cellStyle name="Currency.1" xfId="74" xr:uid="{00000000-0005-0000-0000-000046000000}"/>
    <cellStyle name="Currency.2" xfId="75" xr:uid="{00000000-0005-0000-0000-000047000000}"/>
    <cellStyle name="Currency0" xfId="76" xr:uid="{00000000-0005-0000-0000-000048000000}"/>
    <cellStyle name="Data" xfId="77" xr:uid="{00000000-0005-0000-0000-000049000000}"/>
    <cellStyle name="Data no deci" xfId="78" xr:uid="{00000000-0005-0000-0000-00004A000000}"/>
    <cellStyle name="Data Superscript" xfId="79" xr:uid="{00000000-0005-0000-0000-00004B000000}"/>
    <cellStyle name="Data_% Exp &amp; PV of Debt" xfId="80" xr:uid="{00000000-0005-0000-0000-00004C000000}"/>
    <cellStyle name="Date" xfId="81" xr:uid="{00000000-0005-0000-0000-00004D000000}"/>
    <cellStyle name="Date [mmm-yyyy]" xfId="82" xr:uid="{00000000-0005-0000-0000-00004E000000}"/>
    <cellStyle name="Derive" xfId="83" xr:uid="{00000000-0005-0000-0000-00004F000000}"/>
    <cellStyle name="Dollars" xfId="84" xr:uid="{00000000-0005-0000-0000-000050000000}"/>
    <cellStyle name="Download" xfId="85" xr:uid="{00000000-0005-0000-0000-000051000000}"/>
    <cellStyle name="Euro" xfId="86" xr:uid="{00000000-0005-0000-0000-000052000000}"/>
    <cellStyle name="F2" xfId="87" xr:uid="{00000000-0005-0000-0000-000053000000}"/>
    <cellStyle name="F3" xfId="88" xr:uid="{00000000-0005-0000-0000-000054000000}"/>
    <cellStyle name="F4" xfId="89" xr:uid="{00000000-0005-0000-0000-000055000000}"/>
    <cellStyle name="F5" xfId="90" xr:uid="{00000000-0005-0000-0000-000056000000}"/>
    <cellStyle name="F6" xfId="91" xr:uid="{00000000-0005-0000-0000-000057000000}"/>
    <cellStyle name="F7" xfId="92" xr:uid="{00000000-0005-0000-0000-000058000000}"/>
    <cellStyle name="F8" xfId="93" xr:uid="{00000000-0005-0000-0000-000059000000}"/>
    <cellStyle name="Fixed" xfId="94" xr:uid="{00000000-0005-0000-0000-00005A000000}"/>
    <cellStyle name="Font_Actual" xfId="95" xr:uid="{00000000-0005-0000-0000-00005B000000}"/>
    <cellStyle name="Full" xfId="96" xr:uid="{00000000-0005-0000-0000-00005C000000}"/>
    <cellStyle name="Fyear" xfId="97" xr:uid="{00000000-0005-0000-0000-00005D000000}"/>
    <cellStyle name="Gilsans" xfId="98" xr:uid="{00000000-0005-0000-0000-00005E000000}"/>
    <cellStyle name="Gilsansl" xfId="99" xr:uid="{00000000-0005-0000-0000-00005F000000}"/>
    <cellStyle name="Grey" xfId="100" xr:uid="{00000000-0005-0000-0000-000060000000}"/>
    <cellStyle name="HALF" xfId="101" xr:uid="{00000000-0005-0000-0000-000061000000}"/>
    <cellStyle name="Head 1" xfId="102" xr:uid="{00000000-0005-0000-0000-000062000000}"/>
    <cellStyle name="Head 2" xfId="103" xr:uid="{00000000-0005-0000-0000-000063000000}"/>
    <cellStyle name="Head 3" xfId="104" xr:uid="{00000000-0005-0000-0000-000064000000}"/>
    <cellStyle name="Header" xfId="105" xr:uid="{00000000-0005-0000-0000-000065000000}"/>
    <cellStyle name="Heading" xfId="106" xr:uid="{00000000-0005-0000-0000-000066000000}"/>
    <cellStyle name="Heading1" xfId="107" xr:uid="{00000000-0005-0000-0000-000067000000}"/>
    <cellStyle name="Heading2" xfId="108" xr:uid="{00000000-0005-0000-0000-000068000000}"/>
    <cellStyle name="Hed Side" xfId="109" xr:uid="{00000000-0005-0000-0000-000069000000}"/>
    <cellStyle name="Hed Side bold" xfId="110" xr:uid="{00000000-0005-0000-0000-00006A000000}"/>
    <cellStyle name="Hed Side Indent" xfId="111" xr:uid="{00000000-0005-0000-0000-00006B000000}"/>
    <cellStyle name="Hed Side Regular" xfId="112" xr:uid="{00000000-0005-0000-0000-00006C000000}"/>
    <cellStyle name="Hed Side_1-1A-Regular" xfId="113" xr:uid="{00000000-0005-0000-0000-00006D000000}"/>
    <cellStyle name="Hed Top" xfId="114" xr:uid="{00000000-0005-0000-0000-00006E000000}"/>
    <cellStyle name="Hed Top - SECTION" xfId="115" xr:uid="{00000000-0005-0000-0000-00006F000000}"/>
    <cellStyle name="Hed Top_3-new4" xfId="116" xr:uid="{00000000-0005-0000-0000-000070000000}"/>
    <cellStyle name="Hyperlink" xfId="1" builtinId="8" customBuiltin="1"/>
    <cellStyle name="Hyperlink Arrow" xfId="117" xr:uid="{00000000-0005-0000-0000-000072000000}"/>
    <cellStyle name="Hyperlink Text" xfId="118" xr:uid="{00000000-0005-0000-0000-000073000000}"/>
    <cellStyle name="Income" xfId="119" xr:uid="{00000000-0005-0000-0000-000074000000}"/>
    <cellStyle name="Info_Main" xfId="120" xr:uid="{00000000-0005-0000-0000-000075000000}"/>
    <cellStyle name="Input [yellow]" xfId="121" xr:uid="{00000000-0005-0000-0000-000076000000}"/>
    <cellStyle name="Input0" xfId="122" xr:uid="{00000000-0005-0000-0000-000077000000}"/>
    <cellStyle name="InputPercent1" xfId="123" xr:uid="{00000000-0005-0000-0000-000078000000}"/>
    <cellStyle name="Inputs" xfId="124" xr:uid="{00000000-0005-0000-0000-000079000000}"/>
    <cellStyle name="Italic Sub" xfId="125" xr:uid="{00000000-0005-0000-0000-00007A000000}"/>
    <cellStyle name="John" xfId="126" xr:uid="{00000000-0005-0000-0000-00007B000000}"/>
    <cellStyle name="Link" xfId="127" xr:uid="{00000000-0005-0000-0000-00007C000000}"/>
    <cellStyle name="Lookup Table Heading" xfId="128" xr:uid="{00000000-0005-0000-0000-00007D000000}"/>
    <cellStyle name="Lookup Table Label" xfId="129" xr:uid="{00000000-0005-0000-0000-00007E000000}"/>
    <cellStyle name="Lookup Table Number" xfId="130" xr:uid="{00000000-0005-0000-0000-00007F000000}"/>
    <cellStyle name="m/d/yy" xfId="131" xr:uid="{00000000-0005-0000-0000-000080000000}"/>
    <cellStyle name="MAG" xfId="132" xr:uid="{00000000-0005-0000-0000-000081000000}"/>
    <cellStyle name="Model Name" xfId="133" xr:uid="{00000000-0005-0000-0000-000082000000}"/>
    <cellStyle name="Multiple" xfId="134" xr:uid="{00000000-0005-0000-0000-000083000000}"/>
    <cellStyle name="Multiple [0]" xfId="135" xr:uid="{00000000-0005-0000-0000-000084000000}"/>
    <cellStyle name="Multiple_DataSheet" xfId="136" xr:uid="{00000000-0005-0000-0000-000085000000}"/>
    <cellStyle name="Name" xfId="137" xr:uid="{00000000-0005-0000-0000-000086000000}"/>
    <cellStyle name="New" xfId="138" xr:uid="{00000000-0005-0000-0000-000087000000}"/>
    <cellStyle name="NewAcct" xfId="139" xr:uid="{00000000-0005-0000-0000-000088000000}"/>
    <cellStyle name="No comma" xfId="140" xr:uid="{00000000-0005-0000-0000-000089000000}"/>
    <cellStyle name="non-input" xfId="141" xr:uid="{00000000-0005-0000-0000-00008A000000}"/>
    <cellStyle name="Norm" xfId="142" xr:uid="{00000000-0005-0000-0000-00008B000000}"/>
    <cellStyle name="Normal" xfId="0" builtinId="0"/>
    <cellStyle name="Normal - Style1" xfId="143" xr:uid="{00000000-0005-0000-0000-00008D000000}"/>
    <cellStyle name="Normal [0]" xfId="144" xr:uid="{00000000-0005-0000-0000-00008E000000}"/>
    <cellStyle name="Normal [3]" xfId="145" xr:uid="{00000000-0005-0000-0000-00008F000000}"/>
    <cellStyle name="Normal 0.0" xfId="146" xr:uid="{00000000-0005-0000-0000-000090000000}"/>
    <cellStyle name="Normal PC" xfId="147" xr:uid="{00000000-0005-0000-0000-000091000000}"/>
    <cellStyle name="Normal PC Bold" xfId="148" xr:uid="{00000000-0005-0000-0000-000092000000}"/>
    <cellStyle name="NormalŸAMEC1" xfId="149" xr:uid="{00000000-0005-0000-0000-000094000000}"/>
    <cellStyle name="Num_Date" xfId="150" xr:uid="{00000000-0005-0000-0000-000095000000}"/>
    <cellStyle name="OutputPlain" xfId="151" xr:uid="{00000000-0005-0000-0000-000096000000}"/>
    <cellStyle name="Pattern_Forecast" xfId="152" xr:uid="{00000000-0005-0000-0000-000097000000}"/>
    <cellStyle name="patterns" xfId="153" xr:uid="{00000000-0005-0000-0000-000098000000}"/>
    <cellStyle name="Percent" xfId="3" builtinId="5"/>
    <cellStyle name="Percent [2]" xfId="154" xr:uid="{00000000-0005-0000-0000-00009A000000}"/>
    <cellStyle name="Percent 0.0" xfId="155" xr:uid="{00000000-0005-0000-0000-00009B000000}"/>
    <cellStyle name="Percent(1)" xfId="156" xr:uid="{00000000-0005-0000-0000-00009C000000}"/>
    <cellStyle name="Percent.1" xfId="157" xr:uid="{00000000-0005-0000-0000-00009D000000}"/>
    <cellStyle name="Percent.2" xfId="158" xr:uid="{00000000-0005-0000-0000-00009E000000}"/>
    <cellStyle name="Percent1" xfId="159" xr:uid="{00000000-0005-0000-0000-00009F000000}"/>
    <cellStyle name="Period Title" xfId="160" xr:uid="{00000000-0005-0000-0000-0000A0000000}"/>
    <cellStyle name="PlainDollar" xfId="161" xr:uid="{00000000-0005-0000-0000-0000A1000000}"/>
    <cellStyle name="Preffered" xfId="162" xr:uid="{00000000-0005-0000-0000-0000A2000000}"/>
    <cellStyle name="Price" xfId="163" xr:uid="{00000000-0005-0000-0000-0000A3000000}"/>
    <cellStyle name="Publication_style" xfId="164" xr:uid="{00000000-0005-0000-0000-0000A4000000}"/>
    <cellStyle name="Ratios" xfId="165" xr:uid="{00000000-0005-0000-0000-0000A5000000}"/>
    <cellStyle name="Recommendation" xfId="166" xr:uid="{00000000-0005-0000-0000-0000A6000000}"/>
    <cellStyle name="RED" xfId="167" xr:uid="{00000000-0005-0000-0000-0000A7000000}"/>
    <cellStyle name="red decimal" xfId="168" xr:uid="{00000000-0005-0000-0000-0000A8000000}"/>
    <cellStyle name="Red General" xfId="169" xr:uid="{00000000-0005-0000-0000-0000A9000000}"/>
    <cellStyle name="Red Number" xfId="170" xr:uid="{00000000-0005-0000-0000-0000AA000000}"/>
    <cellStyle name="Red Percentage" xfId="171" xr:uid="{00000000-0005-0000-0000-0000AB000000}"/>
    <cellStyle name="Report Title" xfId="172" xr:uid="{00000000-0005-0000-0000-0000AC000000}"/>
    <cellStyle name="Right Currency" xfId="173" xr:uid="{00000000-0005-0000-0000-0000AD000000}"/>
    <cellStyle name="Right Date" xfId="174" xr:uid="{00000000-0005-0000-0000-0000AE000000}"/>
    <cellStyle name="Right Multiple" xfId="175" xr:uid="{00000000-0005-0000-0000-0000AF000000}"/>
    <cellStyle name="Right Number" xfId="176" xr:uid="{00000000-0005-0000-0000-0000B0000000}"/>
    <cellStyle name="Right Percentage" xfId="177" xr:uid="{00000000-0005-0000-0000-0000B1000000}"/>
    <cellStyle name="Right Year" xfId="178" xr:uid="{00000000-0005-0000-0000-0000B2000000}"/>
    <cellStyle name="Section Number" xfId="179" xr:uid="{00000000-0005-0000-0000-0000B3000000}"/>
    <cellStyle name="Shade" xfId="180" xr:uid="{00000000-0005-0000-0000-0000B4000000}"/>
    <cellStyle name="shade bold" xfId="181" xr:uid="{00000000-0005-0000-0000-0000B5000000}"/>
    <cellStyle name="Shade_AMC_fin1b" xfId="182" xr:uid="{00000000-0005-0000-0000-0000B6000000}"/>
    <cellStyle name="shading" xfId="183" xr:uid="{00000000-0005-0000-0000-0000B7000000}"/>
    <cellStyle name="Sheet Title" xfId="184" xr:uid="{00000000-0005-0000-0000-0000B8000000}"/>
    <cellStyle name="Source Hed" xfId="185" xr:uid="{00000000-0005-0000-0000-0000B9000000}"/>
    <cellStyle name="Source Letter" xfId="186" xr:uid="{00000000-0005-0000-0000-0000BA000000}"/>
    <cellStyle name="Source Superscript" xfId="187" xr:uid="{00000000-0005-0000-0000-0000BB000000}"/>
    <cellStyle name="Source Text" xfId="188" xr:uid="{00000000-0005-0000-0000-0000BC000000}"/>
    <cellStyle name="Source/note" xfId="189" xr:uid="{00000000-0005-0000-0000-0000BD000000}"/>
    <cellStyle name="SSComma0" xfId="190" xr:uid="{00000000-0005-0000-0000-0000BE000000}"/>
    <cellStyle name="SSComma2" xfId="191" xr:uid="{00000000-0005-0000-0000-0000BF000000}"/>
    <cellStyle name="SSDecs3" xfId="192" xr:uid="{00000000-0005-0000-0000-0000C0000000}"/>
    <cellStyle name="SSDflt" xfId="193" xr:uid="{00000000-0005-0000-0000-0000C1000000}"/>
    <cellStyle name="SSDfltPct" xfId="194" xr:uid="{00000000-0005-0000-0000-0000C2000000}"/>
    <cellStyle name="SSDfltPct0" xfId="195" xr:uid="{00000000-0005-0000-0000-0000C3000000}"/>
    <cellStyle name="SSFixed2" xfId="196" xr:uid="{00000000-0005-0000-0000-0000C4000000}"/>
    <cellStyle name="Standard" xfId="197" xr:uid="{00000000-0005-0000-0000-0000C5000000}"/>
    <cellStyle name="State" xfId="198" xr:uid="{00000000-0005-0000-0000-0000C6000000}"/>
    <cellStyle name="Stock_Symbols" xfId="199" xr:uid="{00000000-0005-0000-0000-0000C7000000}"/>
    <cellStyle name="Strait Sub" xfId="200" xr:uid="{00000000-0005-0000-0000-0000C8000000}"/>
    <cellStyle name="Style 1" xfId="5" xr:uid="{00000000-0005-0000-0000-0000C9000000}"/>
    <cellStyle name="SubTitle" xfId="201" xr:uid="{00000000-0005-0000-0000-0000CA000000}"/>
    <cellStyle name="Superscript" xfId="202" xr:uid="{00000000-0005-0000-0000-0000CB000000}"/>
    <cellStyle name="Synopsis" xfId="203" xr:uid="{00000000-0005-0000-0000-0000CC000000}"/>
    <cellStyle name="Table Data" xfId="204" xr:uid="{00000000-0005-0000-0000-0000CD000000}"/>
    <cellStyle name="Table Head Top" xfId="205" xr:uid="{00000000-0005-0000-0000-0000CE000000}"/>
    <cellStyle name="Table headers" xfId="206" xr:uid="{00000000-0005-0000-0000-0000CF000000}"/>
    <cellStyle name="Table Hed Side" xfId="207" xr:uid="{00000000-0005-0000-0000-0000D0000000}"/>
    <cellStyle name="Table text" xfId="208" xr:uid="{00000000-0005-0000-0000-0000D1000000}"/>
    <cellStyle name="Table Title" xfId="209" xr:uid="{00000000-0005-0000-0000-0000D2000000}"/>
    <cellStyle name="TableBody_sbcpac" xfId="210" xr:uid="{00000000-0005-0000-0000-0000D3000000}"/>
    <cellStyle name="TableColHeads_sbcpac" xfId="211" xr:uid="{00000000-0005-0000-0000-0000D4000000}"/>
    <cellStyle name="TextB" xfId="212" xr:uid="{00000000-0005-0000-0000-0000D5000000}"/>
    <cellStyle name="Thou" xfId="213" xr:uid="{00000000-0005-0000-0000-0000D6000000}"/>
    <cellStyle name="Times New Roman" xfId="214" xr:uid="{00000000-0005-0000-0000-0000D7000000}"/>
    <cellStyle name="Title Box" xfId="215" xr:uid="{00000000-0005-0000-0000-0000D8000000}"/>
    <cellStyle name="Title Chart" xfId="216" xr:uid="{00000000-0005-0000-0000-0000D9000000}"/>
    <cellStyle name="Title Text" xfId="217" xr:uid="{00000000-0005-0000-0000-0000DA000000}"/>
    <cellStyle name="Title Text 1" xfId="218" xr:uid="{00000000-0005-0000-0000-0000DB000000}"/>
    <cellStyle name="Title Text 2" xfId="219" xr:uid="{00000000-0005-0000-0000-0000DC000000}"/>
    <cellStyle name="Title: 2 Lines" xfId="220" xr:uid="{00000000-0005-0000-0000-0000DD000000}"/>
    <cellStyle name="Title-1" xfId="221" xr:uid="{00000000-0005-0000-0000-0000DE000000}"/>
    <cellStyle name="Title-2" xfId="222" xr:uid="{00000000-0005-0000-0000-0000DF000000}"/>
    <cellStyle name="Title-3" xfId="223" xr:uid="{00000000-0005-0000-0000-0000E0000000}"/>
    <cellStyle name="UnderLine" xfId="224" xr:uid="{00000000-0005-0000-0000-0000E1000000}"/>
    <cellStyle name="Upload Only" xfId="225" xr:uid="{00000000-0005-0000-0000-0000E2000000}"/>
    <cellStyle name="Valuation" xfId="226" xr:uid="{00000000-0005-0000-0000-0000E3000000}"/>
    <cellStyle name="Vpershare" xfId="227" xr:uid="{00000000-0005-0000-0000-0000E4000000}"/>
    <cellStyle name="Vstandard" xfId="228" xr:uid="{00000000-0005-0000-0000-0000E5000000}"/>
    <cellStyle name="Wrap" xfId="229" xr:uid="{00000000-0005-0000-0000-0000E6000000}"/>
    <cellStyle name="Wrap Bold" xfId="230" xr:uid="{00000000-0005-0000-0000-0000E7000000}"/>
    <cellStyle name="Wrap Title" xfId="231" xr:uid="{00000000-0005-0000-0000-0000E8000000}"/>
    <cellStyle name="Wrap_Water" xfId="232" xr:uid="{00000000-0005-0000-0000-0000E9000000}"/>
    <cellStyle name="Žormal_ALNPLEST" xfId="233" xr:uid="{00000000-0005-0000-0000-0000EA000000}"/>
    <cellStyle name="뷭?_BOOKSHIP_조직도 " xfId="234" xr:uid="{00000000-0005-0000-0000-0000EB000000}"/>
    <cellStyle name="콤마 [0]_★안別 종합비교 " xfId="235" xr:uid="{00000000-0005-0000-0000-0000EC000000}"/>
    <cellStyle name="콤마_★안別 종합비교 " xfId="236" xr:uid="{00000000-0005-0000-0000-0000ED000000}"/>
    <cellStyle name="표준_Bandchart5.xls Chart 1" xfId="237" xr:uid="{00000000-0005-0000-0000-0000EE000000}"/>
  </cellStyles>
  <dxfs count="0"/>
  <tableStyles count="0" defaultTableStyle="TableStyleMedium9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BS!$AC$98:$AC$121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BS!$AB$98:$AB$121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08F-42D5-A553-B2B62A83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919624"/>
        <c:axId val="777920016"/>
      </c:lineChart>
      <c:catAx>
        <c:axId val="777919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77920016"/>
        <c:crosses val="autoZero"/>
        <c:auto val="1"/>
        <c:lblAlgn val="ctr"/>
        <c:lblOffset val="100"/>
        <c:noMultiLvlLbl val="1"/>
      </c:catAx>
      <c:valAx>
        <c:axId val="777920016"/>
        <c:scaling>
          <c:orientation val="minMax"/>
          <c:min val="35"/>
        </c:scaling>
        <c:delete val="0"/>
        <c:axPos val="l"/>
        <c:numFmt formatCode="_(* #,##0.0_);_(* \(#,##0.0\);_(* &quot;-&quot;?_);_(@_)" sourceLinked="1"/>
        <c:majorTickMark val="out"/>
        <c:minorTickMark val="none"/>
        <c:tickLblPos val="nextTo"/>
        <c:crossAx val="7779196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5119860017497819E-2"/>
                  <c:y val="0.34833624963546583"/>
                </c:manualLayout>
              </c:layout>
              <c:numFmt formatCode="General" sourceLinked="0"/>
            </c:trendlineLbl>
          </c:trendline>
          <c:xVal>
            <c:numRef>
              <c:f>Backlog!#REF!</c:f>
            </c:numRef>
          </c:xVal>
          <c:yVal>
            <c:numRef>
              <c:f>Backlog!$D$33:$Q$33</c:f>
              <c:numCache>
                <c:formatCode>0</c:formatCode>
                <c:ptCount val="14"/>
                <c:pt idx="0">
                  <c:v>279.468994140625</c:v>
                </c:pt>
                <c:pt idx="1">
                  <c:v>353.95700073242188</c:v>
                </c:pt>
                <c:pt idx="2">
                  <c:v>312.52801513671881</c:v>
                </c:pt>
                <c:pt idx="3">
                  <c:v>176.87699890136719</c:v>
                </c:pt>
                <c:pt idx="4">
                  <c:v>138.0950012207031</c:v>
                </c:pt>
                <c:pt idx="5">
                  <c:v>275.58401489257813</c:v>
                </c:pt>
                <c:pt idx="6">
                  <c:v>281.13699340820313</c:v>
                </c:pt>
                <c:pt idx="7">
                  <c:v>234.77799987792969</c:v>
                </c:pt>
                <c:pt idx="8">
                  <c:v>310.72198486328119</c:v>
                </c:pt>
                <c:pt idx="9">
                  <c:v>361.677001953125</c:v>
                </c:pt>
                <c:pt idx="10">
                  <c:v>667.70399999999995</c:v>
                </c:pt>
                <c:pt idx="11">
                  <c:v>896.89599999999996</c:v>
                </c:pt>
                <c:pt idx="12">
                  <c:v>1290.6099999999999</c:v>
                </c:pt>
                <c:pt idx="13">
                  <c:v>1423.7719999999999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8-404C-A58C-B0804463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24328"/>
        <c:axId val="777924720"/>
      </c:scatterChart>
      <c:valAx>
        <c:axId val="7779243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77924720"/>
        <c:crosses val="autoZero"/>
        <c:crossBetween val="midCat"/>
      </c:valAx>
      <c:valAx>
        <c:axId val="777924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77924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722" l="0.70000000000000062" r="0.70000000000000062" t="0.750000000000007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Price-To-Backlog</c:v>
          </c:tx>
          <c:marker>
            <c:symbol val="none"/>
          </c:marker>
          <c:cat>
            <c:numRef>
              <c:f>Backlog!$C$60:$C$83</c:f>
              <c:numCache>
                <c:formatCode>m/d/yyyy</c:formatCode>
                <c:ptCount val="24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42004</c:v>
                </c:pt>
                <c:pt idx="19">
                  <c:v>42094</c:v>
                </c:pt>
                <c:pt idx="20">
                  <c:v>42185</c:v>
                </c:pt>
                <c:pt idx="21">
                  <c:v>42277</c:v>
                </c:pt>
                <c:pt idx="22">
                  <c:v>42369</c:v>
                </c:pt>
                <c:pt idx="23">
                  <c:v>42460</c:v>
                </c:pt>
              </c:numCache>
            </c:numRef>
          </c:cat>
          <c:val>
            <c:numRef>
              <c:f>Backlog!$F$60:$F$83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B-464C-BF15-0E2D26158491}"/>
            </c:ext>
          </c:extLst>
        </c:ser>
        <c:ser>
          <c:idx val="1"/>
          <c:order val="1"/>
          <c:tx>
            <c:v>Mean</c:v>
          </c:tx>
          <c:marker>
            <c:symbol val="none"/>
          </c:marker>
          <c:cat>
            <c:numRef>
              <c:f>Backlog!$C$60:$C$83</c:f>
              <c:numCache>
                <c:formatCode>m/d/yyyy</c:formatCode>
                <c:ptCount val="24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42004</c:v>
                </c:pt>
                <c:pt idx="19">
                  <c:v>42094</c:v>
                </c:pt>
                <c:pt idx="20">
                  <c:v>42185</c:v>
                </c:pt>
                <c:pt idx="21">
                  <c:v>42277</c:v>
                </c:pt>
                <c:pt idx="22">
                  <c:v>42369</c:v>
                </c:pt>
                <c:pt idx="23">
                  <c:v>42460</c:v>
                </c:pt>
              </c:numCache>
            </c:numRef>
          </c:cat>
          <c:val>
            <c:numRef>
              <c:f>Backlog!$G$60:$G$83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B-464C-BF15-0E2D26158491}"/>
            </c:ext>
          </c:extLst>
        </c:ser>
        <c:ser>
          <c:idx val="2"/>
          <c:order val="2"/>
          <c:tx>
            <c:v>Stdev + 1</c:v>
          </c:tx>
          <c:marker>
            <c:symbol val="none"/>
          </c:marker>
          <c:cat>
            <c:numRef>
              <c:f>Backlog!$C$60:$C$83</c:f>
              <c:numCache>
                <c:formatCode>m/d/yyyy</c:formatCode>
                <c:ptCount val="24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42004</c:v>
                </c:pt>
                <c:pt idx="19">
                  <c:v>42094</c:v>
                </c:pt>
                <c:pt idx="20">
                  <c:v>42185</c:v>
                </c:pt>
                <c:pt idx="21">
                  <c:v>42277</c:v>
                </c:pt>
                <c:pt idx="22">
                  <c:v>42369</c:v>
                </c:pt>
                <c:pt idx="23">
                  <c:v>42460</c:v>
                </c:pt>
              </c:numCache>
            </c:numRef>
          </c:cat>
          <c:val>
            <c:numRef>
              <c:f>Backlog!$H$60:$H$83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FB-464C-BF15-0E2D26158491}"/>
            </c:ext>
          </c:extLst>
        </c:ser>
        <c:ser>
          <c:idx val="3"/>
          <c:order val="3"/>
          <c:tx>
            <c:v>Stdev -1 </c:v>
          </c:tx>
          <c:marker>
            <c:symbol val="none"/>
          </c:marker>
          <c:cat>
            <c:numRef>
              <c:f>Backlog!$C$60:$C$83</c:f>
              <c:numCache>
                <c:formatCode>m/d/yyyy</c:formatCode>
                <c:ptCount val="24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42004</c:v>
                </c:pt>
                <c:pt idx="19">
                  <c:v>42094</c:v>
                </c:pt>
                <c:pt idx="20">
                  <c:v>42185</c:v>
                </c:pt>
                <c:pt idx="21">
                  <c:v>42277</c:v>
                </c:pt>
                <c:pt idx="22">
                  <c:v>42369</c:v>
                </c:pt>
                <c:pt idx="23">
                  <c:v>42460</c:v>
                </c:pt>
              </c:numCache>
            </c:numRef>
          </c:cat>
          <c:val>
            <c:numRef>
              <c:f>Backlog!$I$60:$I$83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FB-464C-BF15-0E2D26158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29032"/>
        <c:axId val="777929424"/>
      </c:lineChart>
      <c:dateAx>
        <c:axId val="777929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77929424"/>
        <c:crosses val="autoZero"/>
        <c:auto val="1"/>
        <c:lblOffset val="100"/>
        <c:baseTimeUnit val="months"/>
      </c:dateAx>
      <c:valAx>
        <c:axId val="77792942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7779290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0330205599300175"/>
                  <c:y val="-4.5551181102362212E-2"/>
                </c:manualLayout>
              </c:layout>
              <c:numFmt formatCode="General" sourceLinked="0"/>
            </c:trendlineLbl>
          </c:trendline>
          <c:xVal>
            <c:numRef>
              <c:f>Backlog!$C$32:$T$32</c:f>
              <c:numCache>
                <c:formatCode>0</c:formatCode>
                <c:ptCount val="18"/>
                <c:pt idx="0">
                  <c:v>543.71100000000001</c:v>
                </c:pt>
                <c:pt idx="1">
                  <c:v>737.36699999999996</c:v>
                </c:pt>
                <c:pt idx="2">
                  <c:v>474.98899999999998</c:v>
                </c:pt>
                <c:pt idx="3">
                  <c:v>210.56200000000001</c:v>
                </c:pt>
                <c:pt idx="4">
                  <c:v>305.69799999999998</c:v>
                </c:pt>
                <c:pt idx="5">
                  <c:v>230.71100000000001</c:v>
                </c:pt>
                <c:pt idx="6">
                  <c:v>422.988</c:v>
                </c:pt>
                <c:pt idx="7">
                  <c:v>429.685</c:v>
                </c:pt>
                <c:pt idx="8">
                  <c:v>457.83800000000002</c:v>
                </c:pt>
                <c:pt idx="9">
                  <c:v>528.005</c:v>
                </c:pt>
                <c:pt idx="10">
                  <c:v>1001.5069999999999</c:v>
                </c:pt>
                <c:pt idx="11">
                  <c:v>1360.1</c:v>
                </c:pt>
                <c:pt idx="12">
                  <c:v>2222.1999999999998</c:v>
                </c:pt>
                <c:pt idx="13">
                  <c:v>1774</c:v>
                </c:pt>
                <c:pt idx="14">
                  <c:v>3437.6</c:v>
                </c:pt>
                <c:pt idx="15">
                  <c:v>3563.2</c:v>
                </c:pt>
                <c:pt idx="16">
                  <c:v>2743.7</c:v>
                </c:pt>
                <c:pt idx="17">
                  <c:v>2672.1</c:v>
                </c:pt>
              </c:numCache>
            </c:numRef>
          </c:xVal>
          <c:yVal>
            <c:numRef>
              <c:f>Backlog!$D$33:$U$33</c:f>
              <c:numCache>
                <c:formatCode>0</c:formatCode>
                <c:ptCount val="18"/>
                <c:pt idx="0">
                  <c:v>279.468994140625</c:v>
                </c:pt>
                <c:pt idx="1">
                  <c:v>353.95700073242188</c:v>
                </c:pt>
                <c:pt idx="2">
                  <c:v>312.52801513671881</c:v>
                </c:pt>
                <c:pt idx="3">
                  <c:v>176.87699890136719</c:v>
                </c:pt>
                <c:pt idx="4">
                  <c:v>138.0950012207031</c:v>
                </c:pt>
                <c:pt idx="5">
                  <c:v>275.58401489257813</c:v>
                </c:pt>
                <c:pt idx="6">
                  <c:v>281.13699340820313</c:v>
                </c:pt>
                <c:pt idx="7">
                  <c:v>234.77799987792969</c:v>
                </c:pt>
                <c:pt idx="8">
                  <c:v>310.72198486328119</c:v>
                </c:pt>
                <c:pt idx="9">
                  <c:v>361.677001953125</c:v>
                </c:pt>
                <c:pt idx="10">
                  <c:v>667.70399999999995</c:v>
                </c:pt>
                <c:pt idx="11">
                  <c:v>896.89599999999996</c:v>
                </c:pt>
                <c:pt idx="12">
                  <c:v>1290.6099999999999</c:v>
                </c:pt>
                <c:pt idx="13">
                  <c:v>1423.7719999999999</c:v>
                </c:pt>
                <c:pt idx="14">
                  <c:v>1730.4679999999998</c:v>
                </c:pt>
                <c:pt idx="15">
                  <c:v>2005.1929999999998</c:v>
                </c:pt>
                <c:pt idx="16">
                  <c:v>1791.635</c:v>
                </c:pt>
                <c:pt idx="17">
                  <c:v>1827.4610000000002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A-4DF6-BC6D-DD629EA3A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22368"/>
        <c:axId val="777921976"/>
      </c:scatterChart>
      <c:valAx>
        <c:axId val="77792236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77921976"/>
        <c:crosses val="autoZero"/>
        <c:crossBetween val="midCat"/>
      </c:valAx>
      <c:valAx>
        <c:axId val="77792197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777922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466725</xdr:colOff>
      <xdr:row>90</xdr:row>
      <xdr:rowOff>19050</xdr:rowOff>
    </xdr:from>
    <xdr:to>
      <xdr:col>38</xdr:col>
      <xdr:colOff>161925</xdr:colOff>
      <xdr:row>106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55</xdr:row>
      <xdr:rowOff>114300</xdr:rowOff>
    </xdr:from>
    <xdr:to>
      <xdr:col>22</xdr:col>
      <xdr:colOff>0</xdr:colOff>
      <xdr:row>75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228599</xdr:colOff>
      <xdr:row>54</xdr:row>
      <xdr:rowOff>95249</xdr:rowOff>
    </xdr:from>
    <xdr:to>
      <xdr:col>14</xdr:col>
      <xdr:colOff>447674</xdr:colOff>
      <xdr:row>78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613262</xdr:colOff>
      <xdr:row>47</xdr:row>
      <xdr:rowOff>122360</xdr:rowOff>
    </xdr:from>
    <xdr:to>
      <xdr:col>33</xdr:col>
      <xdr:colOff>117963</xdr:colOff>
      <xdr:row>67</xdr:row>
      <xdr:rowOff>4397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My%20Documents\MOTOR\ORIENTAL\ORINTC16(draft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trick%20Model%20old%20do%20not%20u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sialink\ddi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WINNT\Temporary%20Internet%20Files\OLK43\sparc%202009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Equity%20Research\Aerospace%20&amp;%20Defence\Commercial%20Aerospace\Commercial%20Aerospace%20Datab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Models\litra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melia\sectors\TRA'PORT\miscmode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EQU\RESEARCH\Industrials\Transport\AVIATION\Qantas\Qantas%20january%2028%20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Models\UEM%20&amp;%20Plu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Models\METACO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ERSONAL\TECKONN\TIME\TIM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Joel_ng%20old%20cdrive\Kep\Keppel%20Models%20&amp;%20Data\Kep%20greenlight%2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EARCH\CORINNA\GAMING\TANJO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Roads\CEU\Connecteast%20-%20ver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EQU\RESEARCH\Industrials\Infrastructure%20&amp;%20Utilities\Infrastructure\Latest%20Models\ports\Asciano%20v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oll\Model\Consolidation%20PRK%20&amp;%20Toll%2028%20Apr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EARCH\CARMEL\HK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ycfsp151\shared\Documents%20and%20Settings\scatalan\Local%20Settings\Temporary%20Internet%20Files\OLKA\Patrick%20Model%20old%20do%20not%20u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brief"/>
      <sheetName val="ORIENNAV"/>
      <sheetName val="RNAV"/>
      <sheetName val="ma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New Essentials Page"/>
      <sheetName val="Break-up Value"/>
      <sheetName val="Divisional Margins"/>
      <sheetName val="CLSA"/>
      <sheetName val="Valuation"/>
      <sheetName val="DCF summary page"/>
      <sheetName val="straddles"/>
      <sheetName val="Model"/>
      <sheetName val="Segment"/>
      <sheetName val="Segnment information"/>
      <sheetName val="Download"/>
      <sheetName val="New Divisions"/>
      <sheetName val="presentation tables"/>
      <sheetName val="Adjusted PE"/>
      <sheetName val="MIFCo"/>
      <sheetName val="Segment Graphs"/>
      <sheetName val="Sheet1"/>
      <sheetName val="P&amp;O vs PRK costs"/>
      <sheetName val="PRK cost index graph"/>
      <sheetName val="P&amp;O vs PRK costs graph"/>
      <sheetName val="Chart4"/>
      <sheetName val="profit margin teu"/>
      <sheetName val="industry rev costs profit chart"/>
      <sheetName val="Results Snapshot"/>
      <sheetName val="Capital Structure &amp; Dil. "/>
      <sheetName val="Valuation Model"/>
      <sheetName val="Terminal Operating Costs"/>
      <sheetName val="Terminal Pricing Structure"/>
      <sheetName val="% Exp &amp; PV of Debt"/>
      <sheetName val="Post Tax WACC"/>
      <sheetName val="Lookups"/>
      <sheetName val="Variable Cost Structure"/>
      <sheetName val="Old Summary_MEL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A</v>
          </cell>
          <cell r="F2" t="str">
            <v>A</v>
          </cell>
          <cell r="G2" t="str">
            <v>A</v>
          </cell>
          <cell r="H2" t="str">
            <v>A</v>
          </cell>
          <cell r="I2" t="str">
            <v>A</v>
          </cell>
          <cell r="J2" t="str">
            <v>A</v>
          </cell>
          <cell r="K2" t="str">
            <v>A</v>
          </cell>
          <cell r="L2" t="str">
            <v>A</v>
          </cell>
          <cell r="M2" t="str">
            <v>A</v>
          </cell>
          <cell r="N2" t="str">
            <v>A</v>
          </cell>
          <cell r="O2" t="str">
            <v>A</v>
          </cell>
          <cell r="P2" t="str">
            <v>A</v>
          </cell>
          <cell r="Q2" t="str">
            <v>A</v>
          </cell>
          <cell r="R2" t="str">
            <v>A</v>
          </cell>
          <cell r="S2" t="str">
            <v>A</v>
          </cell>
          <cell r="T2" t="str">
            <v>A</v>
          </cell>
          <cell r="U2" t="str">
            <v>A</v>
          </cell>
          <cell r="V2" t="str">
            <v>A</v>
          </cell>
          <cell r="W2" t="str">
            <v>A</v>
          </cell>
          <cell r="X2" t="str">
            <v>A</v>
          </cell>
          <cell r="Y2" t="str">
            <v>A</v>
          </cell>
          <cell r="Z2" t="str">
            <v>A</v>
          </cell>
          <cell r="AA2" t="str">
            <v>E</v>
          </cell>
          <cell r="AB2" t="str">
            <v>E</v>
          </cell>
          <cell r="AC2" t="str">
            <v>E</v>
          </cell>
          <cell r="AD2" t="str">
            <v>E</v>
          </cell>
          <cell r="AE2" t="str">
            <v>E</v>
          </cell>
          <cell r="AF2" t="str">
            <v>E</v>
          </cell>
          <cell r="AG2" t="str">
            <v>E</v>
          </cell>
          <cell r="AH2" t="str">
            <v>E</v>
          </cell>
          <cell r="AI2" t="str">
            <v>E</v>
          </cell>
          <cell r="AJ2" t="str">
            <v>E</v>
          </cell>
          <cell r="AK2" t="str">
            <v>E</v>
          </cell>
          <cell r="AL2" t="str">
            <v>E</v>
          </cell>
          <cell r="AM2" t="str">
            <v>E</v>
          </cell>
          <cell r="AN2" t="str">
            <v>E</v>
          </cell>
          <cell r="AO2" t="str">
            <v>E</v>
          </cell>
          <cell r="AP2" t="str">
            <v>E</v>
          </cell>
          <cell r="AQ2" t="str">
            <v>E</v>
          </cell>
          <cell r="AR2" t="str">
            <v>E</v>
          </cell>
          <cell r="AS2" t="str">
            <v>E</v>
          </cell>
          <cell r="AT2" t="str">
            <v>E</v>
          </cell>
          <cell r="AU2" t="str">
            <v>E</v>
          </cell>
          <cell r="AV2" t="str">
            <v>E</v>
          </cell>
          <cell r="AW2" t="str">
            <v>E</v>
          </cell>
          <cell r="AX2" t="str">
            <v>E</v>
          </cell>
          <cell r="AY2" t="str">
            <v>E</v>
          </cell>
          <cell r="AZ2" t="str">
            <v>E</v>
          </cell>
          <cell r="BA2" t="str">
            <v>E</v>
          </cell>
          <cell r="BB2" t="str">
            <v>E</v>
          </cell>
          <cell r="BC2" t="str">
            <v>E</v>
          </cell>
          <cell r="BD2" t="str">
            <v>E</v>
          </cell>
          <cell r="BE2" t="str">
            <v>E</v>
          </cell>
          <cell r="BF2" t="str">
            <v>E</v>
          </cell>
          <cell r="BG2" t="str">
            <v>E</v>
          </cell>
          <cell r="BH2" t="str">
            <v>E</v>
          </cell>
          <cell r="BI2" t="str">
            <v>E</v>
          </cell>
          <cell r="BJ2" t="str">
            <v>E</v>
          </cell>
          <cell r="BK2" t="str">
            <v>E</v>
          </cell>
          <cell r="BL2" t="str">
            <v>E</v>
          </cell>
          <cell r="BM2" t="str">
            <v>E</v>
          </cell>
          <cell r="BN2" t="str">
            <v>E</v>
          </cell>
          <cell r="BO2" t="str">
            <v>E</v>
          </cell>
          <cell r="BP2" t="str">
            <v>E</v>
          </cell>
          <cell r="BQ2" t="str">
            <v>E</v>
          </cell>
          <cell r="BR2" t="str">
            <v>E</v>
          </cell>
        </row>
        <row r="4">
          <cell r="E4" t="str">
            <v>1H89(a)</v>
          </cell>
          <cell r="F4" t="str">
            <v>2H89(a)</v>
          </cell>
          <cell r="G4" t="str">
            <v>FY89(a)</v>
          </cell>
          <cell r="H4" t="str">
            <v>1H90(a)</v>
          </cell>
          <cell r="I4" t="str">
            <v>2H90(a)</v>
          </cell>
          <cell r="J4" t="str">
            <v>FY90(a)</v>
          </cell>
          <cell r="K4" t="str">
            <v>1H91(a)</v>
          </cell>
          <cell r="L4" t="str">
            <v>2H91(a)</v>
          </cell>
          <cell r="M4" t="str">
            <v>FY91(a)</v>
          </cell>
          <cell r="N4" t="str">
            <v>1H92(a)</v>
          </cell>
          <cell r="O4" t="str">
            <v>2H92(a)</v>
          </cell>
          <cell r="P4" t="str">
            <v>FY92(a)</v>
          </cell>
          <cell r="Q4" t="str">
            <v>1H93(a)</v>
          </cell>
          <cell r="R4" t="str">
            <v>2H93(a)</v>
          </cell>
          <cell r="S4" t="str">
            <v>FY93(a)</v>
          </cell>
          <cell r="T4" t="str">
            <v>1H94(a)</v>
          </cell>
          <cell r="U4" t="str">
            <v>2H94(a)</v>
          </cell>
          <cell r="V4" t="str">
            <v>FY94(a)</v>
          </cell>
          <cell r="W4" t="str">
            <v>1H95(a)</v>
          </cell>
          <cell r="X4" t="str">
            <v>2H95(a)</v>
          </cell>
          <cell r="Y4" t="str">
            <v>FY95(a)</v>
          </cell>
          <cell r="Z4" t="str">
            <v>1H96(a)</v>
          </cell>
          <cell r="AA4" t="str">
            <v>2H96(a)</v>
          </cell>
          <cell r="AB4" t="str">
            <v>FY96(a)</v>
          </cell>
          <cell r="AC4" t="str">
            <v>1H97(a)</v>
          </cell>
          <cell r="AD4" t="str">
            <v>2H97(a)</v>
          </cell>
          <cell r="AE4" t="str">
            <v>FY97(a)</v>
          </cell>
          <cell r="AF4" t="str">
            <v>1H98(a)</v>
          </cell>
          <cell r="AG4" t="str">
            <v>2H98(a)</v>
          </cell>
          <cell r="AH4" t="str">
            <v>FY98(a)</v>
          </cell>
          <cell r="AI4" t="str">
            <v>1H99(a)</v>
          </cell>
          <cell r="AJ4" t="str">
            <v>2H99(a)</v>
          </cell>
          <cell r="AK4" t="str">
            <v>FY99(a)</v>
          </cell>
          <cell r="AL4" t="str">
            <v>1H00(a)</v>
          </cell>
          <cell r="AM4" t="str">
            <v>2H00(a)</v>
          </cell>
          <cell r="AN4" t="str">
            <v>FY00(a)</v>
          </cell>
          <cell r="AO4" t="str">
            <v>1H01(a)</v>
          </cell>
          <cell r="AP4" t="str">
            <v>2H01(a)</v>
          </cell>
          <cell r="AQ4" t="str">
            <v>FY01(a)</v>
          </cell>
          <cell r="AR4" t="str">
            <v>1H02(a)</v>
          </cell>
          <cell r="AS4" t="str">
            <v>2H02(a)</v>
          </cell>
          <cell r="AT4" t="str">
            <v>FY02(a)</v>
          </cell>
          <cell r="AU4" t="str">
            <v>1H03(e)</v>
          </cell>
          <cell r="AV4" t="str">
            <v>2H03(e)</v>
          </cell>
          <cell r="AW4" t="str">
            <v>FY03(e)</v>
          </cell>
          <cell r="AX4" t="str">
            <v>1H04(e)</v>
          </cell>
          <cell r="AY4" t="str">
            <v>2H04(e)</v>
          </cell>
          <cell r="AZ4" t="str">
            <v>FY04(e)</v>
          </cell>
          <cell r="BA4" t="str">
            <v>1H05(e)</v>
          </cell>
          <cell r="BB4" t="str">
            <v>2H05(e)</v>
          </cell>
          <cell r="BC4" t="str">
            <v>FY05(e)</v>
          </cell>
          <cell r="BD4" t="str">
            <v>1H06(e)</v>
          </cell>
          <cell r="BE4" t="str">
            <v>2H06(e)</v>
          </cell>
          <cell r="BF4" t="str">
            <v>FY06(e)</v>
          </cell>
          <cell r="BG4" t="str">
            <v>1H07(e)</v>
          </cell>
          <cell r="BH4" t="str">
            <v>2H07(e)</v>
          </cell>
          <cell r="BI4" t="str">
            <v>FY07(e)</v>
          </cell>
          <cell r="BJ4" t="str">
            <v>1H08(e)</v>
          </cell>
          <cell r="BK4" t="str">
            <v>2H08(e)</v>
          </cell>
          <cell r="BL4" t="str">
            <v>FY08(e)</v>
          </cell>
          <cell r="BM4" t="str">
            <v>1H09(e)</v>
          </cell>
          <cell r="BN4" t="str">
            <v>2H09(e)</v>
          </cell>
          <cell r="BO4" t="str">
            <v>FY09(e)</v>
          </cell>
          <cell r="BP4" t="str">
            <v>1H10(e)</v>
          </cell>
          <cell r="BQ4" t="str">
            <v>2H10(e)</v>
          </cell>
          <cell r="BR4" t="str">
            <v>FY10(e)</v>
          </cell>
        </row>
        <row r="7">
          <cell r="AV7" t="str">
            <v>Make Sure this is the maximum length of this name</v>
          </cell>
        </row>
        <row r="8">
          <cell r="G8" t="str">
            <v>AH</v>
          </cell>
          <cell r="H8" t="str">
            <v>(618) 8203 0263</v>
          </cell>
          <cell r="AV8" t="str">
            <v>Price input that drives model calcs</v>
          </cell>
        </row>
        <row r="9">
          <cell r="AV9" t="str">
            <v>Draws price from price sheet</v>
          </cell>
        </row>
        <row r="10">
          <cell r="G10" t="str">
            <v>RH</v>
          </cell>
          <cell r="H10" t="str">
            <v>(612) 9259 2797</v>
          </cell>
        </row>
        <row r="11">
          <cell r="G11" t="str">
            <v>AM</v>
          </cell>
          <cell r="H11" t="str">
            <v>(612) 9237 4572</v>
          </cell>
        </row>
        <row r="12">
          <cell r="G12" t="str">
            <v>BS</v>
          </cell>
          <cell r="H12" t="str">
            <v>(617) 3233 5851</v>
          </cell>
          <cell r="AV12" t="str">
            <v>Main recommendation</v>
          </cell>
        </row>
        <row r="13">
          <cell r="G13" t="str">
            <v>SS</v>
          </cell>
          <cell r="H13" t="str">
            <v>(618) 8203 0271</v>
          </cell>
          <cell r="AV13" t="str">
            <v>Only for Data sheet in Melbourne</v>
          </cell>
        </row>
        <row r="15">
          <cell r="G15" t="str">
            <v>PS</v>
          </cell>
          <cell r="H15" t="str">
            <v>(612) 9259 3936</v>
          </cell>
        </row>
        <row r="16">
          <cell r="G16" t="str">
            <v>AW</v>
          </cell>
          <cell r="H16" t="str">
            <v>(618) 9422 2267</v>
          </cell>
        </row>
        <row r="33">
          <cell r="E33" t="str">
            <v>1H89(a)</v>
          </cell>
          <cell r="F33" t="str">
            <v>2H89(a)</v>
          </cell>
          <cell r="G33" t="str">
            <v>FY89(a)</v>
          </cell>
          <cell r="H33" t="str">
            <v>1H90(a)</v>
          </cell>
          <cell r="I33" t="str">
            <v>2H90(a)</v>
          </cell>
          <cell r="J33" t="str">
            <v>FY90(a)</v>
          </cell>
          <cell r="K33" t="str">
            <v>1H91(a)</v>
          </cell>
          <cell r="L33" t="str">
            <v>2H91(a)</v>
          </cell>
          <cell r="M33" t="str">
            <v>FY91(a)</v>
          </cell>
          <cell r="N33" t="str">
            <v>1H92(a)</v>
          </cell>
          <cell r="O33" t="str">
            <v>2H92(a)</v>
          </cell>
          <cell r="P33" t="str">
            <v>FY92(a)</v>
          </cell>
          <cell r="Q33" t="str">
            <v>1H93(a)</v>
          </cell>
          <cell r="R33" t="str">
            <v>2H93(a)</v>
          </cell>
          <cell r="S33" t="str">
            <v>FY93(a)</v>
          </cell>
          <cell r="T33" t="str">
            <v>1H94(a)</v>
          </cell>
          <cell r="U33" t="str">
            <v>2H94(a)</v>
          </cell>
          <cell r="V33" t="str">
            <v>FY94(a)</v>
          </cell>
          <cell r="W33" t="str">
            <v>1H95(a)</v>
          </cell>
          <cell r="X33" t="str">
            <v>2H95(a)</v>
          </cell>
          <cell r="Y33" t="str">
            <v>FY95(a)</v>
          </cell>
          <cell r="Z33" t="str">
            <v>1H96(a)</v>
          </cell>
          <cell r="AA33" t="str">
            <v>2H96(a)</v>
          </cell>
          <cell r="AB33" t="str">
            <v>FY96(a)</v>
          </cell>
          <cell r="AC33" t="str">
            <v>1H97(a)</v>
          </cell>
          <cell r="AD33" t="str">
            <v>2H97(a)</v>
          </cell>
          <cell r="AE33" t="str">
            <v>FY97(a)</v>
          </cell>
          <cell r="AF33" t="str">
            <v>1H98(a)</v>
          </cell>
          <cell r="AG33" t="str">
            <v>2H98(a)</v>
          </cell>
          <cell r="AH33" t="str">
            <v>FY98(a)</v>
          </cell>
          <cell r="AI33" t="str">
            <v>1H99(a)</v>
          </cell>
          <cell r="AJ33" t="str">
            <v>2H99(a)</v>
          </cell>
          <cell r="AK33" t="str">
            <v>FY99(a)</v>
          </cell>
          <cell r="AL33" t="str">
            <v>1H00(a)</v>
          </cell>
          <cell r="AM33" t="str">
            <v>2H00(a)</v>
          </cell>
          <cell r="AN33" t="str">
            <v>FY00(a)</v>
          </cell>
          <cell r="AO33" t="str">
            <v>1H01(a)</v>
          </cell>
          <cell r="AP33" t="str">
            <v>2H01(a)</v>
          </cell>
          <cell r="AQ33" t="str">
            <v>FY01(a)</v>
          </cell>
          <cell r="AR33" t="str">
            <v>1H02(a)</v>
          </cell>
          <cell r="AS33" t="str">
            <v>2H02(a)</v>
          </cell>
          <cell r="AT33" t="str">
            <v>FY02(a)</v>
          </cell>
          <cell r="AU33" t="str">
            <v>1H03(e)</v>
          </cell>
          <cell r="AV33" t="str">
            <v>2H03(e)</v>
          </cell>
          <cell r="AW33" t="str">
            <v>FY03(e)</v>
          </cell>
          <cell r="AX33" t="str">
            <v>1H04(e)</v>
          </cell>
          <cell r="AY33" t="str">
            <v>2H04(e)</v>
          </cell>
          <cell r="AZ33" t="str">
            <v>FY04(e)</v>
          </cell>
          <cell r="BA33" t="str">
            <v>1H05(e)</v>
          </cell>
          <cell r="BB33" t="str">
            <v>2H05(e)</v>
          </cell>
          <cell r="BC33" t="str">
            <v>FY05(e)</v>
          </cell>
          <cell r="BD33" t="str">
            <v>1H06(e)</v>
          </cell>
          <cell r="BE33" t="str">
            <v>2H06(e)</v>
          </cell>
          <cell r="BF33" t="str">
            <v>FY06(e)</v>
          </cell>
          <cell r="BG33" t="str">
            <v>1H07(e)</v>
          </cell>
          <cell r="BH33" t="str">
            <v>2H07(e)</v>
          </cell>
          <cell r="BI33" t="str">
            <v>FY07(e)</v>
          </cell>
          <cell r="BJ33" t="str">
            <v>1H08(e)</v>
          </cell>
          <cell r="BK33" t="str">
            <v>2H08(e)</v>
          </cell>
          <cell r="BL33" t="str">
            <v>FY08(e)</v>
          </cell>
          <cell r="BM33" t="str">
            <v>1H09(e)</v>
          </cell>
          <cell r="BN33" t="str">
            <v>2H09(e)</v>
          </cell>
          <cell r="BO33" t="str">
            <v>FY09(e)</v>
          </cell>
          <cell r="BP33" t="str">
            <v>1H10(e)</v>
          </cell>
          <cell r="BQ33" t="str">
            <v>2H10(e)</v>
          </cell>
          <cell r="BR33" t="str">
            <v>FY10(e)</v>
          </cell>
        </row>
        <row r="34">
          <cell r="E34" t="str">
            <v>A</v>
          </cell>
          <cell r="F34" t="str">
            <v>A</v>
          </cell>
          <cell r="G34" t="str">
            <v>A</v>
          </cell>
          <cell r="H34" t="str">
            <v>A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 t="str">
            <v>A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A</v>
          </cell>
          <cell r="Y34" t="str">
            <v>A</v>
          </cell>
          <cell r="Z34" t="str">
            <v>A</v>
          </cell>
          <cell r="AA34" t="str">
            <v>A</v>
          </cell>
          <cell r="AB34" t="str">
            <v>A</v>
          </cell>
          <cell r="AC34" t="str">
            <v>A</v>
          </cell>
          <cell r="AD34" t="str">
            <v>A</v>
          </cell>
          <cell r="AE34" t="str">
            <v>A</v>
          </cell>
          <cell r="AF34" t="str">
            <v>A</v>
          </cell>
          <cell r="AG34" t="str">
            <v>A</v>
          </cell>
          <cell r="AH34" t="str">
            <v>A</v>
          </cell>
          <cell r="AI34" t="str">
            <v>A</v>
          </cell>
          <cell r="AJ34" t="str">
            <v>A</v>
          </cell>
          <cell r="AK34" t="str">
            <v>A</v>
          </cell>
          <cell r="AL34" t="str">
            <v>A</v>
          </cell>
          <cell r="AM34" t="str">
            <v>A</v>
          </cell>
          <cell r="AN34" t="str">
            <v>A</v>
          </cell>
          <cell r="AO34" t="str">
            <v>A</v>
          </cell>
          <cell r="AP34" t="str">
            <v>A</v>
          </cell>
          <cell r="AQ34" t="str">
            <v>A</v>
          </cell>
          <cell r="AR34" t="str">
            <v>A</v>
          </cell>
          <cell r="AS34" t="str">
            <v>a</v>
          </cell>
          <cell r="AT34" t="str">
            <v>a</v>
          </cell>
          <cell r="AU34" t="str">
            <v>E</v>
          </cell>
          <cell r="AV34" t="str">
            <v>E</v>
          </cell>
          <cell r="AW34" t="str">
            <v>E</v>
          </cell>
          <cell r="AX34" t="str">
            <v>E</v>
          </cell>
          <cell r="AY34" t="str">
            <v>E</v>
          </cell>
          <cell r="AZ34" t="str">
            <v>E</v>
          </cell>
          <cell r="BA34" t="str">
            <v>E</v>
          </cell>
          <cell r="BB34" t="str">
            <v>E</v>
          </cell>
          <cell r="BC34" t="str">
            <v>E</v>
          </cell>
          <cell r="BD34" t="str">
            <v>E</v>
          </cell>
          <cell r="BE34" t="str">
            <v>E</v>
          </cell>
          <cell r="BF34" t="str">
            <v>E</v>
          </cell>
          <cell r="BG34" t="str">
            <v>E</v>
          </cell>
          <cell r="BH34" t="str">
            <v>E</v>
          </cell>
          <cell r="BI34" t="str">
            <v>E</v>
          </cell>
          <cell r="BJ34" t="str">
            <v>E</v>
          </cell>
          <cell r="BK34" t="str">
            <v>E</v>
          </cell>
          <cell r="BL34" t="str">
            <v>E</v>
          </cell>
          <cell r="BM34" t="str">
            <v>E</v>
          </cell>
          <cell r="BN34" t="str">
            <v>E</v>
          </cell>
          <cell r="BO34" t="str">
            <v>E</v>
          </cell>
          <cell r="BP34" t="str">
            <v>E</v>
          </cell>
          <cell r="BQ34" t="str">
            <v>E</v>
          </cell>
          <cell r="BR34" t="str">
            <v>E</v>
          </cell>
        </row>
        <row r="35">
          <cell r="E35">
            <v>1000000</v>
          </cell>
          <cell r="F35">
            <v>1000000</v>
          </cell>
          <cell r="H35">
            <v>1000000</v>
          </cell>
          <cell r="I35">
            <v>1000000</v>
          </cell>
          <cell r="K35">
            <v>1000000</v>
          </cell>
          <cell r="L35">
            <v>1000000</v>
          </cell>
          <cell r="N35">
            <v>1000000</v>
          </cell>
          <cell r="O35">
            <v>1000000</v>
          </cell>
          <cell r="Q35">
            <v>1000000</v>
          </cell>
          <cell r="R35">
            <v>1000000</v>
          </cell>
          <cell r="T35">
            <v>1000000</v>
          </cell>
          <cell r="U35">
            <v>1000000</v>
          </cell>
          <cell r="W35">
            <v>1000000</v>
          </cell>
          <cell r="X35">
            <v>1000000</v>
          </cell>
          <cell r="Z35">
            <v>1000000</v>
          </cell>
          <cell r="AA35">
            <v>1000000</v>
          </cell>
          <cell r="AC35">
            <v>1000000</v>
          </cell>
          <cell r="AD35">
            <v>1000000</v>
          </cell>
          <cell r="AF35">
            <v>1000000</v>
          </cell>
          <cell r="AG35">
            <v>1000000</v>
          </cell>
          <cell r="AI35">
            <v>1000000</v>
          </cell>
          <cell r="AJ35">
            <v>1000000</v>
          </cell>
          <cell r="AL35">
            <v>1000000</v>
          </cell>
          <cell r="AM35">
            <v>1000000</v>
          </cell>
        </row>
        <row r="36">
          <cell r="E36">
            <v>32598</v>
          </cell>
          <cell r="F36">
            <v>32781</v>
          </cell>
          <cell r="H36">
            <v>32963</v>
          </cell>
          <cell r="I36">
            <v>33146</v>
          </cell>
          <cell r="K36">
            <v>33328</v>
          </cell>
          <cell r="L36">
            <v>33511</v>
          </cell>
          <cell r="N36">
            <v>33694</v>
          </cell>
          <cell r="O36">
            <v>33877</v>
          </cell>
          <cell r="Q36">
            <v>34059</v>
          </cell>
          <cell r="R36">
            <v>34242</v>
          </cell>
          <cell r="T36">
            <v>34424</v>
          </cell>
          <cell r="U36">
            <v>34607</v>
          </cell>
          <cell r="W36">
            <v>34789</v>
          </cell>
          <cell r="X36">
            <v>34972</v>
          </cell>
          <cell r="Z36">
            <v>35155</v>
          </cell>
          <cell r="AA36">
            <v>35338</v>
          </cell>
          <cell r="AC36" t="e">
            <v>#REF!</v>
          </cell>
          <cell r="AD36" t="e">
            <v>#REF!</v>
          </cell>
          <cell r="AF36" t="e">
            <v>#REF!</v>
          </cell>
          <cell r="AG36" t="e">
            <v>#REF!</v>
          </cell>
          <cell r="AI36">
            <v>36250</v>
          </cell>
          <cell r="AJ36">
            <v>36433</v>
          </cell>
          <cell r="AL36">
            <v>36616</v>
          </cell>
          <cell r="AM36">
            <v>36799</v>
          </cell>
          <cell r="AO36">
            <v>36981</v>
          </cell>
          <cell r="AP36">
            <v>37164</v>
          </cell>
          <cell r="AR36">
            <v>37346</v>
          </cell>
          <cell r="AS36">
            <v>37529</v>
          </cell>
          <cell r="AU36">
            <v>37711</v>
          </cell>
          <cell r="AV36">
            <v>37894</v>
          </cell>
          <cell r="AX36">
            <v>38077</v>
          </cell>
          <cell r="AY36">
            <v>38260</v>
          </cell>
          <cell r="BA36">
            <v>38442</v>
          </cell>
          <cell r="BB36">
            <v>38625</v>
          </cell>
          <cell r="BD36">
            <v>38442</v>
          </cell>
          <cell r="BE36">
            <v>38625</v>
          </cell>
          <cell r="BG36">
            <v>38442</v>
          </cell>
          <cell r="BH36">
            <v>38625</v>
          </cell>
          <cell r="BJ36">
            <v>38442</v>
          </cell>
          <cell r="BK36">
            <v>38625</v>
          </cell>
          <cell r="BM36">
            <v>38442</v>
          </cell>
          <cell r="BN36">
            <v>38625</v>
          </cell>
          <cell r="BP36">
            <v>38442</v>
          </cell>
          <cell r="BQ36">
            <v>38625</v>
          </cell>
        </row>
        <row r="38">
          <cell r="E38" t="str">
            <v>1H89(a)</v>
          </cell>
          <cell r="F38" t="str">
            <v>2H89(a)</v>
          </cell>
          <cell r="G38" t="str">
            <v>FY89(a)</v>
          </cell>
          <cell r="H38" t="str">
            <v>1H90(a)</v>
          </cell>
          <cell r="I38" t="str">
            <v>2H90(a)</v>
          </cell>
          <cell r="J38" t="str">
            <v>FY90(a)</v>
          </cell>
          <cell r="K38" t="str">
            <v>1H91(a)</v>
          </cell>
          <cell r="L38" t="str">
            <v>2H91(a)</v>
          </cell>
          <cell r="M38" t="str">
            <v>FY91(a)</v>
          </cell>
          <cell r="N38" t="str">
            <v>1H92(a)</v>
          </cell>
          <cell r="O38" t="str">
            <v>2H92(a)</v>
          </cell>
          <cell r="P38" t="str">
            <v>FY92(a)</v>
          </cell>
          <cell r="Q38" t="str">
            <v>1H93(a)</v>
          </cell>
          <cell r="R38" t="str">
            <v>2H93(a)</v>
          </cell>
          <cell r="S38" t="str">
            <v>FY93(a)</v>
          </cell>
          <cell r="T38" t="str">
            <v>1H94(a)</v>
          </cell>
          <cell r="U38" t="str">
            <v>2H94(a)</v>
          </cell>
          <cell r="V38" t="str">
            <v>FY94(a)</v>
          </cell>
          <cell r="W38" t="str">
            <v>1H95(a)</v>
          </cell>
          <cell r="X38" t="str">
            <v>2H95(a)</v>
          </cell>
          <cell r="Y38" t="str">
            <v>FY95(a)</v>
          </cell>
          <cell r="Z38" t="str">
            <v>1H96(a)</v>
          </cell>
          <cell r="AA38" t="str">
            <v>2H96(a)</v>
          </cell>
          <cell r="AB38" t="str">
            <v>FY96(a)</v>
          </cell>
          <cell r="AC38" t="str">
            <v>1H97(a)</v>
          </cell>
          <cell r="AD38" t="str">
            <v>2H97(a)</v>
          </cell>
          <cell r="AE38" t="str">
            <v>FY97(a)</v>
          </cell>
          <cell r="AF38" t="str">
            <v>1H98(a)</v>
          </cell>
          <cell r="AG38" t="str">
            <v>2H98(a)</v>
          </cell>
          <cell r="AH38" t="str">
            <v>FY98(a)</v>
          </cell>
          <cell r="AI38" t="str">
            <v>1H99(a)</v>
          </cell>
          <cell r="AJ38" t="str">
            <v>2H99(a)</v>
          </cell>
          <cell r="AK38" t="str">
            <v>FY99(a)</v>
          </cell>
          <cell r="AL38" t="str">
            <v>1H00(a)</v>
          </cell>
          <cell r="AM38" t="str">
            <v>2H00(a)</v>
          </cell>
          <cell r="AN38" t="str">
            <v>FY00(a)</v>
          </cell>
          <cell r="AO38" t="str">
            <v>1H01(a)</v>
          </cell>
          <cell r="AP38" t="str">
            <v>2H01(a)</v>
          </cell>
          <cell r="AQ38" t="str">
            <v>FY01(a)</v>
          </cell>
          <cell r="AR38" t="str">
            <v>1H02(a)</v>
          </cell>
          <cell r="AS38" t="str">
            <v>2H02(a)</v>
          </cell>
          <cell r="AT38" t="str">
            <v>FY02(a)</v>
          </cell>
          <cell r="AU38" t="str">
            <v>1H03(e)</v>
          </cell>
          <cell r="AV38" t="str">
            <v>2H03(e)</v>
          </cell>
          <cell r="AW38" t="str">
            <v>FY03(e)</v>
          </cell>
          <cell r="AX38" t="str">
            <v>1H04(e)</v>
          </cell>
          <cell r="AY38" t="str">
            <v>2H04(e)</v>
          </cell>
          <cell r="AZ38" t="str">
            <v>FY04(e)</v>
          </cell>
          <cell r="BA38" t="str">
            <v>1H05(e)</v>
          </cell>
          <cell r="BB38" t="str">
            <v>2H05(e)</v>
          </cell>
          <cell r="BC38" t="str">
            <v>FY05(e)</v>
          </cell>
          <cell r="BD38" t="str">
            <v>1H06(e)</v>
          </cell>
          <cell r="BE38" t="str">
            <v>2H06(e)</v>
          </cell>
          <cell r="BF38" t="str">
            <v>FY06(e)</v>
          </cell>
          <cell r="BG38" t="str">
            <v>1H07(e)</v>
          </cell>
          <cell r="BH38" t="str">
            <v>2H07(e)</v>
          </cell>
          <cell r="BI38" t="str">
            <v>FY07(e)</v>
          </cell>
          <cell r="BJ38" t="str">
            <v>1H08(e)</v>
          </cell>
          <cell r="BK38" t="str">
            <v>2H08(e)</v>
          </cell>
          <cell r="BL38" t="str">
            <v>FY08(e)</v>
          </cell>
          <cell r="BM38" t="str">
            <v>1H09(e)</v>
          </cell>
          <cell r="BN38" t="str">
            <v>2H09(e)</v>
          </cell>
          <cell r="BO38" t="str">
            <v>FY09(e)</v>
          </cell>
          <cell r="BP38" t="str">
            <v>1H10(e)</v>
          </cell>
          <cell r="BQ38" t="str">
            <v>2H10(e)</v>
          </cell>
          <cell r="BR38" t="str">
            <v>FY10(e)</v>
          </cell>
        </row>
        <row r="39">
          <cell r="F39">
            <v>0</v>
          </cell>
          <cell r="I39">
            <v>0</v>
          </cell>
          <cell r="L39">
            <v>0</v>
          </cell>
          <cell r="O39">
            <v>0</v>
          </cell>
          <cell r="Q39">
            <v>0</v>
          </cell>
          <cell r="R39" t="e">
            <v>#REF!</v>
          </cell>
          <cell r="S39" t="e">
            <v>#REF!</v>
          </cell>
          <cell r="U39">
            <v>365.3</v>
          </cell>
          <cell r="V39">
            <v>365.3</v>
          </cell>
          <cell r="W39">
            <v>0</v>
          </cell>
          <cell r="X39">
            <v>406.2</v>
          </cell>
          <cell r="Y39">
            <v>406.2</v>
          </cell>
          <cell r="Z39">
            <v>0</v>
          </cell>
          <cell r="AA39" t="e">
            <v>#REF!</v>
          </cell>
          <cell r="AB39">
            <v>410.8</v>
          </cell>
          <cell r="AC39">
            <v>260.44799999999998</v>
          </cell>
          <cell r="AD39">
            <v>218.65199999999999</v>
          </cell>
          <cell r="AE39">
            <v>479.1</v>
          </cell>
          <cell r="AF39">
            <v>185.16299999999998</v>
          </cell>
          <cell r="AG39">
            <v>171.93600000000004</v>
          </cell>
          <cell r="AH39">
            <v>357.09899999999999</v>
          </cell>
          <cell r="AI39">
            <v>197.26299999999998</v>
          </cell>
          <cell r="AJ39">
            <v>218.93207020000006</v>
          </cell>
          <cell r="AK39">
            <v>416.17707020000006</v>
          </cell>
          <cell r="AL39">
            <v>357.96327498960011</v>
          </cell>
          <cell r="AM39">
            <v>326.06008853039987</v>
          </cell>
          <cell r="AN39">
            <v>684.02336351999998</v>
          </cell>
          <cell r="AO39">
            <v>354.50900000000001</v>
          </cell>
          <cell r="AP39">
            <v>377.84287534600696</v>
          </cell>
          <cell r="AQ39">
            <v>700.95600000000002</v>
          </cell>
          <cell r="AR39">
            <v>407.32</v>
          </cell>
          <cell r="AS39">
            <v>467.83499999999998</v>
          </cell>
          <cell r="AT39">
            <v>875.15499999999997</v>
          </cell>
          <cell r="AU39">
            <v>558.34400000000005</v>
          </cell>
          <cell r="AV39">
            <v>574.15599999999995</v>
          </cell>
          <cell r="AW39">
            <v>1132.5</v>
          </cell>
          <cell r="AX39">
            <v>565.91665559420255</v>
          </cell>
          <cell r="AY39">
            <v>587.22743068655461</v>
          </cell>
          <cell r="AZ39">
            <v>1153.1440862807572</v>
          </cell>
          <cell r="BA39">
            <v>595.6115921536574</v>
          </cell>
          <cell r="BB39">
            <v>617.91994373625573</v>
          </cell>
          <cell r="BC39">
            <v>1213.5315358899131</v>
          </cell>
          <cell r="BD39">
            <v>636.41116997951826</v>
          </cell>
          <cell r="BE39">
            <v>660.22086260076185</v>
          </cell>
          <cell r="BF39">
            <v>1296.6320325802801</v>
          </cell>
          <cell r="BG39">
            <v>679.26083223632656</v>
          </cell>
          <cell r="BH39">
            <v>706.53589650800143</v>
          </cell>
          <cell r="BI39">
            <v>1385.796728744328</v>
          </cell>
          <cell r="BJ39">
            <v>714.4441981871513</v>
          </cell>
          <cell r="BK39">
            <v>745.0207953899768</v>
          </cell>
          <cell r="BL39">
            <v>1459.4649935771281</v>
          </cell>
          <cell r="BM39">
            <v>762.52015286801668</v>
          </cell>
          <cell r="BN39">
            <v>797.09082825312601</v>
          </cell>
          <cell r="BO39">
            <v>1559.6109811211427</v>
          </cell>
          <cell r="BP39">
            <v>811.44791021044273</v>
          </cell>
          <cell r="BQ39">
            <v>850.17130372499776</v>
          </cell>
          <cell r="BR39">
            <v>1661.6192139354405</v>
          </cell>
        </row>
        <row r="40"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e">
            <v>#DIV/0!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#REF!</v>
          </cell>
          <cell r="S40" t="e">
            <v>#REF!</v>
          </cell>
          <cell r="T40" t="e">
            <v>#DIV/0!</v>
          </cell>
          <cell r="U40" t="e">
            <v>#REF!</v>
          </cell>
          <cell r="V40" t="e">
            <v>#REF!</v>
          </cell>
          <cell r="W40" t="e">
            <v>#DIV/0!</v>
          </cell>
          <cell r="X40">
            <v>11.196277032575958</v>
          </cell>
          <cell r="Y40">
            <v>11.196277032575958</v>
          </cell>
          <cell r="Z40" t="e">
            <v>#DIV/0!</v>
          </cell>
          <cell r="AA40">
            <v>1.1324470704086713</v>
          </cell>
          <cell r="AB40">
            <v>1.1324470704086713</v>
          </cell>
          <cell r="AC40" t="e">
            <v>#DIV/0!</v>
          </cell>
          <cell r="AD40">
            <v>-46.774099318403103</v>
          </cell>
          <cell r="AE40">
            <v>16.626095423563779</v>
          </cell>
          <cell r="AF40">
            <v>-28.905962034647992</v>
          </cell>
          <cell r="AG40">
            <v>-21.365457439218495</v>
          </cell>
          <cell r="AH40">
            <v>-25.464621164683788</v>
          </cell>
          <cell r="AI40">
            <v>6.5347828669874621</v>
          </cell>
          <cell r="AJ40">
            <v>27.322998208635813</v>
          </cell>
          <cell r="AK40">
            <v>16.54389124584501</v>
          </cell>
          <cell r="AL40">
            <v>81.464985825826503</v>
          </cell>
          <cell r="AM40">
            <v>48.944326982962352</v>
          </cell>
          <cell r="AN40">
            <v>64.358733937764129</v>
          </cell>
          <cell r="AO40">
            <v>-0.96498027338152248</v>
          </cell>
          <cell r="AP40">
            <v>6.2525013599446968</v>
          </cell>
          <cell r="AQ40">
            <v>2.4754470947986782</v>
          </cell>
          <cell r="AR40">
            <v>14.896941967622817</v>
          </cell>
          <cell r="AS40">
            <v>35.037971175966305</v>
          </cell>
          <cell r="AT40">
            <v>24.851631200817163</v>
          </cell>
          <cell r="AU40">
            <v>37.077482077973109</v>
          </cell>
          <cell r="AV40">
            <v>22.726174826594843</v>
          </cell>
          <cell r="AW40">
            <v>29.405648142329078</v>
          </cell>
          <cell r="AX40">
            <v>1.356270613493205</v>
          </cell>
          <cell r="AY40">
            <v>2.2766339960837585</v>
          </cell>
          <cell r="AZ40">
            <v>1.8228773757842973</v>
          </cell>
          <cell r="BA40">
            <v>5.247227885222018</v>
          </cell>
          <cell r="BB40">
            <v>5.2266824480282015</v>
          </cell>
          <cell r="BC40">
            <v>5.2367653207955982</v>
          </cell>
          <cell r="BD40">
            <v>6.8500308528809297</v>
          </cell>
          <cell r="BE40">
            <v>6.8456956751927143</v>
          </cell>
          <cell r="BF40">
            <v>6.8478234172486747</v>
          </cell>
          <cell r="BG40">
            <v>6.7330154274613596</v>
          </cell>
          <cell r="BH40">
            <v>7.0150818507603674</v>
          </cell>
          <cell r="BI40">
            <v>6.8766383926680694</v>
          </cell>
          <cell r="BJ40">
            <v>5.1796547483815223</v>
          </cell>
          <cell r="BK40">
            <v>5.4469842328159093</v>
          </cell>
          <cell r="BL40">
            <v>5.3159502620237102</v>
          </cell>
          <cell r="BM40">
            <v>6.7291406106809353</v>
          </cell>
          <cell r="BN40">
            <v>6.9890710682637334</v>
          </cell>
          <cell r="BO40">
            <v>6.8618286827529991</v>
          </cell>
          <cell r="BP40">
            <v>6.4165854710065444</v>
          </cell>
          <cell r="BQ40">
            <v>6.6592756547206671</v>
          </cell>
          <cell r="BR40">
            <v>6.5406203244970822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11.199</v>
          </cell>
          <cell r="AB41">
            <v>11.199</v>
          </cell>
          <cell r="AC41">
            <v>66.961999999999989</v>
          </cell>
          <cell r="AD41">
            <v>8.6230000000000047</v>
          </cell>
          <cell r="AE41">
            <v>75.584999999999994</v>
          </cell>
          <cell r="AF41">
            <v>1.085</v>
          </cell>
          <cell r="AG41">
            <v>12.114000000000001</v>
          </cell>
          <cell r="AH41">
            <v>13.199000000000002</v>
          </cell>
          <cell r="AI41">
            <v>0.55000000000000004</v>
          </cell>
          <cell r="AJ41">
            <v>26.980999999999998</v>
          </cell>
          <cell r="AK41">
            <v>27.530999999999999</v>
          </cell>
          <cell r="AL41">
            <v>1.39</v>
          </cell>
          <cell r="AM41">
            <v>1.5280000000000002</v>
          </cell>
          <cell r="AN41">
            <v>2.9180000000000001</v>
          </cell>
          <cell r="AO41">
            <v>1.413</v>
          </cell>
          <cell r="AP41">
            <v>8.347999999999999</v>
          </cell>
          <cell r="AQ41">
            <v>9.7609999999999992</v>
          </cell>
          <cell r="AR41">
            <v>4.8920000000000003</v>
          </cell>
          <cell r="AS41">
            <v>1.7649999999999997</v>
          </cell>
          <cell r="AT41">
            <v>6.657</v>
          </cell>
          <cell r="AU41">
            <v>0</v>
          </cell>
          <cell r="AV41">
            <v>2.4180000000000001</v>
          </cell>
          <cell r="AW41">
            <v>2.4180000000000001</v>
          </cell>
          <cell r="AX41">
            <v>0.78420000000000001</v>
          </cell>
          <cell r="AY41">
            <v>0.78420000000000001</v>
          </cell>
          <cell r="AZ41">
            <v>1.5684</v>
          </cell>
          <cell r="BA41">
            <v>0.78420000000000001</v>
          </cell>
          <cell r="BB41">
            <v>0.78420000000000001</v>
          </cell>
          <cell r="BC41">
            <v>1.5684</v>
          </cell>
          <cell r="BD41">
            <v>0.78420000000000001</v>
          </cell>
          <cell r="BE41">
            <v>0.78420000000000001</v>
          </cell>
          <cell r="BF41">
            <v>1.5684</v>
          </cell>
          <cell r="BG41">
            <v>0.78420000000000001</v>
          </cell>
          <cell r="BH41">
            <v>0.78420000000000001</v>
          </cell>
          <cell r="BI41">
            <v>1.5684</v>
          </cell>
          <cell r="BJ41">
            <v>0.78420000000000001</v>
          </cell>
          <cell r="BK41">
            <v>0.78420000000000001</v>
          </cell>
          <cell r="BL41">
            <v>1.5684</v>
          </cell>
          <cell r="BM41">
            <v>0.78420000000000001</v>
          </cell>
          <cell r="BN41">
            <v>0.78420000000000001</v>
          </cell>
          <cell r="BO41">
            <v>1.5684</v>
          </cell>
          <cell r="BP41">
            <v>0.78420000000000001</v>
          </cell>
          <cell r="BQ41">
            <v>0.78420000000000001</v>
          </cell>
          <cell r="BR41">
            <v>1.5684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2.2719999999999998</v>
          </cell>
          <cell r="AB42">
            <v>2.2719999999999998</v>
          </cell>
          <cell r="AC42">
            <v>1.714</v>
          </cell>
          <cell r="AD42">
            <v>1.0000000000001119E-3</v>
          </cell>
          <cell r="AE42">
            <v>1.7150000000000001</v>
          </cell>
          <cell r="AF42">
            <v>1.085</v>
          </cell>
          <cell r="AG42">
            <v>0.63000000000000012</v>
          </cell>
          <cell r="AH42">
            <v>1.7150000000000001</v>
          </cell>
          <cell r="AI42">
            <v>0.55000000000000004</v>
          </cell>
          <cell r="AJ42">
            <v>0.72399999999999998</v>
          </cell>
          <cell r="AK42">
            <v>1.274</v>
          </cell>
          <cell r="AL42">
            <v>1.39</v>
          </cell>
          <cell r="AM42">
            <v>1.5280000000000002</v>
          </cell>
          <cell r="AN42">
            <v>2.9180000000000001</v>
          </cell>
          <cell r="AO42">
            <v>1.413</v>
          </cell>
          <cell r="AP42">
            <v>8.347999999999999</v>
          </cell>
          <cell r="AQ42">
            <v>9.7609999999999992</v>
          </cell>
          <cell r="AR42">
            <v>4.8920000000000003</v>
          </cell>
          <cell r="AS42">
            <v>1.7649999999999997</v>
          </cell>
          <cell r="AT42">
            <v>6.657</v>
          </cell>
          <cell r="AU42">
            <v>0</v>
          </cell>
          <cell r="AV42">
            <v>2.4180000000000001</v>
          </cell>
          <cell r="AW42">
            <v>2.4180000000000001</v>
          </cell>
          <cell r="AX42">
            <v>0.78420000000000001</v>
          </cell>
          <cell r="AY42">
            <v>0.78420000000000001</v>
          </cell>
          <cell r="AZ42">
            <v>1.5684</v>
          </cell>
          <cell r="BA42">
            <v>0.78420000000000001</v>
          </cell>
          <cell r="BB42">
            <v>0.78420000000000001</v>
          </cell>
          <cell r="BC42">
            <v>1.5684</v>
          </cell>
          <cell r="BD42">
            <v>0.78420000000000001</v>
          </cell>
          <cell r="BE42">
            <v>0.78420000000000001</v>
          </cell>
          <cell r="BF42">
            <v>1.5684</v>
          </cell>
          <cell r="BG42">
            <v>0.78420000000000001</v>
          </cell>
          <cell r="BH42">
            <v>0.78420000000000001</v>
          </cell>
          <cell r="BI42">
            <v>1.5684</v>
          </cell>
          <cell r="BJ42">
            <v>0.78420000000000001</v>
          </cell>
          <cell r="BK42">
            <v>0.78420000000000001</v>
          </cell>
          <cell r="BL42">
            <v>1.5684</v>
          </cell>
          <cell r="BM42">
            <v>0.78420000000000001</v>
          </cell>
          <cell r="BN42">
            <v>0.78420000000000001</v>
          </cell>
          <cell r="BO42">
            <v>1.5684</v>
          </cell>
          <cell r="BP42">
            <v>0.78420000000000001</v>
          </cell>
          <cell r="BQ42">
            <v>0.78420000000000001</v>
          </cell>
          <cell r="BR42">
            <v>1.5684</v>
          </cell>
        </row>
        <row r="43">
          <cell r="F43">
            <v>0</v>
          </cell>
          <cell r="I43">
            <v>0</v>
          </cell>
          <cell r="L43">
            <v>0</v>
          </cell>
          <cell r="O43">
            <v>0</v>
          </cell>
          <cell r="R43">
            <v>0</v>
          </cell>
          <cell r="U43">
            <v>0</v>
          </cell>
          <cell r="X43">
            <v>0</v>
          </cell>
          <cell r="AA43">
            <v>0</v>
          </cell>
          <cell r="AD43">
            <v>0</v>
          </cell>
          <cell r="AG43">
            <v>0</v>
          </cell>
          <cell r="AJ43">
            <v>0</v>
          </cell>
          <cell r="AM43">
            <v>0</v>
          </cell>
          <cell r="AP43">
            <v>0</v>
          </cell>
          <cell r="AS43">
            <v>0</v>
          </cell>
          <cell r="AV43">
            <v>0</v>
          </cell>
          <cell r="AY43">
            <v>0</v>
          </cell>
          <cell r="BB43">
            <v>0</v>
          </cell>
          <cell r="BE43">
            <v>0</v>
          </cell>
          <cell r="BH43">
            <v>0</v>
          </cell>
          <cell r="BK43">
            <v>0</v>
          </cell>
          <cell r="BN43">
            <v>0</v>
          </cell>
          <cell r="BQ43">
            <v>0</v>
          </cell>
        </row>
        <row r="44">
          <cell r="F44">
            <v>0</v>
          </cell>
          <cell r="I44">
            <v>0</v>
          </cell>
          <cell r="L44">
            <v>0</v>
          </cell>
          <cell r="O44">
            <v>0</v>
          </cell>
          <cell r="R44">
            <v>0</v>
          </cell>
          <cell r="U44">
            <v>0</v>
          </cell>
          <cell r="X44">
            <v>0</v>
          </cell>
          <cell r="AA44">
            <v>8.9269999999999996</v>
          </cell>
          <cell r="AB44">
            <v>8.9269999999999996</v>
          </cell>
          <cell r="AC44">
            <v>65.24799999999999</v>
          </cell>
          <cell r="AD44">
            <v>8.6219999999999999</v>
          </cell>
          <cell r="AE44">
            <v>73.86999999999999</v>
          </cell>
          <cell r="AG44">
            <v>11.484000000000002</v>
          </cell>
          <cell r="AH44">
            <v>11.484000000000002</v>
          </cell>
          <cell r="AJ44">
            <v>26.256999999999998</v>
          </cell>
          <cell r="AK44">
            <v>26.256999999999998</v>
          </cell>
          <cell r="AM44">
            <v>0</v>
          </cell>
          <cell r="AP44">
            <v>0</v>
          </cell>
          <cell r="AS44">
            <v>0</v>
          </cell>
          <cell r="AV44">
            <v>0</v>
          </cell>
          <cell r="AY44">
            <v>0</v>
          </cell>
          <cell r="BB44">
            <v>0</v>
          </cell>
          <cell r="BE44">
            <v>0</v>
          </cell>
          <cell r="BH44">
            <v>0</v>
          </cell>
          <cell r="BK44">
            <v>0</v>
          </cell>
          <cell r="BN44">
            <v>0</v>
          </cell>
          <cell r="BQ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0.57100000000000006</v>
          </cell>
          <cell r="AB45">
            <v>0.57100000000000006</v>
          </cell>
          <cell r="AC45">
            <v>16.058999999999997</v>
          </cell>
          <cell r="AD45">
            <v>8.6170000000000044</v>
          </cell>
          <cell r="AE45">
            <v>24.676000000000002</v>
          </cell>
          <cell r="AF45">
            <v>14.061999999999999</v>
          </cell>
          <cell r="AG45">
            <v>10.614000000000003</v>
          </cell>
          <cell r="AH45">
            <v>24.676000000000002</v>
          </cell>
          <cell r="AI45">
            <v>16.983000000000001</v>
          </cell>
          <cell r="AJ45">
            <v>15.186000000000003</v>
          </cell>
          <cell r="AK45">
            <v>32.169000000000004</v>
          </cell>
          <cell r="AL45">
            <v>21.712999999999997</v>
          </cell>
          <cell r="AM45">
            <v>21.48</v>
          </cell>
          <cell r="AN45">
            <v>43.192999999999998</v>
          </cell>
          <cell r="AO45">
            <v>23.779000000000003</v>
          </cell>
          <cell r="AP45">
            <v>26.361999999999995</v>
          </cell>
          <cell r="AQ45">
            <v>50.140999999999998</v>
          </cell>
          <cell r="AR45">
            <v>30.928000000000001</v>
          </cell>
          <cell r="AS45">
            <v>34.692000000000007</v>
          </cell>
          <cell r="AT45">
            <v>65.62</v>
          </cell>
          <cell r="AU45">
            <v>38.566000000000003</v>
          </cell>
          <cell r="AV45">
            <v>39.387999999999991</v>
          </cell>
          <cell r="AW45">
            <v>77.953999999999994</v>
          </cell>
          <cell r="AX45">
            <v>37.886107611369084</v>
          </cell>
          <cell r="AY45">
            <v>41.326713322182087</v>
          </cell>
          <cell r="AZ45">
            <v>79.212820933551171</v>
          </cell>
          <cell r="BA45">
            <v>38.792159537618268</v>
          </cell>
          <cell r="BB45">
            <v>43.17269646304154</v>
          </cell>
          <cell r="BC45">
            <v>81.964856000659807</v>
          </cell>
          <cell r="BD45">
            <v>38.389052974969431</v>
          </cell>
          <cell r="BE45">
            <v>45.198365419533872</v>
          </cell>
          <cell r="BF45">
            <v>83.587418394503302</v>
          </cell>
          <cell r="BG45">
            <v>39.181963193145428</v>
          </cell>
          <cell r="BH45">
            <v>44.523834524473322</v>
          </cell>
          <cell r="BI45">
            <v>83.705797717618751</v>
          </cell>
          <cell r="BJ45">
            <v>39.471812324853708</v>
          </cell>
          <cell r="BK45">
            <v>39.667810544537822</v>
          </cell>
          <cell r="BL45">
            <v>79.13962286939153</v>
          </cell>
          <cell r="BM45">
            <v>39.30315747389443</v>
          </cell>
          <cell r="BN45">
            <v>38.636189381959696</v>
          </cell>
          <cell r="BO45">
            <v>77.939346855854126</v>
          </cell>
          <cell r="BP45">
            <v>38.716609234285009</v>
          </cell>
          <cell r="BQ45">
            <v>37.685912626941722</v>
          </cell>
          <cell r="BR45">
            <v>76.402521861226731</v>
          </cell>
        </row>
        <row r="46">
          <cell r="F46">
            <v>0</v>
          </cell>
          <cell r="I46">
            <v>0</v>
          </cell>
          <cell r="L46">
            <v>0</v>
          </cell>
          <cell r="O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0.4</v>
          </cell>
          <cell r="AB46">
            <v>0.4</v>
          </cell>
          <cell r="AC46">
            <v>15.776999999999999</v>
          </cell>
          <cell r="AD46">
            <v>8.3400000000000016</v>
          </cell>
          <cell r="AE46">
            <v>24.117000000000001</v>
          </cell>
          <cell r="AF46">
            <v>13.782</v>
          </cell>
          <cell r="AG46">
            <v>10.335000000000001</v>
          </cell>
          <cell r="AH46">
            <v>24.117000000000001</v>
          </cell>
          <cell r="AI46">
            <v>16.702999999999999</v>
          </cell>
          <cell r="AJ46">
            <v>14.941000000000006</v>
          </cell>
          <cell r="AK46">
            <v>31.644000000000005</v>
          </cell>
          <cell r="AL46">
            <v>20.265999999999998</v>
          </cell>
          <cell r="AM46">
            <v>18.573</v>
          </cell>
          <cell r="AN46">
            <v>38.838999999999999</v>
          </cell>
          <cell r="AO46">
            <v>21.045000000000002</v>
          </cell>
          <cell r="AP46">
            <v>22.806999999999995</v>
          </cell>
          <cell r="AQ46">
            <v>43.851999999999997</v>
          </cell>
          <cell r="AR46">
            <v>27.116</v>
          </cell>
          <cell r="AS46">
            <v>30.317</v>
          </cell>
          <cell r="AT46">
            <v>57.433</v>
          </cell>
          <cell r="AU46">
            <v>33.423999999999999</v>
          </cell>
          <cell r="AV46">
            <v>33.839999999999996</v>
          </cell>
          <cell r="AW46">
            <v>67.263999999999996</v>
          </cell>
          <cell r="AX46">
            <v>33.344042611369083</v>
          </cell>
          <cell r="AY46">
            <v>35.584778322182082</v>
          </cell>
          <cell r="AZ46">
            <v>68.928820933551165</v>
          </cell>
          <cell r="BA46">
            <v>34.250094537618267</v>
          </cell>
          <cell r="BB46">
            <v>37.430761463041534</v>
          </cell>
          <cell r="BC46">
            <v>71.680856000659801</v>
          </cell>
          <cell r="BD46">
            <v>35.594952974969431</v>
          </cell>
          <cell r="BE46">
            <v>37.708465419533866</v>
          </cell>
          <cell r="BF46">
            <v>73.303418394503296</v>
          </cell>
          <cell r="BG46">
            <v>36.387863193145428</v>
          </cell>
          <cell r="BH46">
            <v>37.508684524473317</v>
          </cell>
          <cell r="BI46">
            <v>73.896547717618745</v>
          </cell>
          <cell r="BJ46">
            <v>36.677712324853708</v>
          </cell>
          <cell r="BK46">
            <v>36.873710544537822</v>
          </cell>
          <cell r="BL46">
            <v>73.55142286939153</v>
          </cell>
          <cell r="BM46">
            <v>36.50905747389443</v>
          </cell>
          <cell r="BN46">
            <v>35.842089381959696</v>
          </cell>
          <cell r="BO46">
            <v>72.351146855854125</v>
          </cell>
          <cell r="BP46">
            <v>35.922509234285009</v>
          </cell>
          <cell r="BQ46">
            <v>34.891812626941721</v>
          </cell>
          <cell r="BR46">
            <v>70.81432186122673</v>
          </cell>
        </row>
        <row r="47">
          <cell r="F47">
            <v>0</v>
          </cell>
          <cell r="I47">
            <v>0</v>
          </cell>
          <cell r="L47">
            <v>0</v>
          </cell>
          <cell r="O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0.17100000000000001</v>
          </cell>
          <cell r="AB47">
            <v>0.17100000000000001</v>
          </cell>
          <cell r="AC47">
            <v>0.28199999999999997</v>
          </cell>
          <cell r="AD47">
            <v>0.27700000000000008</v>
          </cell>
          <cell r="AE47">
            <v>0.55900000000000005</v>
          </cell>
          <cell r="AF47">
            <v>0.28000000000000003</v>
          </cell>
          <cell r="AG47">
            <v>0.27900000000000003</v>
          </cell>
          <cell r="AH47">
            <v>0.55900000000000005</v>
          </cell>
          <cell r="AI47">
            <v>0.28000000000000003</v>
          </cell>
          <cell r="AJ47">
            <v>0.245</v>
          </cell>
          <cell r="AK47">
            <v>0.52500000000000002</v>
          </cell>
          <cell r="AL47">
            <v>1.4470000000000001</v>
          </cell>
          <cell r="AM47">
            <v>2.907</v>
          </cell>
          <cell r="AN47">
            <v>4.3540000000000001</v>
          </cell>
          <cell r="AO47">
            <v>2.734</v>
          </cell>
          <cell r="AP47">
            <v>3.5549999999999997</v>
          </cell>
          <cell r="AQ47">
            <v>6.2889999999999997</v>
          </cell>
          <cell r="AR47">
            <v>3.8119999999999998</v>
          </cell>
          <cell r="AS47">
            <v>4.375</v>
          </cell>
          <cell r="AT47">
            <v>8.1869999999999994</v>
          </cell>
          <cell r="AU47">
            <v>5.1420000000000003</v>
          </cell>
          <cell r="AV47">
            <v>5.5479999999999992</v>
          </cell>
          <cell r="AW47">
            <v>10.69</v>
          </cell>
          <cell r="AX47">
            <v>4.542065</v>
          </cell>
          <cell r="AY47">
            <v>5.7419350000000007</v>
          </cell>
          <cell r="AZ47">
            <v>10.284000000000001</v>
          </cell>
          <cell r="BA47">
            <v>4.542065</v>
          </cell>
          <cell r="BB47">
            <v>5.7419350000000007</v>
          </cell>
          <cell r="BC47">
            <v>10.284000000000001</v>
          </cell>
          <cell r="BD47">
            <v>2.7941000000000003</v>
          </cell>
          <cell r="BE47">
            <v>7.4899000000000004</v>
          </cell>
          <cell r="BF47">
            <v>10.284000000000001</v>
          </cell>
          <cell r="BG47">
            <v>2.7941000000000003</v>
          </cell>
          <cell r="BH47">
            <v>7.0151500000000002</v>
          </cell>
          <cell r="BI47">
            <v>9.8092500000000005</v>
          </cell>
          <cell r="BJ47">
            <v>2.7941000000000003</v>
          </cell>
          <cell r="BK47">
            <v>2.7941000000000003</v>
          </cell>
          <cell r="BL47">
            <v>5.5882000000000005</v>
          </cell>
          <cell r="BM47">
            <v>2.7941000000000003</v>
          </cell>
          <cell r="BN47">
            <v>2.7941000000000003</v>
          </cell>
          <cell r="BO47">
            <v>5.5882000000000005</v>
          </cell>
          <cell r="BP47">
            <v>2.7941000000000003</v>
          </cell>
          <cell r="BQ47">
            <v>2.7941000000000003</v>
          </cell>
          <cell r="BR47">
            <v>5.5882000000000005</v>
          </cell>
        </row>
        <row r="48">
          <cell r="F48">
            <v>0</v>
          </cell>
          <cell r="I48">
            <v>0</v>
          </cell>
          <cell r="L48">
            <v>0</v>
          </cell>
          <cell r="O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3.4940000000000002</v>
          </cell>
          <cell r="AB49">
            <v>3.4940000000000002</v>
          </cell>
          <cell r="AC49">
            <v>57.015999999999998</v>
          </cell>
          <cell r="AD49">
            <v>-7.4949999999999974</v>
          </cell>
          <cell r="AE49">
            <v>49.521000000000001</v>
          </cell>
          <cell r="AF49">
            <v>-5.6210000000000058</v>
          </cell>
          <cell r="AG49">
            <v>-12.530999999999999</v>
          </cell>
          <cell r="AH49">
            <v>-18.152000000000005</v>
          </cell>
          <cell r="AI49">
            <v>3.3159999999999989</v>
          </cell>
          <cell r="AJ49">
            <v>0.94800000000000217</v>
          </cell>
          <cell r="AK49">
            <v>4.2640000000000011</v>
          </cell>
          <cell r="AL49">
            <v>47.332999999999998</v>
          </cell>
          <cell r="AM49">
            <v>-5.8840000000000003</v>
          </cell>
          <cell r="AN49">
            <v>41.448999999999998</v>
          </cell>
          <cell r="AO49">
            <v>9.8119999999999976</v>
          </cell>
          <cell r="AP49">
            <v>0.50600000000000378</v>
          </cell>
          <cell r="AQ49">
            <v>10.318000000000001</v>
          </cell>
          <cell r="AR49">
            <v>21.914999999999996</v>
          </cell>
          <cell r="AS49">
            <v>-112.809</v>
          </cell>
          <cell r="AT49">
            <v>-90.894000000000005</v>
          </cell>
          <cell r="AU49">
            <v>0</v>
          </cell>
          <cell r="AV49">
            <v>0</v>
          </cell>
          <cell r="AW49">
            <v>0</v>
          </cell>
          <cell r="AX49">
            <v>40.83</v>
          </cell>
          <cell r="AY49">
            <v>0</v>
          </cell>
          <cell r="AZ49">
            <v>40.83</v>
          </cell>
          <cell r="BA49">
            <v>0</v>
          </cell>
          <cell r="BB49">
            <v>0</v>
          </cell>
          <cell r="BC49">
            <v>0</v>
          </cell>
          <cell r="BD49">
            <v>-8.6939999999999955</v>
          </cell>
          <cell r="BE49">
            <v>0</v>
          </cell>
          <cell r="BF49">
            <v>-8.6939999999999955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3.4940000000000002</v>
          </cell>
          <cell r="AB50">
            <v>3.4940000000000002</v>
          </cell>
          <cell r="AC50">
            <v>57.015999999999998</v>
          </cell>
          <cell r="AD50">
            <v>-7.4949999999999974</v>
          </cell>
          <cell r="AE50">
            <v>49.521000000000001</v>
          </cell>
          <cell r="AF50">
            <v>-5.6210000000000058</v>
          </cell>
          <cell r="AG50">
            <v>-12.530999999999999</v>
          </cell>
          <cell r="AH50">
            <v>-18.152000000000005</v>
          </cell>
          <cell r="AI50">
            <v>3.3159999999999989</v>
          </cell>
          <cell r="AJ50">
            <v>0.94800000000000217</v>
          </cell>
          <cell r="AK50">
            <v>4.2640000000000011</v>
          </cell>
          <cell r="AL50">
            <v>47.332999999999998</v>
          </cell>
          <cell r="AM50">
            <v>-5.8840000000000003</v>
          </cell>
          <cell r="AN50">
            <v>41.448999999999998</v>
          </cell>
          <cell r="AO50">
            <v>9.8119999999999976</v>
          </cell>
          <cell r="AP50">
            <v>0.50600000000000378</v>
          </cell>
          <cell r="AQ50">
            <v>10.318000000000001</v>
          </cell>
          <cell r="AR50">
            <v>21.914999999999996</v>
          </cell>
          <cell r="AS50">
            <v>-112.809</v>
          </cell>
          <cell r="AT50">
            <v>-90.894000000000005</v>
          </cell>
          <cell r="AU50">
            <v>0</v>
          </cell>
          <cell r="AV50">
            <v>0</v>
          </cell>
          <cell r="AW50">
            <v>0</v>
          </cell>
          <cell r="AX50">
            <v>40.83</v>
          </cell>
          <cell r="AY50">
            <v>0</v>
          </cell>
          <cell r="AZ50">
            <v>40.83</v>
          </cell>
          <cell r="BA50">
            <v>0</v>
          </cell>
          <cell r="BB50">
            <v>0</v>
          </cell>
          <cell r="BC50">
            <v>0</v>
          </cell>
          <cell r="BD50">
            <v>-8.6939999999999955</v>
          </cell>
          <cell r="BE50">
            <v>0</v>
          </cell>
          <cell r="BF50">
            <v>-8.6939999999999955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 t="str">
            <v xml:space="preserve">     Unrealised gains / (losses) on inv.</v>
          </cell>
          <cell r="D51" t="str">
            <v>$m</v>
          </cell>
          <cell r="F51">
            <v>0</v>
          </cell>
          <cell r="I51">
            <v>0</v>
          </cell>
          <cell r="L51">
            <v>0</v>
          </cell>
          <cell r="O51">
            <v>0</v>
          </cell>
          <cell r="R51">
            <v>0</v>
          </cell>
          <cell r="U51">
            <v>0</v>
          </cell>
          <cell r="X51">
            <v>0</v>
          </cell>
          <cell r="AA51">
            <v>0</v>
          </cell>
          <cell r="AD51">
            <v>0</v>
          </cell>
          <cell r="AG51">
            <v>0</v>
          </cell>
          <cell r="AJ51">
            <v>0</v>
          </cell>
          <cell r="AM51">
            <v>0</v>
          </cell>
          <cell r="AP51">
            <v>0</v>
          </cell>
          <cell r="AS51">
            <v>0</v>
          </cell>
          <cell r="AV51">
            <v>0</v>
          </cell>
          <cell r="AY51">
            <v>0</v>
          </cell>
          <cell r="BB51">
            <v>0</v>
          </cell>
          <cell r="BE51">
            <v>0</v>
          </cell>
          <cell r="BH51">
            <v>0</v>
          </cell>
          <cell r="BK51">
            <v>0</v>
          </cell>
          <cell r="BN51">
            <v>0</v>
          </cell>
          <cell r="BQ51">
            <v>0</v>
          </cell>
        </row>
        <row r="53">
          <cell r="F53">
            <v>0</v>
          </cell>
          <cell r="I53">
            <v>0</v>
          </cell>
          <cell r="L53">
            <v>0</v>
          </cell>
          <cell r="O53">
            <v>0</v>
          </cell>
          <cell r="R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G53">
            <v>0</v>
          </cell>
          <cell r="AJ53">
            <v>0</v>
          </cell>
          <cell r="AM53">
            <v>0</v>
          </cell>
          <cell r="AP53">
            <v>0</v>
          </cell>
          <cell r="AS53">
            <v>0</v>
          </cell>
          <cell r="AV53">
            <v>0</v>
          </cell>
          <cell r="AY53">
            <v>0</v>
          </cell>
          <cell r="BB53">
            <v>0</v>
          </cell>
          <cell r="BE53">
            <v>0</v>
          </cell>
          <cell r="BH53">
            <v>0</v>
          </cell>
          <cell r="BK53">
            <v>0</v>
          </cell>
          <cell r="BN53">
            <v>0</v>
          </cell>
          <cell r="BQ53">
            <v>0</v>
          </cell>
        </row>
        <row r="58">
          <cell r="F58">
            <v>0</v>
          </cell>
          <cell r="I58">
            <v>0</v>
          </cell>
          <cell r="L58">
            <v>0</v>
          </cell>
          <cell r="O58">
            <v>0</v>
          </cell>
          <cell r="R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G58">
            <v>0</v>
          </cell>
          <cell r="AJ58">
            <v>0</v>
          </cell>
          <cell r="AM58">
            <v>0</v>
          </cell>
          <cell r="AP58">
            <v>0</v>
          </cell>
          <cell r="AS58">
            <v>0</v>
          </cell>
          <cell r="AV58">
            <v>0</v>
          </cell>
          <cell r="AY58">
            <v>0</v>
          </cell>
          <cell r="BB58">
            <v>0</v>
          </cell>
          <cell r="BE58">
            <v>0</v>
          </cell>
          <cell r="BH58">
            <v>0</v>
          </cell>
          <cell r="BK58">
            <v>0</v>
          </cell>
          <cell r="BN58">
            <v>0</v>
          </cell>
          <cell r="BQ58">
            <v>0</v>
          </cell>
        </row>
        <row r="59">
          <cell r="F59">
            <v>0</v>
          </cell>
          <cell r="I59">
            <v>0</v>
          </cell>
          <cell r="L59">
            <v>0</v>
          </cell>
          <cell r="O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1.7999999999999999E-2</v>
          </cell>
          <cell r="AB59">
            <v>1.7999999999999999E-2</v>
          </cell>
          <cell r="AC59">
            <v>7.9710000000000001</v>
          </cell>
          <cell r="AD59">
            <v>10.155000000000001</v>
          </cell>
          <cell r="AE59">
            <v>18.126000000000001</v>
          </cell>
          <cell r="AF59">
            <v>8.3059999999999992</v>
          </cell>
          <cell r="AG59">
            <v>9.8200000000000021</v>
          </cell>
          <cell r="AH59">
            <v>18.126000000000001</v>
          </cell>
          <cell r="AI59">
            <v>9.7140000000000004</v>
          </cell>
          <cell r="AJ59">
            <v>7.8430000000000017</v>
          </cell>
          <cell r="AK59">
            <v>17.557000000000002</v>
          </cell>
          <cell r="AL59">
            <v>10.519</v>
          </cell>
          <cell r="AM59">
            <v>7.7060000000000013</v>
          </cell>
          <cell r="AN59">
            <v>18.225000000000001</v>
          </cell>
          <cell r="AO59">
            <v>5.415</v>
          </cell>
          <cell r="AP59">
            <v>3.0290000000000008</v>
          </cell>
          <cell r="AQ59">
            <v>8.4440000000000008</v>
          </cell>
          <cell r="AR59">
            <v>4.6020000000000003</v>
          </cell>
          <cell r="AS59">
            <v>8.6180000000000003</v>
          </cell>
          <cell r="AT59">
            <v>13.22</v>
          </cell>
          <cell r="AU59">
            <v>10.606999999999999</v>
          </cell>
          <cell r="AV59">
            <v>12.498000000000001</v>
          </cell>
          <cell r="AW59">
            <v>23.105</v>
          </cell>
          <cell r="AX59">
            <v>14.503132223701888</v>
          </cell>
          <cell r="AY59">
            <v>9.5113422829176457</v>
          </cell>
          <cell r="AZ59">
            <v>24.014474506619536</v>
          </cell>
          <cell r="BA59">
            <v>9.8718535415778863</v>
          </cell>
          <cell r="BB59">
            <v>10.329329323074829</v>
          </cell>
          <cell r="BC59">
            <v>20.201182864652715</v>
          </cell>
          <cell r="BD59">
            <v>10.633323022927627</v>
          </cell>
          <cell r="BE59">
            <v>9.8724725974451459</v>
          </cell>
          <cell r="BF59">
            <v>20.505795620372773</v>
          </cell>
          <cell r="BG59">
            <v>9.9521913299463218</v>
          </cell>
          <cell r="BH59">
            <v>8.7417657034306</v>
          </cell>
          <cell r="BI59">
            <v>18.693957033376922</v>
          </cell>
          <cell r="BJ59">
            <v>8.4759152036765801</v>
          </cell>
          <cell r="BK59">
            <v>6.5041552882682208</v>
          </cell>
          <cell r="BL59">
            <v>14.980070491944801</v>
          </cell>
          <cell r="BM59">
            <v>6.1399969524696623</v>
          </cell>
          <cell r="BN59">
            <v>3.9996630530830917</v>
          </cell>
          <cell r="BO59">
            <v>10.139660005552754</v>
          </cell>
          <cell r="BP59" t="e">
            <v>#VALUE!</v>
          </cell>
          <cell r="BQ59" t="e">
            <v>#VALUE!</v>
          </cell>
          <cell r="BR59" t="e">
            <v>#VALUE!</v>
          </cell>
        </row>
        <row r="60">
          <cell r="F60">
            <v>0</v>
          </cell>
          <cell r="I60">
            <v>0</v>
          </cell>
          <cell r="L60">
            <v>0</v>
          </cell>
          <cell r="O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2.2719999999999998</v>
          </cell>
          <cell r="AB60">
            <v>2.2719999999999998</v>
          </cell>
          <cell r="AC60">
            <v>1.714</v>
          </cell>
          <cell r="AD60">
            <v>1.0000000000001119E-3</v>
          </cell>
          <cell r="AE60">
            <v>1.7150000000000001</v>
          </cell>
          <cell r="AF60">
            <v>1.085</v>
          </cell>
          <cell r="AG60">
            <v>0.63000000000000012</v>
          </cell>
          <cell r="AH60">
            <v>1.7150000000000001</v>
          </cell>
          <cell r="AI60">
            <v>0.55000000000000004</v>
          </cell>
          <cell r="AJ60">
            <v>0.72399999999999998</v>
          </cell>
          <cell r="AK60">
            <v>1.274</v>
          </cell>
          <cell r="AL60">
            <v>1.39</v>
          </cell>
          <cell r="AM60">
            <v>1.5280000000000002</v>
          </cell>
          <cell r="AN60">
            <v>2.9180000000000001</v>
          </cell>
          <cell r="AO60">
            <v>1.413</v>
          </cell>
          <cell r="AP60">
            <v>8.347999999999999</v>
          </cell>
          <cell r="AQ60">
            <v>9.7609999999999992</v>
          </cell>
          <cell r="AR60">
            <v>4.8920000000000003</v>
          </cell>
          <cell r="AS60">
            <v>1.7649999999999997</v>
          </cell>
          <cell r="AT60">
            <v>6.657</v>
          </cell>
          <cell r="AU60">
            <v>1.3240000000000001</v>
          </cell>
          <cell r="AV60">
            <v>1.0940000000000001</v>
          </cell>
          <cell r="AW60">
            <v>2.4180000000000001</v>
          </cell>
          <cell r="AX60">
            <v>0.78420000000000001</v>
          </cell>
          <cell r="AY60">
            <v>0.78420000000000001</v>
          </cell>
          <cell r="AZ60">
            <v>1.5684</v>
          </cell>
          <cell r="BA60">
            <v>0.78420000000000001</v>
          </cell>
          <cell r="BB60">
            <v>0.78420000000000001</v>
          </cell>
          <cell r="BC60">
            <v>1.5684</v>
          </cell>
          <cell r="BD60">
            <v>0.78420000000000001</v>
          </cell>
          <cell r="BE60">
            <v>0.78420000000000001</v>
          </cell>
          <cell r="BF60">
            <v>1.5684</v>
          </cell>
          <cell r="BG60">
            <v>0.78420000000000001</v>
          </cell>
          <cell r="BH60">
            <v>0.78420000000000001</v>
          </cell>
          <cell r="BI60">
            <v>1.5684</v>
          </cell>
          <cell r="BJ60">
            <v>0.78420000000000001</v>
          </cell>
          <cell r="BK60">
            <v>0.78420000000000001</v>
          </cell>
          <cell r="BL60">
            <v>1.5684</v>
          </cell>
          <cell r="BM60">
            <v>0.78420000000000001</v>
          </cell>
          <cell r="BN60">
            <v>0.78420000000000001</v>
          </cell>
          <cell r="BO60">
            <v>1.5684</v>
          </cell>
          <cell r="BP60">
            <v>0.78420000000000001</v>
          </cell>
          <cell r="BQ60">
            <v>0.78420000000000001</v>
          </cell>
          <cell r="BR60">
            <v>1.5684</v>
          </cell>
        </row>
        <row r="61">
          <cell r="F61">
            <v>0</v>
          </cell>
          <cell r="I61">
            <v>0</v>
          </cell>
          <cell r="L61">
            <v>0</v>
          </cell>
          <cell r="O61">
            <v>0</v>
          </cell>
          <cell r="R61">
            <v>0</v>
          </cell>
          <cell r="U61">
            <v>0</v>
          </cell>
          <cell r="X61">
            <v>0</v>
          </cell>
          <cell r="AA61">
            <v>0</v>
          </cell>
          <cell r="AD61">
            <v>0</v>
          </cell>
          <cell r="AG61">
            <v>0</v>
          </cell>
          <cell r="AJ61">
            <v>0</v>
          </cell>
          <cell r="AM61">
            <v>0</v>
          </cell>
          <cell r="AP61">
            <v>0</v>
          </cell>
          <cell r="AS61">
            <v>0</v>
          </cell>
          <cell r="AV61">
            <v>0</v>
          </cell>
          <cell r="AY61">
            <v>0</v>
          </cell>
          <cell r="BB61">
            <v>0</v>
          </cell>
          <cell r="BE61">
            <v>0</v>
          </cell>
          <cell r="BH61">
            <v>0</v>
          </cell>
          <cell r="BK61">
            <v>0</v>
          </cell>
          <cell r="BN61">
            <v>0</v>
          </cell>
          <cell r="BQ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-2.254</v>
          </cell>
          <cell r="AB62">
            <v>-2.254</v>
          </cell>
          <cell r="AC62">
            <v>6.2569999999999997</v>
          </cell>
          <cell r="AD62">
            <v>10.154000000000002</v>
          </cell>
          <cell r="AE62">
            <v>16.411000000000001</v>
          </cell>
          <cell r="AF62">
            <v>7.2209999999999992</v>
          </cell>
          <cell r="AG62">
            <v>9.1900000000000013</v>
          </cell>
          <cell r="AH62">
            <v>16.411000000000001</v>
          </cell>
          <cell r="AI62">
            <v>9.1639999999999997</v>
          </cell>
          <cell r="AJ62">
            <v>7.1190000000000015</v>
          </cell>
          <cell r="AK62">
            <v>16.283000000000001</v>
          </cell>
          <cell r="AL62">
            <v>9.1289999999999996</v>
          </cell>
          <cell r="AM62">
            <v>6.1780000000000026</v>
          </cell>
          <cell r="AN62">
            <v>15.307000000000002</v>
          </cell>
          <cell r="AO62">
            <v>4.0019999999999998</v>
          </cell>
          <cell r="AP62">
            <v>-5.3189999999999982</v>
          </cell>
          <cell r="AQ62">
            <v>-1.3169999999999984</v>
          </cell>
          <cell r="AR62">
            <v>-0.29000000000000004</v>
          </cell>
          <cell r="AS62">
            <v>6.8530000000000006</v>
          </cell>
          <cell r="AT62">
            <v>6.5630000000000006</v>
          </cell>
          <cell r="AU62">
            <v>9.2829999999999995</v>
          </cell>
          <cell r="AV62">
            <v>11.404000000000002</v>
          </cell>
          <cell r="AW62">
            <v>20.687000000000001</v>
          </cell>
          <cell r="AX62">
            <v>13.718932223701888</v>
          </cell>
          <cell r="AY62">
            <v>8.7271422829176473</v>
          </cell>
          <cell r="AZ62">
            <v>22.446074506619535</v>
          </cell>
          <cell r="BA62">
            <v>9.0876535415778861</v>
          </cell>
          <cell r="BB62">
            <v>9.5451293230748284</v>
          </cell>
          <cell r="BC62">
            <v>18.632782864652714</v>
          </cell>
          <cell r="BD62">
            <v>9.8491230229276265</v>
          </cell>
          <cell r="BE62">
            <v>9.0882725974451457</v>
          </cell>
          <cell r="BF62">
            <v>18.937395620372772</v>
          </cell>
          <cell r="BG62">
            <v>9.1679913299463216</v>
          </cell>
          <cell r="BH62">
            <v>7.9575657034305998</v>
          </cell>
          <cell r="BI62">
            <v>17.125557033376921</v>
          </cell>
          <cell r="BJ62">
            <v>7.6917152036765799</v>
          </cell>
          <cell r="BK62">
            <v>5.7199552882682205</v>
          </cell>
          <cell r="BL62">
            <v>13.4116704919448</v>
          </cell>
          <cell r="BM62">
            <v>5.355796952469662</v>
          </cell>
          <cell r="BN62">
            <v>3.2154630530830914</v>
          </cell>
          <cell r="BO62">
            <v>8.5712600055527535</v>
          </cell>
          <cell r="BP62" t="e">
            <v>#VALUE!</v>
          </cell>
          <cell r="BQ62" t="e">
            <v>#VALUE!</v>
          </cell>
          <cell r="BR62" t="e">
            <v>#VALUE!</v>
          </cell>
        </row>
        <row r="63">
          <cell r="B63" t="str">
            <v xml:space="preserve">     Interest capitalised</v>
          </cell>
          <cell r="D63" t="str">
            <v>$m</v>
          </cell>
          <cell r="F63">
            <v>0</v>
          </cell>
          <cell r="I63">
            <v>0</v>
          </cell>
          <cell r="L63">
            <v>0</v>
          </cell>
          <cell r="O63">
            <v>0</v>
          </cell>
          <cell r="R63">
            <v>0</v>
          </cell>
          <cell r="U63">
            <v>0</v>
          </cell>
          <cell r="X63">
            <v>0</v>
          </cell>
          <cell r="AA63">
            <v>0</v>
          </cell>
          <cell r="AD63">
            <v>0</v>
          </cell>
          <cell r="AG63">
            <v>0</v>
          </cell>
          <cell r="AJ63">
            <v>0</v>
          </cell>
          <cell r="AM63">
            <v>0</v>
          </cell>
          <cell r="AP63">
            <v>0</v>
          </cell>
          <cell r="AS63">
            <v>0</v>
          </cell>
          <cell r="AV63">
            <v>0</v>
          </cell>
          <cell r="AY63">
            <v>0</v>
          </cell>
          <cell r="BB63">
            <v>0</v>
          </cell>
          <cell r="BE63">
            <v>0</v>
          </cell>
          <cell r="BH63">
            <v>0</v>
          </cell>
          <cell r="BK63">
            <v>0</v>
          </cell>
          <cell r="BN63">
            <v>0</v>
          </cell>
          <cell r="BQ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>
            <v>1.8430000000000004</v>
          </cell>
          <cell r="AC64" t="e">
            <v>#REF!</v>
          </cell>
          <cell r="AD64" t="e">
            <v>#REF!</v>
          </cell>
          <cell r="AE64">
            <v>15.260000000000002</v>
          </cell>
          <cell r="AF64">
            <v>5.6039999999999992</v>
          </cell>
          <cell r="AG64">
            <v>4.9810000000000016</v>
          </cell>
          <cell r="AH64">
            <v>10.585000000000001</v>
          </cell>
          <cell r="AI64">
            <v>32.780999999999999</v>
          </cell>
          <cell r="AJ64">
            <v>30.662999999999997</v>
          </cell>
          <cell r="AK64">
            <v>63.443999999999996</v>
          </cell>
          <cell r="AL64">
            <v>43.653999999999996</v>
          </cell>
          <cell r="AM64">
            <v>56.952000000000012</v>
          </cell>
          <cell r="AN64">
            <v>100.60600000000001</v>
          </cell>
          <cell r="AO64">
            <v>50.741999999999997</v>
          </cell>
          <cell r="AP64">
            <v>40.253000000000021</v>
          </cell>
          <cell r="AQ64">
            <v>90.995000000000019</v>
          </cell>
          <cell r="AR64">
            <v>57.416000000000004</v>
          </cell>
          <cell r="AS64">
            <v>48.107999999999997</v>
          </cell>
          <cell r="AT64">
            <v>105.524</v>
          </cell>
          <cell r="AU64">
            <v>62.430000000000007</v>
          </cell>
          <cell r="AV64">
            <v>57.903353178046586</v>
          </cell>
          <cell r="AW64">
            <v>122.82599999999999</v>
          </cell>
          <cell r="AX64">
            <v>68.427223815057488</v>
          </cell>
          <cell r="AY64">
            <v>69.48979545766997</v>
          </cell>
          <cell r="AZ64">
            <v>137.91701927272746</v>
          </cell>
          <cell r="BA64">
            <v>78.896675058943359</v>
          </cell>
          <cell r="BB64">
            <v>80.232130602087423</v>
          </cell>
          <cell r="BC64">
            <v>159.12880566103078</v>
          </cell>
          <cell r="BD64">
            <v>92.454297043988007</v>
          </cell>
          <cell r="BE64">
            <v>93.904885112231</v>
          </cell>
          <cell r="BF64">
            <v>183.30197934585101</v>
          </cell>
          <cell r="BG64">
            <v>98.624277987038241</v>
          </cell>
          <cell r="BH64">
            <v>100.16591035410188</v>
          </cell>
          <cell r="BI64">
            <v>198.79018834114012</v>
          </cell>
          <cell r="BJ64">
            <v>104.14808999218056</v>
          </cell>
          <cell r="BK64">
            <v>105.71217503295945</v>
          </cell>
          <cell r="BL64">
            <v>209.86026502514002</v>
          </cell>
          <cell r="BM64">
            <v>107.81664817474046</v>
          </cell>
          <cell r="BN64">
            <v>109.24273762813077</v>
          </cell>
          <cell r="BO64">
            <v>217.05938580287125</v>
          </cell>
          <cell r="BP64">
            <v>114.51037526811361</v>
          </cell>
          <cell r="BQ64">
            <v>116.02566210458357</v>
          </cell>
          <cell r="BR64">
            <v>230.53603737269717</v>
          </cell>
        </row>
        <row r="65">
          <cell r="AT65">
            <v>105.524</v>
          </cell>
          <cell r="AU65">
            <v>62.430000000000007</v>
          </cell>
          <cell r="AV65">
            <v>57.903353178046586</v>
          </cell>
          <cell r="AW65">
            <v>122.82599999999999</v>
          </cell>
          <cell r="AX65">
            <v>68.427223815057488</v>
          </cell>
          <cell r="AY65">
            <v>69.48979545766997</v>
          </cell>
          <cell r="AZ65">
            <v>137.91701927272746</v>
          </cell>
          <cell r="BA65">
            <v>78.896675058943359</v>
          </cell>
          <cell r="BB65">
            <v>80.232130602087423</v>
          </cell>
          <cell r="BC65">
            <v>159.12880566103078</v>
          </cell>
          <cell r="BD65">
            <v>92.454297043988007</v>
          </cell>
          <cell r="BE65">
            <v>93.904885112231</v>
          </cell>
          <cell r="BF65">
            <v>183.30197934585101</v>
          </cell>
          <cell r="BG65">
            <v>98.624277987038241</v>
          </cell>
          <cell r="BH65">
            <v>100.16591035410188</v>
          </cell>
          <cell r="BI65">
            <v>198.79018834114012</v>
          </cell>
          <cell r="BJ65">
            <v>104.14808999218056</v>
          </cell>
          <cell r="BK65">
            <v>105.71217503295945</v>
          </cell>
          <cell r="BL65">
            <v>209.86026502514002</v>
          </cell>
          <cell r="BM65">
            <v>107.81664817474046</v>
          </cell>
          <cell r="BN65">
            <v>109.24273762813077</v>
          </cell>
          <cell r="BO65">
            <v>217.05938580287125</v>
          </cell>
          <cell r="BP65">
            <v>114.51037526811361</v>
          </cell>
          <cell r="BQ65">
            <v>116.02566210458357</v>
          </cell>
          <cell r="BR65">
            <v>230.53603737269717</v>
          </cell>
        </row>
        <row r="68">
          <cell r="AS68">
            <v>48.107999999999997</v>
          </cell>
          <cell r="AT68">
            <v>105.524</v>
          </cell>
          <cell r="AU68">
            <v>62.430000000000007</v>
          </cell>
          <cell r="AV68">
            <v>57.903353178046586</v>
          </cell>
          <cell r="AW68">
            <v>122.82599999999999</v>
          </cell>
          <cell r="AX68">
            <v>68.427223815057488</v>
          </cell>
          <cell r="AY68">
            <v>69.48979545766997</v>
          </cell>
          <cell r="AZ68">
            <v>137.91701927272746</v>
          </cell>
          <cell r="BA68">
            <v>78.896675058943359</v>
          </cell>
          <cell r="BB68">
            <v>80.232130602087423</v>
          </cell>
          <cell r="BC68">
            <v>159.12880566103078</v>
          </cell>
          <cell r="BD68">
            <v>92.454297043988007</v>
          </cell>
          <cell r="BE68">
            <v>93.904885112231</v>
          </cell>
          <cell r="BF68">
            <v>183.30197934585101</v>
          </cell>
          <cell r="BG68">
            <v>98.624277987038241</v>
          </cell>
          <cell r="BH68">
            <v>100.16591035410188</v>
          </cell>
          <cell r="BI68">
            <v>198.79018834114012</v>
          </cell>
          <cell r="BJ68">
            <v>104.14808999218056</v>
          </cell>
          <cell r="BK68">
            <v>105.71217503295945</v>
          </cell>
          <cell r="BL68">
            <v>209.86026502514002</v>
          </cell>
          <cell r="BM68">
            <v>107.81664817474046</v>
          </cell>
          <cell r="BN68">
            <v>109.24273762813077</v>
          </cell>
          <cell r="BO68">
            <v>217.05938580287125</v>
          </cell>
          <cell r="BP68">
            <v>114.51037526811361</v>
          </cell>
          <cell r="BQ68">
            <v>116.02566210458357</v>
          </cell>
          <cell r="BR68">
            <v>230.53603737269717</v>
          </cell>
        </row>
        <row r="69">
          <cell r="B69" t="str">
            <v xml:space="preserve">     EBIT margin</v>
          </cell>
          <cell r="D69" t="str">
            <v>%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>
            <v>0.44863680623174301</v>
          </cell>
          <cell r="AC69" t="e">
            <v>#REF!</v>
          </cell>
          <cell r="AD69" t="e">
            <v>#REF!</v>
          </cell>
          <cell r="AE69">
            <v>3.1851388019202673</v>
          </cell>
          <cell r="AF69">
            <v>3.0265225774047728</v>
          </cell>
          <cell r="AG69">
            <v>2.8970081890936172</v>
          </cell>
          <cell r="AH69">
            <v>2.9641639993391191</v>
          </cell>
          <cell r="AI69">
            <v>16.617916182963864</v>
          </cell>
          <cell r="AJ69">
            <v>14.006865786190104</v>
          </cell>
          <cell r="AK69">
            <v>15.244472735970543</v>
          </cell>
          <cell r="AL69">
            <v>12.195105769235202</v>
          </cell>
          <cell r="AM69">
            <v>17.466719173355727</v>
          </cell>
          <cell r="AN69">
            <v>14.707977148949885</v>
          </cell>
          <cell r="AO69">
            <v>14.313317856528323</v>
          </cell>
          <cell r="AP69">
            <v>11.618804607919833</v>
          </cell>
          <cell r="AQ69">
            <v>12.981556616963122</v>
          </cell>
          <cell r="AR69">
            <v>14.096042423647257</v>
          </cell>
          <cell r="AS69">
            <v>10.283112635865209</v>
          </cell>
          <cell r="AT69">
            <v>12.057749770040736</v>
          </cell>
          <cell r="AU69">
            <v>11.181278924820541</v>
          </cell>
          <cell r="AV69">
            <v>10.084951333443627</v>
          </cell>
          <cell r="AW69">
            <v>10.845562913907285</v>
          </cell>
          <cell r="AX69">
            <v>12.091395992438162</v>
          </cell>
          <cell r="AY69">
            <v>11.833540435334612</v>
          </cell>
          <cell r="AZ69">
            <v>11.960085553363248</v>
          </cell>
          <cell r="BA69">
            <v>13.246329671600716</v>
          </cell>
          <cell r="BB69">
            <v>12.984227393109126</v>
          </cell>
          <cell r="BC69">
            <v>13.112869419115478</v>
          </cell>
          <cell r="BD69">
            <v>14.527447255044798</v>
          </cell>
          <cell r="BE69">
            <v>14.223253222007868</v>
          </cell>
          <cell r="BF69">
            <v>14.136777030032381</v>
          </cell>
          <cell r="BG69">
            <v>14.519352994686605</v>
          </cell>
          <cell r="BH69">
            <v>14.177044768590537</v>
          </cell>
          <cell r="BI69">
            <v>14.344830249474189</v>
          </cell>
          <cell r="BJ69">
            <v>14.577498180606483</v>
          </cell>
          <cell r="BK69">
            <v>14.189157629838375</v>
          </cell>
          <cell r="BL69">
            <v>14.379259930776103</v>
          </cell>
          <cell r="BM69">
            <v>14.139514577971065</v>
          </cell>
          <cell r="BN69">
            <v>13.705180608782442</v>
          </cell>
          <cell r="BO69">
            <v>13.917533822879077</v>
          </cell>
          <cell r="BP69">
            <v>14.111857807165492</v>
          </cell>
          <cell r="BQ69">
            <v>13.647327496966897</v>
          </cell>
          <cell r="BR69">
            <v>13.874179802404129</v>
          </cell>
        </row>
        <row r="70"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>
            <v>4.0970000000000004</v>
          </cell>
          <cell r="AC70" t="e">
            <v>#REF!</v>
          </cell>
          <cell r="AD70" t="e">
            <v>#REF!</v>
          </cell>
          <cell r="AE70">
            <v>-1.1509999999999994</v>
          </cell>
          <cell r="AF70">
            <v>-1.6169999999999998</v>
          </cell>
          <cell r="AG70">
            <v>-4.2090000000000005</v>
          </cell>
          <cell r="AH70">
            <v>-5.8260000000000005</v>
          </cell>
          <cell r="AI70">
            <v>23.617000000000001</v>
          </cell>
          <cell r="AJ70">
            <v>23.543999999999993</v>
          </cell>
          <cell r="AK70">
            <v>47.160999999999994</v>
          </cell>
          <cell r="AL70">
            <v>34.524999999999999</v>
          </cell>
          <cell r="AM70">
            <v>50.774000000000008</v>
          </cell>
          <cell r="AN70">
            <v>85.299000000000007</v>
          </cell>
          <cell r="AO70">
            <v>46.739999999999995</v>
          </cell>
          <cell r="AP70">
            <v>45.572000000000017</v>
          </cell>
          <cell r="AQ70">
            <v>92.312000000000012</v>
          </cell>
          <cell r="AR70">
            <v>57.706000000000003</v>
          </cell>
          <cell r="AS70">
            <v>41.254999999999995</v>
          </cell>
          <cell r="AT70">
            <v>98.960999999999999</v>
          </cell>
          <cell r="AU70">
            <v>53.147000000000006</v>
          </cell>
          <cell r="AV70">
            <v>46.499353178046583</v>
          </cell>
          <cell r="AW70">
            <v>102.139</v>
          </cell>
          <cell r="AX70">
            <v>54.708291591355604</v>
          </cell>
          <cell r="AY70">
            <v>60.762653174752323</v>
          </cell>
          <cell r="AZ70">
            <v>115.47094476610792</v>
          </cell>
          <cell r="BA70">
            <v>69.809021517365466</v>
          </cell>
          <cell r="BB70">
            <v>70.687001279012591</v>
          </cell>
          <cell r="BC70">
            <v>140.49602279637807</v>
          </cell>
          <cell r="BD70">
            <v>82.605174021060378</v>
          </cell>
          <cell r="BE70">
            <v>84.816612514785859</v>
          </cell>
          <cell r="BF70">
            <v>164.36458372547824</v>
          </cell>
          <cell r="BG70">
            <v>89.456286657091923</v>
          </cell>
          <cell r="BH70">
            <v>92.208344650671279</v>
          </cell>
          <cell r="BI70">
            <v>181.66463130776322</v>
          </cell>
          <cell r="BJ70">
            <v>96.456374788503979</v>
          </cell>
          <cell r="BK70">
            <v>99.992219744691226</v>
          </cell>
          <cell r="BL70">
            <v>196.44859453319523</v>
          </cell>
          <cell r="BM70">
            <v>102.4608512222708</v>
          </cell>
          <cell r="BN70">
            <v>106.02727457504767</v>
          </cell>
          <cell r="BO70">
            <v>208.4881257973185</v>
          </cell>
          <cell r="BP70" t="e">
            <v>#VALUE!</v>
          </cell>
          <cell r="BQ70" t="e">
            <v>#VALUE!</v>
          </cell>
          <cell r="BR70" t="e">
            <v>#VALUE!</v>
          </cell>
        </row>
        <row r="71">
          <cell r="B71" t="str">
            <v>Effective tax rate (expand for OEI's and Pref. divs</v>
          </cell>
          <cell r="D71" t="str">
            <v>%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>
            <v>0</v>
          </cell>
          <cell r="AC71" t="e">
            <v>#REF!</v>
          </cell>
          <cell r="AD71" t="e">
            <v>#REF!</v>
          </cell>
          <cell r="AE71">
            <v>135.70807993049524</v>
          </cell>
          <cell r="AF71">
            <v>32.529375386518232</v>
          </cell>
          <cell r="AG71">
            <v>15.561891185554769</v>
          </cell>
          <cell r="AH71">
            <v>20.271198077583247</v>
          </cell>
          <cell r="AI71">
            <v>22.93263327264259</v>
          </cell>
          <cell r="AJ71">
            <v>26.342167855929333</v>
          </cell>
          <cell r="AK71">
            <v>24.634761773499296</v>
          </cell>
          <cell r="AL71">
            <v>25.407675597393197</v>
          </cell>
          <cell r="AM71">
            <v>23.921692204671675</v>
          </cell>
          <cell r="AN71">
            <v>24.523147985322215</v>
          </cell>
          <cell r="AO71">
            <v>26.510483525887896</v>
          </cell>
          <cell r="AP71">
            <v>29.261388571930119</v>
          </cell>
          <cell r="AQ71">
            <v>27.868532801802576</v>
          </cell>
          <cell r="AR71">
            <v>29.009115169999649</v>
          </cell>
          <cell r="AS71">
            <v>33.872257908132354</v>
          </cell>
          <cell r="AT71">
            <v>31.036468911995634</v>
          </cell>
          <cell r="AU71">
            <v>34.094116318889114</v>
          </cell>
          <cell r="AV71">
            <v>33.264978849862366</v>
          </cell>
          <cell r="AW71">
            <v>32.884598439381627</v>
          </cell>
          <cell r="AX71">
            <v>32.741814734783297</v>
          </cell>
          <cell r="AY71">
            <v>32.468621631260945</v>
          </cell>
          <cell r="AZ71">
            <v>32.598056165623873</v>
          </cell>
          <cell r="BA71">
            <v>32.148719416768884</v>
          </cell>
          <cell r="BB71">
            <v>32.122030886667936</v>
          </cell>
          <cell r="BC71">
            <v>32.135291761495573</v>
          </cell>
          <cell r="BD71">
            <v>31.815866884582285</v>
          </cell>
          <cell r="BE71">
            <v>30.687175707221265</v>
          </cell>
          <cell r="BF71">
            <v>31.825210718758367</v>
          </cell>
          <cell r="BG71">
            <v>31.67679663001201</v>
          </cell>
          <cell r="BH71">
            <v>31.626750817057513</v>
          </cell>
          <cell r="BI71">
            <v>31.651394648701658</v>
          </cell>
          <cell r="BJ71">
            <v>31.555107169732423</v>
          </cell>
          <cell r="BK71">
            <v>31.500116712910199</v>
          </cell>
          <cell r="BL71">
            <v>31.527117059365402</v>
          </cell>
          <cell r="BM71">
            <v>31.463973783260897</v>
          </cell>
          <cell r="BN71">
            <v>31.414730319167351</v>
          </cell>
          <cell r="BO71">
            <v>31.438930868857469</v>
          </cell>
          <cell r="BP71" t="e">
            <v>#VALUE!</v>
          </cell>
          <cell r="BQ71" t="e">
            <v>#VALUE!</v>
          </cell>
          <cell r="BR71" t="e">
            <v>#VALUE!</v>
          </cell>
        </row>
        <row r="73">
          <cell r="AV73" t="str">
            <v>`</v>
          </cell>
        </row>
        <row r="74">
          <cell r="F74">
            <v>0</v>
          </cell>
          <cell r="I74">
            <v>0</v>
          </cell>
          <cell r="L74">
            <v>0</v>
          </cell>
          <cell r="O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0.68899999999999995</v>
          </cell>
          <cell r="AD74">
            <v>-2.2509999999999994</v>
          </cell>
          <cell r="AE74">
            <v>-1.5619999999999994</v>
          </cell>
          <cell r="AF74">
            <v>-0.5259999999999998</v>
          </cell>
          <cell r="AG74">
            <v>-0.65500000000000025</v>
          </cell>
          <cell r="AH74">
            <v>-1.181</v>
          </cell>
          <cell r="AI74">
            <v>5.4160000000000004</v>
          </cell>
          <cell r="AJ74">
            <v>6.202</v>
          </cell>
          <cell r="AK74">
            <v>11.618</v>
          </cell>
          <cell r="AL74">
            <v>8.7720000000000002</v>
          </cell>
          <cell r="AM74">
            <v>12.145999999999999</v>
          </cell>
          <cell r="AN74">
            <v>20.917999999999999</v>
          </cell>
          <cell r="AO74">
            <v>12.391</v>
          </cell>
          <cell r="AP74">
            <v>13.334999999999999</v>
          </cell>
          <cell r="AQ74">
            <v>25.725999999999999</v>
          </cell>
          <cell r="AR74">
            <v>16.739999999999998</v>
          </cell>
          <cell r="AS74">
            <v>13.974</v>
          </cell>
          <cell r="AT74">
            <v>30.713999999999999</v>
          </cell>
          <cell r="AU74">
            <v>18.12</v>
          </cell>
          <cell r="AV74">
            <v>15.468</v>
          </cell>
          <cell r="AW74">
            <v>33.588000000000001</v>
          </cell>
          <cell r="AX74">
            <v>17.912487477406682</v>
          </cell>
          <cell r="AY74">
            <v>19.728795952425696</v>
          </cell>
          <cell r="AZ74">
            <v>37.641283429832377</v>
          </cell>
          <cell r="BA74">
            <v>22.442706455209638</v>
          </cell>
          <cell r="BB74">
            <v>22.706100383703784</v>
          </cell>
          <cell r="BC74">
            <v>45.148806838913423</v>
          </cell>
          <cell r="BD74">
            <v>26.281552206318114</v>
          </cell>
          <cell r="BE74">
            <v>26.027822911325355</v>
          </cell>
          <cell r="BF74">
            <v>52.309375117643469</v>
          </cell>
          <cell r="BG74">
            <v>28.336885997127577</v>
          </cell>
          <cell r="BH74">
            <v>29.162503395201387</v>
          </cell>
          <cell r="BI74">
            <v>57.499389392328965</v>
          </cell>
          <cell r="BJ74">
            <v>30.436912436551193</v>
          </cell>
          <cell r="BK74">
            <v>31.497665923407371</v>
          </cell>
          <cell r="BL74">
            <v>61.934578359958564</v>
          </cell>
          <cell r="BM74">
            <v>32.238255366681237</v>
          </cell>
          <cell r="BN74">
            <v>33.308182372514317</v>
          </cell>
          <cell r="BO74">
            <v>65.546437739195554</v>
          </cell>
          <cell r="BP74" t="e">
            <v>#VALUE!</v>
          </cell>
          <cell r="BQ74" t="e">
            <v>#VALUE!</v>
          </cell>
          <cell r="BR74" t="e">
            <v>#VALUE!</v>
          </cell>
        </row>
        <row r="75">
          <cell r="F75">
            <v>0</v>
          </cell>
          <cell r="I75">
            <v>0</v>
          </cell>
          <cell r="L75">
            <v>0</v>
          </cell>
          <cell r="O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D75">
            <v>0.183</v>
          </cell>
          <cell r="AE75">
            <v>0.183</v>
          </cell>
          <cell r="AF75">
            <v>2.1999999999999999E-2</v>
          </cell>
          <cell r="AG75">
            <v>5.3999999999999999E-2</v>
          </cell>
          <cell r="AH75">
            <v>7.5999999999999998E-2</v>
          </cell>
          <cell r="AI75">
            <v>4.7E-2</v>
          </cell>
          <cell r="AJ75">
            <v>0.12499999999999999</v>
          </cell>
          <cell r="AK75">
            <v>0.17199999999999999</v>
          </cell>
          <cell r="AL75">
            <v>0.10100000000000001</v>
          </cell>
          <cell r="AM75">
            <v>-1.0000000000000009E-3</v>
          </cell>
          <cell r="AN75">
            <v>0.1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0.52100000000000002</v>
          </cell>
          <cell r="AW75">
            <v>0.52100000000000002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F76">
            <v>0</v>
          </cell>
          <cell r="I76">
            <v>0</v>
          </cell>
          <cell r="L76">
            <v>0</v>
          </cell>
          <cell r="O76">
            <v>0</v>
          </cell>
          <cell r="R76">
            <v>0</v>
          </cell>
          <cell r="U76">
            <v>0</v>
          </cell>
          <cell r="X76">
            <v>0</v>
          </cell>
          <cell r="AA76">
            <v>0</v>
          </cell>
          <cell r="AD76">
            <v>0</v>
          </cell>
          <cell r="AG76">
            <v>0</v>
          </cell>
          <cell r="AJ76">
            <v>0</v>
          </cell>
          <cell r="AK76">
            <v>0</v>
          </cell>
          <cell r="AL76">
            <v>1.1100000000000001</v>
          </cell>
          <cell r="AM76">
            <v>5.4079999999999995</v>
          </cell>
          <cell r="AN76">
            <v>6.5179999999999998</v>
          </cell>
          <cell r="AO76">
            <v>4.28758281</v>
          </cell>
          <cell r="AP76">
            <v>4.28758281</v>
          </cell>
          <cell r="AQ76">
            <v>8.5751656199999999</v>
          </cell>
          <cell r="AR76">
            <v>4.28758281</v>
          </cell>
          <cell r="AS76">
            <v>4.28758281</v>
          </cell>
          <cell r="AT76">
            <v>8.5751656199999999</v>
          </cell>
          <cell r="AU76">
            <v>6.141</v>
          </cell>
          <cell r="AV76">
            <v>6.0730000000000004</v>
          </cell>
          <cell r="AW76">
            <v>12.214</v>
          </cell>
          <cell r="AX76">
            <v>4.28758281</v>
          </cell>
          <cell r="AY76">
            <v>4.28758281</v>
          </cell>
          <cell r="AZ76">
            <v>8.5751656199999999</v>
          </cell>
          <cell r="BA76">
            <v>4.28758281</v>
          </cell>
          <cell r="BB76">
            <v>4.28758281</v>
          </cell>
          <cell r="BC76">
            <v>8.5751656199999999</v>
          </cell>
          <cell r="BE76">
            <v>0</v>
          </cell>
          <cell r="BH76">
            <v>0</v>
          </cell>
          <cell r="BK76">
            <v>0</v>
          </cell>
          <cell r="BN76">
            <v>0</v>
          </cell>
          <cell r="BQ76">
            <v>0</v>
          </cell>
        </row>
        <row r="77">
          <cell r="AX77">
            <v>6.209134615384615</v>
          </cell>
          <cell r="AY77">
            <v>10.762499999999999</v>
          </cell>
          <cell r="AZ77">
            <v>16.971634615384616</v>
          </cell>
          <cell r="BA77">
            <v>10.762499999999999</v>
          </cell>
          <cell r="BB77">
            <v>10.762499999999999</v>
          </cell>
          <cell r="BC77">
            <v>21.524999999999999</v>
          </cell>
          <cell r="BD77">
            <v>10.762499999999999</v>
          </cell>
          <cell r="BE77">
            <v>10.762499999999999</v>
          </cell>
          <cell r="BF77">
            <v>21.524999999999999</v>
          </cell>
          <cell r="BG77">
            <v>10.762499999999999</v>
          </cell>
          <cell r="BH77">
            <v>10.762499999999999</v>
          </cell>
          <cell r="BI77">
            <v>21.524999999999999</v>
          </cell>
          <cell r="BJ77">
            <v>10.762499999999999</v>
          </cell>
          <cell r="BK77">
            <v>10.762499999999999</v>
          </cell>
          <cell r="BL77">
            <v>21.524999999999999</v>
          </cell>
          <cell r="BM77">
            <v>10.762499999999999</v>
          </cell>
          <cell r="BN77">
            <v>10.762499999999999</v>
          </cell>
          <cell r="BO77">
            <v>21.524999999999999</v>
          </cell>
          <cell r="BP77">
            <v>10.762499999999999</v>
          </cell>
          <cell r="BQ77">
            <v>10.762499999999999</v>
          </cell>
          <cell r="BR77">
            <v>21.524999999999999</v>
          </cell>
        </row>
        <row r="78">
          <cell r="F78">
            <v>0</v>
          </cell>
          <cell r="I78">
            <v>0</v>
          </cell>
          <cell r="L78">
            <v>0</v>
          </cell>
          <cell r="O78">
            <v>0</v>
          </cell>
          <cell r="R78">
            <v>0</v>
          </cell>
          <cell r="U78">
            <v>0</v>
          </cell>
          <cell r="X78">
            <v>0</v>
          </cell>
          <cell r="AA78">
            <v>4.9000000000000004</v>
          </cell>
          <cell r="AB78">
            <v>4.9000000000000004</v>
          </cell>
          <cell r="AC78">
            <v>0</v>
          </cell>
          <cell r="AD78">
            <v>0</v>
          </cell>
          <cell r="AE78">
            <v>0</v>
          </cell>
          <cell r="AF78">
            <v>1.3260000000000001</v>
          </cell>
          <cell r="AG78">
            <v>-0.59600000000000009</v>
          </cell>
          <cell r="AH78">
            <v>0.73</v>
          </cell>
          <cell r="AI78">
            <v>0.18500000000000003</v>
          </cell>
          <cell r="AJ78">
            <v>-0.18500000000000003</v>
          </cell>
          <cell r="AK78">
            <v>0</v>
          </cell>
          <cell r="AL78">
            <v>0</v>
          </cell>
          <cell r="AM78">
            <v>1.532</v>
          </cell>
          <cell r="AN78">
            <v>1.532</v>
          </cell>
          <cell r="AO78">
            <v>1.0609999999999999</v>
          </cell>
          <cell r="AP78">
            <v>2.1579999999999999</v>
          </cell>
          <cell r="AQ78">
            <v>3.2189999999999999</v>
          </cell>
          <cell r="AR78">
            <v>5.298</v>
          </cell>
          <cell r="AS78">
            <v>36.22</v>
          </cell>
          <cell r="AT78">
            <v>41.518000000000001</v>
          </cell>
          <cell r="AU78">
            <v>41.356999999999999</v>
          </cell>
          <cell r="AV78">
            <v>42.42</v>
          </cell>
          <cell r="AW78">
            <v>83.77</v>
          </cell>
          <cell r="AX78">
            <v>59.5570718847313</v>
          </cell>
          <cell r="AY78">
            <v>73.696652476325028</v>
          </cell>
          <cell r="AZ78">
            <v>133.25372436105633</v>
          </cell>
          <cell r="BA78">
            <v>72.138797054953756</v>
          </cell>
          <cell r="BB78">
            <v>75.118886718165044</v>
          </cell>
          <cell r="BC78">
            <v>147.2576837731188</v>
          </cell>
          <cell r="BD78">
            <v>76.638285410012827</v>
          </cell>
          <cell r="BE78">
            <v>91.03833993136567</v>
          </cell>
          <cell r="BF78">
            <v>167.6766253413785</v>
          </cell>
          <cell r="BG78">
            <v>83.79853916914621</v>
          </cell>
          <cell r="BH78">
            <v>100.68542657861916</v>
          </cell>
          <cell r="BI78">
            <v>184.48396574776535</v>
          </cell>
        </row>
        <row r="79">
          <cell r="F79">
            <v>0</v>
          </cell>
          <cell r="I79">
            <v>0</v>
          </cell>
          <cell r="L79">
            <v>0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>
            <v>4.0970000000000004</v>
          </cell>
          <cell r="AC79" t="e">
            <v>#REF!</v>
          </cell>
          <cell r="AD79" t="e">
            <v>#REF!</v>
          </cell>
          <cell r="AE79">
            <v>0.22799999999999992</v>
          </cell>
          <cell r="AF79">
            <v>-1.113</v>
          </cell>
          <cell r="AG79">
            <v>-3.7059999999999995</v>
          </cell>
          <cell r="AH79">
            <v>-4.7210000000000001</v>
          </cell>
          <cell r="AI79">
            <v>18.154</v>
          </cell>
          <cell r="AJ79">
            <v>17.217000000000002</v>
          </cell>
          <cell r="AK79">
            <v>35.370999999999995</v>
          </cell>
          <cell r="AL79">
            <v>24.542000000000002</v>
          </cell>
          <cell r="AM79">
            <v>33.353559507176428</v>
          </cell>
          <cell r="AN79">
            <v>57.763000000000005</v>
          </cell>
          <cell r="AO79">
            <v>35.409999999999997</v>
          </cell>
          <cell r="AP79">
            <v>31.436722036603435</v>
          </cell>
          <cell r="AQ79">
            <v>69.805000000000007</v>
          </cell>
          <cell r="AR79">
            <v>46.264000000000003</v>
          </cell>
          <cell r="AS79">
            <v>63.440999999999995</v>
          </cell>
          <cell r="AT79">
            <v>109.765</v>
          </cell>
          <cell r="AU79">
            <v>76.384</v>
          </cell>
          <cell r="AV79">
            <v>73.451353178046588</v>
          </cell>
          <cell r="AW79">
            <v>151.79999999999998</v>
          </cell>
          <cell r="AX79">
            <v>96.352875998680219</v>
          </cell>
          <cell r="AY79">
            <v>114.73050969865166</v>
          </cell>
          <cell r="AZ79">
            <v>211.08338569733186</v>
          </cell>
          <cell r="BA79">
            <v>119.50511211710958</v>
          </cell>
          <cell r="BB79">
            <v>123.09978761347385</v>
          </cell>
          <cell r="BC79">
            <v>242.60489973058344</v>
          </cell>
          <cell r="BD79">
            <v>132.96190722475509</v>
          </cell>
          <cell r="BE79">
            <v>149.82712953482616</v>
          </cell>
          <cell r="BF79">
            <v>279.7318339492133</v>
          </cell>
          <cell r="BG79">
            <v>144.91793982911054</v>
          </cell>
          <cell r="BH79">
            <v>163.73126783408907</v>
          </cell>
          <cell r="BI79">
            <v>308.6492076631996</v>
          </cell>
          <cell r="BJ79">
            <v>66.019462351952782</v>
          </cell>
          <cell r="BK79">
            <v>68.494553821283858</v>
          </cell>
          <cell r="BL79">
            <v>134.51401617323666</v>
          </cell>
          <cell r="BM79">
            <v>70.22259585558956</v>
          </cell>
          <cell r="BN79">
            <v>72.719092202533346</v>
          </cell>
          <cell r="BO79">
            <v>142.94168805812296</v>
          </cell>
          <cell r="BP79" t="e">
            <v>#VALUE!</v>
          </cell>
          <cell r="BQ79" t="e">
            <v>#VALUE!</v>
          </cell>
          <cell r="BR79" t="e">
            <v>#VALUE!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F81">
            <v>0</v>
          </cell>
          <cell r="I81">
            <v>0</v>
          </cell>
          <cell r="L81">
            <v>0</v>
          </cell>
          <cell r="O81">
            <v>0</v>
          </cell>
          <cell r="R81">
            <v>0</v>
          </cell>
          <cell r="U81">
            <v>0</v>
          </cell>
          <cell r="X81">
            <v>0</v>
          </cell>
          <cell r="AA81">
            <v>0</v>
          </cell>
          <cell r="AD81">
            <v>0</v>
          </cell>
          <cell r="AG81">
            <v>0</v>
          </cell>
          <cell r="AJ81">
            <v>0</v>
          </cell>
          <cell r="AM81">
            <v>0</v>
          </cell>
          <cell r="AP81">
            <v>0</v>
          </cell>
          <cell r="AS81">
            <v>0</v>
          </cell>
          <cell r="AV81">
            <v>0</v>
          </cell>
          <cell r="AY81">
            <v>0</v>
          </cell>
          <cell r="BB81">
            <v>0</v>
          </cell>
          <cell r="BE81">
            <v>0</v>
          </cell>
          <cell r="BH81">
            <v>0</v>
          </cell>
          <cell r="BK81">
            <v>0</v>
          </cell>
          <cell r="BN81">
            <v>0</v>
          </cell>
          <cell r="BQ81">
            <v>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0.55700000000000005</v>
          </cell>
          <cell r="AB82">
            <v>0.55700000000000005</v>
          </cell>
          <cell r="AC82">
            <v>1.141</v>
          </cell>
          <cell r="AD82">
            <v>-0.3610000000000001</v>
          </cell>
          <cell r="AE82">
            <v>0.77999999999999992</v>
          </cell>
          <cell r="AF82">
            <v>-24.989000000000001</v>
          </cell>
          <cell r="AG82">
            <v>-33.659999999999997</v>
          </cell>
          <cell r="AH82">
            <v>-58.649000000000001</v>
          </cell>
          <cell r="AI82">
            <v>0</v>
          </cell>
          <cell r="AJ82">
            <v>0.61899999999999977</v>
          </cell>
          <cell r="AK82">
            <v>0.61899999999999977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7.33</v>
          </cell>
          <cell r="AS82">
            <v>0</v>
          </cell>
          <cell r="AT82">
            <v>7.33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F83">
            <v>0</v>
          </cell>
          <cell r="I83">
            <v>0</v>
          </cell>
          <cell r="L83">
            <v>0</v>
          </cell>
          <cell r="O83">
            <v>0</v>
          </cell>
          <cell r="R83">
            <v>0</v>
          </cell>
          <cell r="U83">
            <v>0</v>
          </cell>
          <cell r="X83">
            <v>0</v>
          </cell>
          <cell r="AA83">
            <v>0.55700000000000005</v>
          </cell>
          <cell r="AB83">
            <v>0.55700000000000005</v>
          </cell>
          <cell r="AC83">
            <v>1.141</v>
          </cell>
          <cell r="AD83">
            <v>-0.3610000000000001</v>
          </cell>
          <cell r="AE83">
            <v>0.77999999999999992</v>
          </cell>
          <cell r="AF83">
            <v>0</v>
          </cell>
          <cell r="AG83">
            <v>-58.649000000000001</v>
          </cell>
          <cell r="AH83">
            <v>-58.649000000000001</v>
          </cell>
          <cell r="AJ83">
            <v>0.61899999999999977</v>
          </cell>
          <cell r="AK83">
            <v>0.61899999999999977</v>
          </cell>
          <cell r="AM83">
            <v>0</v>
          </cell>
          <cell r="AP83">
            <v>0</v>
          </cell>
          <cell r="AR83">
            <v>10.413</v>
          </cell>
          <cell r="AT83">
            <v>10.413</v>
          </cell>
          <cell r="AV83">
            <v>0</v>
          </cell>
          <cell r="AY83">
            <v>0</v>
          </cell>
          <cell r="BB83">
            <v>0</v>
          </cell>
          <cell r="BE83">
            <v>0</v>
          </cell>
          <cell r="BH83">
            <v>0</v>
          </cell>
          <cell r="BK83">
            <v>0</v>
          </cell>
          <cell r="BN83">
            <v>0</v>
          </cell>
          <cell r="BQ83">
            <v>0</v>
          </cell>
        </row>
        <row r="84">
          <cell r="F84">
            <v>0</v>
          </cell>
          <cell r="I84">
            <v>0</v>
          </cell>
          <cell r="L84">
            <v>0</v>
          </cell>
          <cell r="O84">
            <v>0</v>
          </cell>
          <cell r="R84">
            <v>0</v>
          </cell>
          <cell r="U84">
            <v>0</v>
          </cell>
          <cell r="X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-24.989000000000001</v>
          </cell>
          <cell r="AG84">
            <v>24.989000000000001</v>
          </cell>
          <cell r="AH84">
            <v>0</v>
          </cell>
          <cell r="AJ84">
            <v>0</v>
          </cell>
          <cell r="AK84">
            <v>0</v>
          </cell>
          <cell r="AM84">
            <v>0</v>
          </cell>
          <cell r="AP84">
            <v>0</v>
          </cell>
          <cell r="AR84">
            <v>-3.0830000000000002</v>
          </cell>
          <cell r="AT84">
            <v>-3.0830000000000002</v>
          </cell>
          <cell r="AV84">
            <v>0</v>
          </cell>
          <cell r="AY84">
            <v>0</v>
          </cell>
          <cell r="BB84">
            <v>0</v>
          </cell>
          <cell r="BE84">
            <v>0</v>
          </cell>
          <cell r="BH84">
            <v>0</v>
          </cell>
          <cell r="BK84">
            <v>0</v>
          </cell>
          <cell r="BN84">
            <v>0</v>
          </cell>
          <cell r="BQ84">
            <v>0</v>
          </cell>
        </row>
        <row r="85">
          <cell r="F85">
            <v>0</v>
          </cell>
          <cell r="I85">
            <v>0</v>
          </cell>
          <cell r="L85">
            <v>0</v>
          </cell>
          <cell r="O85">
            <v>0</v>
          </cell>
          <cell r="R85">
            <v>0</v>
          </cell>
          <cell r="U85">
            <v>0</v>
          </cell>
          <cell r="X85">
            <v>0</v>
          </cell>
          <cell r="AA85">
            <v>0</v>
          </cell>
          <cell r="AB85">
            <v>0</v>
          </cell>
          <cell r="AD85">
            <v>0</v>
          </cell>
          <cell r="AG85">
            <v>0</v>
          </cell>
          <cell r="AJ85">
            <v>0</v>
          </cell>
          <cell r="AK85">
            <v>0</v>
          </cell>
          <cell r="AM85">
            <v>0</v>
          </cell>
          <cell r="AP85">
            <v>0</v>
          </cell>
          <cell r="AS85">
            <v>0</v>
          </cell>
          <cell r="AV85">
            <v>0</v>
          </cell>
          <cell r="AY85">
            <v>0</v>
          </cell>
          <cell r="BB85">
            <v>0</v>
          </cell>
          <cell r="BE85">
            <v>0</v>
          </cell>
          <cell r="BH85">
            <v>0</v>
          </cell>
          <cell r="BK85">
            <v>0</v>
          </cell>
          <cell r="BN85">
            <v>0</v>
          </cell>
          <cell r="BQ85">
            <v>0</v>
          </cell>
        </row>
        <row r="86">
          <cell r="F86">
            <v>0</v>
          </cell>
          <cell r="I86">
            <v>0</v>
          </cell>
          <cell r="L86">
            <v>0</v>
          </cell>
          <cell r="O86">
            <v>0</v>
          </cell>
          <cell r="R86">
            <v>0</v>
          </cell>
          <cell r="U86">
            <v>0</v>
          </cell>
          <cell r="X86">
            <v>0</v>
          </cell>
          <cell r="AA86">
            <v>0</v>
          </cell>
          <cell r="AB86">
            <v>0</v>
          </cell>
          <cell r="AD86">
            <v>0</v>
          </cell>
          <cell r="AG86">
            <v>0</v>
          </cell>
          <cell r="AJ86">
            <v>0</v>
          </cell>
          <cell r="AK86">
            <v>0</v>
          </cell>
          <cell r="AM86">
            <v>0</v>
          </cell>
          <cell r="AP86">
            <v>0</v>
          </cell>
          <cell r="AS86">
            <v>0</v>
          </cell>
          <cell r="AV86">
            <v>0</v>
          </cell>
          <cell r="AY86">
            <v>0</v>
          </cell>
          <cell r="BB86">
            <v>0</v>
          </cell>
          <cell r="BE86">
            <v>0</v>
          </cell>
          <cell r="BH86">
            <v>0</v>
          </cell>
          <cell r="BK86">
            <v>0</v>
          </cell>
          <cell r="BN86">
            <v>0</v>
          </cell>
          <cell r="BQ86">
            <v>0</v>
          </cell>
        </row>
        <row r="87">
          <cell r="F87">
            <v>0</v>
          </cell>
          <cell r="I87">
            <v>0</v>
          </cell>
          <cell r="L87">
            <v>0</v>
          </cell>
          <cell r="O87">
            <v>0</v>
          </cell>
          <cell r="R87">
            <v>0</v>
          </cell>
          <cell r="U87">
            <v>0</v>
          </cell>
          <cell r="X87">
            <v>0</v>
          </cell>
          <cell r="AA87">
            <v>0</v>
          </cell>
          <cell r="AD87">
            <v>0</v>
          </cell>
          <cell r="AG87">
            <v>0</v>
          </cell>
          <cell r="AJ87">
            <v>0</v>
          </cell>
          <cell r="AK87">
            <v>0</v>
          </cell>
          <cell r="AM87">
            <v>0</v>
          </cell>
          <cell r="AP87">
            <v>0</v>
          </cell>
          <cell r="AS87">
            <v>0</v>
          </cell>
          <cell r="AV87">
            <v>0</v>
          </cell>
          <cell r="AY87">
            <v>0</v>
          </cell>
          <cell r="BB87">
            <v>0</v>
          </cell>
          <cell r="BE87">
            <v>0</v>
          </cell>
          <cell r="BH87">
            <v>0</v>
          </cell>
          <cell r="BK87">
            <v>0</v>
          </cell>
          <cell r="BN87">
            <v>0</v>
          </cell>
          <cell r="BQ87">
            <v>0</v>
          </cell>
        </row>
        <row r="89">
          <cell r="AO89">
            <v>35.409999999999997</v>
          </cell>
          <cell r="AP89">
            <v>31.436722036603435</v>
          </cell>
          <cell r="AQ89">
            <v>69.805000000000007</v>
          </cell>
          <cell r="AR89">
            <v>38.934000000000005</v>
          </cell>
          <cell r="AS89">
            <v>63.440999999999995</v>
          </cell>
          <cell r="AT89">
            <v>102.435</v>
          </cell>
          <cell r="AU89">
            <v>76.384</v>
          </cell>
          <cell r="AV89">
            <v>73.451353178046588</v>
          </cell>
          <cell r="AW89">
            <v>151.79999999999998</v>
          </cell>
          <cell r="AX89">
            <v>96.352875998680219</v>
          </cell>
          <cell r="AY89">
            <v>114.73050969865166</v>
          </cell>
          <cell r="AZ89">
            <v>211.08338569733186</v>
          </cell>
          <cell r="BA89">
            <v>119.50511211710958</v>
          </cell>
          <cell r="BB89">
            <v>123.09978761347385</v>
          </cell>
          <cell r="BC89">
            <v>242.60489973058344</v>
          </cell>
          <cell r="BD89">
            <v>132.96190722475509</v>
          </cell>
          <cell r="BE89">
            <v>149.82712953482616</v>
          </cell>
          <cell r="BF89">
            <v>279.7318339492133</v>
          </cell>
          <cell r="BG89">
            <v>144.91793982911054</v>
          </cell>
          <cell r="BH89">
            <v>163.73126783408907</v>
          </cell>
          <cell r="BI89">
            <v>308.6492076631996</v>
          </cell>
          <cell r="BJ89">
            <v>66.019462351952782</v>
          </cell>
          <cell r="BK89">
            <v>68.494553821283858</v>
          </cell>
          <cell r="BL89">
            <v>134.51401617323666</v>
          </cell>
          <cell r="BM89">
            <v>70.22259585558956</v>
          </cell>
          <cell r="BN89">
            <v>72.719092202533346</v>
          </cell>
          <cell r="BO89">
            <v>142.94168805812296</v>
          </cell>
          <cell r="BP89" t="e">
            <v>#VALUE!</v>
          </cell>
          <cell r="BQ89" t="e">
            <v>#VALUE!</v>
          </cell>
          <cell r="BR89" t="e">
            <v>#VALUE!</v>
          </cell>
        </row>
        <row r="90">
          <cell r="AO90">
            <v>38.143999999999998</v>
          </cell>
          <cell r="AP90">
            <v>34.991722036603434</v>
          </cell>
          <cell r="AQ90">
            <v>76.094000000000008</v>
          </cell>
          <cell r="AR90">
            <v>50.076000000000001</v>
          </cell>
          <cell r="AS90">
            <v>67.816000000000003</v>
          </cell>
          <cell r="AT90">
            <v>117.952</v>
          </cell>
          <cell r="AU90">
            <v>81.525999999999996</v>
          </cell>
          <cell r="AV90">
            <v>78.99935317804659</v>
          </cell>
          <cell r="AW90">
            <v>162.48999999999998</v>
          </cell>
          <cell r="AX90">
            <v>100.89494099868021</v>
          </cell>
          <cell r="AY90">
            <v>120.47244469865166</v>
          </cell>
          <cell r="AZ90">
            <v>221.36738569733185</v>
          </cell>
          <cell r="BA90">
            <v>124.04717711710957</v>
          </cell>
          <cell r="BB90">
            <v>128.84172261347385</v>
          </cell>
          <cell r="BC90">
            <v>252.88889973058343</v>
          </cell>
          <cell r="BD90">
            <v>135.75600722475508</v>
          </cell>
          <cell r="BE90">
            <v>157.31702953482616</v>
          </cell>
          <cell r="BF90">
            <v>290.01583394921329</v>
          </cell>
          <cell r="BG90">
            <v>147.71203982911055</v>
          </cell>
          <cell r="BH90">
            <v>170.74641783408907</v>
          </cell>
          <cell r="BI90">
            <v>318.45845766319962</v>
          </cell>
          <cell r="BJ90">
            <v>68.813562351952783</v>
          </cell>
          <cell r="BK90">
            <v>71.288653821283859</v>
          </cell>
          <cell r="BL90">
            <v>140.10221617323666</v>
          </cell>
          <cell r="BM90">
            <v>73.01669585558956</v>
          </cell>
          <cell r="BN90">
            <v>75.513192202533347</v>
          </cell>
          <cell r="BO90">
            <v>148.52988805812296</v>
          </cell>
          <cell r="BP90" t="e">
            <v>#VALUE!</v>
          </cell>
          <cell r="BQ90" t="e">
            <v>#VALUE!</v>
          </cell>
          <cell r="BR90" t="e">
            <v>#VALUE!</v>
          </cell>
        </row>
        <row r="91">
          <cell r="AT91">
            <v>0.55008279233579493</v>
          </cell>
          <cell r="AW91">
            <v>0.37759427563754744</v>
          </cell>
          <cell r="AZ91">
            <v>0.36234467165568263</v>
          </cell>
          <cell r="BC91">
            <v>0.14239457151267021</v>
          </cell>
        </row>
        <row r="92">
          <cell r="AT92">
            <v>5.9999999999995168E-2</v>
          </cell>
        </row>
        <row r="93">
          <cell r="E93" t="str">
            <v>1H89(a)</v>
          </cell>
          <cell r="F93" t="str">
            <v>2H89(a)</v>
          </cell>
          <cell r="G93" t="str">
            <v>FY89(a)</v>
          </cell>
          <cell r="H93" t="str">
            <v>1H90(a)</v>
          </cell>
          <cell r="I93" t="str">
            <v>2H90(a)</v>
          </cell>
          <cell r="J93" t="str">
            <v>FY90(a)</v>
          </cell>
          <cell r="K93" t="str">
            <v>1H91(a)</v>
          </cell>
          <cell r="L93" t="str">
            <v>2H91(a)</v>
          </cell>
          <cell r="M93" t="str">
            <v>FY91(a)</v>
          </cell>
          <cell r="N93" t="str">
            <v>1H92(a)</v>
          </cell>
          <cell r="O93" t="str">
            <v>2H92(a)</v>
          </cell>
          <cell r="P93" t="str">
            <v>FY92(a)</v>
          </cell>
          <cell r="Q93" t="str">
            <v>1H93(a)</v>
          </cell>
          <cell r="R93" t="str">
            <v>2H93(a)</v>
          </cell>
          <cell r="S93" t="str">
            <v>FY93(a)</v>
          </cell>
          <cell r="T93" t="str">
            <v>1H94(a)</v>
          </cell>
          <cell r="U93" t="str">
            <v>2H94(a)</v>
          </cell>
          <cell r="V93" t="str">
            <v>FY94(a)</v>
          </cell>
          <cell r="W93" t="str">
            <v>1H95(a)</v>
          </cell>
          <cell r="X93" t="str">
            <v>2H95(a)</v>
          </cell>
          <cell r="Y93" t="str">
            <v>FY95(a)</v>
          </cell>
          <cell r="Z93" t="str">
            <v>1H96(a)</v>
          </cell>
          <cell r="AA93" t="str">
            <v>2H96(a)</v>
          </cell>
          <cell r="AB93" t="str">
            <v>FY96(a)</v>
          </cell>
          <cell r="AC93" t="str">
            <v>1H97(a)</v>
          </cell>
          <cell r="AD93" t="str">
            <v>2H97(a)</v>
          </cell>
          <cell r="AE93" t="str">
            <v>FY97(a)</v>
          </cell>
          <cell r="AF93" t="str">
            <v>1H98(a)</v>
          </cell>
          <cell r="AG93" t="str">
            <v>2H98(a)</v>
          </cell>
          <cell r="AH93" t="str">
            <v>FY98(a)</v>
          </cell>
          <cell r="AI93" t="str">
            <v>1H99(a)</v>
          </cell>
          <cell r="AJ93" t="str">
            <v>2H99(a)</v>
          </cell>
          <cell r="AK93" t="str">
            <v>FY99(a)</v>
          </cell>
          <cell r="AL93" t="str">
            <v>1H00(a)</v>
          </cell>
          <cell r="AM93" t="str">
            <v>2H00(a)</v>
          </cell>
          <cell r="AN93" t="str">
            <v>FY00(a)</v>
          </cell>
          <cell r="AO93" t="str">
            <v>1H01(a)</v>
          </cell>
          <cell r="AP93" t="str">
            <v>2H01(a)</v>
          </cell>
          <cell r="AQ93" t="str">
            <v>FY01(a)</v>
          </cell>
          <cell r="AR93" t="str">
            <v>1H02(a)</v>
          </cell>
          <cell r="AS93" t="str">
            <v>2H02(a)</v>
          </cell>
          <cell r="AT93" t="str">
            <v>FY02(a)</v>
          </cell>
          <cell r="AU93" t="str">
            <v>1H03(e)</v>
          </cell>
          <cell r="AV93" t="str">
            <v>2H03(e)</v>
          </cell>
          <cell r="AW93" t="str">
            <v>FY03(e)</v>
          </cell>
          <cell r="AX93" t="str">
            <v>1H04(e)</v>
          </cell>
          <cell r="AY93" t="str">
            <v>2H04(e)</v>
          </cell>
          <cell r="AZ93" t="str">
            <v>FY04(e)</v>
          </cell>
          <cell r="BA93" t="str">
            <v>1H05(e)</v>
          </cell>
          <cell r="BB93" t="str">
            <v>2H05(e)</v>
          </cell>
          <cell r="BC93" t="str">
            <v>FY05(e)</v>
          </cell>
          <cell r="BD93" t="str">
            <v>1H06(e)</v>
          </cell>
          <cell r="BE93" t="str">
            <v>2H06(e)</v>
          </cell>
          <cell r="BF93" t="str">
            <v>FY06(e)</v>
          </cell>
          <cell r="BG93" t="str">
            <v>1H07(e)</v>
          </cell>
          <cell r="BH93" t="str">
            <v>2H07(e)</v>
          </cell>
          <cell r="BI93" t="str">
            <v>FY07(e)</v>
          </cell>
          <cell r="BJ93" t="str">
            <v>1H08(e)</v>
          </cell>
          <cell r="BK93" t="str">
            <v>2H08(e)</v>
          </cell>
          <cell r="BL93" t="str">
            <v>FY08(e)</v>
          </cell>
          <cell r="BM93" t="str">
            <v>1H09(e)</v>
          </cell>
          <cell r="BN93" t="str">
            <v>2H09(e)</v>
          </cell>
          <cell r="BO93" t="str">
            <v>FY09(e)</v>
          </cell>
          <cell r="BP93" t="str">
            <v>1H10(e)</v>
          </cell>
          <cell r="BQ93" t="str">
            <v>2H10(e)</v>
          </cell>
          <cell r="BR93" t="str">
            <v>FY10(e)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#REF!</v>
          </cell>
          <cell r="S94" t="e">
            <v>#REF!</v>
          </cell>
          <cell r="T94">
            <v>0</v>
          </cell>
          <cell r="U94">
            <v>365.3</v>
          </cell>
          <cell r="V94">
            <v>365.3</v>
          </cell>
          <cell r="W94">
            <v>0</v>
          </cell>
          <cell r="X94">
            <v>406.2</v>
          </cell>
          <cell r="Y94">
            <v>406.2</v>
          </cell>
          <cell r="Z94">
            <v>0</v>
          </cell>
          <cell r="AA94">
            <v>410.8</v>
          </cell>
          <cell r="AB94">
            <v>410.8</v>
          </cell>
          <cell r="AC94">
            <v>260.44799999999998</v>
          </cell>
          <cell r="AD94">
            <v>218.65200000000004</v>
          </cell>
          <cell r="AE94">
            <v>479.1</v>
          </cell>
          <cell r="AF94">
            <v>185.16299999999998</v>
          </cell>
          <cell r="AG94">
            <v>171.93600000000001</v>
          </cell>
          <cell r="AH94">
            <v>357.09899999999999</v>
          </cell>
          <cell r="AI94">
            <v>197.26299999999998</v>
          </cell>
          <cell r="AJ94">
            <v>218.91407020000008</v>
          </cell>
          <cell r="AK94">
            <v>416.17707020000006</v>
          </cell>
          <cell r="AL94">
            <v>357.96327498960011</v>
          </cell>
          <cell r="AM94">
            <v>326.06008853039987</v>
          </cell>
          <cell r="AN94">
            <v>684.02336351999998</v>
          </cell>
          <cell r="AO94">
            <v>354.50900000000001</v>
          </cell>
          <cell r="AP94">
            <v>346.447</v>
          </cell>
          <cell r="AQ94">
            <v>700.95600000000002</v>
          </cell>
          <cell r="AR94">
            <v>407.32</v>
          </cell>
          <cell r="AS94">
            <v>467.83499999999998</v>
          </cell>
          <cell r="AT94">
            <v>875.15499999999997</v>
          </cell>
          <cell r="AU94">
            <v>558.34400000000005</v>
          </cell>
          <cell r="AV94">
            <v>574.15599999999995</v>
          </cell>
          <cell r="AW94">
            <v>1132.5</v>
          </cell>
          <cell r="AX94">
            <v>565.91665559420255</v>
          </cell>
          <cell r="AY94">
            <v>587.22743068655461</v>
          </cell>
          <cell r="AZ94">
            <v>1153.1440862807572</v>
          </cell>
          <cell r="BA94">
            <v>595.6115921536574</v>
          </cell>
          <cell r="BB94">
            <v>617.91994373625573</v>
          </cell>
          <cell r="BC94">
            <v>1213.5315358899131</v>
          </cell>
          <cell r="BD94">
            <v>636.41116997951826</v>
          </cell>
          <cell r="BE94">
            <v>660.22086260076185</v>
          </cell>
          <cell r="BF94">
            <v>1296.6320325802801</v>
          </cell>
          <cell r="BG94">
            <v>679.26083223632656</v>
          </cell>
          <cell r="BH94">
            <v>706.53589650800143</v>
          </cell>
          <cell r="BI94">
            <v>1385.796728744328</v>
          </cell>
          <cell r="BJ94">
            <v>714.4441981871513</v>
          </cell>
          <cell r="BK94">
            <v>745.0207953899768</v>
          </cell>
          <cell r="BL94">
            <v>1459.4649935771281</v>
          </cell>
          <cell r="BM94">
            <v>762.52015286801668</v>
          </cell>
          <cell r="BN94">
            <v>797.09082825312601</v>
          </cell>
          <cell r="BO94">
            <v>1559.6109811211427</v>
          </cell>
          <cell r="BP94">
            <v>811.44791021044273</v>
          </cell>
          <cell r="BQ94">
            <v>850.17130372499776</v>
          </cell>
          <cell r="BR94">
            <v>1661.6192139354405</v>
          </cell>
        </row>
        <row r="95">
          <cell r="B95" t="str">
            <v>Other revenue</v>
          </cell>
          <cell r="D95" t="str">
            <v>$m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8.9269999999999996</v>
          </cell>
          <cell r="AB95">
            <v>8.9269999999999996</v>
          </cell>
          <cell r="AC95">
            <v>65.24799999999999</v>
          </cell>
          <cell r="AD95">
            <v>8.6219999999999999</v>
          </cell>
          <cell r="AE95">
            <v>73.86999999999999</v>
          </cell>
          <cell r="AF95">
            <v>0</v>
          </cell>
          <cell r="AG95">
            <v>11.484000000000002</v>
          </cell>
          <cell r="AH95">
            <v>11.484000000000002</v>
          </cell>
          <cell r="AI95">
            <v>0</v>
          </cell>
          <cell r="AJ95">
            <v>26.256999999999998</v>
          </cell>
          <cell r="AK95">
            <v>26.256999999999998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#REF!</v>
          </cell>
          <cell r="S96" t="e">
            <v>#REF!</v>
          </cell>
          <cell r="T96">
            <v>0</v>
          </cell>
          <cell r="U96">
            <v>365.3</v>
          </cell>
          <cell r="V96">
            <v>365.3</v>
          </cell>
          <cell r="W96">
            <v>0</v>
          </cell>
          <cell r="X96">
            <v>406.2</v>
          </cell>
          <cell r="Y96">
            <v>406.2</v>
          </cell>
          <cell r="Z96">
            <v>0</v>
          </cell>
          <cell r="AA96">
            <v>419.72700000000003</v>
          </cell>
          <cell r="AB96">
            <v>419.72700000000003</v>
          </cell>
          <cell r="AC96">
            <v>325.69599999999997</v>
          </cell>
          <cell r="AD96">
            <v>227.27400000000006</v>
          </cell>
          <cell r="AE96">
            <v>552.97</v>
          </cell>
          <cell r="AF96">
            <v>185.16299999999998</v>
          </cell>
          <cell r="AG96">
            <v>183.42</v>
          </cell>
          <cell r="AH96">
            <v>368.58299999999997</v>
          </cell>
          <cell r="AI96">
            <v>197.26299999999998</v>
          </cell>
          <cell r="AJ96">
            <v>245.17107020000009</v>
          </cell>
          <cell r="AK96">
            <v>442.43407020000006</v>
          </cell>
          <cell r="AL96">
            <v>357.96327498960011</v>
          </cell>
          <cell r="AM96">
            <v>326.06008853039987</v>
          </cell>
          <cell r="AN96">
            <v>684.02336351999998</v>
          </cell>
          <cell r="AO96">
            <v>354.50900000000001</v>
          </cell>
          <cell r="AP96">
            <v>346.447</v>
          </cell>
          <cell r="AQ96">
            <v>700.95600000000002</v>
          </cell>
          <cell r="AR96">
            <v>407.32</v>
          </cell>
          <cell r="AS96">
            <v>467.83499999999998</v>
          </cell>
          <cell r="AT96">
            <v>875.15499999999997</v>
          </cell>
          <cell r="AU96">
            <v>558.34400000000005</v>
          </cell>
          <cell r="AV96">
            <v>574.15599999999995</v>
          </cell>
          <cell r="AW96">
            <v>1132.5</v>
          </cell>
          <cell r="AX96">
            <v>565.91665559420255</v>
          </cell>
          <cell r="AY96">
            <v>587.22743068655461</v>
          </cell>
          <cell r="AZ96">
            <v>1153.1440862807572</v>
          </cell>
          <cell r="BA96">
            <v>595.6115921536574</v>
          </cell>
          <cell r="BB96">
            <v>617.91994373625573</v>
          </cell>
          <cell r="BC96">
            <v>1213.5315358899131</v>
          </cell>
          <cell r="BD96">
            <v>636.41116997951826</v>
          </cell>
          <cell r="BE96">
            <v>660.22086260076185</v>
          </cell>
          <cell r="BF96">
            <v>1296.6320325802801</v>
          </cell>
          <cell r="BG96">
            <v>679.26083223632656</v>
          </cell>
          <cell r="BH96">
            <v>706.53589650800143</v>
          </cell>
          <cell r="BI96">
            <v>1385.796728744328</v>
          </cell>
          <cell r="BJ96">
            <v>714.4441981871513</v>
          </cell>
          <cell r="BK96">
            <v>745.0207953899768</v>
          </cell>
          <cell r="BL96">
            <v>1459.4649935771281</v>
          </cell>
          <cell r="BM96">
            <v>762.52015286801668</v>
          </cell>
          <cell r="BN96">
            <v>797.09082825312601</v>
          </cell>
          <cell r="BO96">
            <v>1559.6109811211427</v>
          </cell>
          <cell r="BP96">
            <v>811.44791021044273</v>
          </cell>
          <cell r="BQ96">
            <v>850.17130372499776</v>
          </cell>
          <cell r="BR96">
            <v>1661.6192139354405</v>
          </cell>
        </row>
        <row r="97">
          <cell r="B97" t="str">
            <v>Interest revenue</v>
          </cell>
          <cell r="D97" t="str">
            <v>$m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2.2719999999999998</v>
          </cell>
          <cell r="AB97">
            <v>2.2719999999999998</v>
          </cell>
          <cell r="AC97">
            <v>1.714</v>
          </cell>
          <cell r="AD97">
            <v>1.0000000000001119E-3</v>
          </cell>
          <cell r="AE97">
            <v>1.7150000000000001</v>
          </cell>
          <cell r="AF97">
            <v>1.085</v>
          </cell>
          <cell r="AG97">
            <v>0.63000000000000012</v>
          </cell>
          <cell r="AH97">
            <v>1.7150000000000001</v>
          </cell>
          <cell r="AI97">
            <v>0.55000000000000004</v>
          </cell>
          <cell r="AJ97">
            <v>0.72399999999999998</v>
          </cell>
          <cell r="AK97">
            <v>1.274</v>
          </cell>
          <cell r="AL97">
            <v>1.39</v>
          </cell>
          <cell r="AM97">
            <v>1.5280000000000002</v>
          </cell>
          <cell r="AN97">
            <v>2.9180000000000001</v>
          </cell>
          <cell r="AO97">
            <v>1.413</v>
          </cell>
          <cell r="AP97">
            <v>8.347999999999999</v>
          </cell>
          <cell r="AQ97">
            <v>9.7609999999999992</v>
          </cell>
          <cell r="AR97">
            <v>4.8920000000000003</v>
          </cell>
          <cell r="AS97">
            <v>1.7649999999999997</v>
          </cell>
          <cell r="AT97">
            <v>6.657</v>
          </cell>
          <cell r="AU97">
            <v>0</v>
          </cell>
          <cell r="AV97">
            <v>2.4180000000000001</v>
          </cell>
          <cell r="AW97">
            <v>2.4180000000000001</v>
          </cell>
          <cell r="AX97">
            <v>0.78420000000000001</v>
          </cell>
          <cell r="AY97">
            <v>0.78420000000000001</v>
          </cell>
          <cell r="AZ97">
            <v>1.5684</v>
          </cell>
          <cell r="BA97">
            <v>0.78420000000000001</v>
          </cell>
          <cell r="BB97">
            <v>0.78420000000000001</v>
          </cell>
          <cell r="BC97">
            <v>1.5684</v>
          </cell>
          <cell r="BD97">
            <v>0.78420000000000001</v>
          </cell>
          <cell r="BE97">
            <v>0.78420000000000001</v>
          </cell>
          <cell r="BF97">
            <v>1.5684</v>
          </cell>
          <cell r="BG97">
            <v>0.78420000000000001</v>
          </cell>
          <cell r="BH97">
            <v>0.78420000000000001</v>
          </cell>
          <cell r="BI97">
            <v>1.5684</v>
          </cell>
          <cell r="BJ97">
            <v>0.78420000000000001</v>
          </cell>
          <cell r="BK97">
            <v>0.78420000000000001</v>
          </cell>
          <cell r="BL97">
            <v>1.5684</v>
          </cell>
          <cell r="BM97">
            <v>0.78420000000000001</v>
          </cell>
          <cell r="BN97">
            <v>0.78420000000000001</v>
          </cell>
          <cell r="BO97">
            <v>1.5684</v>
          </cell>
          <cell r="BP97">
            <v>0.78420000000000001</v>
          </cell>
          <cell r="BQ97">
            <v>0.78420000000000001</v>
          </cell>
          <cell r="BR97">
            <v>1.5684</v>
          </cell>
        </row>
        <row r="98"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#REF!</v>
          </cell>
          <cell r="S99" t="e">
            <v>#REF!</v>
          </cell>
          <cell r="T99">
            <v>0</v>
          </cell>
          <cell r="U99">
            <v>365.3</v>
          </cell>
          <cell r="V99">
            <v>365.3</v>
          </cell>
          <cell r="W99">
            <v>0</v>
          </cell>
          <cell r="X99">
            <v>406.2</v>
          </cell>
          <cell r="Y99">
            <v>406.2</v>
          </cell>
          <cell r="Z99">
            <v>0</v>
          </cell>
          <cell r="AA99">
            <v>421.99900000000002</v>
          </cell>
          <cell r="AB99">
            <v>421.99900000000002</v>
          </cell>
          <cell r="AC99">
            <v>327.40999999999997</v>
          </cell>
          <cell r="AD99">
            <v>227.27500000000009</v>
          </cell>
          <cell r="AE99">
            <v>554.68500000000006</v>
          </cell>
          <cell r="AF99">
            <v>186.24799999999999</v>
          </cell>
          <cell r="AG99">
            <v>184.04999999999995</v>
          </cell>
          <cell r="AH99">
            <v>370.29799999999994</v>
          </cell>
          <cell r="AI99">
            <v>197.81299999999999</v>
          </cell>
          <cell r="AJ99">
            <v>245.89507020000008</v>
          </cell>
          <cell r="AK99">
            <v>443.70807020000007</v>
          </cell>
          <cell r="AL99">
            <v>359.3532749896001</v>
          </cell>
          <cell r="AM99">
            <v>327.58808853039989</v>
          </cell>
          <cell r="AN99">
            <v>686.94136351999998</v>
          </cell>
          <cell r="AO99">
            <v>355.92200000000003</v>
          </cell>
          <cell r="AP99">
            <v>354.79499999999996</v>
          </cell>
          <cell r="AQ99">
            <v>710.71699999999998</v>
          </cell>
          <cell r="AR99">
            <v>412.21199999999999</v>
          </cell>
          <cell r="AS99">
            <v>469.6</v>
          </cell>
          <cell r="AT99">
            <v>881.81200000000001</v>
          </cell>
          <cell r="AU99">
            <v>558.34400000000005</v>
          </cell>
          <cell r="AV99">
            <v>576.57399999999984</v>
          </cell>
          <cell r="AW99">
            <v>1134.9179999999999</v>
          </cell>
          <cell r="AX99">
            <v>566.70085559420261</v>
          </cell>
          <cell r="AY99">
            <v>588.01163068655467</v>
          </cell>
          <cell r="AZ99">
            <v>1154.7124862807573</v>
          </cell>
          <cell r="BA99">
            <v>596.39579215365745</v>
          </cell>
          <cell r="BB99">
            <v>618.70414373625579</v>
          </cell>
          <cell r="BC99">
            <v>1215.0999358899132</v>
          </cell>
          <cell r="BD99">
            <v>637.19536997951832</v>
          </cell>
          <cell r="BE99">
            <v>661.0050626007619</v>
          </cell>
          <cell r="BF99">
            <v>1298.2004325802802</v>
          </cell>
          <cell r="BG99">
            <v>680.04503223632662</v>
          </cell>
          <cell r="BH99">
            <v>707.32009650800148</v>
          </cell>
          <cell r="BI99">
            <v>1387.3651287443281</v>
          </cell>
          <cell r="BJ99">
            <v>715.22839818715136</v>
          </cell>
          <cell r="BK99">
            <v>745.80499538997685</v>
          </cell>
          <cell r="BL99">
            <v>1461.0333935771282</v>
          </cell>
          <cell r="BM99">
            <v>763.30435286801674</v>
          </cell>
          <cell r="BN99">
            <v>797.87502825312606</v>
          </cell>
          <cell r="BO99">
            <v>1561.1793811211428</v>
          </cell>
          <cell r="BP99">
            <v>812.23211021044278</v>
          </cell>
          <cell r="BQ99">
            <v>850.95550372499781</v>
          </cell>
          <cell r="BR99">
            <v>1663.1876139354406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>
            <v>413.81900000000002</v>
          </cell>
          <cell r="AC100" t="e">
            <v>#REF!</v>
          </cell>
          <cell r="AD100" t="e">
            <v>#REF!</v>
          </cell>
          <cell r="AE100">
            <v>463.51300000000003</v>
          </cell>
          <cell r="AF100">
            <v>171.11799999999999</v>
          </cell>
          <cell r="AG100">
            <v>180.35599999999999</v>
          </cell>
          <cell r="AH100">
            <v>351.47399999999999</v>
          </cell>
          <cell r="AI100">
            <v>144.18299999999999</v>
          </cell>
          <cell r="AJ100">
            <v>198.37407020000006</v>
          </cell>
          <cell r="AK100">
            <v>342.55707020000006</v>
          </cell>
          <cell r="AL100">
            <v>245.26327498960012</v>
          </cell>
          <cell r="AM100">
            <v>253.51208853039981</v>
          </cell>
          <cell r="AN100">
            <v>498.77536351999993</v>
          </cell>
          <cell r="AO100">
            <v>270.17600000000004</v>
          </cell>
          <cell r="AP100">
            <v>279.32599999999991</v>
          </cell>
          <cell r="AQ100">
            <v>549.50199999999995</v>
          </cell>
          <cell r="AR100">
            <v>297.06099999999998</v>
          </cell>
          <cell r="AS100">
            <v>497.84399999999999</v>
          </cell>
          <cell r="AT100">
            <v>794.90499999999997</v>
          </cell>
          <cell r="AU100">
            <v>457.34800000000007</v>
          </cell>
          <cell r="AV100">
            <v>474.37199999999996</v>
          </cell>
          <cell r="AW100">
            <v>931.72</v>
          </cell>
          <cell r="AX100">
            <v>418.77332416777597</v>
          </cell>
          <cell r="AY100">
            <v>476.41092190670258</v>
          </cell>
          <cell r="AZ100">
            <v>895.18424607447855</v>
          </cell>
          <cell r="BA100">
            <v>477.92275755709579</v>
          </cell>
          <cell r="BB100">
            <v>494.51511667112675</v>
          </cell>
          <cell r="BC100">
            <v>972.43787422822254</v>
          </cell>
          <cell r="BD100">
            <v>514.26181996056084</v>
          </cell>
          <cell r="BE100">
            <v>524.17481487936493</v>
          </cell>
          <cell r="BF100">
            <v>1038.4366348399258</v>
          </cell>
          <cell r="BG100">
            <v>541.45459105614293</v>
          </cell>
          <cell r="BH100">
            <v>561.84615162942634</v>
          </cell>
          <cell r="BI100">
            <v>1103.3007426855693</v>
          </cell>
          <cell r="BJ100">
            <v>570.824295870117</v>
          </cell>
          <cell r="BK100">
            <v>599.64080981247946</v>
          </cell>
          <cell r="BL100">
            <v>1170.4651056825965</v>
          </cell>
          <cell r="BM100">
            <v>615.40034721938173</v>
          </cell>
          <cell r="BN100">
            <v>649.21190124303553</v>
          </cell>
          <cell r="BO100">
            <v>1264.6122484624173</v>
          </cell>
          <cell r="BP100">
            <v>658.22092570804409</v>
          </cell>
          <cell r="BQ100">
            <v>696.45972899347259</v>
          </cell>
          <cell r="BR100">
            <v>1354.6806547015167</v>
          </cell>
        </row>
        <row r="101"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>
            <v>5.9080000000000013</v>
          </cell>
          <cell r="AC101" t="e">
            <v>#REF!</v>
          </cell>
          <cell r="AD101" t="e">
            <v>#REF!</v>
          </cell>
          <cell r="AE101">
            <v>89.457000000000008</v>
          </cell>
          <cell r="AF101">
            <v>14.044999999999993</v>
          </cell>
          <cell r="AG101">
            <v>3.0640000000000054</v>
          </cell>
          <cell r="AH101">
            <v>17.108999999999998</v>
          </cell>
          <cell r="AI101">
            <v>53.08</v>
          </cell>
          <cell r="AJ101">
            <v>46.797000000000011</v>
          </cell>
          <cell r="AK101">
            <v>99.87700000000001</v>
          </cell>
          <cell r="AL101">
            <v>112.69999999999999</v>
          </cell>
          <cell r="AM101">
            <v>72.54800000000003</v>
          </cell>
          <cell r="AN101">
            <v>185.24800000000002</v>
          </cell>
          <cell r="AO101">
            <v>84.332999999999998</v>
          </cell>
          <cell r="AP101">
            <v>67.121000000000009</v>
          </cell>
          <cell r="AQ101">
            <v>151.45400000000001</v>
          </cell>
          <cell r="AR101">
            <v>110.259</v>
          </cell>
          <cell r="AS101">
            <v>-30.009</v>
          </cell>
          <cell r="AT101">
            <v>80.25</v>
          </cell>
          <cell r="AU101">
            <v>100.99600000000001</v>
          </cell>
          <cell r="AV101">
            <v>99.783999999999963</v>
          </cell>
          <cell r="AW101">
            <v>200.77999999999997</v>
          </cell>
          <cell r="AX101">
            <v>147.14333142642656</v>
          </cell>
          <cell r="AY101">
            <v>110.81650877985206</v>
          </cell>
          <cell r="AZ101">
            <v>257.95984020627861</v>
          </cell>
          <cell r="BA101">
            <v>117.68883459656162</v>
          </cell>
          <cell r="BB101">
            <v>123.40482706512897</v>
          </cell>
          <cell r="BC101">
            <v>241.09366166169059</v>
          </cell>
          <cell r="BD101">
            <v>122.14935001895743</v>
          </cell>
          <cell r="BE101">
            <v>136.04604772139692</v>
          </cell>
          <cell r="BF101">
            <v>258.19539774035434</v>
          </cell>
          <cell r="BG101">
            <v>137.80624118018366</v>
          </cell>
          <cell r="BH101">
            <v>144.68974487857517</v>
          </cell>
          <cell r="BI101">
            <v>282.49598605875883</v>
          </cell>
          <cell r="BJ101">
            <v>143.61990231703427</v>
          </cell>
          <cell r="BK101">
            <v>145.37998557749725</v>
          </cell>
          <cell r="BL101">
            <v>288.99988789453153</v>
          </cell>
          <cell r="BM101">
            <v>147.11980564863489</v>
          </cell>
          <cell r="BN101">
            <v>147.87892701009048</v>
          </cell>
          <cell r="BO101">
            <v>294.99873265872537</v>
          </cell>
          <cell r="BP101">
            <v>153.22698450239861</v>
          </cell>
          <cell r="BQ101">
            <v>153.7115747315253</v>
          </cell>
          <cell r="BR101">
            <v>306.93855923392391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3.4940000000000002</v>
          </cell>
          <cell r="AB102">
            <v>3.4940000000000002</v>
          </cell>
          <cell r="AC102">
            <v>57.015999999999998</v>
          </cell>
          <cell r="AD102">
            <v>-7.4949999999999974</v>
          </cell>
          <cell r="AE102">
            <v>49.521000000000001</v>
          </cell>
          <cell r="AF102">
            <v>-5.6210000000000058</v>
          </cell>
          <cell r="AG102">
            <v>-12.530999999999999</v>
          </cell>
          <cell r="AH102">
            <v>-18.152000000000005</v>
          </cell>
          <cell r="AI102">
            <v>3.3159999999999989</v>
          </cell>
          <cell r="AJ102">
            <v>0.94800000000000217</v>
          </cell>
          <cell r="AK102">
            <v>4.2640000000000011</v>
          </cell>
          <cell r="AL102">
            <v>47.332999999999998</v>
          </cell>
          <cell r="AM102">
            <v>-5.8840000000000003</v>
          </cell>
          <cell r="AN102">
            <v>41.448999999999998</v>
          </cell>
          <cell r="AO102">
            <v>9.8119999999999976</v>
          </cell>
          <cell r="AP102">
            <v>0.50600000000000378</v>
          </cell>
          <cell r="AQ102">
            <v>10.318000000000001</v>
          </cell>
          <cell r="AR102">
            <v>21.914999999999996</v>
          </cell>
          <cell r="AS102">
            <v>-112.809</v>
          </cell>
          <cell r="AT102">
            <v>-90.894000000000005</v>
          </cell>
          <cell r="AU102">
            <v>0</v>
          </cell>
          <cell r="AV102">
            <v>0</v>
          </cell>
          <cell r="AW102">
            <v>0</v>
          </cell>
          <cell r="AX102">
            <v>40.83</v>
          </cell>
          <cell r="AY102">
            <v>0</v>
          </cell>
          <cell r="AZ102">
            <v>40.83</v>
          </cell>
          <cell r="BA102">
            <v>0</v>
          </cell>
          <cell r="BB102">
            <v>0</v>
          </cell>
          <cell r="BC102">
            <v>0</v>
          </cell>
          <cell r="BD102">
            <v>-8.6939999999999955</v>
          </cell>
          <cell r="BE102">
            <v>0</v>
          </cell>
          <cell r="BF102">
            <v>-8.6939999999999955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3.4940000000000002</v>
          </cell>
          <cell r="AB104">
            <v>3.4940000000000002</v>
          </cell>
          <cell r="AC104">
            <v>57.015999999999998</v>
          </cell>
          <cell r="AD104">
            <v>-7.4949999999999974</v>
          </cell>
          <cell r="AE104">
            <v>49.521000000000001</v>
          </cell>
          <cell r="AF104">
            <v>-5.6210000000000058</v>
          </cell>
          <cell r="AG104">
            <v>-12.530999999999999</v>
          </cell>
          <cell r="AH104">
            <v>-18.152000000000005</v>
          </cell>
          <cell r="AI104">
            <v>3.3159999999999989</v>
          </cell>
          <cell r="AJ104">
            <v>0.94800000000000217</v>
          </cell>
          <cell r="AK104">
            <v>4.2640000000000011</v>
          </cell>
          <cell r="AL104">
            <v>47.332999999999998</v>
          </cell>
          <cell r="AM104">
            <v>-5.8840000000000003</v>
          </cell>
          <cell r="AN104">
            <v>41.448999999999998</v>
          </cell>
          <cell r="AO104">
            <v>9.8119999999999976</v>
          </cell>
          <cell r="AP104">
            <v>0.50600000000000378</v>
          </cell>
          <cell r="AQ104">
            <v>10.318000000000001</v>
          </cell>
          <cell r="AR104">
            <v>21.914999999999996</v>
          </cell>
          <cell r="AS104">
            <v>-112.809</v>
          </cell>
          <cell r="AT104">
            <v>-90.894000000000005</v>
          </cell>
          <cell r="AU104">
            <v>0</v>
          </cell>
          <cell r="AV104">
            <v>0</v>
          </cell>
          <cell r="AW104">
            <v>0</v>
          </cell>
          <cell r="AX104">
            <v>40.83</v>
          </cell>
          <cell r="AY104">
            <v>0</v>
          </cell>
          <cell r="AZ104">
            <v>40.83</v>
          </cell>
          <cell r="BA104">
            <v>0</v>
          </cell>
          <cell r="BB104">
            <v>0</v>
          </cell>
          <cell r="BC104">
            <v>0</v>
          </cell>
          <cell r="BD104">
            <v>-8.6939999999999955</v>
          </cell>
          <cell r="BE104">
            <v>0</v>
          </cell>
          <cell r="BF104">
            <v>-8.6939999999999955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11"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>
            <v>2.4140000000000001</v>
          </cell>
          <cell r="AC111" t="e">
            <v>#REF!</v>
          </cell>
          <cell r="AD111" t="e">
            <v>#REF!</v>
          </cell>
          <cell r="AE111">
            <v>39.936</v>
          </cell>
          <cell r="AF111">
            <v>19.666</v>
          </cell>
          <cell r="AG111">
            <v>15.595000000000002</v>
          </cell>
          <cell r="AH111">
            <v>35.261000000000003</v>
          </cell>
          <cell r="AI111">
            <v>49.763999999999996</v>
          </cell>
          <cell r="AJ111">
            <v>45.849000000000004</v>
          </cell>
          <cell r="AK111">
            <v>95.613</v>
          </cell>
          <cell r="AL111">
            <v>65.36699999999999</v>
          </cell>
          <cell r="AM111">
            <v>78.432000000000016</v>
          </cell>
          <cell r="AN111">
            <v>143.79900000000001</v>
          </cell>
          <cell r="AO111">
            <v>74.521000000000001</v>
          </cell>
          <cell r="AP111">
            <v>66.615000000000009</v>
          </cell>
          <cell r="AQ111">
            <v>141.13600000000002</v>
          </cell>
          <cell r="AR111">
            <v>88.343999999999994</v>
          </cell>
          <cell r="AS111">
            <v>82.8</v>
          </cell>
          <cell r="AT111">
            <v>171.14400000000001</v>
          </cell>
          <cell r="AU111">
            <v>100.99600000000001</v>
          </cell>
          <cell r="AV111">
            <v>97.291353178046592</v>
          </cell>
          <cell r="AW111">
            <v>200.77999999999997</v>
          </cell>
          <cell r="AX111">
            <v>106.31333142642657</v>
          </cell>
          <cell r="AY111">
            <v>110.81650877985206</v>
          </cell>
          <cell r="AZ111">
            <v>217.12984020627863</v>
          </cell>
          <cell r="BA111">
            <v>117.68883459656162</v>
          </cell>
          <cell r="BB111">
            <v>123.40482706512896</v>
          </cell>
          <cell r="BC111">
            <v>241.09366166169059</v>
          </cell>
          <cell r="BD111">
            <v>130.84335001895744</v>
          </cell>
          <cell r="BE111">
            <v>139.10325053176487</v>
          </cell>
          <cell r="BF111">
            <v>266.8893977403543</v>
          </cell>
          <cell r="BG111">
            <v>137.80624118018366</v>
          </cell>
          <cell r="BH111">
            <v>144.6897448785752</v>
          </cell>
          <cell r="BI111">
            <v>282.49598605875883</v>
          </cell>
          <cell r="BJ111">
            <v>143.61990231703427</v>
          </cell>
          <cell r="BK111">
            <v>145.37998557749728</v>
          </cell>
          <cell r="BL111">
            <v>288.99988789453153</v>
          </cell>
          <cell r="BM111">
            <v>147.11980564863489</v>
          </cell>
          <cell r="BN111">
            <v>147.87892701009048</v>
          </cell>
          <cell r="BO111">
            <v>294.99873265872537</v>
          </cell>
          <cell r="BP111">
            <v>153.22698450239861</v>
          </cell>
          <cell r="BQ111">
            <v>153.7115747315253</v>
          </cell>
          <cell r="BR111">
            <v>306.93855923392391</v>
          </cell>
        </row>
        <row r="112">
          <cell r="B112" t="str">
            <v>Depreciation</v>
          </cell>
          <cell r="D112" t="str">
            <v>$m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0.4</v>
          </cell>
          <cell r="AB112">
            <v>0.4</v>
          </cell>
          <cell r="AC112">
            <v>15.776999999999999</v>
          </cell>
          <cell r="AD112">
            <v>8.3400000000000016</v>
          </cell>
          <cell r="AE112">
            <v>24.117000000000001</v>
          </cell>
          <cell r="AF112">
            <v>13.782</v>
          </cell>
          <cell r="AG112">
            <v>10.335000000000001</v>
          </cell>
          <cell r="AH112">
            <v>24.117000000000001</v>
          </cell>
          <cell r="AI112">
            <v>16.702999999999999</v>
          </cell>
          <cell r="AJ112">
            <v>14.941000000000006</v>
          </cell>
          <cell r="AK112">
            <v>31.644000000000005</v>
          </cell>
          <cell r="AL112">
            <v>20.265999999999998</v>
          </cell>
          <cell r="AM112">
            <v>18.573</v>
          </cell>
          <cell r="AN112">
            <v>38.838999999999999</v>
          </cell>
          <cell r="AO112">
            <v>21.045000000000002</v>
          </cell>
          <cell r="AP112">
            <v>22.806999999999995</v>
          </cell>
          <cell r="AQ112">
            <v>43.851999999999997</v>
          </cell>
          <cell r="AR112">
            <v>27.116</v>
          </cell>
          <cell r="AS112">
            <v>30.317</v>
          </cell>
          <cell r="AT112">
            <v>57.433</v>
          </cell>
          <cell r="AU112">
            <v>33.423999999999999</v>
          </cell>
          <cell r="AV112">
            <v>33.839999999999996</v>
          </cell>
          <cell r="AW112">
            <v>67.263999999999996</v>
          </cell>
          <cell r="AX112">
            <v>33.344042611369083</v>
          </cell>
          <cell r="AY112">
            <v>35.584778322182082</v>
          </cell>
          <cell r="AZ112">
            <v>68.928820933551165</v>
          </cell>
          <cell r="BA112">
            <v>34.250094537618267</v>
          </cell>
          <cell r="BB112">
            <v>37.430761463041534</v>
          </cell>
          <cell r="BC112">
            <v>71.680856000659801</v>
          </cell>
          <cell r="BD112">
            <v>35.594952974969431</v>
          </cell>
          <cell r="BE112">
            <v>37.708465419533866</v>
          </cell>
          <cell r="BF112">
            <v>73.303418394503296</v>
          </cell>
          <cell r="BG112">
            <v>36.387863193145428</v>
          </cell>
          <cell r="BH112">
            <v>37.508684524473317</v>
          </cell>
          <cell r="BI112">
            <v>73.896547717618745</v>
          </cell>
          <cell r="BJ112">
            <v>36.677712324853708</v>
          </cell>
          <cell r="BK112">
            <v>36.873710544537822</v>
          </cell>
          <cell r="BL112">
            <v>73.55142286939153</v>
          </cell>
          <cell r="BM112">
            <v>36.50905747389443</v>
          </cell>
          <cell r="BN112">
            <v>35.842089381959696</v>
          </cell>
          <cell r="BO112">
            <v>72.351146855854125</v>
          </cell>
          <cell r="BP112">
            <v>35.922509234285009</v>
          </cell>
          <cell r="BQ112">
            <v>34.891812626941721</v>
          </cell>
          <cell r="BR112">
            <v>70.81432186122673</v>
          </cell>
        </row>
        <row r="113">
          <cell r="B113" t="str">
            <v xml:space="preserve">     Amortisation : goodwill</v>
          </cell>
          <cell r="D113" t="str">
            <v>$m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0.17100000000000001</v>
          </cell>
          <cell r="AB113">
            <v>0.17100000000000001</v>
          </cell>
          <cell r="AC113">
            <v>0.28199999999999997</v>
          </cell>
          <cell r="AD113">
            <v>0.27700000000000008</v>
          </cell>
          <cell r="AE113">
            <v>0.55900000000000005</v>
          </cell>
          <cell r="AF113">
            <v>0.28000000000000003</v>
          </cell>
          <cell r="AG113">
            <v>0.27900000000000003</v>
          </cell>
          <cell r="AH113">
            <v>0.55900000000000005</v>
          </cell>
          <cell r="AI113">
            <v>0.28000000000000003</v>
          </cell>
          <cell r="AJ113">
            <v>0.245</v>
          </cell>
          <cell r="AK113">
            <v>0.52500000000000002</v>
          </cell>
          <cell r="AL113">
            <v>1.4470000000000001</v>
          </cell>
          <cell r="AM113">
            <v>2.907</v>
          </cell>
          <cell r="AN113">
            <v>4.3540000000000001</v>
          </cell>
          <cell r="AO113">
            <v>2.734</v>
          </cell>
          <cell r="AP113">
            <v>3.5549999999999997</v>
          </cell>
          <cell r="AQ113">
            <v>6.2889999999999997</v>
          </cell>
          <cell r="AR113">
            <v>3.8119999999999998</v>
          </cell>
          <cell r="AS113">
            <v>4.375</v>
          </cell>
          <cell r="AT113">
            <v>8.1869999999999994</v>
          </cell>
          <cell r="AU113">
            <v>5.1420000000000003</v>
          </cell>
          <cell r="AV113">
            <v>5.5479999999999992</v>
          </cell>
          <cell r="AW113">
            <v>10.69</v>
          </cell>
          <cell r="AX113">
            <v>4.542065</v>
          </cell>
          <cell r="AY113">
            <v>5.7419350000000007</v>
          </cell>
          <cell r="AZ113">
            <v>10.284000000000001</v>
          </cell>
          <cell r="BA113">
            <v>4.542065</v>
          </cell>
          <cell r="BB113">
            <v>5.7419350000000007</v>
          </cell>
          <cell r="BC113">
            <v>10.284000000000001</v>
          </cell>
          <cell r="BD113">
            <v>2.7941000000000003</v>
          </cell>
          <cell r="BE113">
            <v>7.4899000000000004</v>
          </cell>
          <cell r="BF113">
            <v>10.284000000000001</v>
          </cell>
          <cell r="BG113">
            <v>2.7941000000000003</v>
          </cell>
          <cell r="BH113">
            <v>7.0151500000000002</v>
          </cell>
          <cell r="BI113">
            <v>9.8092500000000005</v>
          </cell>
          <cell r="BJ113">
            <v>2.7941000000000003</v>
          </cell>
          <cell r="BK113">
            <v>2.7941000000000003</v>
          </cell>
          <cell r="BL113">
            <v>5.5882000000000005</v>
          </cell>
          <cell r="BM113">
            <v>2.7941000000000003</v>
          </cell>
          <cell r="BN113">
            <v>2.7941000000000003</v>
          </cell>
          <cell r="BO113">
            <v>5.5882000000000005</v>
          </cell>
          <cell r="BP113">
            <v>2.7941000000000003</v>
          </cell>
          <cell r="BQ113">
            <v>2.7941000000000003</v>
          </cell>
          <cell r="BR113">
            <v>5.5882000000000005</v>
          </cell>
        </row>
        <row r="114">
          <cell r="B114" t="str">
            <v xml:space="preserve">     Amortisation : other</v>
          </cell>
          <cell r="D114" t="str">
            <v>$m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 t="str">
            <v>Amortisation</v>
          </cell>
          <cell r="D115" t="str">
            <v>$m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0.17100000000000001</v>
          </cell>
          <cell r="AB115">
            <v>0.17100000000000001</v>
          </cell>
          <cell r="AC115">
            <v>0.28199999999999997</v>
          </cell>
          <cell r="AD115">
            <v>0.27700000000000008</v>
          </cell>
          <cell r="AE115">
            <v>0.55900000000000005</v>
          </cell>
          <cell r="AF115">
            <v>0.28000000000000003</v>
          </cell>
          <cell r="AG115">
            <v>0.27900000000000003</v>
          </cell>
          <cell r="AH115">
            <v>0.55900000000000005</v>
          </cell>
          <cell r="AI115">
            <v>0.28000000000000003</v>
          </cell>
          <cell r="AJ115">
            <v>0.245</v>
          </cell>
          <cell r="AK115">
            <v>0.52500000000000002</v>
          </cell>
          <cell r="AL115">
            <v>1.4470000000000001</v>
          </cell>
          <cell r="AM115">
            <v>2.907</v>
          </cell>
          <cell r="AN115">
            <v>4.3540000000000001</v>
          </cell>
          <cell r="AO115">
            <v>2.734</v>
          </cell>
          <cell r="AP115">
            <v>3.5549999999999997</v>
          </cell>
          <cell r="AQ115">
            <v>6.2889999999999997</v>
          </cell>
          <cell r="AR115">
            <v>3.8119999999999998</v>
          </cell>
          <cell r="AS115">
            <v>4.375</v>
          </cell>
          <cell r="AT115">
            <v>8.1869999999999994</v>
          </cell>
          <cell r="AU115">
            <v>5.1420000000000003</v>
          </cell>
          <cell r="AV115">
            <v>5.5479999999999992</v>
          </cell>
          <cell r="AW115">
            <v>10.69</v>
          </cell>
          <cell r="AX115">
            <v>4.542065</v>
          </cell>
          <cell r="AY115">
            <v>5.7419350000000007</v>
          </cell>
          <cell r="AZ115">
            <v>10.284000000000001</v>
          </cell>
          <cell r="BA115">
            <v>4.542065</v>
          </cell>
          <cell r="BB115">
            <v>5.7419350000000007</v>
          </cell>
          <cell r="BC115">
            <v>10.284000000000001</v>
          </cell>
          <cell r="BD115">
            <v>2.7941000000000003</v>
          </cell>
          <cell r="BE115">
            <v>7.4899000000000004</v>
          </cell>
          <cell r="BF115">
            <v>10.284000000000001</v>
          </cell>
          <cell r="BG115">
            <v>2.7941000000000003</v>
          </cell>
          <cell r="BH115">
            <v>7.0151500000000002</v>
          </cell>
          <cell r="BI115">
            <v>9.8092500000000005</v>
          </cell>
          <cell r="BJ115">
            <v>2.7941000000000003</v>
          </cell>
          <cell r="BK115">
            <v>2.7941000000000003</v>
          </cell>
          <cell r="BL115">
            <v>5.5882000000000005</v>
          </cell>
          <cell r="BM115">
            <v>2.7941000000000003</v>
          </cell>
          <cell r="BN115">
            <v>2.7941000000000003</v>
          </cell>
          <cell r="BO115">
            <v>5.5882000000000005</v>
          </cell>
          <cell r="BP115">
            <v>2.7941000000000003</v>
          </cell>
          <cell r="BQ115">
            <v>2.7941000000000003</v>
          </cell>
          <cell r="BR115">
            <v>5.5882000000000005</v>
          </cell>
        </row>
        <row r="117"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48.107999999999997</v>
          </cell>
          <cell r="AT117">
            <v>105.524</v>
          </cell>
          <cell r="AU117">
            <v>62.430000000000007</v>
          </cell>
          <cell r="AV117">
            <v>57.903353178046586</v>
          </cell>
          <cell r="AW117">
            <v>122.82599999999999</v>
          </cell>
          <cell r="AX117">
            <v>68.427223815057488</v>
          </cell>
          <cell r="AY117">
            <v>69.48979545766997</v>
          </cell>
          <cell r="AZ117">
            <v>137.91701927272746</v>
          </cell>
          <cell r="BA117">
            <v>78.896675058943359</v>
          </cell>
          <cell r="BB117">
            <v>80.232130602087423</v>
          </cell>
          <cell r="BC117">
            <v>159.12880566103078</v>
          </cell>
          <cell r="BD117">
            <v>92.454297043988007</v>
          </cell>
          <cell r="BE117">
            <v>93.904885112231</v>
          </cell>
          <cell r="BF117">
            <v>183.30197934585101</v>
          </cell>
          <cell r="BG117">
            <v>98.624277987038241</v>
          </cell>
          <cell r="BH117">
            <v>100.16591035410188</v>
          </cell>
          <cell r="BI117">
            <v>198.79018834114012</v>
          </cell>
          <cell r="BJ117">
            <v>104.14808999218056</v>
          </cell>
          <cell r="BK117">
            <v>105.71217503295945</v>
          </cell>
          <cell r="BL117">
            <v>209.86026502514002</v>
          </cell>
          <cell r="BM117">
            <v>107.81664817474046</v>
          </cell>
          <cell r="BN117">
            <v>109.24273762813077</v>
          </cell>
          <cell r="BO117">
            <v>217.05938580287125</v>
          </cell>
          <cell r="BP117">
            <v>114.51037526811361</v>
          </cell>
          <cell r="BQ117">
            <v>116.02566210458357</v>
          </cell>
          <cell r="BR117">
            <v>230.53603737269717</v>
          </cell>
        </row>
        <row r="118"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 t="str">
            <v>EBIT</v>
          </cell>
          <cell r="D120" t="str">
            <v>$m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>
            <v>1.8430000000000004</v>
          </cell>
          <cell r="AC120" t="e">
            <v>#REF!</v>
          </cell>
          <cell r="AD120" t="e">
            <v>#REF!</v>
          </cell>
          <cell r="AE120">
            <v>15.260000000000002</v>
          </cell>
          <cell r="AF120">
            <v>5.6039999999999992</v>
          </cell>
          <cell r="AG120">
            <v>4.9810000000000016</v>
          </cell>
          <cell r="AH120">
            <v>10.585000000000001</v>
          </cell>
          <cell r="AI120">
            <v>32.780999999999999</v>
          </cell>
          <cell r="AJ120">
            <v>30.662999999999997</v>
          </cell>
          <cell r="AK120">
            <v>63.443999999999996</v>
          </cell>
          <cell r="AL120">
            <v>43.653999999999996</v>
          </cell>
          <cell r="AM120">
            <v>56.952000000000012</v>
          </cell>
          <cell r="AN120">
            <v>100.60600000000001</v>
          </cell>
          <cell r="AO120">
            <v>50.741999999999997</v>
          </cell>
          <cell r="AP120">
            <v>40.253000000000021</v>
          </cell>
          <cell r="AQ120">
            <v>90.995000000000019</v>
          </cell>
          <cell r="AR120">
            <v>57.416000000000004</v>
          </cell>
          <cell r="AS120">
            <v>48.107999999999997</v>
          </cell>
          <cell r="AT120">
            <v>105.524</v>
          </cell>
          <cell r="AU120">
            <v>62.430000000000007</v>
          </cell>
          <cell r="AV120">
            <v>57.903353178046586</v>
          </cell>
          <cell r="AW120">
            <v>122.82599999999999</v>
          </cell>
          <cell r="AX120">
            <v>68.427223815057488</v>
          </cell>
          <cell r="AY120">
            <v>69.48979545766997</v>
          </cell>
          <cell r="AZ120">
            <v>137.91701927272746</v>
          </cell>
          <cell r="BA120">
            <v>78.896675058943359</v>
          </cell>
          <cell r="BB120">
            <v>80.232130602087423</v>
          </cell>
          <cell r="BC120">
            <v>159.12880566103078</v>
          </cell>
          <cell r="BD120">
            <v>92.454297043988007</v>
          </cell>
          <cell r="BE120">
            <v>93.904885112231</v>
          </cell>
          <cell r="BF120">
            <v>183.30197934585101</v>
          </cell>
          <cell r="BG120">
            <v>98.624277987038241</v>
          </cell>
          <cell r="BH120">
            <v>100.16591035410188</v>
          </cell>
          <cell r="BI120">
            <v>198.79018834114012</v>
          </cell>
          <cell r="BJ120">
            <v>104.14808999218056</v>
          </cell>
          <cell r="BK120">
            <v>105.71217503295945</v>
          </cell>
          <cell r="BL120">
            <v>209.86026502514002</v>
          </cell>
          <cell r="BM120">
            <v>107.81664817474046</v>
          </cell>
          <cell r="BN120">
            <v>109.24273762813077</v>
          </cell>
          <cell r="BO120">
            <v>217.05938580287125</v>
          </cell>
          <cell r="BP120">
            <v>114.51037526811361</v>
          </cell>
          <cell r="BQ120">
            <v>116.02566210458357</v>
          </cell>
          <cell r="BR120">
            <v>230.53603737269717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2.2719999999999998</v>
          </cell>
          <cell r="AB121">
            <v>2.2719999999999998</v>
          </cell>
          <cell r="AC121">
            <v>1.714</v>
          </cell>
          <cell r="AD121">
            <v>1.0000000000001119E-3</v>
          </cell>
          <cell r="AE121">
            <v>1.7150000000000001</v>
          </cell>
          <cell r="AF121">
            <v>1.085</v>
          </cell>
          <cell r="AG121">
            <v>0.63000000000000012</v>
          </cell>
          <cell r="AH121">
            <v>1.7150000000000001</v>
          </cell>
          <cell r="AI121">
            <v>0.55000000000000004</v>
          </cell>
          <cell r="AJ121">
            <v>0.72399999999999998</v>
          </cell>
          <cell r="AK121">
            <v>1.274</v>
          </cell>
          <cell r="AL121">
            <v>1.39</v>
          </cell>
          <cell r="AM121">
            <v>1.5280000000000002</v>
          </cell>
          <cell r="AN121">
            <v>2.9180000000000001</v>
          </cell>
          <cell r="AO121">
            <v>1.413</v>
          </cell>
          <cell r="AP121">
            <v>8.347999999999999</v>
          </cell>
          <cell r="AQ121">
            <v>9.7609999999999992</v>
          </cell>
          <cell r="AR121">
            <v>4.8920000000000003</v>
          </cell>
          <cell r="AS121">
            <v>1.7649999999999997</v>
          </cell>
          <cell r="AT121">
            <v>6.657</v>
          </cell>
          <cell r="AU121">
            <v>1.3240000000000001</v>
          </cell>
          <cell r="AV121">
            <v>1.0940000000000001</v>
          </cell>
          <cell r="AW121">
            <v>2.4180000000000001</v>
          </cell>
          <cell r="AX121">
            <v>0.78420000000000001</v>
          </cell>
          <cell r="AY121">
            <v>0.78420000000000001</v>
          </cell>
          <cell r="AZ121">
            <v>1.5684</v>
          </cell>
          <cell r="BA121">
            <v>0.78420000000000001</v>
          </cell>
          <cell r="BB121">
            <v>0.78420000000000001</v>
          </cell>
          <cell r="BC121">
            <v>1.5684</v>
          </cell>
          <cell r="BD121">
            <v>0.78420000000000001</v>
          </cell>
          <cell r="BE121">
            <v>0.78420000000000001</v>
          </cell>
          <cell r="BF121">
            <v>1.5684</v>
          </cell>
          <cell r="BG121">
            <v>0.78420000000000001</v>
          </cell>
          <cell r="BH121">
            <v>0.78420000000000001</v>
          </cell>
          <cell r="BI121">
            <v>1.5684</v>
          </cell>
          <cell r="BJ121">
            <v>0.78420000000000001</v>
          </cell>
          <cell r="BK121">
            <v>0.78420000000000001</v>
          </cell>
          <cell r="BL121">
            <v>1.5684</v>
          </cell>
          <cell r="BM121">
            <v>0.78420000000000001</v>
          </cell>
          <cell r="BN121">
            <v>0.78420000000000001</v>
          </cell>
          <cell r="BO121">
            <v>1.5684</v>
          </cell>
          <cell r="BP121">
            <v>0.78420000000000001</v>
          </cell>
          <cell r="BQ121">
            <v>0.78420000000000001</v>
          </cell>
          <cell r="BR121">
            <v>1.5684</v>
          </cell>
        </row>
        <row r="122">
          <cell r="B122" t="str">
            <v xml:space="preserve">     Interest on conv. notes</v>
          </cell>
          <cell r="D122" t="str">
            <v>$m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 t="str">
            <v xml:space="preserve">     Interest expense (inc. fin. lse chgs)</v>
          </cell>
          <cell r="D123" t="str">
            <v>$m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1.7999999999999999E-2</v>
          </cell>
          <cell r="AB123">
            <v>1.7999999999999999E-2</v>
          </cell>
          <cell r="AC123">
            <v>7.9710000000000001</v>
          </cell>
          <cell r="AD123">
            <v>10.155000000000001</v>
          </cell>
          <cell r="AE123">
            <v>18.126000000000001</v>
          </cell>
          <cell r="AF123">
            <v>8.3059999999999992</v>
          </cell>
          <cell r="AG123">
            <v>9.8200000000000021</v>
          </cell>
          <cell r="AH123">
            <v>18.126000000000001</v>
          </cell>
          <cell r="AI123">
            <v>9.7140000000000004</v>
          </cell>
          <cell r="AJ123">
            <v>7.8430000000000017</v>
          </cell>
          <cell r="AK123">
            <v>17.557000000000002</v>
          </cell>
          <cell r="AL123">
            <v>10.519</v>
          </cell>
          <cell r="AM123">
            <v>7.7060000000000013</v>
          </cell>
          <cell r="AN123">
            <v>18.225000000000001</v>
          </cell>
          <cell r="AO123">
            <v>5.415</v>
          </cell>
          <cell r="AP123">
            <v>3.0290000000000008</v>
          </cell>
          <cell r="AQ123">
            <v>8.4440000000000008</v>
          </cell>
          <cell r="AR123">
            <v>4.6020000000000003</v>
          </cell>
          <cell r="AS123">
            <v>8.6180000000000003</v>
          </cell>
          <cell r="AT123">
            <v>13.22</v>
          </cell>
          <cell r="AU123">
            <v>10.606999999999999</v>
          </cell>
          <cell r="AV123">
            <v>12.498000000000001</v>
          </cell>
          <cell r="AW123">
            <v>23.105</v>
          </cell>
          <cell r="AX123">
            <v>14.503132223701888</v>
          </cell>
          <cell r="AY123">
            <v>9.5113422829176475</v>
          </cell>
          <cell r="AZ123">
            <v>24.014474506619536</v>
          </cell>
          <cell r="BA123">
            <v>9.8718535415778863</v>
          </cell>
          <cell r="BB123">
            <v>10.329329323074829</v>
          </cell>
          <cell r="BC123">
            <v>20.201182864652715</v>
          </cell>
          <cell r="BD123">
            <v>10.633323022927627</v>
          </cell>
          <cell r="BE123">
            <v>9.8724725974451459</v>
          </cell>
          <cell r="BF123">
            <v>20.505795620372773</v>
          </cell>
          <cell r="BG123">
            <v>9.9521913299463218</v>
          </cell>
          <cell r="BH123">
            <v>8.7417657034306</v>
          </cell>
          <cell r="BI123">
            <v>18.693957033376922</v>
          </cell>
          <cell r="BJ123">
            <v>8.4759152036765801</v>
          </cell>
          <cell r="BK123">
            <v>6.5041552882682208</v>
          </cell>
          <cell r="BL123">
            <v>14.980070491944801</v>
          </cell>
          <cell r="BM123">
            <v>6.1399969524696623</v>
          </cell>
          <cell r="BN123">
            <v>3.9996630530830917</v>
          </cell>
          <cell r="BO123">
            <v>10.139660005552754</v>
          </cell>
          <cell r="BP123" t="e">
            <v>#VALUE!</v>
          </cell>
          <cell r="BQ123" t="e">
            <v>#VALUE!</v>
          </cell>
          <cell r="BR123" t="e">
            <v>#VALUE!</v>
          </cell>
        </row>
        <row r="124">
          <cell r="B124" t="str">
            <v>Net interest expense</v>
          </cell>
          <cell r="D124" t="str">
            <v>$m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-2.254</v>
          </cell>
          <cell r="AB124">
            <v>-2.254</v>
          </cell>
          <cell r="AC124">
            <v>6.2569999999999997</v>
          </cell>
          <cell r="AD124">
            <v>10.154000000000002</v>
          </cell>
          <cell r="AE124">
            <v>16.411000000000001</v>
          </cell>
          <cell r="AF124">
            <v>7.2209999999999992</v>
          </cell>
          <cell r="AG124">
            <v>9.1900000000000013</v>
          </cell>
          <cell r="AH124">
            <v>16.411000000000001</v>
          </cell>
          <cell r="AI124">
            <v>9.1639999999999997</v>
          </cell>
          <cell r="AJ124">
            <v>7.1190000000000015</v>
          </cell>
          <cell r="AK124">
            <v>16.283000000000001</v>
          </cell>
          <cell r="AL124">
            <v>9.1289999999999996</v>
          </cell>
          <cell r="AM124">
            <v>6.1780000000000026</v>
          </cell>
          <cell r="AN124">
            <v>15.307000000000002</v>
          </cell>
          <cell r="AO124">
            <v>4.0019999999999998</v>
          </cell>
          <cell r="AP124">
            <v>-5.3189999999999982</v>
          </cell>
          <cell r="AQ124">
            <v>-1.3169999999999984</v>
          </cell>
          <cell r="AR124">
            <v>-0.29000000000000004</v>
          </cell>
          <cell r="AS124">
            <v>6.8530000000000006</v>
          </cell>
          <cell r="AT124">
            <v>6.5630000000000006</v>
          </cell>
          <cell r="AU124">
            <v>9.2829999999999995</v>
          </cell>
          <cell r="AV124">
            <v>11.404000000000002</v>
          </cell>
          <cell r="AW124">
            <v>20.687000000000001</v>
          </cell>
          <cell r="AX124">
            <v>13.718932223701888</v>
          </cell>
          <cell r="AY124">
            <v>8.7271422829176473</v>
          </cell>
          <cell r="AZ124">
            <v>22.446074506619535</v>
          </cell>
          <cell r="BA124">
            <v>9.0876535415778861</v>
          </cell>
          <cell r="BB124">
            <v>9.5451293230748284</v>
          </cell>
          <cell r="BC124">
            <v>18.632782864652714</v>
          </cell>
          <cell r="BD124">
            <v>9.8491230229276265</v>
          </cell>
          <cell r="BE124">
            <v>9.0882725974451457</v>
          </cell>
          <cell r="BF124">
            <v>18.937395620372772</v>
          </cell>
          <cell r="BG124">
            <v>9.1679913299463216</v>
          </cell>
          <cell r="BH124">
            <v>7.9575657034305998</v>
          </cell>
          <cell r="BI124">
            <v>17.125557033376921</v>
          </cell>
          <cell r="BJ124">
            <v>7.6917152036765799</v>
          </cell>
          <cell r="BK124">
            <v>5.7199552882682205</v>
          </cell>
          <cell r="BL124">
            <v>13.4116704919448</v>
          </cell>
          <cell r="BM124">
            <v>5.355796952469662</v>
          </cell>
          <cell r="BN124">
            <v>3.2154630530830914</v>
          </cell>
          <cell r="BO124">
            <v>8.5712600055527535</v>
          </cell>
          <cell r="BP124" t="e">
            <v>#VALUE!</v>
          </cell>
          <cell r="BQ124" t="e">
            <v>#VALUE!</v>
          </cell>
          <cell r="BR124" t="e">
            <v>#VALUE!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 t="str">
            <v>Pre-tax profit</v>
          </cell>
          <cell r="D126" t="str">
            <v>$m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>
            <v>4.0970000000000004</v>
          </cell>
          <cell r="AC126" t="e">
            <v>#REF!</v>
          </cell>
          <cell r="AD126" t="e">
            <v>#REF!</v>
          </cell>
          <cell r="AE126">
            <v>-1.1509999999999994</v>
          </cell>
          <cell r="AF126">
            <v>-1.6169999999999998</v>
          </cell>
          <cell r="AG126">
            <v>-4.2090000000000005</v>
          </cell>
          <cell r="AH126">
            <v>-5.8260000000000005</v>
          </cell>
          <cell r="AI126">
            <v>23.617000000000001</v>
          </cell>
          <cell r="AJ126">
            <v>23.543999999999993</v>
          </cell>
          <cell r="AK126">
            <v>47.160999999999994</v>
          </cell>
          <cell r="AL126">
            <v>34.524999999999999</v>
          </cell>
          <cell r="AM126">
            <v>50.774000000000008</v>
          </cell>
          <cell r="AN126">
            <v>85.299000000000007</v>
          </cell>
          <cell r="AO126">
            <v>46.739999999999995</v>
          </cell>
          <cell r="AP126">
            <v>45.572000000000017</v>
          </cell>
          <cell r="AQ126">
            <v>92.312000000000012</v>
          </cell>
          <cell r="AR126">
            <v>57.706000000000003</v>
          </cell>
          <cell r="AS126">
            <v>41.254999999999995</v>
          </cell>
          <cell r="AT126">
            <v>98.960999999999999</v>
          </cell>
          <cell r="AU126">
            <v>53.147000000000006</v>
          </cell>
          <cell r="AV126">
            <v>46.499353178046583</v>
          </cell>
          <cell r="AW126">
            <v>102.139</v>
          </cell>
          <cell r="AX126">
            <v>54.708291591355604</v>
          </cell>
          <cell r="AY126">
            <v>60.762653174752323</v>
          </cell>
          <cell r="AZ126">
            <v>115.47094476610792</v>
          </cell>
          <cell r="BA126">
            <v>69.809021517365466</v>
          </cell>
          <cell r="BB126">
            <v>70.687001279012591</v>
          </cell>
          <cell r="BC126">
            <v>140.49602279637807</v>
          </cell>
          <cell r="BD126">
            <v>82.605174021060378</v>
          </cell>
          <cell r="BE126">
            <v>84.816612514785859</v>
          </cell>
          <cell r="BF126">
            <v>164.36458372547824</v>
          </cell>
          <cell r="BG126">
            <v>89.456286657091923</v>
          </cell>
          <cell r="BH126">
            <v>92.208344650671279</v>
          </cell>
          <cell r="BI126">
            <v>181.66463130776322</v>
          </cell>
          <cell r="BJ126">
            <v>96.456374788503979</v>
          </cell>
          <cell r="BK126">
            <v>99.992219744691226</v>
          </cell>
          <cell r="BL126">
            <v>196.44859453319523</v>
          </cell>
          <cell r="BM126">
            <v>102.4608512222708</v>
          </cell>
          <cell r="BN126">
            <v>106.02727457504767</v>
          </cell>
          <cell r="BO126">
            <v>208.4881257973185</v>
          </cell>
          <cell r="BP126" t="e">
            <v>#VALUE!</v>
          </cell>
          <cell r="BQ126" t="e">
            <v>#VALUE!</v>
          </cell>
          <cell r="BR126" t="e">
            <v>#VALUE!</v>
          </cell>
        </row>
        <row r="127"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 t="str">
            <v>`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0.68899999999999995</v>
          </cell>
          <cell r="AD129">
            <v>-2.2509999999999994</v>
          </cell>
          <cell r="AE129">
            <v>-1.5619999999999994</v>
          </cell>
          <cell r="AF129">
            <v>-0.5259999999999998</v>
          </cell>
          <cell r="AG129">
            <v>-0.65500000000000025</v>
          </cell>
          <cell r="AH129">
            <v>-1.181</v>
          </cell>
          <cell r="AI129">
            <v>5.4160000000000004</v>
          </cell>
          <cell r="AJ129">
            <v>6.202</v>
          </cell>
          <cell r="AK129">
            <v>11.618</v>
          </cell>
          <cell r="AL129">
            <v>8.7720000000000002</v>
          </cell>
          <cell r="AM129">
            <v>12.145999999999999</v>
          </cell>
          <cell r="AN129">
            <v>20.917999999999999</v>
          </cell>
          <cell r="AO129">
            <v>12.391</v>
          </cell>
          <cell r="AP129">
            <v>13.334999999999999</v>
          </cell>
          <cell r="AQ129">
            <v>25.725999999999999</v>
          </cell>
          <cell r="AR129">
            <v>16.739999999999998</v>
          </cell>
          <cell r="AS129">
            <v>13.974</v>
          </cell>
          <cell r="AT129">
            <v>30.713999999999999</v>
          </cell>
          <cell r="AU129">
            <v>18.12</v>
          </cell>
          <cell r="AV129">
            <v>15.468</v>
          </cell>
          <cell r="AW129">
            <v>33.588000000000001</v>
          </cell>
          <cell r="AX129">
            <v>17.912487477406682</v>
          </cell>
          <cell r="AY129">
            <v>19.728795952425696</v>
          </cell>
          <cell r="AZ129">
            <v>37.641283429832377</v>
          </cell>
          <cell r="BA129">
            <v>22.442706455209638</v>
          </cell>
          <cell r="BB129">
            <v>22.706100383703784</v>
          </cell>
          <cell r="BC129">
            <v>45.148806838913423</v>
          </cell>
          <cell r="BD129">
            <v>26.281552206318114</v>
          </cell>
          <cell r="BE129">
            <v>26.027822911325355</v>
          </cell>
          <cell r="BF129">
            <v>52.309375117643469</v>
          </cell>
          <cell r="BG129">
            <v>28.336885997127577</v>
          </cell>
          <cell r="BH129">
            <v>29.162503395201387</v>
          </cell>
          <cell r="BI129">
            <v>57.499389392328965</v>
          </cell>
          <cell r="BJ129">
            <v>30.436912436551193</v>
          </cell>
          <cell r="BK129">
            <v>31.497665923407371</v>
          </cell>
          <cell r="BL129">
            <v>61.934578359958564</v>
          </cell>
          <cell r="BM129">
            <v>32.238255366681237</v>
          </cell>
          <cell r="BN129">
            <v>33.308182372514317</v>
          </cell>
          <cell r="BO129">
            <v>65.546437739195554</v>
          </cell>
          <cell r="BP129" t="e">
            <v>#VALUE!</v>
          </cell>
          <cell r="BQ129" t="e">
            <v>#VALUE!</v>
          </cell>
          <cell r="BR129" t="e">
            <v>#VALUE!</v>
          </cell>
        </row>
        <row r="130">
          <cell r="B130" t="str">
            <v>Outside equity interests</v>
          </cell>
          <cell r="D130" t="str">
            <v>$m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0.183</v>
          </cell>
          <cell r="AE130">
            <v>0.183</v>
          </cell>
          <cell r="AF130">
            <v>2.1999999999999999E-2</v>
          </cell>
          <cell r="AG130">
            <v>5.3999999999999999E-2</v>
          </cell>
          <cell r="AH130">
            <v>7.5999999999999998E-2</v>
          </cell>
          <cell r="AI130">
            <v>4.7E-2</v>
          </cell>
          <cell r="AJ130">
            <v>0.12499999999999999</v>
          </cell>
          <cell r="AK130">
            <v>0.17199999999999999</v>
          </cell>
          <cell r="AL130">
            <v>0.10100000000000001</v>
          </cell>
          <cell r="AM130">
            <v>-1.0000000000000009E-3</v>
          </cell>
          <cell r="AN130">
            <v>0.1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0.52100000000000002</v>
          </cell>
          <cell r="AW130">
            <v>0.52100000000000002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 t="str">
            <v>Pref. divs declared</v>
          </cell>
          <cell r="D131" t="str">
            <v>$m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1.1100000000000001</v>
          </cell>
          <cell r="AM131">
            <v>5.4079999999999995</v>
          </cell>
          <cell r="AN131">
            <v>6.5179999999999998</v>
          </cell>
          <cell r="AO131">
            <v>4.28758281</v>
          </cell>
          <cell r="AP131">
            <v>4.28758281</v>
          </cell>
          <cell r="AQ131">
            <v>8.5751656199999999</v>
          </cell>
          <cell r="AR131">
            <v>4.28758281</v>
          </cell>
          <cell r="AS131">
            <v>4.28758281</v>
          </cell>
          <cell r="AT131">
            <v>8.5751656199999999</v>
          </cell>
          <cell r="AU131">
            <v>6.141</v>
          </cell>
          <cell r="AV131">
            <v>6.0730000000000004</v>
          </cell>
          <cell r="AW131">
            <v>12.214</v>
          </cell>
          <cell r="AX131">
            <v>4.28758281</v>
          </cell>
          <cell r="AY131">
            <v>4.28758281</v>
          </cell>
          <cell r="AZ131">
            <v>8.5751656199999999</v>
          </cell>
          <cell r="BA131">
            <v>4.28758281</v>
          </cell>
          <cell r="BB131">
            <v>4.28758281</v>
          </cell>
          <cell r="BC131">
            <v>8.5751656199999999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 t="str">
            <v>Equity profit from assoc. (after tax)</v>
          </cell>
          <cell r="D132" t="str">
            <v>$m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4.9000000000000004</v>
          </cell>
          <cell r="AB132">
            <v>4.9000000000000004</v>
          </cell>
          <cell r="AC132">
            <v>0</v>
          </cell>
          <cell r="AD132">
            <v>0</v>
          </cell>
          <cell r="AE132">
            <v>0</v>
          </cell>
          <cell r="AF132">
            <v>1.3260000000000001</v>
          </cell>
          <cell r="AG132">
            <v>-0.59600000000000009</v>
          </cell>
          <cell r="AH132">
            <v>0.73</v>
          </cell>
          <cell r="AI132">
            <v>0.18500000000000003</v>
          </cell>
          <cell r="AJ132">
            <v>-0.18500000000000003</v>
          </cell>
          <cell r="AK132">
            <v>0</v>
          </cell>
          <cell r="AL132">
            <v>0</v>
          </cell>
          <cell r="AM132">
            <v>1.532</v>
          </cell>
          <cell r="AN132">
            <v>1.532</v>
          </cell>
          <cell r="AO132">
            <v>1.0609999999999999</v>
          </cell>
          <cell r="AP132">
            <v>2.1579999999999999</v>
          </cell>
          <cell r="AQ132">
            <v>3.2189999999999999</v>
          </cell>
          <cell r="AR132">
            <v>5.298</v>
          </cell>
          <cell r="AS132">
            <v>36.22</v>
          </cell>
          <cell r="AT132">
            <v>41.518000000000001</v>
          </cell>
          <cell r="AU132">
            <v>41.356999999999999</v>
          </cell>
          <cell r="AV132">
            <v>42.412999999999997</v>
          </cell>
          <cell r="AW132">
            <v>83.77</v>
          </cell>
          <cell r="AX132">
            <v>59.5570718847313</v>
          </cell>
          <cell r="AY132">
            <v>73.696652476325028</v>
          </cell>
          <cell r="AZ132">
            <v>133.25372436105633</v>
          </cell>
          <cell r="BA132">
            <v>72.138797054953756</v>
          </cell>
          <cell r="BB132">
            <v>75.118886718165044</v>
          </cell>
          <cell r="BC132">
            <v>147.2576837731188</v>
          </cell>
          <cell r="BD132">
            <v>76.638285410012827</v>
          </cell>
          <cell r="BE132">
            <v>91.03833993136567</v>
          </cell>
          <cell r="BF132">
            <v>167.6766253413785</v>
          </cell>
          <cell r="BG132">
            <v>83.79853916914621</v>
          </cell>
          <cell r="BH132">
            <v>100.68542657861914</v>
          </cell>
          <cell r="BI132">
            <v>184.48396574776535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 t="str">
            <v>NPAT (pre abn's)</v>
          </cell>
          <cell r="D133" t="str">
            <v>$m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>
            <v>8.9969999999999999</v>
          </cell>
          <cell r="AC133" t="e">
            <v>#REF!</v>
          </cell>
          <cell r="AD133" t="e">
            <v>#REF!</v>
          </cell>
          <cell r="AE133">
            <v>0.22800000000000004</v>
          </cell>
          <cell r="AF133">
            <v>0.21300000000000008</v>
          </cell>
          <cell r="AG133">
            <v>-4.2040000000000006</v>
          </cell>
          <cell r="AH133">
            <v>-3.9910000000000001</v>
          </cell>
          <cell r="AI133">
            <v>18.338999999999999</v>
          </cell>
          <cell r="AJ133">
            <v>17.031999999999993</v>
          </cell>
          <cell r="AK133">
            <v>35.370999999999995</v>
          </cell>
          <cell r="AL133">
            <v>24.542000000000002</v>
          </cell>
          <cell r="AM133">
            <v>34.753</v>
          </cell>
          <cell r="AN133">
            <v>59.295000000000002</v>
          </cell>
          <cell r="AO133">
            <v>35.409999999999997</v>
          </cell>
          <cell r="AP133">
            <v>34.395000000000017</v>
          </cell>
          <cell r="AQ133">
            <v>69.805000000000007</v>
          </cell>
          <cell r="AR133">
            <v>46.26400000000001</v>
          </cell>
          <cell r="AS133">
            <v>63.500999999999991</v>
          </cell>
          <cell r="AT133">
            <v>109.765</v>
          </cell>
          <cell r="AU133">
            <v>76.384</v>
          </cell>
          <cell r="AV133">
            <v>72.923353178046582</v>
          </cell>
          <cell r="AW133">
            <v>151.79999999999998</v>
          </cell>
          <cell r="AX133">
            <v>96.352875998680219</v>
          </cell>
          <cell r="AY133">
            <v>114.73050969865166</v>
          </cell>
          <cell r="AZ133">
            <v>211.08338569733186</v>
          </cell>
          <cell r="BA133">
            <v>119.50511211710958</v>
          </cell>
          <cell r="BB133">
            <v>123.09978761347385</v>
          </cell>
          <cell r="BC133">
            <v>242.60489973058344</v>
          </cell>
          <cell r="BD133">
            <v>132.96190722475509</v>
          </cell>
          <cell r="BE133">
            <v>149.82712953482616</v>
          </cell>
          <cell r="BF133">
            <v>279.7318339492133</v>
          </cell>
          <cell r="BG133">
            <v>144.91793982911054</v>
          </cell>
          <cell r="BH133">
            <v>163.73126783408904</v>
          </cell>
          <cell r="BI133">
            <v>308.6492076631996</v>
          </cell>
          <cell r="BJ133">
            <v>66.019462351952782</v>
          </cell>
          <cell r="BK133">
            <v>68.494553821283858</v>
          </cell>
          <cell r="BL133">
            <v>134.51401617323666</v>
          </cell>
          <cell r="BM133">
            <v>70.22259585558956</v>
          </cell>
          <cell r="BN133">
            <v>72.719092202533346</v>
          </cell>
          <cell r="BO133">
            <v>142.94168805812296</v>
          </cell>
          <cell r="BP133" t="e">
            <v>#VALUE!</v>
          </cell>
          <cell r="BQ133" t="e">
            <v>#VALUE!</v>
          </cell>
          <cell r="BR133" t="e">
            <v>#VALUE!</v>
          </cell>
        </row>
        <row r="134">
          <cell r="B134" t="str">
            <v>BT Alex. Brown analytical adjust's</v>
          </cell>
          <cell r="D134" t="str">
            <v>$m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1.1100000000000001</v>
          </cell>
          <cell r="AM134">
            <v>5.4079999999999995</v>
          </cell>
          <cell r="AN134">
            <v>6.5179999999999998</v>
          </cell>
          <cell r="AO134">
            <v>4.28758281</v>
          </cell>
          <cell r="AP134">
            <v>4.28758281</v>
          </cell>
          <cell r="AQ134">
            <v>8.5751656199999999</v>
          </cell>
        </row>
        <row r="135">
          <cell r="B135" t="str">
            <v>Adjusted NPAT</v>
          </cell>
          <cell r="D135" t="str">
            <v>$m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>
            <v>9.1679999999999993</v>
          </cell>
          <cell r="AC135" t="e">
            <v>#REF!</v>
          </cell>
          <cell r="AD135" t="e">
            <v>#REF!</v>
          </cell>
          <cell r="AE135">
            <v>0.78700000000000014</v>
          </cell>
          <cell r="AF135">
            <v>0.4930000000000001</v>
          </cell>
          <cell r="AG135">
            <v>-3.9250000000000007</v>
          </cell>
          <cell r="AH135">
            <v>-3.4319999999999999</v>
          </cell>
          <cell r="AI135">
            <v>18.619</v>
          </cell>
          <cell r="AJ135">
            <v>17.276999999999994</v>
          </cell>
          <cell r="AK135">
            <v>35.895999999999994</v>
          </cell>
          <cell r="AL135">
            <v>27.099</v>
          </cell>
          <cell r="AM135">
            <v>43.067999999999998</v>
          </cell>
          <cell r="AN135">
            <v>70.167000000000002</v>
          </cell>
          <cell r="AO135">
            <v>42.431582810000002</v>
          </cell>
          <cell r="AP135">
            <v>42.237582810000013</v>
          </cell>
          <cell r="AQ135">
            <v>84.669165620000015</v>
          </cell>
          <cell r="AR135">
            <v>50.076000000000008</v>
          </cell>
          <cell r="AS135">
            <v>67.875999999999991</v>
          </cell>
          <cell r="AT135">
            <v>117.952</v>
          </cell>
          <cell r="AU135">
            <v>81.525999999999996</v>
          </cell>
          <cell r="AV135">
            <v>78.471353178046584</v>
          </cell>
          <cell r="AW135">
            <v>162.48999999999998</v>
          </cell>
          <cell r="AX135">
            <v>100.89494099868021</v>
          </cell>
          <cell r="AY135">
            <v>120.47244469865166</v>
          </cell>
          <cell r="AZ135">
            <v>221.36738569733185</v>
          </cell>
          <cell r="BA135">
            <v>124.04717711710957</v>
          </cell>
          <cell r="BB135">
            <v>128.84172261347385</v>
          </cell>
          <cell r="BC135">
            <v>252.88889973058343</v>
          </cell>
          <cell r="BD135">
            <v>135.75600722475508</v>
          </cell>
          <cell r="BE135">
            <v>157.31702953482616</v>
          </cell>
          <cell r="BF135">
            <v>290.01583394921329</v>
          </cell>
          <cell r="BG135">
            <v>147.71203982911055</v>
          </cell>
          <cell r="BH135">
            <v>170.74641783408904</v>
          </cell>
          <cell r="BI135">
            <v>318.45845766319962</v>
          </cell>
          <cell r="BJ135">
            <v>68.813562351952783</v>
          </cell>
          <cell r="BK135">
            <v>71.288653821283859</v>
          </cell>
          <cell r="BL135">
            <v>140.10221617323666</v>
          </cell>
          <cell r="BM135">
            <v>73.01669585558956</v>
          </cell>
          <cell r="BN135">
            <v>75.513192202533347</v>
          </cell>
          <cell r="BO135">
            <v>148.52988805812296</v>
          </cell>
          <cell r="BP135" t="e">
            <v>#VALUE!</v>
          </cell>
          <cell r="BQ135" t="e">
            <v>#VALUE!</v>
          </cell>
          <cell r="BR135" t="e">
            <v>#VALUE!</v>
          </cell>
        </row>
        <row r="136">
          <cell r="B136" t="str">
            <v xml:space="preserve">     Abnormals</v>
          </cell>
          <cell r="D136" t="str">
            <v>$m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0.55700000000000005</v>
          </cell>
          <cell r="AB136">
            <v>0.55700000000000005</v>
          </cell>
          <cell r="AC136">
            <v>1.141</v>
          </cell>
          <cell r="AD136">
            <v>-0.3610000000000001</v>
          </cell>
          <cell r="AE136">
            <v>0.77999999999999992</v>
          </cell>
          <cell r="AF136">
            <v>0</v>
          </cell>
          <cell r="AG136">
            <v>-58.649000000000001</v>
          </cell>
          <cell r="AH136">
            <v>-58.649000000000001</v>
          </cell>
          <cell r="AI136">
            <v>0</v>
          </cell>
          <cell r="AJ136">
            <v>0.61899999999999977</v>
          </cell>
          <cell r="AK136">
            <v>0.61899999999999977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10.413</v>
          </cell>
          <cell r="AS136">
            <v>0</v>
          </cell>
          <cell r="AT136">
            <v>10.413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 t="str">
            <v xml:space="preserve">     Tax on abnormals</v>
          </cell>
          <cell r="D137" t="str">
            <v>$m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-24.989000000000001</v>
          </cell>
          <cell r="AG137">
            <v>24.989000000000001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-3.0830000000000002</v>
          </cell>
          <cell r="AS137">
            <v>0</v>
          </cell>
          <cell r="AT137">
            <v>-3.0830000000000002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 t="str">
            <v>Abnormals (net of tax)</v>
          </cell>
          <cell r="D138" t="str">
            <v>$m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0.55700000000000005</v>
          </cell>
          <cell r="AB138">
            <v>0.55700000000000005</v>
          </cell>
          <cell r="AC138">
            <v>1.141</v>
          </cell>
          <cell r="AD138">
            <v>-0.3610000000000001</v>
          </cell>
          <cell r="AE138">
            <v>0.77999999999999992</v>
          </cell>
          <cell r="AF138">
            <v>-24.989000000000001</v>
          </cell>
          <cell r="AG138">
            <v>-33.659999999999997</v>
          </cell>
          <cell r="AH138">
            <v>-58.649000000000001</v>
          </cell>
          <cell r="AI138">
            <v>0</v>
          </cell>
          <cell r="AJ138">
            <v>0.61899999999999977</v>
          </cell>
          <cell r="AK138">
            <v>0.61899999999999977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7.33</v>
          </cell>
          <cell r="AS138">
            <v>0</v>
          </cell>
          <cell r="AT138">
            <v>7.33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 t="str">
            <v>Reported NPAT and Abn's</v>
          </cell>
          <cell r="D139" t="str">
            <v>$m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>
            <v>9.5540000000000003</v>
          </cell>
          <cell r="AC139" t="e">
            <v>#REF!</v>
          </cell>
          <cell r="AD139" t="e">
            <v>#REF!</v>
          </cell>
          <cell r="AE139">
            <v>1.008</v>
          </cell>
          <cell r="AF139">
            <v>-24.776</v>
          </cell>
          <cell r="AG139">
            <v>-37.864000000000004</v>
          </cell>
          <cell r="AH139">
            <v>-62.64</v>
          </cell>
          <cell r="AI139">
            <v>18.338999999999999</v>
          </cell>
          <cell r="AJ139">
            <v>17.650999999999996</v>
          </cell>
          <cell r="AK139">
            <v>35.989999999999995</v>
          </cell>
          <cell r="AL139">
            <v>24.542000000000002</v>
          </cell>
          <cell r="AM139">
            <v>34.753</v>
          </cell>
          <cell r="AN139">
            <v>59.295000000000002</v>
          </cell>
          <cell r="AO139">
            <v>35.409999999999997</v>
          </cell>
          <cell r="AP139">
            <v>34.39500000000001</v>
          </cell>
          <cell r="AQ139">
            <v>69.805000000000007</v>
          </cell>
          <cell r="AR139">
            <v>57.406000000000006</v>
          </cell>
          <cell r="AS139">
            <v>53.215999999999994</v>
          </cell>
          <cell r="AT139">
            <v>110.622</v>
          </cell>
          <cell r="AU139">
            <v>81.525999999999996</v>
          </cell>
          <cell r="AV139">
            <v>78.471353178046584</v>
          </cell>
          <cell r="AW139">
            <v>162.48999999999998</v>
          </cell>
          <cell r="AX139">
            <v>100.89494099868021</v>
          </cell>
          <cell r="AY139">
            <v>120.47244469865166</v>
          </cell>
          <cell r="AZ139">
            <v>221.36738569733185</v>
          </cell>
          <cell r="BA139">
            <v>124.04717711710957</v>
          </cell>
          <cell r="BB139">
            <v>128.84172261347385</v>
          </cell>
          <cell r="BC139">
            <v>252.88889973058343</v>
          </cell>
          <cell r="BD139">
            <v>135.75600722475508</v>
          </cell>
          <cell r="BE139">
            <v>157.31702953482616</v>
          </cell>
          <cell r="BF139">
            <v>290.01583394921329</v>
          </cell>
          <cell r="BG139">
            <v>147.71203982911055</v>
          </cell>
          <cell r="BH139">
            <v>170.74641783408904</v>
          </cell>
          <cell r="BI139">
            <v>318.45845766319962</v>
          </cell>
          <cell r="BJ139">
            <v>68.813562351952783</v>
          </cell>
          <cell r="BK139">
            <v>71.288653821283859</v>
          </cell>
          <cell r="BL139">
            <v>140.10221617323666</v>
          </cell>
          <cell r="BM139">
            <v>73.01669585558956</v>
          </cell>
          <cell r="BN139">
            <v>75.513192202533347</v>
          </cell>
          <cell r="BO139">
            <v>148.52988805812296</v>
          </cell>
          <cell r="BP139" t="e">
            <v>#VALUE!</v>
          </cell>
          <cell r="BQ139" t="e">
            <v>#VALUE!</v>
          </cell>
          <cell r="BR139" t="e">
            <v>#VALUE!</v>
          </cell>
          <cell r="BS139">
            <v>0</v>
          </cell>
        </row>
        <row r="140">
          <cell r="B140" t="str">
            <v xml:space="preserve">     Extraordinaries</v>
          </cell>
          <cell r="D140" t="str">
            <v>$m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 t="str">
            <v xml:space="preserve">     Tax on extraordinaries</v>
          </cell>
          <cell r="D141" t="str">
            <v>$m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 t="str">
            <v>Extraordinaries (net of tax)</v>
          </cell>
          <cell r="D142" t="str">
            <v>$m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 t="str">
            <v>Reported NPAT, Abn's and Extra's</v>
          </cell>
          <cell r="D143" t="str">
            <v>$m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>
            <v>9.5540000000000003</v>
          </cell>
          <cell r="AC143" t="e">
            <v>#REF!</v>
          </cell>
          <cell r="AD143" t="e">
            <v>#REF!</v>
          </cell>
          <cell r="AE143">
            <v>1.008</v>
          </cell>
          <cell r="AF143">
            <v>-24.776</v>
          </cell>
          <cell r="AG143">
            <v>-37.864000000000004</v>
          </cell>
          <cell r="AH143">
            <v>-62.64</v>
          </cell>
          <cell r="AI143">
            <v>18.338999999999999</v>
          </cell>
          <cell r="AJ143">
            <v>17.650999999999996</v>
          </cell>
          <cell r="AK143">
            <v>35.989999999999995</v>
          </cell>
          <cell r="AL143">
            <v>24.542000000000002</v>
          </cell>
          <cell r="AM143">
            <v>34.753</v>
          </cell>
          <cell r="AN143">
            <v>59.295000000000002</v>
          </cell>
          <cell r="AO143">
            <v>35.409999999999997</v>
          </cell>
          <cell r="AP143">
            <v>34.395000000000017</v>
          </cell>
          <cell r="AQ143">
            <v>69.805000000000007</v>
          </cell>
          <cell r="AR143">
            <v>38.934000000000012</v>
          </cell>
          <cell r="AS143">
            <v>63.500999999999991</v>
          </cell>
          <cell r="AT143">
            <v>102.435</v>
          </cell>
          <cell r="AU143">
            <v>76.384</v>
          </cell>
          <cell r="AV143">
            <v>72.923353178046582</v>
          </cell>
          <cell r="AW143">
            <v>151.79999999999998</v>
          </cell>
          <cell r="AX143">
            <v>96.352875998680219</v>
          </cell>
          <cell r="AY143">
            <v>114.73050969865166</v>
          </cell>
          <cell r="AZ143">
            <v>211.08338569733186</v>
          </cell>
          <cell r="BA143">
            <v>119.50511211710958</v>
          </cell>
          <cell r="BB143">
            <v>123.09978761347385</v>
          </cell>
          <cell r="BC143">
            <v>242.60489973058344</v>
          </cell>
          <cell r="BD143">
            <v>132.96190722475509</v>
          </cell>
          <cell r="BE143">
            <v>149.82712953482616</v>
          </cell>
          <cell r="BF143">
            <v>279.7318339492133</v>
          </cell>
          <cell r="BG143">
            <v>144.91793982911054</v>
          </cell>
          <cell r="BH143">
            <v>163.73126783408904</v>
          </cell>
          <cell r="BI143">
            <v>308.6492076631996</v>
          </cell>
          <cell r="BJ143">
            <v>66.019462351952782</v>
          </cell>
          <cell r="BK143">
            <v>68.494553821283858</v>
          </cell>
          <cell r="BL143">
            <v>134.51401617323666</v>
          </cell>
          <cell r="BM143">
            <v>70.22259585558956</v>
          </cell>
          <cell r="BN143">
            <v>72.719092202533346</v>
          </cell>
          <cell r="BO143">
            <v>142.94168805812296</v>
          </cell>
          <cell r="BP143" t="e">
            <v>#VALUE!</v>
          </cell>
          <cell r="BQ143" t="e">
            <v>#VALUE!</v>
          </cell>
          <cell r="BR143" t="e">
            <v>#VALUE!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 t="e">
            <v>#REF!</v>
          </cell>
          <cell r="P145">
            <v>0</v>
          </cell>
          <cell r="Q145">
            <v>15.619</v>
          </cell>
          <cell r="R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>
            <v>1</v>
          </cell>
          <cell r="AA145">
            <v>1</v>
          </cell>
          <cell r="AB145">
            <v>1</v>
          </cell>
          <cell r="AC145">
            <v>10.554</v>
          </cell>
          <cell r="AD145" t="e">
            <v>#REF!</v>
          </cell>
          <cell r="AE145">
            <v>10.554</v>
          </cell>
          <cell r="AF145">
            <v>4.9425229200000009</v>
          </cell>
          <cell r="AG145">
            <v>-19.833477079999998</v>
          </cell>
          <cell r="AH145">
            <v>4.9425229200000009</v>
          </cell>
          <cell r="AI145">
            <v>-57.697477079999999</v>
          </cell>
          <cell r="AJ145">
            <v>-39.35847708</v>
          </cell>
          <cell r="AK145">
            <v>-57.697477079999999</v>
          </cell>
          <cell r="AL145">
            <v>-21.707477080000004</v>
          </cell>
          <cell r="AM145">
            <v>-4.5141842000000025</v>
          </cell>
          <cell r="AN145">
            <v>-21.707477080000004</v>
          </cell>
          <cell r="AO145">
            <v>20.323774739999994</v>
          </cell>
          <cell r="AP145">
            <v>42.825922099999985</v>
          </cell>
          <cell r="AQ145">
            <v>20.323774739999994</v>
          </cell>
          <cell r="AR145">
            <v>62.647633329999991</v>
          </cell>
          <cell r="AS145">
            <v>85.462323910000009</v>
          </cell>
          <cell r="AT145">
            <v>62.647633329999991</v>
          </cell>
          <cell r="AU145">
            <v>128.52322913</v>
          </cell>
          <cell r="AV145">
            <v>181.11826640000001</v>
          </cell>
          <cell r="AW145">
            <v>128.52322913</v>
          </cell>
          <cell r="AX145">
            <v>229.04486324999996</v>
          </cell>
          <cell r="AY145">
            <v>303.4212967286802</v>
          </cell>
          <cell r="AZ145">
            <v>229.04486324999996</v>
          </cell>
          <cell r="BA145">
            <v>387.01851285733181</v>
          </cell>
          <cell r="BB145">
            <v>479.27943361444142</v>
          </cell>
          <cell r="BC145">
            <v>387.01851285733181</v>
          </cell>
          <cell r="BD145">
            <v>566.05363274791523</v>
          </cell>
          <cell r="BE145">
            <v>669.10774933267032</v>
          </cell>
          <cell r="BF145">
            <v>566.05363274791523</v>
          </cell>
          <cell r="BG145">
            <v>778.77808757712853</v>
          </cell>
          <cell r="BH145">
            <v>895.96883604623906</v>
          </cell>
          <cell r="BI145">
            <v>778.77808757712853</v>
          </cell>
          <cell r="BJ145">
            <v>1027.351713960328</v>
          </cell>
          <cell r="BK145">
            <v>1065.6439849522808</v>
          </cell>
          <cell r="BL145">
            <v>1027.351713960328</v>
          </cell>
          <cell r="BM145">
            <v>1101.7901488535647</v>
          </cell>
          <cell r="BN145">
            <v>1144.2855533491543</v>
          </cell>
          <cell r="BO145">
            <v>1101.7901488535647</v>
          </cell>
          <cell r="BP145">
            <v>1184.6562556316876</v>
          </cell>
          <cell r="BQ145" t="e">
            <v>#VALUE!</v>
          </cell>
          <cell r="BR145">
            <v>1184.6562556316876</v>
          </cell>
        </row>
        <row r="146"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>
            <v>10.554</v>
          </cell>
          <cell r="AC146" t="e">
            <v>#REF!</v>
          </cell>
          <cell r="AD146" t="e">
            <v>#REF!</v>
          </cell>
          <cell r="AE146">
            <v>11.562000000000001</v>
          </cell>
          <cell r="AF146">
            <v>-19.833477079999998</v>
          </cell>
          <cell r="AG146">
            <v>-57.697477079999999</v>
          </cell>
          <cell r="AH146">
            <v>-57.697477079999999</v>
          </cell>
          <cell r="AI146">
            <v>-39.35847708</v>
          </cell>
          <cell r="AJ146">
            <v>-21.707477080000004</v>
          </cell>
          <cell r="AK146">
            <v>-21.707477080000004</v>
          </cell>
          <cell r="AL146">
            <v>2.8345229199999977</v>
          </cell>
          <cell r="AM146">
            <v>30.238815799999998</v>
          </cell>
          <cell r="AN146">
            <v>37.587522919999998</v>
          </cell>
          <cell r="AO146">
            <v>55.733774739999987</v>
          </cell>
          <cell r="AP146">
            <v>77.220922099999996</v>
          </cell>
          <cell r="AQ146">
            <v>90.128774739999997</v>
          </cell>
          <cell r="AR146">
            <v>101.58163333</v>
          </cell>
          <cell r="AS146">
            <v>148.96332390999999</v>
          </cell>
          <cell r="AT146">
            <v>165.08263332999999</v>
          </cell>
          <cell r="AU146">
            <v>204.90722913000002</v>
          </cell>
          <cell r="AV146">
            <v>254.04161957804661</v>
          </cell>
          <cell r="AW146">
            <v>280.32322912999996</v>
          </cell>
          <cell r="AX146">
            <v>325.39773924868018</v>
          </cell>
          <cell r="AY146">
            <v>418.15180642733185</v>
          </cell>
          <cell r="AZ146">
            <v>440.12824894733183</v>
          </cell>
          <cell r="BA146">
            <v>506.52362497444142</v>
          </cell>
          <cell r="BB146">
            <v>602.37922122791531</v>
          </cell>
          <cell r="BC146">
            <v>629.62341258791525</v>
          </cell>
          <cell r="BD146">
            <v>699.01553997267035</v>
          </cell>
          <cell r="BE146">
            <v>818.93487886749654</v>
          </cell>
          <cell r="BF146">
            <v>845.78546669712853</v>
          </cell>
          <cell r="BG146">
            <v>923.69602740623907</v>
          </cell>
          <cell r="BH146">
            <v>1059.700103880328</v>
          </cell>
          <cell r="BI146">
            <v>1087.427295240328</v>
          </cell>
          <cell r="BJ146">
            <v>1093.3711763122808</v>
          </cell>
          <cell r="BK146">
            <v>1134.1385387735647</v>
          </cell>
          <cell r="BL146">
            <v>1161.8657301335647</v>
          </cell>
          <cell r="BM146">
            <v>1172.0127447091543</v>
          </cell>
          <cell r="BN146">
            <v>1217.0046455516876</v>
          </cell>
          <cell r="BO146">
            <v>1244.7318369116877</v>
          </cell>
          <cell r="BP146" t="e">
            <v>#VALUE!</v>
          </cell>
          <cell r="BQ146" t="e">
            <v>#VALUE!</v>
          </cell>
          <cell r="BR146" t="e">
            <v>#VALUE!</v>
          </cell>
        </row>
        <row r="147">
          <cell r="B147" t="str">
            <v>Dividends paid or provided</v>
          </cell>
          <cell r="D147" t="str">
            <v>$m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3.3037385399999999</v>
          </cell>
          <cell r="AD147">
            <v>3.3157385400000003</v>
          </cell>
          <cell r="AE147">
            <v>6.6194770800000002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7.3487071200000003</v>
          </cell>
          <cell r="AM147">
            <v>9.9150410600000036</v>
          </cell>
          <cell r="AN147">
            <v>17.263748180000004</v>
          </cell>
          <cell r="AO147">
            <v>12.907852640000002</v>
          </cell>
          <cell r="AP147">
            <v>14.573288770000001</v>
          </cell>
          <cell r="AQ147">
            <v>27.481141410000003</v>
          </cell>
          <cell r="AR147">
            <v>16.11930942</v>
          </cell>
          <cell r="AS147">
            <v>20.440094780000003</v>
          </cell>
          <cell r="AT147">
            <v>36.559404200000003</v>
          </cell>
          <cell r="AU147">
            <v>23.788962730000001</v>
          </cell>
          <cell r="AV147">
            <v>27.489403150000001</v>
          </cell>
          <cell r="AW147">
            <v>51.278365880000003</v>
          </cell>
          <cell r="AX147">
            <v>21.976442519999999</v>
          </cell>
          <cell r="AY147">
            <v>31.133293569999999</v>
          </cell>
          <cell r="AZ147">
            <v>53.109736089999998</v>
          </cell>
          <cell r="BA147">
            <v>27.244191359999999</v>
          </cell>
          <cell r="BB147">
            <v>36.325588480000008</v>
          </cell>
          <cell r="BC147">
            <v>63.56977984000001</v>
          </cell>
          <cell r="BD147">
            <v>29.907790640000002</v>
          </cell>
          <cell r="BE147">
            <v>37.099588479999994</v>
          </cell>
          <cell r="BF147">
            <v>67.007379119999996</v>
          </cell>
          <cell r="BG147">
            <v>27.727191359999999</v>
          </cell>
          <cell r="BH147">
            <v>32.34838992000001</v>
          </cell>
          <cell r="BI147">
            <v>60.075581280000009</v>
          </cell>
          <cell r="BJ147">
            <v>27.727191359999999</v>
          </cell>
          <cell r="BK147">
            <v>32.34838992000001</v>
          </cell>
          <cell r="BL147">
            <v>60.075581280000009</v>
          </cell>
          <cell r="BM147">
            <v>27.727191359999999</v>
          </cell>
          <cell r="BN147">
            <v>32.34838992000001</v>
          </cell>
          <cell r="BO147">
            <v>60.075581280000009</v>
          </cell>
          <cell r="BP147">
            <v>27.727191359999999</v>
          </cell>
          <cell r="BQ147">
            <v>32.34838992000001</v>
          </cell>
          <cell r="BR147">
            <v>60.075581280000009</v>
          </cell>
        </row>
        <row r="148"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 t="e">
            <v>#REF!</v>
          </cell>
          <cell r="O149" t="e">
            <v>#REF!</v>
          </cell>
          <cell r="P149">
            <v>15.619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>
            <v>1</v>
          </cell>
          <cell r="Z149">
            <v>1</v>
          </cell>
          <cell r="AA149" t="e">
            <v>#REF!</v>
          </cell>
          <cell r="AB149">
            <v>10.554</v>
          </cell>
          <cell r="AC149" t="e">
            <v>#REF!</v>
          </cell>
          <cell r="AD149" t="e">
            <v>#REF!</v>
          </cell>
          <cell r="AE149">
            <v>4.9425229200000009</v>
          </cell>
          <cell r="AF149">
            <v>-19.833477079999998</v>
          </cell>
          <cell r="AG149">
            <v>-57.697477079999999</v>
          </cell>
          <cell r="AH149">
            <v>-57.697477079999999</v>
          </cell>
          <cell r="AI149">
            <v>-39.35847708</v>
          </cell>
          <cell r="AJ149">
            <v>-21.707477080000004</v>
          </cell>
          <cell r="AK149">
            <v>-21.707477080000004</v>
          </cell>
          <cell r="AL149">
            <v>-4.5141842000000025</v>
          </cell>
          <cell r="AM149">
            <v>20.323774739999994</v>
          </cell>
          <cell r="AN149">
            <v>20.323774739999994</v>
          </cell>
          <cell r="AO149">
            <v>42.825922099999985</v>
          </cell>
          <cell r="AP149">
            <v>62.647633329999991</v>
          </cell>
          <cell r="AQ149">
            <v>62.647633329999991</v>
          </cell>
          <cell r="AR149">
            <v>85.462323910000009</v>
          </cell>
          <cell r="AS149">
            <v>128.52322912999998</v>
          </cell>
          <cell r="AT149">
            <v>128.52322913</v>
          </cell>
          <cell r="AU149">
            <v>181.11826640000001</v>
          </cell>
          <cell r="AV149">
            <v>226.55221642804662</v>
          </cell>
          <cell r="AW149">
            <v>229.04486324999996</v>
          </cell>
          <cell r="AX149">
            <v>303.4212967286802</v>
          </cell>
          <cell r="AY149">
            <v>387.01851285733187</v>
          </cell>
          <cell r="AZ149">
            <v>387.01851285733181</v>
          </cell>
          <cell r="BA149">
            <v>479.27943361444142</v>
          </cell>
          <cell r="BB149">
            <v>566.05363274791534</v>
          </cell>
          <cell r="BC149">
            <v>566.05363274791523</v>
          </cell>
          <cell r="BD149">
            <v>669.10774933267032</v>
          </cell>
          <cell r="BE149">
            <v>781.83529038749657</v>
          </cell>
          <cell r="BF149">
            <v>778.77808757712853</v>
          </cell>
          <cell r="BG149">
            <v>895.96883604623906</v>
          </cell>
          <cell r="BH149">
            <v>1027.351713960328</v>
          </cell>
          <cell r="BI149">
            <v>1027.351713960328</v>
          </cell>
          <cell r="BJ149">
            <v>1065.6439849522808</v>
          </cell>
          <cell r="BK149">
            <v>1101.7901488535647</v>
          </cell>
          <cell r="BL149">
            <v>1101.7901488535647</v>
          </cell>
          <cell r="BM149">
            <v>1144.2855533491543</v>
          </cell>
          <cell r="BN149">
            <v>1184.6562556316876</v>
          </cell>
          <cell r="BO149">
            <v>1184.6562556316876</v>
          </cell>
          <cell r="BP149" t="e">
            <v>#VALUE!</v>
          </cell>
          <cell r="BQ149" t="e">
            <v>#VALUE!</v>
          </cell>
          <cell r="BR149" t="e">
            <v>#VALUE!</v>
          </cell>
        </row>
        <row r="151">
          <cell r="E151" t="str">
            <v>1H89(a)</v>
          </cell>
          <cell r="F151" t="str">
            <v>2H89(a)</v>
          </cell>
          <cell r="G151" t="str">
            <v>FY89(a)</v>
          </cell>
          <cell r="H151" t="str">
            <v>1H90(a)</v>
          </cell>
          <cell r="I151" t="str">
            <v>2H90(a)</v>
          </cell>
          <cell r="J151" t="str">
            <v>FY90(a)</v>
          </cell>
          <cell r="K151" t="str">
            <v>1H91(a)</v>
          </cell>
          <cell r="L151" t="str">
            <v>2H91(a)</v>
          </cell>
          <cell r="M151" t="str">
            <v>FY91(a)</v>
          </cell>
          <cell r="N151" t="str">
            <v>1H92(a)</v>
          </cell>
          <cell r="O151" t="str">
            <v>2H92(a)</v>
          </cell>
          <cell r="P151" t="str">
            <v>FY92(a)</v>
          </cell>
          <cell r="Q151" t="str">
            <v>1H93(a)</v>
          </cell>
          <cell r="R151" t="str">
            <v>2H93(a)</v>
          </cell>
          <cell r="S151" t="str">
            <v>FY93(a)</v>
          </cell>
          <cell r="T151" t="str">
            <v>1H94(a)</v>
          </cell>
          <cell r="U151" t="str">
            <v>2H94(a)</v>
          </cell>
          <cell r="V151" t="str">
            <v>FY94(a)</v>
          </cell>
          <cell r="W151" t="str">
            <v>1H95(a)</v>
          </cell>
          <cell r="X151" t="str">
            <v>2H95(a)</v>
          </cell>
          <cell r="Y151" t="str">
            <v>FY95(a)</v>
          </cell>
          <cell r="Z151" t="str">
            <v>1H96(a)</v>
          </cell>
          <cell r="AA151" t="str">
            <v>2H96(a)</v>
          </cell>
          <cell r="AB151" t="str">
            <v>FY96(a)</v>
          </cell>
          <cell r="AC151" t="str">
            <v>1H97(a)</v>
          </cell>
          <cell r="AD151" t="str">
            <v>2H97(a)</v>
          </cell>
          <cell r="AE151" t="str">
            <v>FY97(a)</v>
          </cell>
          <cell r="AF151" t="str">
            <v>1H98(a)</v>
          </cell>
          <cell r="AG151" t="str">
            <v>2H98(a)</v>
          </cell>
          <cell r="AH151" t="str">
            <v>FY98(a)</v>
          </cell>
          <cell r="AI151" t="str">
            <v>1H99(a)</v>
          </cell>
          <cell r="AJ151" t="str">
            <v>2H99(a)</v>
          </cell>
          <cell r="AK151" t="str">
            <v>FY99(a)</v>
          </cell>
          <cell r="AL151" t="str">
            <v>1H00(a)</v>
          </cell>
          <cell r="AM151" t="str">
            <v>2H00(a)</v>
          </cell>
          <cell r="AN151" t="str">
            <v>FY00(a)</v>
          </cell>
          <cell r="AO151" t="str">
            <v>1H01(a)</v>
          </cell>
          <cell r="AP151" t="str">
            <v>2H01(a)</v>
          </cell>
          <cell r="AQ151" t="str">
            <v>FY01(a)</v>
          </cell>
          <cell r="AR151" t="str">
            <v>1H02(a)</v>
          </cell>
          <cell r="AS151" t="str">
            <v>2H02(a)</v>
          </cell>
          <cell r="AT151" t="str">
            <v>FY02(a)</v>
          </cell>
          <cell r="AU151" t="str">
            <v>1H03(e)</v>
          </cell>
          <cell r="AV151" t="str">
            <v>2H03(e)</v>
          </cell>
          <cell r="AW151" t="str">
            <v>FY03(e)</v>
          </cell>
          <cell r="AX151" t="str">
            <v>1H04(e)</v>
          </cell>
          <cell r="AY151" t="str">
            <v>2H04(e)</v>
          </cell>
          <cell r="AZ151" t="str">
            <v>FY04(e)</v>
          </cell>
          <cell r="BA151" t="str">
            <v>1H05(e)</v>
          </cell>
          <cell r="BB151" t="str">
            <v>2H05(e)</v>
          </cell>
          <cell r="BC151" t="str">
            <v>FY05(e)</v>
          </cell>
          <cell r="BD151" t="str">
            <v>1H06(e)</v>
          </cell>
          <cell r="BE151" t="str">
            <v>2H06(e)</v>
          </cell>
          <cell r="BF151" t="str">
            <v>FY06(e)</v>
          </cell>
          <cell r="BG151" t="str">
            <v>1H07(e)</v>
          </cell>
          <cell r="BH151" t="str">
            <v>2H07(e)</v>
          </cell>
          <cell r="BI151" t="str">
            <v>FY07(e)</v>
          </cell>
          <cell r="BJ151" t="str">
            <v>1H08(e)</v>
          </cell>
          <cell r="BK151" t="str">
            <v>2H08(e)</v>
          </cell>
          <cell r="BL151" t="str">
            <v>FY08(e)</v>
          </cell>
          <cell r="BM151" t="str">
            <v>1H09(e)</v>
          </cell>
          <cell r="BN151" t="str">
            <v>2H09(e)</v>
          </cell>
          <cell r="BO151" t="str">
            <v>FY09(e)</v>
          </cell>
          <cell r="BP151" t="str">
            <v>1H10(e)</v>
          </cell>
          <cell r="BQ151" t="str">
            <v>2H10(e)</v>
          </cell>
          <cell r="BR151" t="str">
            <v>FY10(e)</v>
          </cell>
        </row>
        <row r="152">
          <cell r="E152" t="str">
            <v>n/a</v>
          </cell>
          <cell r="F152" t="str">
            <v>n/a</v>
          </cell>
          <cell r="G152" t="str">
            <v>n/a</v>
          </cell>
          <cell r="H152" t="e">
            <v>#DIV/0!</v>
          </cell>
          <cell r="I152" t="e">
            <v>#DIV/0!</v>
          </cell>
          <cell r="J152" t="e">
            <v>#DIV/0!</v>
          </cell>
          <cell r="K152" t="e">
            <v>#DIV/0!</v>
          </cell>
          <cell r="L152" t="e">
            <v>#DIV/0!</v>
          </cell>
          <cell r="M152" t="e">
            <v>#DIV/0!</v>
          </cell>
          <cell r="N152" t="e">
            <v>#DIV/0!</v>
          </cell>
          <cell r="O152" t="e">
            <v>#DIV/0!</v>
          </cell>
          <cell r="P152" t="e">
            <v>#DIV/0!</v>
          </cell>
          <cell r="Q152" t="e">
            <v>#DIV/0!</v>
          </cell>
          <cell r="R152" t="e">
            <v>#REF!</v>
          </cell>
          <cell r="S152" t="e">
            <v>#REF!</v>
          </cell>
          <cell r="T152" t="e">
            <v>#DIV/0!</v>
          </cell>
          <cell r="U152" t="e">
            <v>#REF!</v>
          </cell>
          <cell r="V152" t="e">
            <v>#REF!</v>
          </cell>
          <cell r="W152" t="e">
            <v>#DIV/0!</v>
          </cell>
          <cell r="X152">
            <v>11.196277032575958</v>
          </cell>
          <cell r="Y152">
            <v>11.196277032575958</v>
          </cell>
          <cell r="Z152" t="e">
            <v>#DIV/0!</v>
          </cell>
          <cell r="AA152">
            <v>1.1324470704086713</v>
          </cell>
          <cell r="AB152">
            <v>1.1324470704086713</v>
          </cell>
          <cell r="AC152" t="e">
            <v>#DIV/0!</v>
          </cell>
          <cell r="AD152">
            <v>-46.774099318403103</v>
          </cell>
          <cell r="AE152">
            <v>16.626095423563779</v>
          </cell>
          <cell r="AF152">
            <v>-28.905962034647992</v>
          </cell>
          <cell r="AG152">
            <v>-21.365457439218495</v>
          </cell>
          <cell r="AH152">
            <v>-25.464621164683788</v>
          </cell>
          <cell r="AI152">
            <v>6.5347828669874621</v>
          </cell>
          <cell r="AJ152">
            <v>27.322998208635813</v>
          </cell>
          <cell r="AK152">
            <v>16.54389124584501</v>
          </cell>
          <cell r="AL152">
            <v>81.464985825826503</v>
          </cell>
          <cell r="AM152">
            <v>48.944326982962352</v>
          </cell>
          <cell r="AN152">
            <v>64.358733937764129</v>
          </cell>
          <cell r="AO152">
            <v>-0.96498027338152248</v>
          </cell>
          <cell r="AP152">
            <v>6.2525013599446968</v>
          </cell>
          <cell r="AQ152">
            <v>2.4754470947986782</v>
          </cell>
          <cell r="AR152">
            <v>14.896941967622817</v>
          </cell>
          <cell r="AS152">
            <v>35.037971175966305</v>
          </cell>
          <cell r="AT152">
            <v>24.851631200817163</v>
          </cell>
          <cell r="AU152">
            <v>37.077482077973109</v>
          </cell>
          <cell r="AV152">
            <v>22.726174826594843</v>
          </cell>
          <cell r="AW152">
            <v>29.405648142329078</v>
          </cell>
          <cell r="AX152">
            <v>1.356270613493205</v>
          </cell>
          <cell r="AY152">
            <v>2.2766339960837585</v>
          </cell>
          <cell r="AZ152">
            <v>1.8228773757842973</v>
          </cell>
          <cell r="BA152">
            <v>5.247227885222018</v>
          </cell>
          <cell r="BB152">
            <v>5.2266824480282015</v>
          </cell>
          <cell r="BC152">
            <v>5.2367653207955982</v>
          </cell>
          <cell r="BD152">
            <v>6.8500308528809297</v>
          </cell>
          <cell r="BE152">
            <v>6.8456956751927143</v>
          </cell>
          <cell r="BF152">
            <v>6.8478234172486747</v>
          </cell>
          <cell r="BG152">
            <v>6.7330154274613596</v>
          </cell>
          <cell r="BH152">
            <v>7.0150818507603674</v>
          </cell>
          <cell r="BI152">
            <v>6.8766383926680694</v>
          </cell>
          <cell r="BJ152">
            <v>5.1796547483815223</v>
          </cell>
          <cell r="BK152">
            <v>5.4469842328159093</v>
          </cell>
          <cell r="BL152">
            <v>5.3159502620237102</v>
          </cell>
          <cell r="BM152">
            <v>6.7291406106809353</v>
          </cell>
          <cell r="BN152">
            <v>6.9890710682637334</v>
          </cell>
          <cell r="BO152">
            <v>6.8618286827529991</v>
          </cell>
          <cell r="BP152">
            <v>6.4165854710065444</v>
          </cell>
          <cell r="BQ152">
            <v>6.6592756547206671</v>
          </cell>
          <cell r="BR152">
            <v>6.5406203244970822</v>
          </cell>
        </row>
        <row r="153">
          <cell r="E153" t="str">
            <v>n/a</v>
          </cell>
          <cell r="F153" t="e">
            <v>#DIV/0!</v>
          </cell>
          <cell r="G153" t="str">
            <v>n/a</v>
          </cell>
          <cell r="H153" t="e">
            <v>#DIV/0!</v>
          </cell>
          <cell r="I153" t="e">
            <v>#DIV/0!</v>
          </cell>
          <cell r="J153" t="str">
            <v>n/a</v>
          </cell>
          <cell r="K153" t="e">
            <v>#DIV/0!</v>
          </cell>
          <cell r="L153" t="e">
            <v>#DIV/0!</v>
          </cell>
          <cell r="M153" t="str">
            <v>n/a</v>
          </cell>
          <cell r="N153" t="e">
            <v>#DIV/0!</v>
          </cell>
          <cell r="O153" t="e">
            <v>#DIV/0!</v>
          </cell>
          <cell r="P153" t="str">
            <v>n/a</v>
          </cell>
          <cell r="Q153" t="e">
            <v>#DIV/0!</v>
          </cell>
          <cell r="R153" t="e">
            <v>#REF!</v>
          </cell>
          <cell r="S153" t="str">
            <v>n/a</v>
          </cell>
          <cell r="T153" t="e">
            <v>#REF!</v>
          </cell>
          <cell r="U153" t="e">
            <v>#DIV/0!</v>
          </cell>
          <cell r="V153" t="str">
            <v>n/a</v>
          </cell>
          <cell r="W153">
            <v>-100</v>
          </cell>
          <cell r="X153" t="e">
            <v>#DIV/0!</v>
          </cell>
          <cell r="Y153" t="str">
            <v>n/a</v>
          </cell>
          <cell r="Z153">
            <v>-100</v>
          </cell>
          <cell r="AA153" t="e">
            <v>#DIV/0!</v>
          </cell>
          <cell r="AB153" t="str">
            <v>n/a</v>
          </cell>
          <cell r="AC153">
            <v>-36.599805258033115</v>
          </cell>
          <cell r="AD153">
            <v>-16.047733136748963</v>
          </cell>
          <cell r="AE153" t="str">
            <v>n/a</v>
          </cell>
          <cell r="AF153">
            <v>-15.316118764063468</v>
          </cell>
          <cell r="AG153">
            <v>-7.1434357836068632</v>
          </cell>
          <cell r="AH153" t="str">
            <v>n/a</v>
          </cell>
          <cell r="AI153">
            <v>14.730481109249935</v>
          </cell>
          <cell r="AJ153">
            <v>10.97573807556415</v>
          </cell>
          <cell r="AK153" t="str">
            <v>n/a</v>
          </cell>
          <cell r="AL153">
            <v>63.517710242454747</v>
          </cell>
          <cell r="AM153">
            <v>-8.9124188675855436</v>
          </cell>
          <cell r="AN153" t="str">
            <v>n/a</v>
          </cell>
          <cell r="AO153">
            <v>8.7250517528298293</v>
          </cell>
          <cell r="AP153">
            <v>-2.2741312632401467</v>
          </cell>
          <cell r="AQ153" t="str">
            <v>n/a</v>
          </cell>
          <cell r="AR153">
            <v>17.570652942585731</v>
          </cell>
          <cell r="AS153">
            <v>14.856869291957182</v>
          </cell>
          <cell r="AT153" t="str">
            <v>n/a</v>
          </cell>
          <cell r="AU153">
            <v>19.34635074331764</v>
          </cell>
          <cell r="AV153">
            <v>2.8319458971529912</v>
          </cell>
          <cell r="AW153" t="str">
            <v>n/a</v>
          </cell>
          <cell r="AX153">
            <v>-1.4350358449267093</v>
          </cell>
          <cell r="AY153">
            <v>3.7657091166500694</v>
          </cell>
          <cell r="AZ153" t="str">
            <v>n/a</v>
          </cell>
          <cell r="BA153">
            <v>1.4277537166989076</v>
          </cell>
          <cell r="BB153">
            <v>3.7454528885064362</v>
          </cell>
          <cell r="BC153" t="str">
            <v>n/a</v>
          </cell>
          <cell r="BD153">
            <v>2.992495456847573</v>
          </cell>
          <cell r="BE153">
            <v>3.7412436714474793</v>
          </cell>
          <cell r="BF153" t="str">
            <v>n/a</v>
          </cell>
          <cell r="BG153">
            <v>2.8838788220902165</v>
          </cell>
          <cell r="BH153">
            <v>4.0154036530970476</v>
          </cell>
          <cell r="BI153" t="str">
            <v>n/a</v>
          </cell>
          <cell r="BJ153">
            <v>1.1193064242363391</v>
          </cell>
          <cell r="BK153">
            <v>4.279774022997362</v>
          </cell>
          <cell r="BL153" t="str">
            <v>n/a</v>
          </cell>
          <cell r="BM153">
            <v>2.3488414801737107</v>
          </cell>
          <cell r="BN153">
            <v>4.533739240212987</v>
          </cell>
          <cell r="BO153" t="str">
            <v>n/a</v>
          </cell>
          <cell r="BP153">
            <v>1.8011851910002725</v>
          </cell>
          <cell r="BQ153">
            <v>4.7721354664050359</v>
          </cell>
          <cell r="BR153" t="str">
            <v>n/a</v>
          </cell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#REF!</v>
          </cell>
          <cell r="S154" t="e">
            <v>#REF!</v>
          </cell>
          <cell r="T154">
            <v>0</v>
          </cell>
          <cell r="U154">
            <v>60.883333333333333</v>
          </cell>
          <cell r="V154">
            <v>30.441666666666666</v>
          </cell>
          <cell r="W154">
            <v>0</v>
          </cell>
          <cell r="X154">
            <v>67.7</v>
          </cell>
          <cell r="Y154">
            <v>33.85</v>
          </cell>
          <cell r="Z154">
            <v>0</v>
          </cell>
          <cell r="AA154">
            <v>68.466666666666669</v>
          </cell>
          <cell r="AB154">
            <v>34.233333333333334</v>
          </cell>
          <cell r="AC154">
            <v>43.407999999999994</v>
          </cell>
          <cell r="AD154">
            <v>36.442000000000007</v>
          </cell>
          <cell r="AE154">
            <v>39.925000000000004</v>
          </cell>
          <cell r="AF154">
            <v>30.860499999999998</v>
          </cell>
          <cell r="AG154">
            <v>28.656000000000002</v>
          </cell>
          <cell r="AH154">
            <v>29.75825</v>
          </cell>
          <cell r="AI154">
            <v>32.87716666666666</v>
          </cell>
          <cell r="AJ154">
            <v>36.485678366666683</v>
          </cell>
          <cell r="AK154">
            <v>34.681422516666672</v>
          </cell>
          <cell r="AL154">
            <v>59.660545831600018</v>
          </cell>
          <cell r="AM154">
            <v>54.343348088399978</v>
          </cell>
          <cell r="AN154">
            <v>57.001946959999998</v>
          </cell>
          <cell r="AO154">
            <v>59.084833333333336</v>
          </cell>
          <cell r="AP154">
            <v>57.741166666666665</v>
          </cell>
          <cell r="AQ154">
            <v>58.413000000000004</v>
          </cell>
          <cell r="AR154">
            <v>67.88666666666667</v>
          </cell>
          <cell r="AS154">
            <v>77.972499999999997</v>
          </cell>
          <cell r="AT154">
            <v>72.929583333333326</v>
          </cell>
          <cell r="AU154">
            <v>93.057333333333347</v>
          </cell>
          <cell r="AV154">
            <v>95.692666666666653</v>
          </cell>
          <cell r="AW154">
            <v>94.375</v>
          </cell>
          <cell r="AX154">
            <v>94.319442599033763</v>
          </cell>
          <cell r="AY154">
            <v>97.871238447759097</v>
          </cell>
          <cell r="AZ154">
            <v>96.09534052339643</v>
          </cell>
          <cell r="BA154">
            <v>99.268598692276228</v>
          </cell>
          <cell r="BB154">
            <v>102.98665728937596</v>
          </cell>
          <cell r="BC154">
            <v>101.1276279908261</v>
          </cell>
          <cell r="BD154">
            <v>106.06852832991972</v>
          </cell>
          <cell r="BE154">
            <v>110.0368104334603</v>
          </cell>
          <cell r="BF154">
            <v>108.05266938169001</v>
          </cell>
          <cell r="BG154">
            <v>113.21013870605442</v>
          </cell>
          <cell r="BH154">
            <v>117.75598275133358</v>
          </cell>
          <cell r="BI154">
            <v>115.483060728694</v>
          </cell>
          <cell r="BJ154">
            <v>119.07403303119189</v>
          </cell>
          <cell r="BK154">
            <v>124.17013256499614</v>
          </cell>
          <cell r="BL154">
            <v>121.62208279809401</v>
          </cell>
          <cell r="BM154">
            <v>127.08669214466944</v>
          </cell>
          <cell r="BN154">
            <v>132.848471375521</v>
          </cell>
          <cell r="BO154">
            <v>129.96758176009521</v>
          </cell>
          <cell r="BP154">
            <v>135.24131836840712</v>
          </cell>
          <cell r="BQ154">
            <v>141.69521728749962</v>
          </cell>
          <cell r="BR154">
            <v>138.46826782795338</v>
          </cell>
        </row>
        <row r="155">
          <cell r="E155" t="e">
            <v>#DIV/0!</v>
          </cell>
          <cell r="F155" t="e">
            <v>#DIV/0!</v>
          </cell>
          <cell r="G155" t="e">
            <v>#DIV/0!</v>
          </cell>
          <cell r="H155" t="e">
            <v>#DIV/0!</v>
          </cell>
          <cell r="I155" t="e">
            <v>#DIV/0!</v>
          </cell>
          <cell r="J155" t="e">
            <v>#DIV/0!</v>
          </cell>
          <cell r="K155" t="e">
            <v>#DIV/0!</v>
          </cell>
          <cell r="L155" t="e">
            <v>#DIV/0!</v>
          </cell>
          <cell r="M155" t="e">
            <v>#DIV/0!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>
            <v>0.44863680623174301</v>
          </cell>
          <cell r="AC155" t="e">
            <v>#REF!</v>
          </cell>
          <cell r="AD155" t="e">
            <v>#REF!</v>
          </cell>
          <cell r="AE155">
            <v>3.1851388019202673</v>
          </cell>
          <cell r="AF155">
            <v>3.0265225774047728</v>
          </cell>
          <cell r="AG155">
            <v>2.8970081890936172</v>
          </cell>
          <cell r="AH155">
            <v>2.9641639993391191</v>
          </cell>
          <cell r="AI155">
            <v>16.617916182963864</v>
          </cell>
          <cell r="AJ155">
            <v>14.006865786190104</v>
          </cell>
          <cell r="AK155">
            <v>15.244472735970543</v>
          </cell>
          <cell r="AL155">
            <v>12.195105769235202</v>
          </cell>
          <cell r="AM155">
            <v>17.466719173355727</v>
          </cell>
          <cell r="AN155">
            <v>14.707977148949885</v>
          </cell>
          <cell r="AO155">
            <v>14.313317856528323</v>
          </cell>
          <cell r="AP155">
            <v>11.618804607919833</v>
          </cell>
          <cell r="AQ155">
            <v>12.981556616963122</v>
          </cell>
          <cell r="AR155">
            <v>14.096042423647257</v>
          </cell>
          <cell r="AS155">
            <v>10.283112635865209</v>
          </cell>
          <cell r="AT155">
            <v>12.057749770040736</v>
          </cell>
          <cell r="AU155">
            <v>11.181278924820541</v>
          </cell>
          <cell r="AV155">
            <v>10.084951333443627</v>
          </cell>
          <cell r="AW155">
            <v>10.845562913907285</v>
          </cell>
          <cell r="AX155">
            <v>12.091395992438162</v>
          </cell>
          <cell r="AY155">
            <v>11.833540435334612</v>
          </cell>
          <cell r="AZ155">
            <v>11.960085553363248</v>
          </cell>
          <cell r="BA155">
            <v>13.246329671600716</v>
          </cell>
          <cell r="BB155">
            <v>12.984227393109126</v>
          </cell>
          <cell r="BC155">
            <v>13.112869419115478</v>
          </cell>
          <cell r="BD155">
            <v>14.527447255044798</v>
          </cell>
          <cell r="BE155">
            <v>14.223253222007868</v>
          </cell>
          <cell r="BF155">
            <v>14.136777030032381</v>
          </cell>
          <cell r="BG155">
            <v>14.519352994686605</v>
          </cell>
          <cell r="BH155">
            <v>14.177044768590537</v>
          </cell>
          <cell r="BI155">
            <v>14.344830249474189</v>
          </cell>
          <cell r="BJ155">
            <v>14.577498180606483</v>
          </cell>
          <cell r="BK155">
            <v>14.189157629838375</v>
          </cell>
          <cell r="BL155">
            <v>14.379259930776103</v>
          </cell>
          <cell r="BM155">
            <v>14.139514577971065</v>
          </cell>
          <cell r="BN155">
            <v>13.705180608782442</v>
          </cell>
          <cell r="BO155">
            <v>13.917533822879077</v>
          </cell>
          <cell r="BP155">
            <v>14.111857807165492</v>
          </cell>
          <cell r="BQ155">
            <v>13.647327496966897</v>
          </cell>
          <cell r="BR155">
            <v>13.874179802404129</v>
          </cell>
        </row>
        <row r="156">
          <cell r="E156" t="str">
            <v>n/a</v>
          </cell>
          <cell r="F156" t="str">
            <v>n/a</v>
          </cell>
          <cell r="G156" t="str">
            <v>n/a</v>
          </cell>
          <cell r="H156" t="e">
            <v>#DIV/0!</v>
          </cell>
          <cell r="I156" t="e">
            <v>#DIV/0!</v>
          </cell>
          <cell r="J156" t="e">
            <v>#DIV/0!</v>
          </cell>
          <cell r="K156" t="e">
            <v>#DIV/0!</v>
          </cell>
          <cell r="L156" t="e">
            <v>#DIV/0!</v>
          </cell>
          <cell r="M156" t="e">
            <v>#DIV/0!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>
            <v>727.99782962561028</v>
          </cell>
          <cell r="AF156" t="e">
            <v>#REF!</v>
          </cell>
          <cell r="AG156" t="e">
            <v>#REF!</v>
          </cell>
          <cell r="AH156">
            <v>-30.635648754914811</v>
          </cell>
          <cell r="AI156">
            <v>484.95717344753757</v>
          </cell>
          <cell r="AJ156">
            <v>515.59927725356329</v>
          </cell>
          <cell r="AK156">
            <v>499.37647614548882</v>
          </cell>
          <cell r="AL156">
            <v>33.168603764375696</v>
          </cell>
          <cell r="AM156">
            <v>85.735250953918467</v>
          </cell>
          <cell r="AN156">
            <v>58.57449088960346</v>
          </cell>
          <cell r="AO156">
            <v>16.236770971732263</v>
          </cell>
          <cell r="AP156">
            <v>-29.321182750386264</v>
          </cell>
          <cell r="AQ156">
            <v>-9.5531081645229801</v>
          </cell>
          <cell r="AR156">
            <v>13.152812265972974</v>
          </cell>
          <cell r="AS156">
            <v>19.514073485206001</v>
          </cell>
          <cell r="AT156">
            <v>15.966811363261696</v>
          </cell>
          <cell r="AU156">
            <v>8.7327574195346287</v>
          </cell>
          <cell r="AV156">
            <v>20.361173148014032</v>
          </cell>
          <cell r="AW156">
            <v>16.396270042833848</v>
          </cell>
          <cell r="AX156">
            <v>9.6063171793328213</v>
          </cell>
          <cell r="AY156">
            <v>20.009967719824999</v>
          </cell>
          <cell r="AZ156">
            <v>12.286502265585026</v>
          </cell>
          <cell r="BA156">
            <v>15.300125681238081</v>
          </cell>
          <cell r="BB156">
            <v>15.458867123822801</v>
          </cell>
          <cell r="BC156">
            <v>15.380107908479044</v>
          </cell>
          <cell r="BD156">
            <v>17.184021981808243</v>
          </cell>
          <cell r="BE156">
            <v>17.041494981547764</v>
          </cell>
          <cell r="BF156">
            <v>15.190947725902539</v>
          </cell>
          <cell r="BG156">
            <v>6.6735469743658031</v>
          </cell>
          <cell r="BH156">
            <v>6.6674116414582469</v>
          </cell>
          <cell r="BI156">
            <v>8.4495590558060627</v>
          </cell>
          <cell r="BJ156">
            <v>5.6008643286273676</v>
          </cell>
          <cell r="BK156">
            <v>5.5370780929865964</v>
          </cell>
          <cell r="BL156">
            <v>5.5687238773589511</v>
          </cell>
          <cell r="BM156">
            <v>3.5224440341011931</v>
          </cell>
          <cell r="BN156">
            <v>3.3397880556998683</v>
          </cell>
          <cell r="BO156">
            <v>3.4304353789264543</v>
          </cell>
          <cell r="BP156">
            <v>6.2084355307767423</v>
          </cell>
          <cell r="BQ156">
            <v>6.2090392677106943</v>
          </cell>
          <cell r="BR156">
            <v>6.2087393825324506</v>
          </cell>
        </row>
        <row r="157">
          <cell r="E157" t="str">
            <v>n/a</v>
          </cell>
          <cell r="F157" t="e">
            <v>#DIV/0!</v>
          </cell>
          <cell r="G157" t="str">
            <v>n/a</v>
          </cell>
          <cell r="H157" t="e">
            <v>#DIV/0!</v>
          </cell>
          <cell r="I157" t="e">
            <v>#DIV/0!</v>
          </cell>
          <cell r="J157" t="str">
            <v>n/a</v>
          </cell>
          <cell r="K157" t="e">
            <v>#DIV/0!</v>
          </cell>
          <cell r="L157" t="e">
            <v>#DIV/0!</v>
          </cell>
          <cell r="M157" t="str">
            <v>n/a</v>
          </cell>
          <cell r="N157" t="e">
            <v>#REF!</v>
          </cell>
          <cell r="O157" t="e">
            <v>#REF!</v>
          </cell>
          <cell r="P157" t="str">
            <v>n/a</v>
          </cell>
          <cell r="Q157" t="e">
            <v>#REF!</v>
          </cell>
          <cell r="R157" t="e">
            <v>#REF!</v>
          </cell>
          <cell r="S157" t="str">
            <v>n/a</v>
          </cell>
          <cell r="T157" t="e">
            <v>#REF!</v>
          </cell>
          <cell r="U157" t="e">
            <v>#REF!</v>
          </cell>
          <cell r="V157" t="str">
            <v>n/a</v>
          </cell>
          <cell r="W157" t="e">
            <v>#REF!</v>
          </cell>
          <cell r="X157" t="e">
            <v>#REF!</v>
          </cell>
          <cell r="Y157" t="str">
            <v>n/a</v>
          </cell>
          <cell r="Z157" t="e">
            <v>#REF!</v>
          </cell>
          <cell r="AA157" t="e">
            <v>#REF!</v>
          </cell>
          <cell r="AB157" t="str">
            <v>n/a</v>
          </cell>
          <cell r="AC157" t="e">
            <v>#REF!</v>
          </cell>
          <cell r="AD157" t="e">
            <v>#REF!</v>
          </cell>
          <cell r="AE157" t="str">
            <v>n/a</v>
          </cell>
          <cell r="AF157" t="e">
            <v>#REF!</v>
          </cell>
          <cell r="AG157">
            <v>-11.117059243397531</v>
          </cell>
          <cell r="AH157" t="str">
            <v>n/a</v>
          </cell>
          <cell r="AI157">
            <v>558.12085926520751</v>
          </cell>
          <cell r="AJ157">
            <v>-6.4610597602269673</v>
          </cell>
          <cell r="AK157" t="str">
            <v>n/a</v>
          </cell>
          <cell r="AL157">
            <v>42.367022143951999</v>
          </cell>
          <cell r="AM157">
            <v>30.462271498602689</v>
          </cell>
          <cell r="AN157" t="str">
            <v>n/a</v>
          </cell>
          <cell r="AO157">
            <v>-10.903919089759821</v>
          </cell>
          <cell r="AP157">
            <v>-20.671238815970945</v>
          </cell>
          <cell r="AQ157" t="str">
            <v>n/a</v>
          </cell>
          <cell r="AR157">
            <v>42.637815814970246</v>
          </cell>
          <cell r="AS157">
            <v>-16.211508987041949</v>
          </cell>
          <cell r="AT157" t="str">
            <v>n/a</v>
          </cell>
          <cell r="AU157">
            <v>29.770516338238984</v>
          </cell>
          <cell r="AV157">
            <v>-7.2507557615784393</v>
          </cell>
          <cell r="AW157" t="str">
            <v>n/a</v>
          </cell>
          <cell r="AX157">
            <v>18.174889811046228</v>
          </cell>
          <cell r="AY157">
            <v>1.5528492657898278</v>
          </cell>
          <cell r="AZ157" t="str">
            <v>n/a</v>
          </cell>
          <cell r="BA157">
            <v>13.537066182621926</v>
          </cell>
          <cell r="BB157">
            <v>1.6926639077582819</v>
          </cell>
          <cell r="BC157" t="str">
            <v>n/a</v>
          </cell>
          <cell r="BD157">
            <v>15.233506015833756</v>
          </cell>
          <cell r="BE157">
            <v>1.5689785273612873</v>
          </cell>
          <cell r="BF157" t="str">
            <v>n/a</v>
          </cell>
          <cell r="BG157">
            <v>5.025716041467736</v>
          </cell>
          <cell r="BH157">
            <v>1.5631367838923511</v>
          </cell>
          <cell r="BI157" t="str">
            <v>n/a</v>
          </cell>
          <cell r="BJ157">
            <v>3.9755837330295902</v>
          </cell>
          <cell r="BK157">
            <v>1.5017894623860344</v>
          </cell>
          <cell r="BL157" t="str">
            <v>n/a</v>
          </cell>
          <cell r="BM157">
            <v>1.9907575840955607</v>
          </cell>
          <cell r="BN157">
            <v>1.322698746003506</v>
          </cell>
          <cell r="BO157" t="str">
            <v>n/a</v>
          </cell>
          <cell r="BP157">
            <v>4.8219568223511668</v>
          </cell>
          <cell r="BQ157">
            <v>1.3232747101929314</v>
          </cell>
          <cell r="BR157" t="str">
            <v>n/a</v>
          </cell>
        </row>
        <row r="158">
          <cell r="E158" t="str">
            <v>n/a</v>
          </cell>
          <cell r="F158" t="str">
            <v>n/a</v>
          </cell>
          <cell r="G158" t="str">
            <v>n/a</v>
          </cell>
          <cell r="H158" t="e">
            <v>#DIV/0!</v>
          </cell>
          <cell r="I158" t="e">
            <v>#DIV/0!</v>
          </cell>
          <cell r="J158" t="e">
            <v>#DIV/0!</v>
          </cell>
          <cell r="K158" t="e">
            <v>#DIV/0!</v>
          </cell>
          <cell r="L158" t="e">
            <v>#DIV/0!</v>
          </cell>
          <cell r="M158" t="e">
            <v>#DIV/0!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>
            <v>-97.465821940646876</v>
          </cell>
          <cell r="AF158" t="e">
            <v>#REF!</v>
          </cell>
          <cell r="AG158" t="e">
            <v>#REF!</v>
          </cell>
          <cell r="AH158">
            <v>-1850.4385964912281</v>
          </cell>
          <cell r="AI158">
            <v>8509.8591549295725</v>
          </cell>
          <cell r="AJ158">
            <v>-505.13796384395795</v>
          </cell>
          <cell r="AK158">
            <v>-986.26910548734634</v>
          </cell>
          <cell r="AL158">
            <v>33.824090735590836</v>
          </cell>
          <cell r="AM158">
            <v>104.04532644434015</v>
          </cell>
          <cell r="AN158">
            <v>67.63733001611493</v>
          </cell>
          <cell r="AO158">
            <v>44.283269497188471</v>
          </cell>
          <cell r="AP158">
            <v>-1.0301268955197616</v>
          </cell>
          <cell r="AQ158">
            <v>17.724934648789954</v>
          </cell>
          <cell r="AR158">
            <v>30.652358090934804</v>
          </cell>
          <cell r="AS158">
            <v>84.622764936763943</v>
          </cell>
          <cell r="AT158">
            <v>57.24518300981304</v>
          </cell>
          <cell r="AU158">
            <v>65.104616980805773</v>
          </cell>
          <cell r="AV158">
            <v>14.838117790344393</v>
          </cell>
          <cell r="AW158">
            <v>38.295449369106713</v>
          </cell>
          <cell r="AX158">
            <v>26.142747170454832</v>
          </cell>
          <cell r="AY158">
            <v>57.3302717149203</v>
          </cell>
          <cell r="AZ158">
            <v>39.053613766358289</v>
          </cell>
          <cell r="BA158">
            <v>24.028588538183833</v>
          </cell>
          <cell r="BB158">
            <v>7.2947273892574271</v>
          </cell>
          <cell r="BC158">
            <v>14.933204680755704</v>
          </cell>
          <cell r="BD158">
            <v>11.260434695428319</v>
          </cell>
          <cell r="BE158">
            <v>21.71193179087733</v>
          </cell>
          <cell r="BF158">
            <v>15.303456055446491</v>
          </cell>
          <cell r="BG158">
            <v>8.9920736351542399</v>
          </cell>
          <cell r="BH158">
            <v>9.2801205912651312</v>
          </cell>
          <cell r="BI158">
            <v>10.337534096757969</v>
          </cell>
          <cell r="BJ158">
            <v>-54.443554448949563</v>
          </cell>
          <cell r="BK158">
            <v>-58.166479300282305</v>
          </cell>
          <cell r="BL158">
            <v>-56.418479998166916</v>
          </cell>
          <cell r="BM158">
            <v>6.3665067146861638</v>
          </cell>
          <cell r="BN158">
            <v>6.1676996864191018</v>
          </cell>
          <cell r="BO158">
            <v>6.2652741510836734</v>
          </cell>
          <cell r="BP158" t="e">
            <v>#VALUE!</v>
          </cell>
          <cell r="BQ158" t="e">
            <v>#VALUE!</v>
          </cell>
          <cell r="BR158" t="e">
            <v>#VALUE!</v>
          </cell>
        </row>
        <row r="159">
          <cell r="E159" t="str">
            <v>n/a</v>
          </cell>
          <cell r="F159" t="e">
            <v>#DIV/0!</v>
          </cell>
          <cell r="G159" t="str">
            <v>n/a</v>
          </cell>
          <cell r="H159" t="e">
            <v>#DIV/0!</v>
          </cell>
          <cell r="I159" t="e">
            <v>#DIV/0!</v>
          </cell>
          <cell r="J159" t="str">
            <v>n/a</v>
          </cell>
          <cell r="K159" t="e">
            <v>#DIV/0!</v>
          </cell>
          <cell r="L159" t="e">
            <v>#DIV/0!</v>
          </cell>
          <cell r="M159" t="str">
            <v>n/a</v>
          </cell>
          <cell r="N159" t="e">
            <v>#REF!</v>
          </cell>
          <cell r="O159" t="e">
            <v>#REF!</v>
          </cell>
          <cell r="P159" t="str">
            <v>n/a</v>
          </cell>
          <cell r="Q159" t="e">
            <v>#REF!</v>
          </cell>
          <cell r="R159" t="e">
            <v>#REF!</v>
          </cell>
          <cell r="S159" t="str">
            <v>n/a</v>
          </cell>
          <cell r="T159" t="e">
            <v>#REF!</v>
          </cell>
          <cell r="U159" t="e">
            <v>#REF!</v>
          </cell>
          <cell r="V159" t="str">
            <v>n/a</v>
          </cell>
          <cell r="W159" t="e">
            <v>#REF!</v>
          </cell>
          <cell r="X159" t="e">
            <v>#REF!</v>
          </cell>
          <cell r="Y159" t="str">
            <v>n/a</v>
          </cell>
          <cell r="Z159" t="e">
            <v>#REF!</v>
          </cell>
          <cell r="AA159" t="e">
            <v>#REF!</v>
          </cell>
          <cell r="AB159" t="str">
            <v>n/a</v>
          </cell>
          <cell r="AC159" t="e">
            <v>#REF!</v>
          </cell>
          <cell r="AD159" t="e">
            <v>#REF!</v>
          </cell>
          <cell r="AE159" t="str">
            <v>n/a</v>
          </cell>
          <cell r="AF159" t="e">
            <v>#REF!</v>
          </cell>
          <cell r="AG159">
            <v>-2073.708920187793</v>
          </cell>
          <cell r="AH159" t="str">
            <v>n/a</v>
          </cell>
          <cell r="AI159">
            <v>-536.22740247383433</v>
          </cell>
          <cell r="AJ159">
            <v>-7.1268880527837171</v>
          </cell>
          <cell r="AK159" t="str">
            <v>n/a</v>
          </cell>
          <cell r="AL159">
            <v>44.09347111319876</v>
          </cell>
          <cell r="AM159">
            <v>41.606226061445675</v>
          </cell>
          <cell r="AN159" t="str">
            <v>n/a</v>
          </cell>
          <cell r="AO159">
            <v>1.8904842747388615</v>
          </cell>
          <cell r="AP159">
            <v>-2.8664219147132997</v>
          </cell>
          <cell r="AQ159" t="str">
            <v>n/a</v>
          </cell>
          <cell r="AR159">
            <v>34.507922663177752</v>
          </cell>
          <cell r="AS159">
            <v>37.257911118796422</v>
          </cell>
          <cell r="AT159" t="str">
            <v>n/a</v>
          </cell>
          <cell r="AU159">
            <v>20.287869482370375</v>
          </cell>
          <cell r="AV159">
            <v>-4.5305912520336955</v>
          </cell>
          <cell r="AW159" t="str">
            <v>n/a</v>
          </cell>
          <cell r="AX159">
            <v>32.128970761162208</v>
          </cell>
          <cell r="AY159">
            <v>19.073259110836677</v>
          </cell>
          <cell r="AZ159" t="str">
            <v>n/a</v>
          </cell>
          <cell r="BA159">
            <v>4.161580412218834</v>
          </cell>
          <cell r="BB159">
            <v>3.0079679711455825</v>
          </cell>
          <cell r="BC159" t="str">
            <v>n/a</v>
          </cell>
          <cell r="BD159">
            <v>8.0114838558842401</v>
          </cell>
          <cell r="BE159">
            <v>12.684251198023627</v>
          </cell>
          <cell r="BF159" t="str">
            <v>n/a</v>
          </cell>
          <cell r="BG159">
            <v>-3.2765692841859559</v>
          </cell>
          <cell r="BH159">
            <v>12.982055932594314</v>
          </cell>
          <cell r="BI159" t="str">
            <v>n/a</v>
          </cell>
          <cell r="BJ159">
            <v>-59.678158469492139</v>
          </cell>
          <cell r="BK159">
            <v>3.7490330595790828</v>
          </cell>
          <cell r="BL159" t="str">
            <v>n/a</v>
          </cell>
          <cell r="BM159">
            <v>2.5228896866961321</v>
          </cell>
          <cell r="BN159">
            <v>3.5551182871076827</v>
          </cell>
          <cell r="BO159" t="str">
            <v>n/a</v>
          </cell>
          <cell r="BP159" t="e">
            <v>#VALUE!</v>
          </cell>
          <cell r="BQ159" t="e">
            <v>#VALUE!</v>
          </cell>
          <cell r="BR159" t="str">
            <v>n/a</v>
          </cell>
        </row>
        <row r="160">
          <cell r="E160" t="str">
            <v>n/a</v>
          </cell>
          <cell r="F160" t="str">
            <v>n/a</v>
          </cell>
          <cell r="G160" t="str">
            <v>n/a</v>
          </cell>
          <cell r="H160" t="e">
            <v>#DIV/0!</v>
          </cell>
          <cell r="I160" t="e">
            <v>#DIV/0!</v>
          </cell>
          <cell r="J160" t="e">
            <v>#DIV/0!</v>
          </cell>
          <cell r="K160" t="e">
            <v>#DIV/0!</v>
          </cell>
          <cell r="L160" t="e">
            <v>#DIV/0!</v>
          </cell>
          <cell r="M160" t="e">
            <v>#DIV/0!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>
            <v>-91.415794066317616</v>
          </cell>
          <cell r="AF160" t="e">
            <v>#REF!</v>
          </cell>
          <cell r="AG160" t="e">
            <v>#REF!</v>
          </cell>
          <cell r="AH160">
            <v>-536.08640406607367</v>
          </cell>
          <cell r="AI160">
            <v>3676.6734279918855</v>
          </cell>
          <cell r="AJ160">
            <v>-540.17834394904435</v>
          </cell>
          <cell r="AK160">
            <v>-1145.920745920746</v>
          </cell>
          <cell r="AL160">
            <v>45.544873516300555</v>
          </cell>
          <cell r="AM160">
            <v>149.27938878277487</v>
          </cell>
          <cell r="AN160">
            <v>95.473033207042604</v>
          </cell>
          <cell r="AO160">
            <v>56.579884165467362</v>
          </cell>
          <cell r="AP160">
            <v>-1.9281535943159294</v>
          </cell>
          <cell r="AQ160">
            <v>20.668071344079145</v>
          </cell>
          <cell r="AR160">
            <v>18.015866210388971</v>
          </cell>
          <cell r="AS160">
            <v>60.700483986810724</v>
          </cell>
          <cell r="AT160">
            <v>39.309274086123892</v>
          </cell>
          <cell r="AU160">
            <v>62.804537103602485</v>
          </cell>
          <cell r="AV160">
            <v>15.609866783615114</v>
          </cell>
          <cell r="AW160">
            <v>37.759427563754734</v>
          </cell>
          <cell r="AX160">
            <v>23.757992540637609</v>
          </cell>
          <cell r="AY160">
            <v>53.524107613267766</v>
          </cell>
          <cell r="AZ160">
            <v>36.234467165568269</v>
          </cell>
          <cell r="BA160">
            <v>22.946875125019606</v>
          </cell>
          <cell r="BB160">
            <v>6.9470474644695761</v>
          </cell>
          <cell r="BC160">
            <v>14.239457151267024</v>
          </cell>
          <cell r="BD160">
            <v>9.4390137524786422</v>
          </cell>
          <cell r="BE160">
            <v>22.100998297561151</v>
          </cell>
          <cell r="BF160">
            <v>14.681124500989659</v>
          </cell>
          <cell r="BG160">
            <v>8.8070007720257202</v>
          </cell>
          <cell r="BH160">
            <v>8.5365127595992032</v>
          </cell>
          <cell r="BI160">
            <v>9.8072658056894664</v>
          </cell>
          <cell r="BJ160">
            <v>-53.413707893030363</v>
          </cell>
          <cell r="BK160">
            <v>-58.248814396473222</v>
          </cell>
          <cell r="BL160">
            <v>-56.006124880059495</v>
          </cell>
          <cell r="BM160">
            <v>6.1080016205809784</v>
          </cell>
          <cell r="BN160">
            <v>5.9259617832595604</v>
          </cell>
          <cell r="BO160">
            <v>6.0153737143354507</v>
          </cell>
          <cell r="BP160" t="e">
            <v>#VALUE!</v>
          </cell>
          <cell r="BQ160" t="e">
            <v>#VALUE!</v>
          </cell>
          <cell r="BR160" t="e">
            <v>#VALUE!</v>
          </cell>
        </row>
        <row r="161">
          <cell r="E161" t="str">
            <v>n/a</v>
          </cell>
          <cell r="F161" t="e">
            <v>#DIV/0!</v>
          </cell>
          <cell r="G161" t="str">
            <v>n/a</v>
          </cell>
          <cell r="H161" t="e">
            <v>#DIV/0!</v>
          </cell>
          <cell r="I161" t="e">
            <v>#DIV/0!</v>
          </cell>
          <cell r="J161" t="str">
            <v>n/a</v>
          </cell>
          <cell r="K161" t="e">
            <v>#DIV/0!</v>
          </cell>
          <cell r="L161" t="e">
            <v>#DIV/0!</v>
          </cell>
          <cell r="M161" t="str">
            <v>n/a</v>
          </cell>
          <cell r="N161" t="e">
            <v>#REF!</v>
          </cell>
          <cell r="O161" t="e">
            <v>#REF!</v>
          </cell>
          <cell r="P161" t="str">
            <v>n/a</v>
          </cell>
          <cell r="Q161" t="e">
            <v>#REF!</v>
          </cell>
          <cell r="R161" t="e">
            <v>#REF!</v>
          </cell>
          <cell r="S161" t="str">
            <v>n/a</v>
          </cell>
          <cell r="T161" t="e">
            <v>#REF!</v>
          </cell>
          <cell r="U161" t="e">
            <v>#REF!</v>
          </cell>
          <cell r="V161" t="str">
            <v>n/a</v>
          </cell>
          <cell r="W161" t="e">
            <v>#REF!</v>
          </cell>
          <cell r="X161" t="e">
            <v>#REF!</v>
          </cell>
          <cell r="Y161" t="str">
            <v>n/a</v>
          </cell>
          <cell r="Z161" t="e">
            <v>#REF!</v>
          </cell>
          <cell r="AA161" t="e">
            <v>#REF!</v>
          </cell>
          <cell r="AB161" t="str">
            <v>n/a</v>
          </cell>
          <cell r="AC161" t="e">
            <v>#REF!</v>
          </cell>
          <cell r="AD161" t="e">
            <v>#REF!</v>
          </cell>
          <cell r="AE161" t="str">
            <v>n/a</v>
          </cell>
          <cell r="AF161" t="e">
            <v>#REF!</v>
          </cell>
          <cell r="AG161">
            <v>-896.14604462474642</v>
          </cell>
          <cell r="AH161" t="str">
            <v>n/a</v>
          </cell>
          <cell r="AI161">
            <v>-574.3694267515923</v>
          </cell>
          <cell r="AJ161">
            <v>-7.2076910682636335</v>
          </cell>
          <cell r="AK161" t="str">
            <v>n/a</v>
          </cell>
          <cell r="AL161">
            <v>56.850147595068648</v>
          </cell>
          <cell r="AM161">
            <v>58.928373740728432</v>
          </cell>
          <cell r="AN161" t="str">
            <v>n/a</v>
          </cell>
          <cell r="AO161">
            <v>-1.4777031438655057</v>
          </cell>
          <cell r="AP161">
            <v>-0.45720660685386388</v>
          </cell>
          <cell r="AQ161" t="str">
            <v>n/a</v>
          </cell>
          <cell r="AR161">
            <v>18.557920857498029</v>
          </cell>
          <cell r="AS161">
            <v>35.54597012540934</v>
          </cell>
          <cell r="AT161" t="str">
            <v>n/a</v>
          </cell>
          <cell r="AU161">
            <v>20.110200954682078</v>
          </cell>
          <cell r="AV161">
            <v>-3.746837600217614</v>
          </cell>
          <cell r="AW161" t="str">
            <v>n/a</v>
          </cell>
          <cell r="AX161">
            <v>28.575508019794064</v>
          </cell>
          <cell r="AY161">
            <v>19.403850684869852</v>
          </cell>
          <cell r="AZ161" t="str">
            <v>n/a</v>
          </cell>
          <cell r="BA161">
            <v>2.9672614575056615</v>
          </cell>
          <cell r="BB161">
            <v>3.8650984309283225</v>
          </cell>
          <cell r="BC161" t="str">
            <v>n/a</v>
          </cell>
          <cell r="BD161">
            <v>5.366495007230025</v>
          </cell>
          <cell r="BE161">
            <v>15.882186542489467</v>
          </cell>
          <cell r="BF161" t="str">
            <v>n/a</v>
          </cell>
          <cell r="BG161">
            <v>-6.105499025831338</v>
          </cell>
          <cell r="BH161">
            <v>15.594110020839993</v>
          </cell>
          <cell r="BI161" t="str">
            <v>n/a</v>
          </cell>
          <cell r="BJ161">
            <v>-59.698385931107744</v>
          </cell>
          <cell r="BK161">
            <v>3.5968076418889807</v>
          </cell>
          <cell r="BL161" t="str">
            <v>n/a</v>
          </cell>
          <cell r="BM161">
            <v>2.4240071058681987</v>
          </cell>
          <cell r="BN161">
            <v>3.4190760314343573</v>
          </cell>
          <cell r="BO161" t="str">
            <v>n/a</v>
          </cell>
          <cell r="BP161" t="e">
            <v>#VALUE!</v>
          </cell>
          <cell r="BQ161" t="e">
            <v>#VALUE!</v>
          </cell>
          <cell r="BR161" t="str">
            <v>n/a</v>
          </cell>
        </row>
        <row r="162">
          <cell r="E162" t="str">
            <v>n/a</v>
          </cell>
          <cell r="F162" t="str">
            <v>n/a</v>
          </cell>
          <cell r="G162" t="str">
            <v>n/a</v>
          </cell>
          <cell r="H162" t="e">
            <v>#DIV/0!</v>
          </cell>
          <cell r="I162" t="e">
            <v>#DIV/0!</v>
          </cell>
          <cell r="J162" t="e">
            <v>#DIV/0!</v>
          </cell>
          <cell r="K162" t="e">
            <v>#DIV/0!</v>
          </cell>
          <cell r="L162" t="e">
            <v>#DIV/0!</v>
          </cell>
          <cell r="M162" t="e">
            <v>#DIV/0!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#DIV/0!</v>
          </cell>
          <cell r="AC162" t="e">
            <v>#REF!</v>
          </cell>
          <cell r="AD162" t="e">
            <v>#REF!</v>
          </cell>
          <cell r="AE162" t="e">
            <v>#DIV/0!</v>
          </cell>
          <cell r="AF162" t="e">
            <v>#DIV/0!</v>
          </cell>
          <cell r="AG162" t="e">
            <v>#DIV/0!</v>
          </cell>
          <cell r="AH162" t="e">
            <v>#DIV/0!</v>
          </cell>
          <cell r="AI162" t="e">
            <v>#DIV/0!</v>
          </cell>
          <cell r="AJ162" t="e">
            <v>#DIV/0!</v>
          </cell>
          <cell r="AK162">
            <v>-1085.9999548578689</v>
          </cell>
          <cell r="AL162">
            <v>17.417816318165432</v>
          </cell>
          <cell r="AM162">
            <v>84.673616921823154</v>
          </cell>
          <cell r="AN162">
            <v>50.92526350496761</v>
          </cell>
          <cell r="AO162">
            <v>31.218436928349867</v>
          </cell>
          <cell r="AP162">
            <v>-20.835034996226433</v>
          </cell>
          <cell r="AQ162">
            <v>-0.86564295052452456</v>
          </cell>
          <cell r="AR162">
            <v>-22.548528000433425</v>
          </cell>
          <cell r="AS162">
            <v>37.20617366454784</v>
          </cell>
          <cell r="AT162">
            <v>22.249106698462292</v>
          </cell>
          <cell r="AU162">
            <v>93.813667202955784</v>
          </cell>
          <cell r="AV162">
            <v>21.655270468668622</v>
          </cell>
          <cell r="AW162">
            <v>31.84573295702447</v>
          </cell>
          <cell r="AX162">
            <v>23.69787207248805</v>
          </cell>
          <cell r="AY162">
            <v>53.464444972505611</v>
          </cell>
          <cell r="AZ162">
            <v>36.17490468991344</v>
          </cell>
          <cell r="BA162">
            <v>22.946875125019616</v>
          </cell>
          <cell r="BB162">
            <v>6.8194183394547068</v>
          </cell>
          <cell r="BC162">
            <v>14.171250560006055</v>
          </cell>
          <cell r="BD162">
            <v>9.2226922859196065</v>
          </cell>
          <cell r="BE162">
            <v>20.271184825319182</v>
          </cell>
          <cell r="BF162">
            <v>13.70313433422394</v>
          </cell>
          <cell r="BG162">
            <v>7.03796475881812</v>
          </cell>
          <cell r="BH162">
            <v>8.3113053703534181</v>
          </cell>
          <cell r="BI162">
            <v>8.8006943400349957</v>
          </cell>
          <cell r="BJ162">
            <v>-53.413707893030363</v>
          </cell>
          <cell r="BK162">
            <v>-58.248814396473222</v>
          </cell>
          <cell r="BL162">
            <v>-56.006124880059481</v>
          </cell>
          <cell r="BM162">
            <v>6.1080016205809811</v>
          </cell>
          <cell r="BN162">
            <v>5.9259617832595621</v>
          </cell>
          <cell r="BO162">
            <v>6.0153737143354276</v>
          </cell>
          <cell r="BP162" t="e">
            <v>#VALUE!</v>
          </cell>
          <cell r="BQ162" t="e">
            <v>#VALUE!</v>
          </cell>
          <cell r="BR162" t="e">
            <v>#VALUE!</v>
          </cell>
        </row>
        <row r="163">
          <cell r="E163" t="e">
            <v>#DIV/0!</v>
          </cell>
          <cell r="F163" t="e">
            <v>#DIV/0!</v>
          </cell>
          <cell r="G163" t="e">
            <v>#DIV/0!</v>
          </cell>
          <cell r="H163" t="e">
            <v>#DIV/0!</v>
          </cell>
          <cell r="I163" t="e">
            <v>#DIV/0!</v>
          </cell>
          <cell r="J163" t="e">
            <v>#DIV/0!</v>
          </cell>
          <cell r="K163" t="e">
            <v>#DIV/0!</v>
          </cell>
          <cell r="L163" t="e">
            <v>#DIV/0!</v>
          </cell>
          <cell r="M163" t="e">
            <v>#DIV/0!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#DIV/0!</v>
          </cell>
          <cell r="AC163" t="e">
            <v>#REF!</v>
          </cell>
          <cell r="AD163" t="e">
            <v>#REF!</v>
          </cell>
          <cell r="AE163" t="e">
            <v>#DIV/0!</v>
          </cell>
          <cell r="AF163" t="e">
            <v>#DIV/0!</v>
          </cell>
          <cell r="AG163" t="e">
            <v>#DIV/0!</v>
          </cell>
          <cell r="AH163">
            <v>-517.61064273597412</v>
          </cell>
          <cell r="AI163">
            <v>50.170765239808802</v>
          </cell>
          <cell r="AJ163">
            <v>55.001871012296832</v>
          </cell>
          <cell r="AK163">
            <v>52.49601079450224</v>
          </cell>
          <cell r="AL163">
            <v>42.72840937857486</v>
          </cell>
          <cell r="AM163">
            <v>29.783285738958838</v>
          </cell>
          <cell r="AN163">
            <v>34.782785582331854</v>
          </cell>
          <cell r="AO163">
            <v>32.562809296308075</v>
          </cell>
          <cell r="AP163">
            <v>37.621801181291694</v>
          </cell>
          <cell r="AQ163">
            <v>35.086509478215142</v>
          </cell>
          <cell r="AR163">
            <v>42.042854003459482</v>
          </cell>
          <cell r="AS163">
            <v>27.419904058597506</v>
          </cell>
          <cell r="AT163">
            <v>28.700830971926013</v>
          </cell>
          <cell r="AU163">
            <v>21.692409317777102</v>
          </cell>
          <cell r="AV163">
            <v>22.539018616262325</v>
          </cell>
          <cell r="AW163">
            <v>21.768494382204345</v>
          </cell>
          <cell r="AX163">
            <v>17.536606696892214</v>
          </cell>
          <cell r="AY163">
            <v>14.686801636887536</v>
          </cell>
          <cell r="AZ163">
            <v>15.985687254030992</v>
          </cell>
          <cell r="BA163">
            <v>14.263564388326227</v>
          </cell>
          <cell r="BB163">
            <v>13.749187053439361</v>
          </cell>
          <cell r="BC163">
            <v>14.001499655667908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 t="e">
            <v>#VALUE!</v>
          </cell>
          <cell r="BQ163" t="e">
            <v>#VALUE!</v>
          </cell>
          <cell r="BR163" t="e">
            <v>#VALUE!</v>
          </cell>
        </row>
        <row r="164"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0.78688524590163933</v>
          </cell>
          <cell r="AM164">
            <v>1.0491803278688525</v>
          </cell>
          <cell r="AN164">
            <v>0.91803278688524592</v>
          </cell>
          <cell r="AO164">
            <v>1.0491803278688525</v>
          </cell>
          <cell r="AP164">
            <v>1.180327868852459</v>
          </cell>
          <cell r="AQ164">
            <v>1.1147540983606559</v>
          </cell>
          <cell r="AR164">
            <v>1.1690533003345545</v>
          </cell>
          <cell r="AS164">
            <v>1.4426229508196722</v>
          </cell>
          <cell r="AT164">
            <v>1.3114754098360655</v>
          </cell>
          <cell r="AU164">
            <v>1.7049180327868854</v>
          </cell>
          <cell r="AV164">
            <v>1.9672131147540985</v>
          </cell>
          <cell r="AW164">
            <v>1.8360655737704918</v>
          </cell>
          <cell r="AX164">
            <v>1.7704918032786885</v>
          </cell>
          <cell r="AY164">
            <v>1.7704918032786885</v>
          </cell>
          <cell r="AZ164">
            <v>1.9016393442622952</v>
          </cell>
          <cell r="BA164">
            <v>1.8360655737704918</v>
          </cell>
          <cell r="BB164">
            <v>1.8360655737704918</v>
          </cell>
          <cell r="BC164">
            <v>1.9672131147540985</v>
          </cell>
          <cell r="BD164" t="e">
            <v>#DIV/0!</v>
          </cell>
          <cell r="BE164" t="e">
            <v>#DIV/0!</v>
          </cell>
          <cell r="BF164" t="e">
            <v>#DIV/0!</v>
          </cell>
          <cell r="BG164" t="e">
            <v>#DIV/0!</v>
          </cell>
          <cell r="BH164" t="e">
            <v>#DIV/0!</v>
          </cell>
          <cell r="BI164" t="e">
            <v>#DIV/0!</v>
          </cell>
          <cell r="BJ164" t="e">
            <v>#DIV/0!</v>
          </cell>
          <cell r="BK164" t="e">
            <v>#DIV/0!</v>
          </cell>
          <cell r="BL164" t="e">
            <v>#DIV/0!</v>
          </cell>
          <cell r="BM164" t="e">
            <v>#DIV/0!</v>
          </cell>
          <cell r="BN164" t="e">
            <v>#DIV/0!</v>
          </cell>
          <cell r="BO164" t="e">
            <v>#DIV/0!</v>
          </cell>
          <cell r="BP164" t="e">
            <v>#DIV/0!</v>
          </cell>
          <cell r="BQ164" t="e">
            <v>#DIV/0!</v>
          </cell>
          <cell r="BR164" t="e">
            <v>#DIV/0!</v>
          </cell>
        </row>
        <row r="165">
          <cell r="E165">
            <v>0</v>
          </cell>
          <cell r="F165">
            <v>0</v>
          </cell>
          <cell r="G165">
            <v>0</v>
          </cell>
          <cell r="H165" t="e">
            <v>#DIV/0!</v>
          </cell>
          <cell r="I165" t="e">
            <v>#DIV/0!</v>
          </cell>
          <cell r="J165" t="e">
            <v>#DIV/0!</v>
          </cell>
          <cell r="K165" t="e">
            <v>#DIV/0!</v>
          </cell>
          <cell r="L165" t="e">
            <v>#DIV/0!</v>
          </cell>
          <cell r="M165" t="e">
            <v>#DIV/0!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#DIV/0!</v>
          </cell>
          <cell r="AC165" t="e">
            <v>#REF!</v>
          </cell>
          <cell r="AD165" t="e">
            <v>#REF!</v>
          </cell>
          <cell r="AE165" t="e">
            <v>#DIV/0!</v>
          </cell>
          <cell r="AF165" t="e">
            <v>#DIV/0!</v>
          </cell>
          <cell r="AG165" t="e">
            <v>#DIV/0!</v>
          </cell>
          <cell r="AH165" t="e">
            <v>#DIV/0!</v>
          </cell>
          <cell r="AI165" t="e">
            <v>#DIV/0!</v>
          </cell>
          <cell r="AJ165">
            <v>24.620875880387917</v>
          </cell>
          <cell r="AK165">
            <v>23.794090654571598</v>
          </cell>
          <cell r="AL165">
            <v>21.842995015091496</v>
          </cell>
          <cell r="AM165">
            <v>19.232424472681299</v>
          </cell>
          <cell r="AN165">
            <v>21.378728542713162</v>
          </cell>
          <cell r="AO165">
            <v>25.612294776058953</v>
          </cell>
          <cell r="AP165">
            <v>26.817023965267683</v>
          </cell>
          <cell r="AQ165">
            <v>26.376534672712232</v>
          </cell>
          <cell r="AR165">
            <v>22.787078141681686</v>
          </cell>
          <cell r="AS165">
            <v>31.251517361652535</v>
          </cell>
          <cell r="AT165">
            <v>26.361869305400404</v>
          </cell>
          <cell r="AU165">
            <v>23.160637970725926</v>
          </cell>
          <cell r="AV165">
            <v>34.612426224349662</v>
          </cell>
          <cell r="AW165">
            <v>0</v>
          </cell>
          <cell r="AX165">
            <v>24.567112030442768</v>
          </cell>
          <cell r="AY165">
            <v>27.851714328503054</v>
          </cell>
          <cell r="AZ165">
            <v>26.106505378919088</v>
          </cell>
          <cell r="BA165">
            <v>20.568431197266463</v>
          </cell>
          <cell r="BB165">
            <v>25.786854794698353</v>
          </cell>
          <cell r="BC165">
            <v>22.871786703078357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 t="e">
            <v>#VALUE!</v>
          </cell>
          <cell r="BQ165" t="e">
            <v>#VALUE!</v>
          </cell>
          <cell r="BR165" t="e">
            <v>#VALUE!</v>
          </cell>
        </row>
        <row r="166">
          <cell r="E166" t="e">
            <v>#DIV/0!</v>
          </cell>
          <cell r="F166" t="e">
            <v>#DIV/0!</v>
          </cell>
          <cell r="G166" t="e">
            <v>#DIV/0!</v>
          </cell>
          <cell r="H166" t="e">
            <v>#DIV/0!</v>
          </cell>
          <cell r="I166" t="e">
            <v>#DIV/0!</v>
          </cell>
          <cell r="J166" t="e">
            <v>#DIV/0!</v>
          </cell>
          <cell r="K166" t="e">
            <v>#DIV/0!</v>
          </cell>
          <cell r="L166" t="e">
            <v>#DIV/0!</v>
          </cell>
          <cell r="M166" t="e">
            <v>#DIV/0!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>
            <v>481.96644573322277</v>
          </cell>
          <cell r="AC166" t="e">
            <v>#REF!</v>
          </cell>
          <cell r="AD166" t="e">
            <v>#REF!</v>
          </cell>
          <cell r="AE166">
            <v>48.145664170721098</v>
          </cell>
          <cell r="AF166">
            <v>49.570157238380958</v>
          </cell>
          <cell r="AG166">
            <v>65.828695967929647</v>
          </cell>
          <cell r="AH166">
            <v>57.206480980966589</v>
          </cell>
          <cell r="AI166">
            <v>20.964411582670206</v>
          </cell>
          <cell r="AJ166">
            <v>22.39967741345399</v>
          </cell>
          <cell r="AK166">
            <v>21.313710185638477</v>
          </cell>
          <cell r="AL166">
            <v>15.510183984273413</v>
          </cell>
          <cell r="AM166">
            <v>12.728613279088629</v>
          </cell>
          <cell r="AN166">
            <v>13.841464775175623</v>
          </cell>
          <cell r="AO166">
            <v>12.048989018968266</v>
          </cell>
          <cell r="AP166">
            <v>16.85573991377564</v>
          </cell>
          <cell r="AQ166">
            <v>14.442295552082374</v>
          </cell>
          <cell r="AR166">
            <v>14.056043685491119</v>
          </cell>
          <cell r="AS166">
            <v>18.177327472826089</v>
          </cell>
          <cell r="AT166">
            <v>16.887736865452649</v>
          </cell>
          <cell r="AU166">
            <v>15.384041191394665</v>
          </cell>
          <cell r="AV166">
            <v>17.080070560918596</v>
          </cell>
          <cell r="AW166">
            <v>16.546512607901107</v>
          </cell>
          <cell r="AX166">
            <v>14.23543003695479</v>
          </cell>
          <cell r="AY166">
            <v>13.71463721535892</v>
          </cell>
          <cell r="AZ166">
            <v>13.9990727570605</v>
          </cell>
          <cell r="BA166">
            <v>14.298210270919055</v>
          </cell>
          <cell r="BB166">
            <v>15.112644024778042</v>
          </cell>
          <cell r="BC166">
            <v>14.742188864633695</v>
          </cell>
          <cell r="BD166">
            <v>14.300619140599252</v>
          </cell>
          <cell r="BE166">
            <v>13.557070746287312</v>
          </cell>
          <cell r="BF166">
            <v>14.036167281739374</v>
          </cell>
          <cell r="BG166">
            <v>13.693663055405958</v>
          </cell>
          <cell r="BH166">
            <v>12.922688063055668</v>
          </cell>
          <cell r="BI166">
            <v>13.23757172677152</v>
          </cell>
          <cell r="BJ166">
            <v>12.983468438198718</v>
          </cell>
          <cell r="BK166">
            <v>12.632526153745305</v>
          </cell>
          <cell r="BL166">
            <v>12.709461470165506</v>
          </cell>
          <cell r="BM166">
            <v>12.447052307089683</v>
          </cell>
          <cell r="BN166">
            <v>12.176391553286669</v>
          </cell>
          <cell r="BO166">
            <v>12.207725108011598</v>
          </cell>
          <cell r="BP166" t="e">
            <v>#VALUE!</v>
          </cell>
          <cell r="BQ166" t="e">
            <v>#VALUE!</v>
          </cell>
          <cell r="BR166" t="e">
            <v>#VALUE!</v>
          </cell>
        </row>
        <row r="167">
          <cell r="E167" t="e">
            <v>#DIV/0!</v>
          </cell>
          <cell r="F167" t="e">
            <v>#DIV/0!</v>
          </cell>
          <cell r="G167" t="e">
            <v>#DIV/0!</v>
          </cell>
          <cell r="H167" t="e">
            <v>#DIV/0!</v>
          </cell>
          <cell r="I167" t="e">
            <v>#DIV/0!</v>
          </cell>
          <cell r="J167" t="e">
            <v>#DIV/0!</v>
          </cell>
          <cell r="K167" t="e">
            <v>#DIV/0!</v>
          </cell>
          <cell r="L167" t="e">
            <v>#DIV/0!</v>
          </cell>
          <cell r="M167" t="e">
            <v>#DIV/0!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>
            <v>631.28974498100899</v>
          </cell>
          <cell r="AC167" t="e">
            <v>#REF!</v>
          </cell>
          <cell r="AD167" t="e">
            <v>#REF!</v>
          </cell>
          <cell r="AE167">
            <v>125.99903304861844</v>
          </cell>
          <cell r="AF167">
            <v>173.95551610456818</v>
          </cell>
          <cell r="AG167">
            <v>206.10289372010897</v>
          </cell>
          <cell r="AH167">
            <v>190.56756975624592</v>
          </cell>
          <cell r="AI167">
            <v>31.825538513163114</v>
          </cell>
          <cell r="AJ167">
            <v>33.493226681324472</v>
          </cell>
          <cell r="AK167">
            <v>32.120732803408551</v>
          </cell>
          <cell r="AL167">
            <v>23.224771991111929</v>
          </cell>
          <cell r="AM167">
            <v>17.529333415955179</v>
          </cell>
          <cell r="AN167">
            <v>19.783996910775492</v>
          </cell>
          <cell r="AO167">
            <v>17.695453681024283</v>
          </cell>
          <cell r="AP167">
            <v>27.894693919860977</v>
          </cell>
          <cell r="AQ167">
            <v>22.400437661835245</v>
          </cell>
          <cell r="AR167">
            <v>21.627544993573693</v>
          </cell>
          <cell r="AS167">
            <v>31.285497521202299</v>
          </cell>
          <cell r="AT167">
            <v>27.389360127563663</v>
          </cell>
          <cell r="AU167">
            <v>24.887499986642567</v>
          </cell>
          <cell r="AV167">
            <v>28.698565558692358</v>
          </cell>
          <cell r="AW167">
            <v>27.048090806623875</v>
          </cell>
          <cell r="AX167">
            <v>22.117161958913986</v>
          </cell>
          <cell r="AY167">
            <v>21.8709553737873</v>
          </cell>
          <cell r="AZ167">
            <v>22.039458558525322</v>
          </cell>
          <cell r="BA167">
            <v>21.328398216323865</v>
          </cell>
          <cell r="BB167">
            <v>23.244717650886702</v>
          </cell>
          <cell r="BC167">
            <v>22.335668765426689</v>
          </cell>
          <cell r="BD167">
            <v>20.238550024462107</v>
          </cell>
          <cell r="BE167">
            <v>20.082369583262896</v>
          </cell>
          <cell r="BF167">
            <v>20.436790948875693</v>
          </cell>
          <cell r="BG167">
            <v>19.133952330697454</v>
          </cell>
          <cell r="BH167">
            <v>18.666834179203008</v>
          </cell>
          <cell r="BI167">
            <v>18.811596835757694</v>
          </cell>
          <cell r="BJ167">
            <v>17.904163859081795</v>
          </cell>
          <cell r="BK167">
            <v>17.37279995862588</v>
          </cell>
          <cell r="BL167">
            <v>17.502279145781557</v>
          </cell>
          <cell r="BM167">
            <v>16.98446341375363</v>
          </cell>
          <cell r="BN167">
            <v>16.482850547779446</v>
          </cell>
          <cell r="BO167">
            <v>16.591143581232256</v>
          </cell>
          <cell r="BP167" t="e">
            <v>#VALUE!</v>
          </cell>
          <cell r="BQ167" t="e">
            <v>#VALUE!</v>
          </cell>
          <cell r="BR167" t="e">
            <v>#VALUE!</v>
          </cell>
        </row>
        <row r="168">
          <cell r="E168" t="e">
            <v>#DIV/0!</v>
          </cell>
          <cell r="F168" t="e">
            <v>#DIV/0!</v>
          </cell>
          <cell r="G168" t="e">
            <v>#DIV/0!</v>
          </cell>
          <cell r="H168" t="e">
            <v>#DIV/0!</v>
          </cell>
          <cell r="I168" t="e">
            <v>#DIV/0!</v>
          </cell>
          <cell r="J168" t="e">
            <v>#DIV/0!</v>
          </cell>
          <cell r="K168" t="e">
            <v>#DIV/0!</v>
          </cell>
          <cell r="L168" t="e">
            <v>#DIV/0!</v>
          </cell>
          <cell r="M168" t="e">
            <v>#DIV/0!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>
            <v>0.58763388510223957</v>
          </cell>
          <cell r="AC168" t="e">
            <v>#REF!</v>
          </cell>
          <cell r="AD168" t="e">
            <v>#REF!</v>
          </cell>
          <cell r="AE168">
            <v>8.3356293049467745</v>
          </cell>
          <cell r="AF168">
            <v>10.620912385303761</v>
          </cell>
          <cell r="AG168">
            <v>9.0702354364414681</v>
          </cell>
          <cell r="AH168">
            <v>9.8742925631267529</v>
          </cell>
          <cell r="AI168">
            <v>25.227234706964811</v>
          </cell>
          <cell r="AJ168">
            <v>20.943834244236708</v>
          </cell>
          <cell r="AK168">
            <v>22.974115309632932</v>
          </cell>
          <cell r="AL168">
            <v>18.260811811462808</v>
          </cell>
          <cell r="AM168">
            <v>24.05446197156617</v>
          </cell>
          <cell r="AN168">
            <v>21.022527543504808</v>
          </cell>
          <cell r="AO168">
            <v>21.020904969972555</v>
          </cell>
          <cell r="AP168">
            <v>19.228049312015983</v>
          </cell>
          <cell r="AQ168">
            <v>20.134787347565329</v>
          </cell>
          <cell r="AR168">
            <v>21.689089659235979</v>
          </cell>
          <cell r="AS168">
            <v>17.698547564846582</v>
          </cell>
          <cell r="AT168">
            <v>19.555850106552555</v>
          </cell>
          <cell r="AU168">
            <v>18.088490249738513</v>
          </cell>
          <cell r="AV168">
            <v>16.945107806597267</v>
          </cell>
          <cell r="AW168">
            <v>17.728918322295804</v>
          </cell>
          <cell r="AX168">
            <v>18.78604037811883</v>
          </cell>
          <cell r="AY168">
            <v>18.871139696299842</v>
          </cell>
          <cell r="AZ168">
            <v>18.829376379719282</v>
          </cell>
          <cell r="BA168">
            <v>19.759325732901441</v>
          </cell>
          <cell r="BB168">
            <v>19.971005680600161</v>
          </cell>
          <cell r="BC168">
            <v>19.867111363108545</v>
          </cell>
          <cell r="BD168">
            <v>20.559562149603437</v>
          </cell>
          <cell r="BE168">
            <v>21.069199477248443</v>
          </cell>
          <cell r="BF168">
            <v>20.583279684155883</v>
          </cell>
          <cell r="BG168">
            <v>20.287676639102678</v>
          </cell>
          <cell r="BH168">
            <v>20.47875353449032</v>
          </cell>
          <cell r="BI168">
            <v>20.385095461635906</v>
          </cell>
          <cell r="BJ168">
            <v>20.102326071295565</v>
          </cell>
          <cell r="BK168">
            <v>19.513547336809435</v>
          </cell>
          <cell r="BL168">
            <v>19.801769084313349</v>
          </cell>
          <cell r="BM168">
            <v>19.293890803447344</v>
          </cell>
          <cell r="BN168">
            <v>18.552330771911691</v>
          </cell>
          <cell r="BO168">
            <v>18.914891997404535</v>
          </cell>
          <cell r="BP168">
            <v>18.883157202618264</v>
          </cell>
          <cell r="BQ168">
            <v>18.080070929004904</v>
          </cell>
          <cell r="BR168">
            <v>18.472256258216902</v>
          </cell>
        </row>
        <row r="169">
          <cell r="E169" t="str">
            <v>n/a</v>
          </cell>
          <cell r="F169" t="str">
            <v>n/a</v>
          </cell>
          <cell r="G169" t="str">
            <v>n/a</v>
          </cell>
          <cell r="H169" t="e">
            <v>#DIV/0!</v>
          </cell>
          <cell r="I169" t="e">
            <v>#DIV/0!</v>
          </cell>
          <cell r="J169" t="e">
            <v>#DIV/0!</v>
          </cell>
          <cell r="K169" t="e">
            <v>#DIV/0!</v>
          </cell>
          <cell r="L169" t="e">
            <v>#DIV/0!</v>
          </cell>
          <cell r="M169" t="e">
            <v>#DIV/0!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>
            <v>1554.3496271748133</v>
          </cell>
          <cell r="AF169" t="e">
            <v>#REF!</v>
          </cell>
          <cell r="AG169" t="e">
            <v>#REF!</v>
          </cell>
          <cell r="AH169">
            <v>-11.706229967948712</v>
          </cell>
          <cell r="AI169">
            <v>153.04586596155801</v>
          </cell>
          <cell r="AJ169">
            <v>193.99807630650847</v>
          </cell>
          <cell r="AK169">
            <v>171.15793653044437</v>
          </cell>
          <cell r="AL169">
            <v>31.35399083674945</v>
          </cell>
          <cell r="AM169">
            <v>71.065890204802741</v>
          </cell>
          <cell r="AN169">
            <v>50.396912553732243</v>
          </cell>
          <cell r="AO169">
            <v>14.004008138663258</v>
          </cell>
          <cell r="AP169">
            <v>-15.066554467564266</v>
          </cell>
          <cell r="AQ169">
            <v>-1.8518904860256207</v>
          </cell>
          <cell r="AR169">
            <v>18.549133801210388</v>
          </cell>
          <cell r="AS169">
            <v>24.296329655482978</v>
          </cell>
          <cell r="AT169">
            <v>21.261761705022089</v>
          </cell>
          <cell r="AU169">
            <v>14.321289504663607</v>
          </cell>
          <cell r="AV169">
            <v>17.501634273003134</v>
          </cell>
          <cell r="AW169">
            <v>17.316411910437974</v>
          </cell>
          <cell r="AX169">
            <v>5.264893091237834</v>
          </cell>
          <cell r="AY169">
            <v>13.901703656083347</v>
          </cell>
          <cell r="AZ169">
            <v>8.143161772227641</v>
          </cell>
          <cell r="BA169">
            <v>10.699978090713287</v>
          </cell>
          <cell r="BB169">
            <v>11.359605553252752</v>
          </cell>
          <cell r="BC169">
            <v>11.036632013658624</v>
          </cell>
          <cell r="BD169">
            <v>11.177369091545188</v>
          </cell>
          <cell r="BE169">
            <v>12.721077319245227</v>
          </cell>
          <cell r="BF169">
            <v>10.699466713837136</v>
          </cell>
          <cell r="BG169">
            <v>5.3215476065213823</v>
          </cell>
          <cell r="BH169">
            <v>4.0160775003130675</v>
          </cell>
          <cell r="BI169">
            <v>5.8475864723511943</v>
          </cell>
          <cell r="BJ169">
            <v>4.2187212183294127</v>
          </cell>
          <cell r="BK169">
            <v>0.47704880501471458</v>
          </cell>
          <cell r="BL169">
            <v>2.3022988490958207</v>
          </cell>
          <cell r="BM169">
            <v>2.4369208411482877</v>
          </cell>
          <cell r="BN169">
            <v>1.718903343308626</v>
          </cell>
          <cell r="BO169">
            <v>2.0757256370919714</v>
          </cell>
          <cell r="BP169">
            <v>4.1511602240349896</v>
          </cell>
          <cell r="BQ169">
            <v>3.9442047892576575</v>
          </cell>
          <cell r="BR169">
            <v>4.0474162270423522</v>
          </cell>
        </row>
        <row r="170">
          <cell r="E170" t="str">
            <v>n/a</v>
          </cell>
          <cell r="F170" t="str">
            <v>n/a</v>
          </cell>
          <cell r="G170" t="str">
            <v>n/a</v>
          </cell>
          <cell r="H170" t="e">
            <v>#DIV/0!</v>
          </cell>
          <cell r="I170" t="e">
            <v>#DIV/0!</v>
          </cell>
          <cell r="J170" t="e">
            <v>#DIV/0!</v>
          </cell>
          <cell r="K170" t="e">
            <v>#DIV/0!</v>
          </cell>
          <cell r="L170" t="e">
            <v>#DIV/0!</v>
          </cell>
          <cell r="M170" t="e">
            <v>#DIV/0!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>
            <v>-128.09372711740295</v>
          </cell>
          <cell r="AF170" t="e">
            <v>#REF!</v>
          </cell>
          <cell r="AG170" t="e">
            <v>#REF!</v>
          </cell>
          <cell r="AH170">
            <v>406.16854908775008</v>
          </cell>
          <cell r="AI170">
            <v>-1560.5442176870752</v>
          </cell>
          <cell r="AJ170">
            <v>-659.3727726300782</v>
          </cell>
          <cell r="AK170">
            <v>-909.49193271541355</v>
          </cell>
          <cell r="AL170">
            <v>46.18706863699876</v>
          </cell>
          <cell r="AM170">
            <v>115.65579340808708</v>
          </cell>
          <cell r="AN170">
            <v>80.867666080023781</v>
          </cell>
          <cell r="AO170">
            <v>35.380159304851553</v>
          </cell>
          <cell r="AP170">
            <v>-10.245401189585202</v>
          </cell>
          <cell r="AQ170">
            <v>8.2216673114573489</v>
          </cell>
          <cell r="AR170">
            <v>23.46170303808303</v>
          </cell>
          <cell r="AS170">
            <v>-9.4729219696305176</v>
          </cell>
          <cell r="AT170">
            <v>7.2027472051304127</v>
          </cell>
          <cell r="AU170">
            <v>-7.9003916403840106</v>
          </cell>
          <cell r="AV170">
            <v>12.712042608281635</v>
          </cell>
          <cell r="AW170">
            <v>3.2113660937136821</v>
          </cell>
          <cell r="AX170">
            <v>2.9376852717097819</v>
          </cell>
          <cell r="AY170">
            <v>30.674190116347194</v>
          </cell>
          <cell r="AZ170">
            <v>13.052746518086064</v>
          </cell>
          <cell r="BA170">
            <v>27.602269211411297</v>
          </cell>
          <cell r="BB170">
            <v>16.332973604226954</v>
          </cell>
          <cell r="BC170">
            <v>21.672186090587271</v>
          </cell>
          <cell r="BD170">
            <v>18.330227563083351</v>
          </cell>
          <cell r="BE170">
            <v>19.988980972614037</v>
          </cell>
          <cell r="BF170">
            <v>16.988780503554217</v>
          </cell>
          <cell r="BG170">
            <v>8.2938057055419296</v>
          </cell>
          <cell r="BH170">
            <v>8.7149579742964125</v>
          </cell>
          <cell r="BI170">
            <v>10.525410760738772</v>
          </cell>
          <cell r="BJ170">
            <v>7.825149459025865</v>
          </cell>
          <cell r="BK170">
            <v>8.4416167793803698</v>
          </cell>
          <cell r="BL170">
            <v>8.1380525856935169</v>
          </cell>
          <cell r="BM170">
            <v>6.225069568426763</v>
          </cell>
          <cell r="BN170">
            <v>6.0355244095647311</v>
          </cell>
          <cell r="BO170">
            <v>6.1285911934019301</v>
          </cell>
          <cell r="BP170" t="e">
            <v>#VALUE!</v>
          </cell>
          <cell r="BQ170" t="e">
            <v>#VALUE!</v>
          </cell>
          <cell r="BR170" t="e">
            <v>#VALUE!</v>
          </cell>
        </row>
        <row r="171">
          <cell r="E171" t="e">
            <v>#DIV/0!</v>
          </cell>
          <cell r="F171" t="e">
            <v>#DIV/0!</v>
          </cell>
          <cell r="G171" t="e">
            <v>#DIV/0!</v>
          </cell>
          <cell r="H171" t="e">
            <v>#DIV/0!</v>
          </cell>
          <cell r="I171" t="e">
            <v>#DIV/0!</v>
          </cell>
          <cell r="J171" t="e">
            <v>#DIV/0!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>
            <v>10.227272727272727</v>
          </cell>
          <cell r="AB171">
            <v>10.227272727272727</v>
          </cell>
          <cell r="AC171">
            <v>3.6808881048806059</v>
          </cell>
          <cell r="AD171">
            <v>4.0084471461277342</v>
          </cell>
          <cell r="AE171">
            <v>7.1548117154811717</v>
          </cell>
          <cell r="AF171">
            <v>3.4862832006984319</v>
          </cell>
          <cell r="AG171">
            <v>4.0138317787569395</v>
          </cell>
          <cell r="AH171">
            <v>7.4088304299132659</v>
          </cell>
          <cell r="AI171">
            <v>4.1910793949382601</v>
          </cell>
          <cell r="AJ171">
            <v>3.9074137733470851</v>
          </cell>
          <cell r="AK171">
            <v>8.7469671833041893</v>
          </cell>
          <cell r="AL171">
            <v>5.9770101880209783</v>
          </cell>
          <cell r="AM171">
            <v>6.5580188077103116</v>
          </cell>
          <cell r="AN171">
            <v>15.509978298795799</v>
          </cell>
          <cell r="AO171">
            <v>10.331997710360618</v>
          </cell>
          <cell r="AP171">
            <v>3.7940752802655484</v>
          </cell>
          <cell r="AQ171">
            <v>10.576814680278074</v>
          </cell>
          <cell r="AR171">
            <v>6.4507989907485284</v>
          </cell>
          <cell r="AS171">
            <v>2.6503711995866674</v>
          </cell>
          <cell r="AT171">
            <v>4.0656657296978125</v>
          </cell>
          <cell r="AU171">
            <v>3.2311422774877085</v>
          </cell>
          <cell r="AV171">
            <v>2.2183567333463503</v>
          </cell>
          <cell r="AW171">
            <v>4.1010667565984491</v>
          </cell>
          <cell r="AX171">
            <v>5.4654468131099172</v>
          </cell>
          <cell r="AY171">
            <v>3.4195642748565325</v>
          </cell>
          <cell r="AZ171">
            <v>8.6338012721689914</v>
          </cell>
          <cell r="BA171">
            <v>3.4521671149928164</v>
          </cell>
          <cell r="BB171">
            <v>3.4542578995066591</v>
          </cell>
          <cell r="BC171">
            <v>6.755530132408742</v>
          </cell>
          <cell r="BD171">
            <v>3.445814160075563</v>
          </cell>
          <cell r="BE171">
            <v>3.4417077236593534</v>
          </cell>
          <cell r="BF171">
            <v>7.1486605275238633</v>
          </cell>
          <cell r="BG171">
            <v>3.5310420399372933</v>
          </cell>
          <cell r="BH171">
            <v>3.5353837189675761</v>
          </cell>
          <cell r="BI171">
            <v>7.5602931468346082</v>
          </cell>
          <cell r="BJ171">
            <v>3.5752337586818452</v>
          </cell>
          <cell r="BK171">
            <v>3.5986842306622768</v>
          </cell>
          <cell r="BL171">
            <v>8.2883235507626676</v>
          </cell>
          <cell r="BM171">
            <v>3.6092167035081832</v>
          </cell>
          <cell r="BN171">
            <v>3.6705089344190367</v>
          </cell>
          <cell r="BO171">
            <v>9.3052120012119364</v>
          </cell>
          <cell r="BP171" t="e">
            <v>#VALUE!</v>
          </cell>
          <cell r="BQ171" t="e">
            <v>#VALUE!</v>
          </cell>
          <cell r="BR171" t="e">
            <v>#VALUE!</v>
          </cell>
        </row>
        <row r="172">
          <cell r="BC172">
            <v>-303.524</v>
          </cell>
        </row>
        <row r="173">
          <cell r="E173" t="str">
            <v>1H89(a)</v>
          </cell>
          <cell r="F173" t="str">
            <v>2H89(a)</v>
          </cell>
          <cell r="G173" t="str">
            <v>FY89(a)</v>
          </cell>
          <cell r="H173" t="str">
            <v>1H90(a)</v>
          </cell>
          <cell r="I173" t="str">
            <v>2H90(a)</v>
          </cell>
          <cell r="J173" t="str">
            <v>FY90(a)</v>
          </cell>
          <cell r="K173" t="str">
            <v>1H91(a)</v>
          </cell>
          <cell r="L173" t="str">
            <v>2H91(a)</v>
          </cell>
          <cell r="M173" t="str">
            <v>FY91(a)</v>
          </cell>
          <cell r="N173" t="str">
            <v>1H92(a)</v>
          </cell>
          <cell r="O173" t="str">
            <v>2H92(a)</v>
          </cell>
          <cell r="P173" t="str">
            <v>FY92(a)</v>
          </cell>
          <cell r="Q173" t="str">
            <v>1H93(a)</v>
          </cell>
          <cell r="R173" t="str">
            <v>2H93(a)</v>
          </cell>
          <cell r="S173" t="str">
            <v>FY93(a)</v>
          </cell>
          <cell r="T173" t="str">
            <v>1H94(a)</v>
          </cell>
          <cell r="U173" t="str">
            <v>2H94(a)</v>
          </cell>
          <cell r="V173" t="str">
            <v>FY94(a)</v>
          </cell>
          <cell r="W173" t="str">
            <v>1H95(a)</v>
          </cell>
          <cell r="X173" t="str">
            <v>2H95(a)</v>
          </cell>
          <cell r="Y173" t="str">
            <v>FY95(a)</v>
          </cell>
          <cell r="Z173" t="str">
            <v>1H96(a)</v>
          </cell>
          <cell r="AA173" t="str">
            <v>2H96(a)</v>
          </cell>
          <cell r="AB173" t="str">
            <v>FY96(a)</v>
          </cell>
          <cell r="AC173" t="str">
            <v>1H97(a)</v>
          </cell>
          <cell r="AD173" t="str">
            <v>2H97(a)</v>
          </cell>
          <cell r="AE173" t="str">
            <v>FY97(a)</v>
          </cell>
          <cell r="AF173" t="str">
            <v>1H98(a)</v>
          </cell>
          <cell r="AG173" t="str">
            <v>2H98(a)</v>
          </cell>
          <cell r="AH173" t="str">
            <v>FY98(a)</v>
          </cell>
          <cell r="AI173" t="str">
            <v>1H99(a)</v>
          </cell>
          <cell r="AJ173" t="str">
            <v>2H99(a)</v>
          </cell>
          <cell r="AK173" t="str">
            <v>FY99(a)</v>
          </cell>
          <cell r="AL173" t="str">
            <v>1H00(a)</v>
          </cell>
          <cell r="AM173" t="str">
            <v>2H00(a)</v>
          </cell>
          <cell r="AN173" t="str">
            <v>FY00(a)</v>
          </cell>
          <cell r="AO173" t="str">
            <v>1H01(a)</v>
          </cell>
          <cell r="AP173" t="str">
            <v>2H01(a)</v>
          </cell>
          <cell r="AQ173" t="str">
            <v>FY01(a)</v>
          </cell>
          <cell r="AR173" t="str">
            <v>1H02(a)</v>
          </cell>
          <cell r="AS173" t="str">
            <v>2H02(a)</v>
          </cell>
          <cell r="AT173" t="str">
            <v>FY02(a)</v>
          </cell>
          <cell r="AU173" t="str">
            <v>1H03(e)</v>
          </cell>
          <cell r="AV173" t="str">
            <v>2H03(e)</v>
          </cell>
          <cell r="AW173" t="str">
            <v>FY03(e)</v>
          </cell>
          <cell r="AX173" t="str">
            <v>1H04(e)</v>
          </cell>
          <cell r="AY173" t="str">
            <v>2H04(e)</v>
          </cell>
          <cell r="AZ173" t="str">
            <v>FY04(e)</v>
          </cell>
          <cell r="BA173" t="str">
            <v>1H05(e)</v>
          </cell>
          <cell r="BB173" t="str">
            <v>2H05(e)</v>
          </cell>
          <cell r="BC173" t="str">
            <v>FY05(e)</v>
          </cell>
          <cell r="BD173" t="str">
            <v>1H06(e)</v>
          </cell>
          <cell r="BE173" t="str">
            <v>2H06(e)</v>
          </cell>
          <cell r="BF173" t="str">
            <v>FY06(e)</v>
          </cell>
          <cell r="BG173" t="str">
            <v>1H07(e)</v>
          </cell>
          <cell r="BH173" t="str">
            <v>2H07(e)</v>
          </cell>
          <cell r="BI173" t="str">
            <v>FY07(e)</v>
          </cell>
          <cell r="BJ173" t="str">
            <v>1H08(e)</v>
          </cell>
          <cell r="BK173" t="str">
            <v>2H08(e)</v>
          </cell>
          <cell r="BL173" t="str">
            <v>FY08(e)</v>
          </cell>
          <cell r="BM173" t="str">
            <v>1H09(e)</v>
          </cell>
          <cell r="BN173" t="str">
            <v>2H09(e)</v>
          </cell>
          <cell r="BO173" t="str">
            <v>FY09(e)</v>
          </cell>
          <cell r="BP173" t="str">
            <v>1H10(e)</v>
          </cell>
          <cell r="BQ173" t="str">
            <v>2H10(e)</v>
          </cell>
          <cell r="BR173" t="str">
            <v>FY10(e)</v>
          </cell>
        </row>
        <row r="174">
          <cell r="I174">
            <v>0</v>
          </cell>
          <cell r="L174">
            <v>0</v>
          </cell>
          <cell r="O174">
            <v>0</v>
          </cell>
          <cell r="R174">
            <v>0</v>
          </cell>
          <cell r="U174">
            <v>0</v>
          </cell>
          <cell r="X174">
            <v>-0.752</v>
          </cell>
          <cell r="Y174">
            <v>-0.752</v>
          </cell>
          <cell r="AA174">
            <v>-0.13200000000000001</v>
          </cell>
          <cell r="AB174">
            <v>-0.13200000000000001</v>
          </cell>
          <cell r="AC174">
            <v>-1.4359999999999999</v>
          </cell>
          <cell r="AD174">
            <v>-0.1160000000000001</v>
          </cell>
          <cell r="AE174">
            <v>-1.552</v>
          </cell>
          <cell r="AF174">
            <v>-0.42099999999999999</v>
          </cell>
          <cell r="AG174">
            <v>-5.8999999999999997E-2</v>
          </cell>
          <cell r="AH174">
            <v>-0.48</v>
          </cell>
          <cell r="AI174">
            <v>0</v>
          </cell>
          <cell r="AJ174">
            <v>-0.13400000000000001</v>
          </cell>
          <cell r="AK174">
            <v>-0.13400000000000001</v>
          </cell>
          <cell r="AL174">
            <v>-2.1179999999999999</v>
          </cell>
          <cell r="AM174">
            <v>-0.15100000000000025</v>
          </cell>
          <cell r="AN174">
            <v>-2.2690000000000001</v>
          </cell>
          <cell r="AO174">
            <v>-12.285</v>
          </cell>
          <cell r="AP174">
            <v>-8.3909999999999982</v>
          </cell>
          <cell r="AQ174">
            <v>-20.675999999999998</v>
          </cell>
          <cell r="AR174">
            <v>-12.512</v>
          </cell>
          <cell r="AS174">
            <v>-15.943999999999999</v>
          </cell>
          <cell r="AT174">
            <v>-28.456</v>
          </cell>
          <cell r="AU174">
            <v>-9.2141999999999999</v>
          </cell>
          <cell r="AV174">
            <v>-31.207799999999999</v>
          </cell>
          <cell r="AW174">
            <v>-40.421999999999997</v>
          </cell>
          <cell r="AX174">
            <v>-10.0764</v>
          </cell>
          <cell r="AY174">
            <v>-23.511600000000001</v>
          </cell>
          <cell r="AZ174">
            <v>-33.588000000000001</v>
          </cell>
          <cell r="BA174">
            <v>-7.5282566859664755</v>
          </cell>
          <cell r="BB174">
            <v>-30.113026743865902</v>
          </cell>
          <cell r="BC174">
            <v>-37.641283429832377</v>
          </cell>
          <cell r="BD174">
            <v>-9.0297613677826849</v>
          </cell>
          <cell r="BE174">
            <v>-36.11904547113074</v>
          </cell>
          <cell r="BF174">
            <v>-45.148806838913423</v>
          </cell>
          <cell r="BG174">
            <v>-10.461875023528695</v>
          </cell>
          <cell r="BH174">
            <v>-41.847500094114778</v>
          </cell>
          <cell r="BI174">
            <v>-52.309375117643469</v>
          </cell>
          <cell r="BJ174">
            <v>-11.499877878465794</v>
          </cell>
          <cell r="BK174">
            <v>-45.999511513863169</v>
          </cell>
          <cell r="BL174">
            <v>-57.499389392328965</v>
          </cell>
          <cell r="BM174">
            <v>-12.386915671991714</v>
          </cell>
          <cell r="BN174">
            <v>-49.547662687966849</v>
          </cell>
          <cell r="BO174">
            <v>-61.934578359958564</v>
          </cell>
          <cell r="BP174">
            <v>-13.109287547839111</v>
          </cell>
          <cell r="BQ174">
            <v>-52.437150191356444</v>
          </cell>
          <cell r="BR174">
            <v>-65.546437739195554</v>
          </cell>
        </row>
        <row r="175">
          <cell r="I175">
            <v>0</v>
          </cell>
          <cell r="L175">
            <v>0</v>
          </cell>
          <cell r="O175">
            <v>0</v>
          </cell>
          <cell r="R175">
            <v>0</v>
          </cell>
          <cell r="U175">
            <v>0</v>
          </cell>
          <cell r="X175">
            <v>0</v>
          </cell>
          <cell r="AA175">
            <v>6.0060000000000002</v>
          </cell>
          <cell r="AB175">
            <v>6.0060000000000002</v>
          </cell>
          <cell r="AC175">
            <v>-5.2779999999999996</v>
          </cell>
          <cell r="AD175">
            <v>21.692</v>
          </cell>
          <cell r="AE175">
            <v>16.414000000000001</v>
          </cell>
          <cell r="AF175">
            <v>-3.06</v>
          </cell>
          <cell r="AG175">
            <v>-28.501000000000001</v>
          </cell>
          <cell r="AH175">
            <v>-31.561</v>
          </cell>
          <cell r="AI175">
            <v>23.260999999999999</v>
          </cell>
          <cell r="AJ175">
            <v>37.320000000000007</v>
          </cell>
          <cell r="AK175">
            <v>60.581000000000003</v>
          </cell>
          <cell r="AL175">
            <v>50.44</v>
          </cell>
          <cell r="AM175">
            <v>60.831000000000003</v>
          </cell>
          <cell r="AN175">
            <v>111.271</v>
          </cell>
          <cell r="AO175">
            <v>46.875</v>
          </cell>
          <cell r="AP175">
            <v>52.403000000000006</v>
          </cell>
          <cell r="AQ175">
            <v>99.278000000000006</v>
          </cell>
          <cell r="AR175">
            <v>76.533000000000001</v>
          </cell>
          <cell r="AS175">
            <v>-25.977999999999966</v>
          </cell>
          <cell r="AT175">
            <v>50.555000000000035</v>
          </cell>
          <cell r="AU175">
            <v>39.694000000000003</v>
          </cell>
          <cell r="AV175">
            <v>65.33799999999998</v>
          </cell>
          <cell r="AW175">
            <v>105.03199999999998</v>
          </cell>
          <cell r="AX175">
            <v>85.502747162419539</v>
          </cell>
          <cell r="AY175">
            <v>103.39892863635039</v>
          </cell>
          <cell r="AZ175">
            <v>188.90167579876993</v>
          </cell>
          <cell r="BA175">
            <v>59.47807856163594</v>
          </cell>
          <cell r="BB175">
            <v>113.30493467580179</v>
          </cell>
          <cell r="BC175">
            <v>172.78301323743773</v>
          </cell>
          <cell r="BD175">
            <v>56.115417685346742</v>
          </cell>
          <cell r="BE175">
            <v>124.60067206521386</v>
          </cell>
          <cell r="BF175">
            <v>180.7160897505606</v>
          </cell>
          <cell r="BG175">
            <v>68.489208171728734</v>
          </cell>
          <cell r="BH175">
            <v>132.69447924902067</v>
          </cell>
          <cell r="BI175">
            <v>201.18368742074941</v>
          </cell>
          <cell r="BJ175">
            <v>73.681631677072318</v>
          </cell>
          <cell r="BK175">
            <v>134.44688750309589</v>
          </cell>
          <cell r="BL175">
            <v>208.12851918016821</v>
          </cell>
          <cell r="BM175">
            <v>74.106798802845447</v>
          </cell>
          <cell r="BN175">
            <v>139.26328704533057</v>
          </cell>
          <cell r="BO175">
            <v>213.37008584817602</v>
          </cell>
          <cell r="BP175" t="e">
            <v>#VALUE!</v>
          </cell>
          <cell r="BQ175" t="e">
            <v>#VALUE!</v>
          </cell>
          <cell r="BR175" t="e">
            <v>#VALUE!</v>
          </cell>
        </row>
        <row r="176">
          <cell r="I176">
            <v>0</v>
          </cell>
          <cell r="L176">
            <v>0</v>
          </cell>
          <cell r="O176">
            <v>0</v>
          </cell>
          <cell r="R176">
            <v>0</v>
          </cell>
          <cell r="U176">
            <v>0</v>
          </cell>
          <cell r="X176">
            <v>0</v>
          </cell>
          <cell r="AA176">
            <v>0</v>
          </cell>
          <cell r="AC176">
            <v>1.264</v>
          </cell>
          <cell r="AD176">
            <v>6.4859999999999998</v>
          </cell>
          <cell r="AE176">
            <v>7.75</v>
          </cell>
          <cell r="AF176">
            <v>0.14299999999999999</v>
          </cell>
          <cell r="AG176">
            <v>0.35099999999999998</v>
          </cell>
          <cell r="AH176">
            <v>0.49399999999999999</v>
          </cell>
          <cell r="AJ176">
            <v>2.2080000000000002</v>
          </cell>
          <cell r="AK176">
            <v>2.2080000000000002</v>
          </cell>
          <cell r="AL176">
            <v>62.088999999999999</v>
          </cell>
          <cell r="AM176">
            <v>25.521000000000001</v>
          </cell>
          <cell r="AN176">
            <v>87.61</v>
          </cell>
          <cell r="AO176">
            <v>7.6999999999999999E-2</v>
          </cell>
          <cell r="AP176">
            <v>1.1100000000000001</v>
          </cell>
          <cell r="AQ176">
            <v>1.1870000000000001</v>
          </cell>
          <cell r="AR176">
            <v>-51.564</v>
          </cell>
          <cell r="AS176">
            <v>58.238999999999997</v>
          </cell>
          <cell r="AT176">
            <v>6.6749999999999998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I177">
            <v>0</v>
          </cell>
          <cell r="L177">
            <v>0</v>
          </cell>
          <cell r="O177">
            <v>0</v>
          </cell>
          <cell r="R177">
            <v>0</v>
          </cell>
          <cell r="U177">
            <v>0</v>
          </cell>
          <cell r="X177">
            <v>0</v>
          </cell>
          <cell r="AA177">
            <v>-4.9000000000000002E-2</v>
          </cell>
          <cell r="AB177">
            <v>-4.9000000000000002E-2</v>
          </cell>
          <cell r="AC177">
            <v>-48.889000000000003</v>
          </cell>
          <cell r="AD177">
            <v>-57.291000000000004</v>
          </cell>
          <cell r="AE177">
            <v>-106.18</v>
          </cell>
          <cell r="AF177">
            <v>-30.827000000000002</v>
          </cell>
          <cell r="AG177">
            <v>-8.2689999999999948</v>
          </cell>
          <cell r="AH177">
            <v>-39.095999999999997</v>
          </cell>
          <cell r="AI177">
            <v>-14.048999999999999</v>
          </cell>
          <cell r="AJ177">
            <v>-15.350999999999999</v>
          </cell>
          <cell r="AK177">
            <v>-29.4</v>
          </cell>
          <cell r="AL177">
            <v>-15.9</v>
          </cell>
          <cell r="AM177">
            <v>-26.024999999999999</v>
          </cell>
          <cell r="AN177">
            <v>-41.924999999999997</v>
          </cell>
          <cell r="AO177">
            <v>-37.213999999999999</v>
          </cell>
          <cell r="AP177">
            <v>-25.82</v>
          </cell>
          <cell r="AQ177">
            <v>-63.033999999999999</v>
          </cell>
          <cell r="AR177">
            <v>-29.259</v>
          </cell>
          <cell r="AS177">
            <v>-85.251999999999995</v>
          </cell>
          <cell r="AT177">
            <v>-114.511</v>
          </cell>
          <cell r="AU177">
            <v>-24.384</v>
          </cell>
          <cell r="AV177">
            <v>-79.14</v>
          </cell>
          <cell r="AW177">
            <v>-103.524</v>
          </cell>
          <cell r="AX177">
            <v>-30</v>
          </cell>
          <cell r="AY177">
            <v>-70</v>
          </cell>
          <cell r="AZ177">
            <v>-100</v>
          </cell>
          <cell r="BA177">
            <v>-25</v>
          </cell>
          <cell r="BB177">
            <v>-75</v>
          </cell>
          <cell r="BC177">
            <v>-100</v>
          </cell>
          <cell r="BD177">
            <v>-25</v>
          </cell>
          <cell r="BE177">
            <v>-55</v>
          </cell>
          <cell r="BF177">
            <v>-80</v>
          </cell>
          <cell r="BG177">
            <v>-25</v>
          </cell>
          <cell r="BH177">
            <v>-55</v>
          </cell>
          <cell r="BI177">
            <v>-80</v>
          </cell>
          <cell r="BJ177">
            <v>-25</v>
          </cell>
          <cell r="BK177">
            <v>-35</v>
          </cell>
          <cell r="BL177">
            <v>-60</v>
          </cell>
          <cell r="BM177">
            <v>-25</v>
          </cell>
          <cell r="BN177">
            <v>-35</v>
          </cell>
          <cell r="BO177">
            <v>-60</v>
          </cell>
          <cell r="BP177">
            <v>-25</v>
          </cell>
          <cell r="BQ177">
            <v>-25</v>
          </cell>
          <cell r="BR177">
            <v>-50</v>
          </cell>
        </row>
        <row r="178">
          <cell r="B178" t="str">
            <v>Acquisitions / equity invests.</v>
          </cell>
          <cell r="D178" t="str">
            <v>$m</v>
          </cell>
          <cell r="I178">
            <v>0</v>
          </cell>
          <cell r="L178">
            <v>0</v>
          </cell>
          <cell r="O178">
            <v>0</v>
          </cell>
          <cell r="R178">
            <v>0</v>
          </cell>
          <cell r="U178">
            <v>0</v>
          </cell>
          <cell r="X178">
            <v>0</v>
          </cell>
          <cell r="AA178">
            <v>-4.649</v>
          </cell>
          <cell r="AB178">
            <v>-4.649</v>
          </cell>
          <cell r="AC178">
            <v>-0.58200000000000074</v>
          </cell>
          <cell r="AD178">
            <v>-36.582000000000001</v>
          </cell>
          <cell r="AE178">
            <v>-37.164000000000001</v>
          </cell>
          <cell r="AF178">
            <v>-0.73299999999999998</v>
          </cell>
          <cell r="AG178">
            <v>-3.32</v>
          </cell>
          <cell r="AH178">
            <v>-4.0529999999999999</v>
          </cell>
          <cell r="AI178">
            <v>1.5669999999999999</v>
          </cell>
          <cell r="AJ178">
            <v>-1.5669999999999999</v>
          </cell>
          <cell r="AK178">
            <v>0</v>
          </cell>
          <cell r="AL178">
            <v>-136.286</v>
          </cell>
          <cell r="AM178">
            <v>-1.5010000000000048</v>
          </cell>
          <cell r="AN178">
            <v>-137.78700000000001</v>
          </cell>
          <cell r="AO178">
            <v>-18.321999999999999</v>
          </cell>
          <cell r="AP178">
            <v>-15.370000000000001</v>
          </cell>
          <cell r="AQ178">
            <v>-33.692</v>
          </cell>
          <cell r="AR178">
            <v>-423.154</v>
          </cell>
          <cell r="AS178">
            <v>-152.44600000000003</v>
          </cell>
          <cell r="AT178">
            <v>-575.6</v>
          </cell>
          <cell r="AV178">
            <v>-240</v>
          </cell>
          <cell r="AW178">
            <v>-240</v>
          </cell>
          <cell r="AX178">
            <v>-100</v>
          </cell>
          <cell r="AY178">
            <v>0</v>
          </cell>
          <cell r="AZ178">
            <v>-100</v>
          </cell>
          <cell r="BB178">
            <v>0</v>
          </cell>
          <cell r="BE178">
            <v>0</v>
          </cell>
          <cell r="BH178">
            <v>0</v>
          </cell>
          <cell r="BK178">
            <v>0</v>
          </cell>
          <cell r="BN178">
            <v>0</v>
          </cell>
          <cell r="BQ178">
            <v>0</v>
          </cell>
        </row>
        <row r="179">
          <cell r="B179" t="str">
            <v>Divestments / sale of invests.</v>
          </cell>
          <cell r="D179" t="str">
            <v>$m</v>
          </cell>
          <cell r="I179">
            <v>0</v>
          </cell>
          <cell r="L179">
            <v>0</v>
          </cell>
          <cell r="O179">
            <v>0</v>
          </cell>
          <cell r="R179">
            <v>0</v>
          </cell>
          <cell r="U179">
            <v>0</v>
          </cell>
          <cell r="X179">
            <v>0</v>
          </cell>
          <cell r="AA179">
            <v>0</v>
          </cell>
          <cell r="AD179">
            <v>37.081000000000003</v>
          </cell>
          <cell r="AE179">
            <v>37.081000000000003</v>
          </cell>
          <cell r="AF179">
            <v>1.891</v>
          </cell>
          <cell r="AG179">
            <v>9.6999999999999975E-2</v>
          </cell>
          <cell r="AH179">
            <v>1.988</v>
          </cell>
          <cell r="AJ179">
            <v>9.0549999999999997</v>
          </cell>
          <cell r="AK179">
            <v>9.0549999999999997</v>
          </cell>
          <cell r="AM179">
            <v>0.36</v>
          </cell>
          <cell r="AN179">
            <v>0.36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  <cell r="AV179">
            <v>0</v>
          </cell>
          <cell r="AW179">
            <v>0</v>
          </cell>
          <cell r="AY179">
            <v>0</v>
          </cell>
          <cell r="BB179">
            <v>0</v>
          </cell>
          <cell r="BE179">
            <v>0</v>
          </cell>
          <cell r="BH179">
            <v>0</v>
          </cell>
          <cell r="BK179">
            <v>0</v>
          </cell>
          <cell r="BN179">
            <v>0</v>
          </cell>
          <cell r="BQ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-19.079000000000001</v>
          </cell>
          <cell r="AS180">
            <v>0</v>
          </cell>
          <cell r="AT180">
            <v>-19.079000000000001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I181">
            <v>0</v>
          </cell>
          <cell r="L181">
            <v>0</v>
          </cell>
          <cell r="O181">
            <v>0</v>
          </cell>
          <cell r="R181">
            <v>0</v>
          </cell>
          <cell r="U181">
            <v>0</v>
          </cell>
          <cell r="X181">
            <v>0</v>
          </cell>
          <cell r="Y181">
            <v>0</v>
          </cell>
          <cell r="AA181">
            <v>0</v>
          </cell>
          <cell r="AD181">
            <v>0</v>
          </cell>
          <cell r="AG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P181">
            <v>0</v>
          </cell>
          <cell r="AR181">
            <v>-19.079000000000001</v>
          </cell>
          <cell r="AS181">
            <v>0</v>
          </cell>
          <cell r="AT181">
            <v>-19.079000000000001</v>
          </cell>
          <cell r="AV181">
            <v>0</v>
          </cell>
          <cell r="AY181">
            <v>0</v>
          </cell>
          <cell r="BB181">
            <v>0</v>
          </cell>
          <cell r="BE181">
            <v>0</v>
          </cell>
          <cell r="BH181">
            <v>0</v>
          </cell>
          <cell r="BK181">
            <v>0</v>
          </cell>
          <cell r="BN181">
            <v>0</v>
          </cell>
          <cell r="BQ181">
            <v>0</v>
          </cell>
        </row>
        <row r="182">
          <cell r="I182">
            <v>0</v>
          </cell>
          <cell r="L182">
            <v>0</v>
          </cell>
          <cell r="O182">
            <v>0</v>
          </cell>
          <cell r="R182">
            <v>0</v>
          </cell>
          <cell r="U182">
            <v>0</v>
          </cell>
          <cell r="X182">
            <v>0</v>
          </cell>
          <cell r="Y182">
            <v>0</v>
          </cell>
          <cell r="AA182">
            <v>0</v>
          </cell>
          <cell r="AD182">
            <v>0</v>
          </cell>
          <cell r="AG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P182">
            <v>0</v>
          </cell>
          <cell r="AS182">
            <v>0</v>
          </cell>
          <cell r="AV182">
            <v>0</v>
          </cell>
          <cell r="AY182">
            <v>0</v>
          </cell>
          <cell r="BB182">
            <v>0</v>
          </cell>
          <cell r="BE182">
            <v>0</v>
          </cell>
          <cell r="BH182">
            <v>0</v>
          </cell>
          <cell r="BK182">
            <v>0</v>
          </cell>
          <cell r="BN182">
            <v>0</v>
          </cell>
          <cell r="BQ182">
            <v>0</v>
          </cell>
        </row>
        <row r="183">
          <cell r="I183">
            <v>0</v>
          </cell>
          <cell r="L183">
            <v>0</v>
          </cell>
          <cell r="O183">
            <v>0</v>
          </cell>
          <cell r="R183">
            <v>0</v>
          </cell>
          <cell r="U183">
            <v>0</v>
          </cell>
          <cell r="X183">
            <v>0</v>
          </cell>
          <cell r="Y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I184">
            <v>0</v>
          </cell>
          <cell r="L184">
            <v>0</v>
          </cell>
          <cell r="O184">
            <v>0</v>
          </cell>
          <cell r="R184">
            <v>0</v>
          </cell>
          <cell r="U184">
            <v>0</v>
          </cell>
          <cell r="X184">
            <v>0</v>
          </cell>
          <cell r="Y184">
            <v>0</v>
          </cell>
          <cell r="AA184">
            <v>4.6559999999999988</v>
          </cell>
          <cell r="AB184">
            <v>4.6559999999999988</v>
          </cell>
          <cell r="AC184">
            <v>-12.771000000000001</v>
          </cell>
          <cell r="AD184">
            <v>0.11100000000000065</v>
          </cell>
          <cell r="AE184">
            <v>-12.66</v>
          </cell>
          <cell r="AF184">
            <v>46.551000000000002</v>
          </cell>
          <cell r="AG184">
            <v>3.3049999999999997</v>
          </cell>
          <cell r="AH184">
            <v>49.856000000000002</v>
          </cell>
          <cell r="AI184">
            <v>0.41799999999999998</v>
          </cell>
          <cell r="AJ184">
            <v>-0.45</v>
          </cell>
          <cell r="AK184">
            <v>-3.2000000000000028E-2</v>
          </cell>
          <cell r="AL184">
            <v>0</v>
          </cell>
          <cell r="AM184">
            <v>-0.95599999999999996</v>
          </cell>
          <cell r="AN184">
            <v>-0.95599999999999996</v>
          </cell>
          <cell r="AO184">
            <v>-2.31</v>
          </cell>
          <cell r="AP184">
            <v>-1.8459999999999996</v>
          </cell>
          <cell r="AQ184">
            <v>-4.1559999999999997</v>
          </cell>
          <cell r="AR184">
            <v>1.9980000000000002</v>
          </cell>
          <cell r="AS184">
            <v>0</v>
          </cell>
          <cell r="AT184">
            <v>1.998</v>
          </cell>
          <cell r="AV184">
            <v>0</v>
          </cell>
          <cell r="AY184">
            <v>0</v>
          </cell>
          <cell r="BB184">
            <v>0</v>
          </cell>
          <cell r="BE184">
            <v>0</v>
          </cell>
          <cell r="BH184">
            <v>0</v>
          </cell>
          <cell r="BK184">
            <v>0</v>
          </cell>
          <cell r="BN184">
            <v>0</v>
          </cell>
          <cell r="BQ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-4.2000000000001592E-2</v>
          </cell>
          <cell r="AB185">
            <v>-4.2000000000001592E-2</v>
          </cell>
          <cell r="AC185">
            <v>-60.978000000000002</v>
          </cell>
          <cell r="AD185">
            <v>-50.194999999999986</v>
          </cell>
          <cell r="AE185">
            <v>-111.17299999999999</v>
          </cell>
          <cell r="AF185">
            <v>17.024999999999999</v>
          </cell>
          <cell r="AG185">
            <v>-7.8359999999999914</v>
          </cell>
          <cell r="AH185">
            <v>9.1890000000000072</v>
          </cell>
          <cell r="AI185">
            <v>-12.064</v>
          </cell>
          <cell r="AJ185">
            <v>-6.1050000000000004</v>
          </cell>
          <cell r="AK185">
            <v>-18.169</v>
          </cell>
          <cell r="AL185">
            <v>-90.097000000000008</v>
          </cell>
          <cell r="AM185">
            <v>-2.6009999999999991</v>
          </cell>
          <cell r="AN185">
            <v>-92.698000000000008</v>
          </cell>
          <cell r="AO185">
            <v>-57.769000000000005</v>
          </cell>
          <cell r="AP185">
            <v>-41.926000000000002</v>
          </cell>
          <cell r="AQ185">
            <v>-99.695000000000007</v>
          </cell>
          <cell r="AR185">
            <v>-521.05799999999988</v>
          </cell>
          <cell r="AS185">
            <v>-179.45900000000006</v>
          </cell>
          <cell r="AT185">
            <v>-700.51699999999994</v>
          </cell>
          <cell r="AU185">
            <v>-24.384</v>
          </cell>
          <cell r="AV185">
            <v>-319.14</v>
          </cell>
          <cell r="AW185">
            <v>-343.524</v>
          </cell>
          <cell r="AX185">
            <v>-130</v>
          </cell>
          <cell r="AY185">
            <v>-70</v>
          </cell>
          <cell r="AZ185">
            <v>-200</v>
          </cell>
          <cell r="BA185">
            <v>-25</v>
          </cell>
          <cell r="BB185">
            <v>-75</v>
          </cell>
          <cell r="BC185">
            <v>-100</v>
          </cell>
          <cell r="BD185">
            <v>-25</v>
          </cell>
          <cell r="BE185">
            <v>-55</v>
          </cell>
          <cell r="BF185">
            <v>-80</v>
          </cell>
          <cell r="BG185">
            <v>-25</v>
          </cell>
          <cell r="BH185">
            <v>-55</v>
          </cell>
          <cell r="BI185">
            <v>-80</v>
          </cell>
          <cell r="BJ185">
            <v>-25</v>
          </cell>
          <cell r="BK185">
            <v>-35</v>
          </cell>
          <cell r="BL185">
            <v>-60</v>
          </cell>
          <cell r="BM185">
            <v>-25</v>
          </cell>
          <cell r="BN185">
            <v>-35</v>
          </cell>
          <cell r="BO185">
            <v>-60</v>
          </cell>
          <cell r="BP185">
            <v>-25</v>
          </cell>
          <cell r="BQ185">
            <v>-25</v>
          </cell>
          <cell r="BR185">
            <v>-50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5.8390000000000004</v>
          </cell>
          <cell r="AD186">
            <v>9.1999999999999638E-2</v>
          </cell>
          <cell r="AE186">
            <v>5.931</v>
          </cell>
          <cell r="AF186">
            <v>0</v>
          </cell>
          <cell r="AG186">
            <v>20.039000000000001</v>
          </cell>
          <cell r="AH186">
            <v>20.039000000000001</v>
          </cell>
          <cell r="AI186">
            <v>3.605</v>
          </cell>
          <cell r="AJ186">
            <v>0.92899999999999983</v>
          </cell>
          <cell r="AK186">
            <v>4.5339999999999998</v>
          </cell>
          <cell r="AL186">
            <v>201.72900000000001</v>
          </cell>
          <cell r="AM186">
            <v>0.90599999999997749</v>
          </cell>
          <cell r="AN186">
            <v>202.63499999999999</v>
          </cell>
          <cell r="AO186">
            <v>395.79300000000001</v>
          </cell>
          <cell r="AP186">
            <v>8.0400000000000205</v>
          </cell>
          <cell r="AQ186">
            <v>403.83300000000003</v>
          </cell>
          <cell r="AR186">
            <v>257.98899999999998</v>
          </cell>
          <cell r="AS186">
            <v>0</v>
          </cell>
          <cell r="AT186">
            <v>257.98899999999998</v>
          </cell>
          <cell r="AU186">
            <v>0</v>
          </cell>
          <cell r="AV186">
            <v>10.571</v>
          </cell>
          <cell r="AW186">
            <v>10.571</v>
          </cell>
          <cell r="AX186">
            <v>375</v>
          </cell>
          <cell r="AY186">
            <v>0</v>
          </cell>
          <cell r="AZ186">
            <v>375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I187">
            <v>0</v>
          </cell>
          <cell r="L187">
            <v>0</v>
          </cell>
          <cell r="O187">
            <v>0</v>
          </cell>
          <cell r="R187">
            <v>0</v>
          </cell>
          <cell r="U187">
            <v>0</v>
          </cell>
          <cell r="X187">
            <v>0</v>
          </cell>
          <cell r="AA187">
            <v>0</v>
          </cell>
          <cell r="AC187">
            <v>5.8390000000000004</v>
          </cell>
          <cell r="AD187">
            <v>9.1999999999999638E-2</v>
          </cell>
          <cell r="AE187">
            <v>5.931</v>
          </cell>
          <cell r="AG187">
            <v>20.039000000000001</v>
          </cell>
          <cell r="AH187">
            <v>20.039000000000001</v>
          </cell>
          <cell r="AI187">
            <v>3.605</v>
          </cell>
          <cell r="AJ187">
            <v>0.92899999999999983</v>
          </cell>
          <cell r="AK187">
            <v>4.5339999999999998</v>
          </cell>
          <cell r="AL187">
            <v>0</v>
          </cell>
          <cell r="AM187">
            <v>0</v>
          </cell>
          <cell r="AO187">
            <v>395.79300000000001</v>
          </cell>
          <cell r="AP187">
            <v>8.0400000000000205</v>
          </cell>
          <cell r="AQ187">
            <v>403.83300000000003</v>
          </cell>
          <cell r="AR187">
            <v>257.98899999999998</v>
          </cell>
          <cell r="AS187">
            <v>0</v>
          </cell>
          <cell r="AT187">
            <v>257.98899999999998</v>
          </cell>
          <cell r="AU187">
            <v>0</v>
          </cell>
          <cell r="AV187">
            <v>10.571</v>
          </cell>
          <cell r="AW187">
            <v>10.571</v>
          </cell>
          <cell r="AY187">
            <v>0</v>
          </cell>
          <cell r="BB187">
            <v>0</v>
          </cell>
          <cell r="BE187">
            <v>0</v>
          </cell>
          <cell r="BH187">
            <v>0</v>
          </cell>
          <cell r="BK187">
            <v>0</v>
          </cell>
          <cell r="BN187">
            <v>0</v>
          </cell>
          <cell r="BQ187">
            <v>0</v>
          </cell>
        </row>
        <row r="188">
          <cell r="I188">
            <v>0</v>
          </cell>
          <cell r="L188">
            <v>0</v>
          </cell>
          <cell r="O188">
            <v>0</v>
          </cell>
          <cell r="R188">
            <v>0</v>
          </cell>
          <cell r="U188">
            <v>0</v>
          </cell>
          <cell r="X188">
            <v>0</v>
          </cell>
          <cell r="AA188">
            <v>0</v>
          </cell>
          <cell r="AD188">
            <v>0</v>
          </cell>
          <cell r="AG188">
            <v>0</v>
          </cell>
          <cell r="AJ188">
            <v>0</v>
          </cell>
          <cell r="AL188">
            <v>0</v>
          </cell>
          <cell r="AM188">
            <v>0</v>
          </cell>
          <cell r="AP188">
            <v>0</v>
          </cell>
          <cell r="AS188">
            <v>0</v>
          </cell>
          <cell r="AV188">
            <v>0</v>
          </cell>
          <cell r="AY188">
            <v>0</v>
          </cell>
          <cell r="BB188">
            <v>0</v>
          </cell>
          <cell r="BE188">
            <v>0</v>
          </cell>
          <cell r="BH188">
            <v>0</v>
          </cell>
          <cell r="BK188">
            <v>0</v>
          </cell>
          <cell r="BN188">
            <v>0</v>
          </cell>
          <cell r="BQ188">
            <v>0</v>
          </cell>
        </row>
        <row r="189">
          <cell r="I189">
            <v>0</v>
          </cell>
          <cell r="L189">
            <v>0</v>
          </cell>
          <cell r="O189">
            <v>0</v>
          </cell>
          <cell r="R189">
            <v>0</v>
          </cell>
          <cell r="U189">
            <v>0</v>
          </cell>
          <cell r="X189">
            <v>0</v>
          </cell>
          <cell r="AA189">
            <v>0</v>
          </cell>
          <cell r="AD189">
            <v>0</v>
          </cell>
          <cell r="AG189">
            <v>0</v>
          </cell>
          <cell r="AJ189">
            <v>0</v>
          </cell>
          <cell r="AL189">
            <v>201.72900000000001</v>
          </cell>
          <cell r="AM189">
            <v>0.90599999999997749</v>
          </cell>
          <cell r="AN189">
            <v>202.63499999999999</v>
          </cell>
          <cell r="AP189">
            <v>0</v>
          </cell>
          <cell r="AS189">
            <v>0</v>
          </cell>
          <cell r="AV189">
            <v>0</v>
          </cell>
          <cell r="AX189">
            <v>375</v>
          </cell>
          <cell r="AY189">
            <v>0</v>
          </cell>
          <cell r="AZ189">
            <v>375</v>
          </cell>
          <cell r="BB189">
            <v>0</v>
          </cell>
          <cell r="BE189">
            <v>0</v>
          </cell>
          <cell r="BH189">
            <v>0</v>
          </cell>
          <cell r="BK189">
            <v>0</v>
          </cell>
          <cell r="BN189">
            <v>0</v>
          </cell>
          <cell r="BQ189">
            <v>0</v>
          </cell>
        </row>
        <row r="190">
          <cell r="I190">
            <v>0</v>
          </cell>
          <cell r="L190">
            <v>0</v>
          </cell>
          <cell r="O190">
            <v>0</v>
          </cell>
          <cell r="R190">
            <v>0</v>
          </cell>
          <cell r="U190">
            <v>0</v>
          </cell>
          <cell r="X190">
            <v>0</v>
          </cell>
          <cell r="AA190">
            <v>-4.6749999999999998</v>
          </cell>
          <cell r="AB190">
            <v>-4.6749999999999998</v>
          </cell>
          <cell r="AC190">
            <v>-3.3039999999999998</v>
          </cell>
          <cell r="AD190">
            <v>-3.3069999999999999</v>
          </cell>
          <cell r="AE190">
            <v>-6.6109999999999998</v>
          </cell>
          <cell r="AF190">
            <v>-3.4090000000000003</v>
          </cell>
          <cell r="AG190">
            <v>0.10000000000000009</v>
          </cell>
          <cell r="AH190">
            <v>-3.3090000000000002</v>
          </cell>
          <cell r="AJ190">
            <v>-0.17499999999999999</v>
          </cell>
          <cell r="AK190">
            <v>-0.17499999999999999</v>
          </cell>
          <cell r="AL190">
            <v>-1.1100000000000001</v>
          </cell>
          <cell r="AM190">
            <v>-12.782</v>
          </cell>
          <cell r="AN190">
            <v>-13.891999999999999</v>
          </cell>
          <cell r="AO190">
            <v>-16.146999999999998</v>
          </cell>
          <cell r="AP190">
            <v>-19.004000000000005</v>
          </cell>
          <cell r="AQ190">
            <v>-35.151000000000003</v>
          </cell>
          <cell r="AR190">
            <v>-20.40689223</v>
          </cell>
          <cell r="AS190">
            <v>-24.727677590000003</v>
          </cell>
          <cell r="AT190">
            <v>-45.134569820000003</v>
          </cell>
          <cell r="AU190">
            <v>-29.92996273</v>
          </cell>
          <cell r="AV190">
            <v>-26.453037269999996</v>
          </cell>
          <cell r="AW190">
            <v>-56.382999999999996</v>
          </cell>
          <cell r="AX190">
            <v>-32.473159945384616</v>
          </cell>
          <cell r="AY190">
            <v>-46.183376380000006</v>
          </cell>
          <cell r="AZ190">
            <v>-78.656536325384621</v>
          </cell>
          <cell r="BA190">
            <v>-42.294274169999994</v>
          </cell>
          <cell r="BB190">
            <v>-51.375671290000014</v>
          </cell>
          <cell r="BC190">
            <v>-93.669945460000008</v>
          </cell>
          <cell r="BD190">
            <v>-40.670290640000005</v>
          </cell>
          <cell r="BE190">
            <v>-47.862088479999997</v>
          </cell>
          <cell r="BF190">
            <v>-88.532379120000002</v>
          </cell>
          <cell r="BG190">
            <v>-38.489691359999995</v>
          </cell>
          <cell r="BH190">
            <v>-43.110889920000005</v>
          </cell>
          <cell r="BI190">
            <v>-81.60058128</v>
          </cell>
          <cell r="BJ190">
            <v>-38.489691359999995</v>
          </cell>
          <cell r="BK190">
            <v>-43.110889920000005</v>
          </cell>
          <cell r="BL190">
            <v>-81.60058128</v>
          </cell>
          <cell r="BM190">
            <v>-38.489691359999995</v>
          </cell>
          <cell r="BN190">
            <v>-43.110889920000005</v>
          </cell>
          <cell r="BO190">
            <v>-81.60058128</v>
          </cell>
          <cell r="BP190">
            <v>-38.489691359999995</v>
          </cell>
          <cell r="BQ190">
            <v>-43.110889920000005</v>
          </cell>
          <cell r="BR190">
            <v>-81.60058128</v>
          </cell>
        </row>
        <row r="191">
          <cell r="I191">
            <v>0</v>
          </cell>
          <cell r="L191">
            <v>0</v>
          </cell>
          <cell r="O191">
            <v>0</v>
          </cell>
          <cell r="R191">
            <v>0</v>
          </cell>
          <cell r="U191">
            <v>0</v>
          </cell>
          <cell r="X191">
            <v>0</v>
          </cell>
          <cell r="AA191">
            <v>0</v>
          </cell>
          <cell r="AD191">
            <v>-171.92000000000002</v>
          </cell>
          <cell r="AE191">
            <v>-171.92000000000002</v>
          </cell>
          <cell r="AG191">
            <v>0</v>
          </cell>
          <cell r="AJ191">
            <v>-2.6829999999999998</v>
          </cell>
          <cell r="AK191">
            <v>-2.6829999999999998</v>
          </cell>
          <cell r="AM191">
            <v>-10.46</v>
          </cell>
          <cell r="AN191">
            <v>-10.46</v>
          </cell>
          <cell r="AP191">
            <v>0</v>
          </cell>
          <cell r="AS191">
            <v>0</v>
          </cell>
          <cell r="AV191">
            <v>0</v>
          </cell>
          <cell r="AY191">
            <v>0</v>
          </cell>
          <cell r="BB191">
            <v>0</v>
          </cell>
          <cell r="BE191">
            <v>0</v>
          </cell>
          <cell r="BH191">
            <v>0</v>
          </cell>
          <cell r="BK191">
            <v>0</v>
          </cell>
          <cell r="BN191">
            <v>0</v>
          </cell>
          <cell r="BQ191">
            <v>0</v>
          </cell>
        </row>
        <row r="192">
          <cell r="I192">
            <v>0</v>
          </cell>
          <cell r="L192">
            <v>0</v>
          </cell>
          <cell r="O192">
            <v>0</v>
          </cell>
          <cell r="R192">
            <v>0</v>
          </cell>
          <cell r="U192">
            <v>0</v>
          </cell>
          <cell r="X192">
            <v>0</v>
          </cell>
          <cell r="AA192">
            <v>-0.22800000000000001</v>
          </cell>
          <cell r="AB192">
            <v>-0.22800000000000001</v>
          </cell>
          <cell r="AC192">
            <v>51.812999999999988</v>
          </cell>
          <cell r="AD192">
            <v>208.26600000000002</v>
          </cell>
          <cell r="AE192">
            <v>260.07900000000001</v>
          </cell>
          <cell r="AF192">
            <v>-17.03</v>
          </cell>
          <cell r="AG192">
            <v>15.792</v>
          </cell>
          <cell r="AH192">
            <v>-1.2380000000000009</v>
          </cell>
          <cell r="AI192">
            <v>-18.939999999999998</v>
          </cell>
          <cell r="AJ192">
            <v>-22.310000000000002</v>
          </cell>
          <cell r="AK192">
            <v>-41.25</v>
          </cell>
          <cell r="AL192">
            <v>-164.874</v>
          </cell>
          <cell r="AM192">
            <v>-48.561000000000007</v>
          </cell>
          <cell r="AN192">
            <v>-213.435</v>
          </cell>
          <cell r="AO192">
            <v>-63.123000000000005</v>
          </cell>
          <cell r="AP192">
            <v>-7.9579999999999984</v>
          </cell>
          <cell r="AQ192">
            <v>-71.081000000000003</v>
          </cell>
          <cell r="AR192">
            <v>-9.07</v>
          </cell>
          <cell r="AS192">
            <v>196.17756981999989</v>
          </cell>
          <cell r="AT192">
            <v>187.1075698199999</v>
          </cell>
          <cell r="AU192">
            <v>14.619962729999997</v>
          </cell>
          <cell r="AV192">
            <v>269.68403727000003</v>
          </cell>
          <cell r="AW192">
            <v>284.30400000000003</v>
          </cell>
          <cell r="AX192">
            <v>-298.02958721703493</v>
          </cell>
          <cell r="AY192">
            <v>12.78444774364965</v>
          </cell>
          <cell r="AZ192">
            <v>-285.24513947338528</v>
          </cell>
          <cell r="BA192">
            <v>7.8161956083640547</v>
          </cell>
          <cell r="BB192">
            <v>13.070736614198225</v>
          </cell>
          <cell r="BC192">
            <v>20.88693222256228</v>
          </cell>
          <cell r="BD192">
            <v>9.5548729546532627</v>
          </cell>
          <cell r="BE192">
            <v>-21.73858358521386</v>
          </cell>
          <cell r="BF192">
            <v>-12.183710630560597</v>
          </cell>
          <cell r="BG192">
            <v>-4.9995168117287392</v>
          </cell>
          <cell r="BH192">
            <v>-34.583589329020668</v>
          </cell>
          <cell r="BI192">
            <v>-39.583106140749408</v>
          </cell>
          <cell r="BJ192">
            <v>-10.191940317072323</v>
          </cell>
          <cell r="BK192">
            <v>-56.335997583095889</v>
          </cell>
          <cell r="BL192">
            <v>-66.527937900168212</v>
          </cell>
          <cell r="BM192">
            <v>-10.617107442845452</v>
          </cell>
          <cell r="BN192">
            <v>-61.152397125330566</v>
          </cell>
          <cell r="BO192">
            <v>-71.769504568176018</v>
          </cell>
          <cell r="BP192" t="e">
            <v>#VALUE!</v>
          </cell>
          <cell r="BQ192" t="e">
            <v>#VALUE!</v>
          </cell>
          <cell r="BR192" t="e">
            <v>#VALUE!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8.8817841970012523E-16</v>
          </cell>
          <cell r="AB193">
            <v>8.8817841970012523E-16</v>
          </cell>
          <cell r="AC193">
            <v>1.0658141036401503E-14</v>
          </cell>
          <cell r="AD193">
            <v>-1.0658141036401503E-14</v>
          </cell>
          <cell r="AE193">
            <v>0</v>
          </cell>
          <cell r="AF193">
            <v>1.3322676295501878E-15</v>
          </cell>
          <cell r="AG193">
            <v>-8.4376949871511897E-15</v>
          </cell>
          <cell r="AH193">
            <v>-7.1054273576010019E-15</v>
          </cell>
          <cell r="AI193">
            <v>3.9999999999982272E-3</v>
          </cell>
          <cell r="AJ193">
            <v>-3.9999999999964508E-3</v>
          </cell>
          <cell r="AK193">
            <v>1.7763568394002505E-15</v>
          </cell>
          <cell r="AL193">
            <v>-0.125</v>
          </cell>
          <cell r="AM193">
            <v>2.8421709430404007E-14</v>
          </cell>
          <cell r="AN193">
            <v>-0.12499999999997158</v>
          </cell>
          <cell r="AO193">
            <v>8.9999999999577085E-3</v>
          </cell>
          <cell r="AP193">
            <v>-8.9999999999577085E-3</v>
          </cell>
          <cell r="AQ193">
            <v>0</v>
          </cell>
          <cell r="AR193">
            <v>-0.31310777000010148</v>
          </cell>
          <cell r="AS193">
            <v>0.31310777000010148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-4.9029999999999987</v>
          </cell>
          <cell r="AB194">
            <v>-4.9029999999999987</v>
          </cell>
          <cell r="AC194">
            <v>54.347999999999999</v>
          </cell>
          <cell r="AD194">
            <v>33.130999999999986</v>
          </cell>
          <cell r="AE194">
            <v>87.478999999999985</v>
          </cell>
          <cell r="AF194">
            <v>-20.439</v>
          </cell>
          <cell r="AG194">
            <v>35.930999999999997</v>
          </cell>
          <cell r="AH194">
            <v>15.491999999999994</v>
          </cell>
          <cell r="AI194">
            <v>-15.331</v>
          </cell>
          <cell r="AJ194">
            <v>-24.242999999999999</v>
          </cell>
          <cell r="AK194">
            <v>-39.573999999999998</v>
          </cell>
          <cell r="AL194">
            <v>35.620000000000012</v>
          </cell>
          <cell r="AM194">
            <v>-70.896999999999991</v>
          </cell>
          <cell r="AN194">
            <v>-35.276999999999987</v>
          </cell>
          <cell r="AO194">
            <v>316.53199999999998</v>
          </cell>
          <cell r="AP194">
            <v>-18.930999999999983</v>
          </cell>
          <cell r="AQ194">
            <v>297.601</v>
          </cell>
          <cell r="AR194">
            <v>228.1989999999999</v>
          </cell>
          <cell r="AS194">
            <v>171.76299999999998</v>
          </cell>
          <cell r="AT194">
            <v>399.96199999999988</v>
          </cell>
          <cell r="AU194">
            <v>-15.310000000000002</v>
          </cell>
          <cell r="AV194">
            <v>253.80200000000002</v>
          </cell>
          <cell r="AW194">
            <v>238.49200000000002</v>
          </cell>
          <cell r="AX194">
            <v>44.497252837580447</v>
          </cell>
          <cell r="AY194">
            <v>-33.398928636350377</v>
          </cell>
          <cell r="AZ194">
            <v>11.098324201230071</v>
          </cell>
          <cell r="BA194">
            <v>-34.47807856163594</v>
          </cell>
          <cell r="BB194">
            <v>-38.304934675801789</v>
          </cell>
          <cell r="BC194">
            <v>-72.783013237437729</v>
          </cell>
          <cell r="BD194">
            <v>-31.115417685346742</v>
          </cell>
          <cell r="BE194">
            <v>-69.600672065213857</v>
          </cell>
          <cell r="BF194">
            <v>-100.7160897505606</v>
          </cell>
          <cell r="BG194">
            <v>-43.489208171728734</v>
          </cell>
          <cell r="BH194">
            <v>-77.694479249020674</v>
          </cell>
          <cell r="BI194">
            <v>-121.18368742074941</v>
          </cell>
          <cell r="BJ194">
            <v>-48.681631677072318</v>
          </cell>
          <cell r="BK194">
            <v>-99.446887503095894</v>
          </cell>
          <cell r="BL194">
            <v>-148.12851918016821</v>
          </cell>
          <cell r="BM194">
            <v>-49.106798802845447</v>
          </cell>
          <cell r="BN194">
            <v>-104.26328704533057</v>
          </cell>
          <cell r="BO194">
            <v>-153.37008584817602</v>
          </cell>
          <cell r="BP194" t="e">
            <v>#VALUE!</v>
          </cell>
          <cell r="BQ194" t="e">
            <v>#VALUE!</v>
          </cell>
          <cell r="BR194" t="e">
            <v>#VALUE!</v>
          </cell>
        </row>
        <row r="195">
          <cell r="H195" t="str">
            <v/>
          </cell>
          <cell r="I195">
            <v>0</v>
          </cell>
          <cell r="J195" t="str">
            <v/>
          </cell>
          <cell r="K195" t="str">
            <v/>
          </cell>
          <cell r="L195">
            <v>0</v>
          </cell>
          <cell r="M195" t="str">
            <v/>
          </cell>
          <cell r="N195" t="str">
            <v/>
          </cell>
          <cell r="O195">
            <v>0</v>
          </cell>
          <cell r="P195" t="str">
            <v/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X195">
            <v>0</v>
          </cell>
          <cell r="AA195">
            <v>1.0609999999999999</v>
          </cell>
          <cell r="AB195">
            <v>1.0609999999999999</v>
          </cell>
          <cell r="AC195">
            <v>-11.907999999999999</v>
          </cell>
          <cell r="AD195">
            <v>4.6279999999999992</v>
          </cell>
          <cell r="AE195">
            <v>-7.28</v>
          </cell>
          <cell r="AF195">
            <v>-6.4740000000000002</v>
          </cell>
          <cell r="AG195">
            <v>-0.40599999999999969</v>
          </cell>
          <cell r="AH195">
            <v>-6.88</v>
          </cell>
          <cell r="AI195">
            <v>-4.1340000000000003</v>
          </cell>
          <cell r="AJ195">
            <v>6.9720000000000004</v>
          </cell>
          <cell r="AK195">
            <v>2.8380000000000001</v>
          </cell>
          <cell r="AL195">
            <v>-4.0369999999999999</v>
          </cell>
          <cell r="AM195">
            <v>-12.667000000000002</v>
          </cell>
          <cell r="AN195">
            <v>-16.704000000000001</v>
          </cell>
          <cell r="AO195">
            <v>305.63799999999998</v>
          </cell>
          <cell r="AP195">
            <v>-8.4539999999999509</v>
          </cell>
          <cell r="AQ195">
            <v>297.18400000000003</v>
          </cell>
          <cell r="AR195">
            <v>-216.32599999999999</v>
          </cell>
          <cell r="AS195">
            <v>-33.674000000000007</v>
          </cell>
          <cell r="AT195">
            <v>-250</v>
          </cell>
          <cell r="AU195">
            <v>0</v>
          </cell>
          <cell r="AV195">
            <v>0</v>
          </cell>
          <cell r="AW195">
            <v>0</v>
          </cell>
          <cell r="AX195" t="str">
            <v>0</v>
          </cell>
          <cell r="AY195">
            <v>0</v>
          </cell>
          <cell r="AZ195" t="str">
            <v>0</v>
          </cell>
          <cell r="BA195" t="str">
            <v>0</v>
          </cell>
          <cell r="BB195">
            <v>0</v>
          </cell>
          <cell r="BC195" t="str">
            <v>0</v>
          </cell>
          <cell r="BD195" t="str">
            <v>0.0</v>
          </cell>
          <cell r="BE195">
            <v>0</v>
          </cell>
          <cell r="BF195" t="str">
            <v>0</v>
          </cell>
          <cell r="BG195" t="str">
            <v>0.0</v>
          </cell>
          <cell r="BH195">
            <v>0</v>
          </cell>
          <cell r="BI195" t="str">
            <v>0</v>
          </cell>
          <cell r="BJ195" t="str">
            <v>0.0</v>
          </cell>
          <cell r="BK195">
            <v>0</v>
          </cell>
          <cell r="BL195" t="str">
            <v>0.0</v>
          </cell>
          <cell r="BM195" t="str">
            <v>0.0</v>
          </cell>
          <cell r="BN195">
            <v>0</v>
          </cell>
          <cell r="BO195" t="str">
            <v>0.0</v>
          </cell>
          <cell r="BP195" t="str">
            <v>0.0</v>
          </cell>
          <cell r="BQ195">
            <v>0</v>
          </cell>
          <cell r="BR195" t="str">
            <v>0.0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X197">
            <v>0</v>
          </cell>
          <cell r="Y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200">
          <cell r="F200">
            <v>0</v>
          </cell>
          <cell r="I200">
            <v>0</v>
          </cell>
          <cell r="L200">
            <v>0</v>
          </cell>
          <cell r="O200">
            <v>0</v>
          </cell>
          <cell r="R200">
            <v>0</v>
          </cell>
          <cell r="U200">
            <v>0</v>
          </cell>
          <cell r="X200">
            <v>0</v>
          </cell>
          <cell r="AA200">
            <v>1.3959999999999999</v>
          </cell>
          <cell r="AB200">
            <v>1.3959999999999999</v>
          </cell>
          <cell r="AC200">
            <v>53.744999999999997</v>
          </cell>
          <cell r="AD200">
            <v>55.747</v>
          </cell>
          <cell r="AE200">
            <v>55.747</v>
          </cell>
          <cell r="AF200">
            <v>49.65</v>
          </cell>
          <cell r="AG200">
            <v>40.347000000000001</v>
          </cell>
          <cell r="AH200">
            <v>40.347000000000001</v>
          </cell>
          <cell r="AI200">
            <v>43.494</v>
          </cell>
          <cell r="AJ200">
            <v>43.957000000000001</v>
          </cell>
          <cell r="AK200">
            <v>43.957000000000001</v>
          </cell>
          <cell r="AL200">
            <v>111.697</v>
          </cell>
          <cell r="AM200">
            <v>104.405</v>
          </cell>
          <cell r="AN200">
            <v>104.405</v>
          </cell>
          <cell r="AO200">
            <v>127.316</v>
          </cell>
          <cell r="AP200">
            <v>149.29300000000001</v>
          </cell>
          <cell r="AQ200">
            <v>149.29300000000001</v>
          </cell>
          <cell r="AR200">
            <v>129.68199999999999</v>
          </cell>
          <cell r="AS200">
            <v>156.565</v>
          </cell>
          <cell r="AT200">
            <v>156.565</v>
          </cell>
          <cell r="AU200">
            <v>191.99100000000001</v>
          </cell>
          <cell r="AV200">
            <v>179.44300000000001</v>
          </cell>
          <cell r="AW200">
            <v>179.44300000000001</v>
          </cell>
          <cell r="AX200">
            <v>226.36666223768103</v>
          </cell>
          <cell r="AY200">
            <v>207.56593553053628</v>
          </cell>
          <cell r="AZ200">
            <v>207.56593553053628</v>
          </cell>
          <cell r="BA200">
            <v>238.24463686146296</v>
          </cell>
          <cell r="BB200">
            <v>218.43567646018437</v>
          </cell>
          <cell r="BC200">
            <v>218.43567646018437</v>
          </cell>
          <cell r="BD200">
            <v>254.56446799180731</v>
          </cell>
          <cell r="BE200">
            <v>233.39376586445042</v>
          </cell>
          <cell r="BF200">
            <v>233.39376586445042</v>
          </cell>
          <cell r="BG200">
            <v>271.70433289453064</v>
          </cell>
          <cell r="BH200">
            <v>249.44341117397903</v>
          </cell>
          <cell r="BI200">
            <v>249.44341117397903</v>
          </cell>
          <cell r="BJ200">
            <v>285.77767927486053</v>
          </cell>
          <cell r="BK200">
            <v>262.70369884388305</v>
          </cell>
          <cell r="BL200">
            <v>262.70369884388305</v>
          </cell>
          <cell r="BM200">
            <v>305.00806114720666</v>
          </cell>
          <cell r="BN200">
            <v>280.72997660180567</v>
          </cell>
          <cell r="BO200">
            <v>280.72997660180567</v>
          </cell>
          <cell r="BP200">
            <v>324.57916408417714</v>
          </cell>
          <cell r="BQ200">
            <v>299.09145850837928</v>
          </cell>
          <cell r="BR200">
            <v>299.09145850837928</v>
          </cell>
        </row>
        <row r="201">
          <cell r="F201">
            <v>0</v>
          </cell>
          <cell r="I201">
            <v>0</v>
          </cell>
          <cell r="L201">
            <v>0</v>
          </cell>
          <cell r="O201">
            <v>0</v>
          </cell>
          <cell r="R201">
            <v>0</v>
          </cell>
          <cell r="U201">
            <v>0</v>
          </cell>
          <cell r="X201">
            <v>0</v>
          </cell>
          <cell r="AA201">
            <v>0</v>
          </cell>
          <cell r="AB201">
            <v>0</v>
          </cell>
          <cell r="AC201">
            <v>4.077</v>
          </cell>
          <cell r="AD201">
            <v>4.1050000000000004</v>
          </cell>
          <cell r="AE201">
            <v>4.1050000000000004</v>
          </cell>
          <cell r="AF201">
            <v>4.2439999999999998</v>
          </cell>
          <cell r="AG201">
            <v>5.218</v>
          </cell>
          <cell r="AH201">
            <v>5.218</v>
          </cell>
          <cell r="AI201">
            <v>4.9649999999999999</v>
          </cell>
          <cell r="AJ201">
            <v>5.2809999999999997</v>
          </cell>
          <cell r="AK201">
            <v>5.2809999999999997</v>
          </cell>
          <cell r="AL201">
            <v>5.8780000000000001</v>
          </cell>
          <cell r="AM201">
            <v>6.492</v>
          </cell>
          <cell r="AN201">
            <v>6.492</v>
          </cell>
          <cell r="AO201">
            <v>6.1479999999999997</v>
          </cell>
          <cell r="AP201">
            <v>7.1950000000000003</v>
          </cell>
          <cell r="AQ201">
            <v>7.1950000000000003</v>
          </cell>
          <cell r="AR201">
            <v>7.1719999999999997</v>
          </cell>
          <cell r="AS201">
            <v>8.1790000000000003</v>
          </cell>
          <cell r="AT201">
            <v>8.1790000000000003</v>
          </cell>
          <cell r="AU201">
            <v>9.4700000000000006</v>
          </cell>
          <cell r="AV201">
            <v>8.3930000000000007</v>
          </cell>
          <cell r="AW201">
            <v>8.3930000000000007</v>
          </cell>
          <cell r="AX201">
            <v>16.977499667826077</v>
          </cell>
          <cell r="AY201">
            <v>17.297161294211357</v>
          </cell>
          <cell r="AZ201">
            <v>17.297161294211357</v>
          </cell>
          <cell r="BA201">
            <v>17.86834776460972</v>
          </cell>
          <cell r="BB201">
            <v>18.202973038348695</v>
          </cell>
          <cell r="BC201">
            <v>18.202973038348695</v>
          </cell>
          <cell r="BD201">
            <v>19.092335099385547</v>
          </cell>
          <cell r="BE201">
            <v>19.4494804887042</v>
          </cell>
          <cell r="BF201">
            <v>19.4494804887042</v>
          </cell>
          <cell r="BG201">
            <v>20.377824967089797</v>
          </cell>
          <cell r="BH201">
            <v>20.78695093116492</v>
          </cell>
          <cell r="BI201">
            <v>20.78695093116492</v>
          </cell>
          <cell r="BJ201">
            <v>21.433325945614538</v>
          </cell>
          <cell r="BK201">
            <v>21.891974903656919</v>
          </cell>
          <cell r="BL201">
            <v>21.891974903656919</v>
          </cell>
          <cell r="BM201">
            <v>22.875604586040499</v>
          </cell>
          <cell r="BN201">
            <v>23.394164716817141</v>
          </cell>
          <cell r="BO201">
            <v>23.394164716817141</v>
          </cell>
          <cell r="BP201">
            <v>24.34343730631328</v>
          </cell>
          <cell r="BQ201">
            <v>24.924288209031605</v>
          </cell>
          <cell r="BR201">
            <v>24.924288209031605</v>
          </cell>
        </row>
        <row r="202">
          <cell r="F202">
            <v>0</v>
          </cell>
          <cell r="I202">
            <v>0</v>
          </cell>
          <cell r="L202">
            <v>0</v>
          </cell>
          <cell r="O202">
            <v>0</v>
          </cell>
          <cell r="R202">
            <v>0</v>
          </cell>
          <cell r="U202">
            <v>0</v>
          </cell>
          <cell r="X202">
            <v>0</v>
          </cell>
          <cell r="AA202">
            <v>1.0209999999999999</v>
          </cell>
          <cell r="AB202">
            <v>1.0209999999999999</v>
          </cell>
          <cell r="AC202">
            <v>31.794</v>
          </cell>
          <cell r="AD202">
            <v>45.497</v>
          </cell>
          <cell r="AE202">
            <v>45.497</v>
          </cell>
          <cell r="AF202">
            <v>30.141999999999999</v>
          </cell>
          <cell r="AG202">
            <v>46.417999999999999</v>
          </cell>
          <cell r="AH202">
            <v>46.417999999999999</v>
          </cell>
          <cell r="AI202">
            <v>33.573999999999998</v>
          </cell>
          <cell r="AJ202">
            <v>38.192999999999998</v>
          </cell>
          <cell r="AK202">
            <v>38.192999999999998</v>
          </cell>
          <cell r="AL202">
            <v>56.972999999999999</v>
          </cell>
          <cell r="AM202">
            <v>87.831999999999994</v>
          </cell>
          <cell r="AN202">
            <v>87.831999999999994</v>
          </cell>
          <cell r="AO202">
            <v>79.072000000000003</v>
          </cell>
          <cell r="AP202">
            <v>120.194</v>
          </cell>
          <cell r="AQ202">
            <v>120.194</v>
          </cell>
          <cell r="AR202">
            <v>348.685</v>
          </cell>
          <cell r="AS202">
            <v>128.702</v>
          </cell>
          <cell r="AT202">
            <v>128.702</v>
          </cell>
          <cell r="AU202">
            <v>131.52000000000001</v>
          </cell>
          <cell r="AV202">
            <v>110.321</v>
          </cell>
          <cell r="AW202">
            <v>110.321</v>
          </cell>
          <cell r="AX202">
            <v>135.81999734260862</v>
          </cell>
          <cell r="AY202">
            <v>138.37729035369085</v>
          </cell>
          <cell r="AZ202">
            <v>138.37729035369085</v>
          </cell>
          <cell r="BA202">
            <v>142.94678211687776</v>
          </cell>
          <cell r="BB202">
            <v>145.62378430678956</v>
          </cell>
          <cell r="BC202">
            <v>145.62378430678956</v>
          </cell>
          <cell r="BD202">
            <v>152.73868079508438</v>
          </cell>
          <cell r="BE202">
            <v>155.5958439096336</v>
          </cell>
          <cell r="BF202">
            <v>155.5958439096336</v>
          </cell>
          <cell r="BG202">
            <v>163.02259973671838</v>
          </cell>
          <cell r="BH202">
            <v>166.29560744931936</v>
          </cell>
          <cell r="BI202">
            <v>166.29560744931936</v>
          </cell>
          <cell r="BJ202">
            <v>171.4666075649163</v>
          </cell>
          <cell r="BK202">
            <v>175.13579922925535</v>
          </cell>
          <cell r="BL202">
            <v>175.13579922925535</v>
          </cell>
          <cell r="BM202">
            <v>183.00483668832399</v>
          </cell>
          <cell r="BN202">
            <v>187.15331773453713</v>
          </cell>
          <cell r="BO202">
            <v>187.15331773453713</v>
          </cell>
          <cell r="BP202">
            <v>194.74749845050624</v>
          </cell>
          <cell r="BQ202">
            <v>199.39430567225284</v>
          </cell>
          <cell r="BR202">
            <v>199.39430567225284</v>
          </cell>
        </row>
        <row r="203">
          <cell r="AT203">
            <v>36.042000000000002</v>
          </cell>
          <cell r="AW203">
            <v>77.515000000000015</v>
          </cell>
        </row>
        <row r="204">
          <cell r="E204" t="e">
            <v>#DIV/0!</v>
          </cell>
          <cell r="F204" t="e">
            <v>#DIV/0!</v>
          </cell>
          <cell r="G204" t="e">
            <v>#DIV/0!</v>
          </cell>
          <cell r="H204" t="e">
            <v>#DIV/0!</v>
          </cell>
          <cell r="I204" t="e">
            <v>#DIV/0!</v>
          </cell>
          <cell r="J204" t="e">
            <v>#DIV/0!</v>
          </cell>
          <cell r="K204" t="e">
            <v>#DIV/0!</v>
          </cell>
          <cell r="L204" t="e">
            <v>#DIV/0!</v>
          </cell>
          <cell r="M204" t="e">
            <v>#DIV/0!</v>
          </cell>
          <cell r="N204" t="e">
            <v>#DIV/0!</v>
          </cell>
          <cell r="O204" t="e">
            <v>#DIV/0!</v>
          </cell>
          <cell r="P204" t="e">
            <v>#DIV/0!</v>
          </cell>
          <cell r="Q204" t="e">
            <v>#DIV/0!</v>
          </cell>
          <cell r="R204" t="e">
            <v>#REF!</v>
          </cell>
          <cell r="S204" t="e">
            <v>#REF!</v>
          </cell>
          <cell r="T204" t="e">
            <v>#DIV/0!</v>
          </cell>
          <cell r="U204">
            <v>0</v>
          </cell>
          <cell r="V204">
            <v>0</v>
          </cell>
          <cell r="W204" t="e">
            <v>#DIV/0!</v>
          </cell>
          <cell r="X204">
            <v>0</v>
          </cell>
          <cell r="Y204">
            <v>0</v>
          </cell>
          <cell r="Z204" t="e">
            <v>#DIV/0!</v>
          </cell>
          <cell r="AA204">
            <v>0.16991236611489774</v>
          </cell>
          <cell r="AB204">
            <v>0.33982473222979548</v>
          </cell>
          <cell r="AC204">
            <v>10.317798562476963</v>
          </cell>
          <cell r="AD204">
            <v>12.747882479922431</v>
          </cell>
          <cell r="AE204">
            <v>11.635775412231267</v>
          </cell>
          <cell r="AF204">
            <v>13.407106171319324</v>
          </cell>
          <cell r="AG204">
            <v>11.733144891122278</v>
          </cell>
          <cell r="AH204">
            <v>11.298547461628289</v>
          </cell>
          <cell r="AI204">
            <v>11.024368482685553</v>
          </cell>
          <cell r="AJ204">
            <v>10.039784094243199</v>
          </cell>
          <cell r="AK204">
            <v>0.10562090789594875</v>
          </cell>
          <cell r="AL204">
            <v>15.601740151031574</v>
          </cell>
          <cell r="AM204">
            <v>10</v>
          </cell>
          <cell r="AN204">
            <v>0.15263367535098432</v>
          </cell>
          <cell r="AO204">
            <v>17.956666826512162</v>
          </cell>
          <cell r="AP204">
            <v>0.21298483785002198</v>
          </cell>
          <cell r="AQ204">
            <v>0.21298483785002198</v>
          </cell>
          <cell r="AR204">
            <v>15.918933516645389</v>
          </cell>
          <cell r="AS204">
            <v>0.17889973776073953</v>
          </cell>
          <cell r="AT204">
            <v>0.17889973776073953</v>
          </cell>
          <cell r="AU204">
            <v>0.2</v>
          </cell>
          <cell r="AV204">
            <v>0.18</v>
          </cell>
          <cell r="AW204">
            <v>0.18</v>
          </cell>
          <cell r="AX204">
            <v>0.2</v>
          </cell>
          <cell r="AY204">
            <v>0.18</v>
          </cell>
          <cell r="AZ204">
            <v>0.18</v>
          </cell>
          <cell r="BA204">
            <v>0.2</v>
          </cell>
          <cell r="BB204">
            <v>0.18</v>
          </cell>
          <cell r="BC204">
            <v>0.18</v>
          </cell>
          <cell r="BD204">
            <v>0.2</v>
          </cell>
          <cell r="BE204">
            <v>0.18</v>
          </cell>
          <cell r="BF204">
            <v>0.18</v>
          </cell>
          <cell r="BG204">
            <v>0.2</v>
          </cell>
          <cell r="BH204">
            <v>0.18</v>
          </cell>
          <cell r="BI204">
            <v>0.18</v>
          </cell>
          <cell r="BJ204">
            <v>0.2</v>
          </cell>
          <cell r="BK204">
            <v>0.18</v>
          </cell>
          <cell r="BL204">
            <v>0.18</v>
          </cell>
          <cell r="BM204">
            <v>0.2</v>
          </cell>
          <cell r="BN204">
            <v>0.18</v>
          </cell>
          <cell r="BO204">
            <v>0.18</v>
          </cell>
          <cell r="BP204">
            <v>0.2</v>
          </cell>
          <cell r="BQ204">
            <v>0.18</v>
          </cell>
          <cell r="BR204">
            <v>0.18</v>
          </cell>
        </row>
        <row r="205">
          <cell r="E205" t="e">
            <v>#DIV/0!</v>
          </cell>
          <cell r="F205" t="e">
            <v>#DIV/0!</v>
          </cell>
          <cell r="G205" t="e">
            <v>#DIV/0!</v>
          </cell>
          <cell r="H205" t="e">
            <v>#DIV/0!</v>
          </cell>
          <cell r="I205" t="e">
            <v>#DIV/0!</v>
          </cell>
          <cell r="J205" t="e">
            <v>#DIV/0!</v>
          </cell>
          <cell r="K205" t="e">
            <v>#DIV/0!</v>
          </cell>
          <cell r="L205" t="e">
            <v>#DIV/0!</v>
          </cell>
          <cell r="M205" t="e">
            <v>#DIV/0!</v>
          </cell>
          <cell r="N205" t="e">
            <v>#DIV/0!</v>
          </cell>
          <cell r="O205" t="e">
            <v>#DIV/0!</v>
          </cell>
          <cell r="P205" t="e">
            <v>#DIV/0!</v>
          </cell>
          <cell r="Q205" t="e">
            <v>#DIV/0!</v>
          </cell>
          <cell r="R205" t="e">
            <v>#REF!</v>
          </cell>
          <cell r="S205" t="e">
            <v>#REF!</v>
          </cell>
          <cell r="T205" t="e">
            <v>#DIV/0!</v>
          </cell>
          <cell r="U205">
            <v>0</v>
          </cell>
          <cell r="V205">
            <v>0</v>
          </cell>
          <cell r="W205" t="e">
            <v>#DIV/0!</v>
          </cell>
          <cell r="X205">
            <v>0</v>
          </cell>
          <cell r="Y205">
            <v>0</v>
          </cell>
          <cell r="Z205" t="e">
            <v>#DIV/0!</v>
          </cell>
          <cell r="AA205">
            <v>0</v>
          </cell>
          <cell r="AB205">
            <v>0</v>
          </cell>
          <cell r="AC205">
            <v>0.78268982676004428</v>
          </cell>
          <cell r="AD205">
            <v>0.93870625468781432</v>
          </cell>
          <cell r="AE205">
            <v>0.8568148611980797</v>
          </cell>
          <cell r="AF205">
            <v>1.1460172928716861</v>
          </cell>
          <cell r="AG205">
            <v>1.5174250884049878</v>
          </cell>
          <cell r="AH205">
            <v>1.4612194377469554</v>
          </cell>
          <cell r="AI205">
            <v>1.2584721919467921</v>
          </cell>
          <cell r="AJ205">
            <v>1.2061810360511029</v>
          </cell>
          <cell r="AK205">
            <v>1.2689310339616108E-2</v>
          </cell>
          <cell r="AL205">
            <v>0.82103394547538067</v>
          </cell>
          <cell r="AM205">
            <v>1.9910440524200268E-2</v>
          </cell>
          <cell r="AN205">
            <v>9.4909038875397745E-3</v>
          </cell>
          <cell r="AO205">
            <v>0.8671147982138675</v>
          </cell>
          <cell r="AP205">
            <v>1.0264552981927539E-2</v>
          </cell>
          <cell r="AQ205">
            <v>1.0264552981927539E-2</v>
          </cell>
          <cell r="AR205">
            <v>0.88038888343317301</v>
          </cell>
          <cell r="AS205">
            <v>1.4999999999999999E-2</v>
          </cell>
          <cell r="AT205">
            <v>1.4999999999999999E-2</v>
          </cell>
          <cell r="AU205">
            <v>1.4999999999999999E-2</v>
          </cell>
          <cell r="AV205">
            <v>1.4999999999999999E-2</v>
          </cell>
          <cell r="AW205">
            <v>1.4999999999999999E-2</v>
          </cell>
          <cell r="AX205">
            <v>1.4999999999999999E-2</v>
          </cell>
          <cell r="AY205">
            <v>1.4999999999999999E-2</v>
          </cell>
          <cell r="AZ205">
            <v>1.4999999999999999E-2</v>
          </cell>
          <cell r="BA205">
            <v>1.4999999999999999E-2</v>
          </cell>
          <cell r="BB205">
            <v>1.4999999999999999E-2</v>
          </cell>
          <cell r="BC205">
            <v>1.4999999999999999E-2</v>
          </cell>
          <cell r="BD205">
            <v>1.4999999999999999E-2</v>
          </cell>
          <cell r="BE205">
            <v>1.4999999999999999E-2</v>
          </cell>
          <cell r="BF205">
            <v>1.4999999999999999E-2</v>
          </cell>
          <cell r="BG205">
            <v>1.4999999999999999E-2</v>
          </cell>
          <cell r="BH205">
            <v>1.4999999999999999E-2</v>
          </cell>
          <cell r="BI205">
            <v>1.4999999999999999E-2</v>
          </cell>
          <cell r="BJ205">
            <v>1.4999999999999999E-2</v>
          </cell>
          <cell r="BK205">
            <v>1.4999999999999999E-2</v>
          </cell>
          <cell r="BL205">
            <v>1.4999999999999999E-2</v>
          </cell>
          <cell r="BM205">
            <v>1.4999999999999999E-2</v>
          </cell>
          <cell r="BN205">
            <v>1.4999999999999999E-2</v>
          </cell>
          <cell r="BO205">
            <v>1.4999999999999999E-2</v>
          </cell>
          <cell r="BP205">
            <v>1.4999999999999999E-2</v>
          </cell>
          <cell r="BQ205">
            <v>1.4999999999999999E-2</v>
          </cell>
          <cell r="BR205">
            <v>1.4999999999999999E-2</v>
          </cell>
        </row>
        <row r="206">
          <cell r="E206" t="e">
            <v>#DIV/0!</v>
          </cell>
          <cell r="F206" t="e">
            <v>#DIV/0!</v>
          </cell>
          <cell r="G206" t="e">
            <v>#DIV/0!</v>
          </cell>
          <cell r="H206" t="e">
            <v>#DIV/0!</v>
          </cell>
          <cell r="I206" t="e">
            <v>#DIV/0!</v>
          </cell>
          <cell r="J206" t="e">
            <v>#DIV/0!</v>
          </cell>
          <cell r="K206" t="e">
            <v>#DIV/0!</v>
          </cell>
          <cell r="L206" t="e">
            <v>#DIV/0!</v>
          </cell>
          <cell r="M206" t="e">
            <v>#DIV/0!</v>
          </cell>
          <cell r="N206" t="e">
            <v>#DIV/0!</v>
          </cell>
          <cell r="O206" t="e">
            <v>#DIV/0!</v>
          </cell>
          <cell r="P206" t="e">
            <v>#DIV/0!</v>
          </cell>
          <cell r="Q206" t="e">
            <v>#DIV/0!</v>
          </cell>
          <cell r="R206" t="e">
            <v>#REF!</v>
          </cell>
          <cell r="S206" t="e">
            <v>#REF!</v>
          </cell>
          <cell r="T206" t="e">
            <v>#DIV/0!</v>
          </cell>
          <cell r="U206">
            <v>0</v>
          </cell>
          <cell r="V206">
            <v>0</v>
          </cell>
          <cell r="W206" t="e">
            <v>#DIV/0!</v>
          </cell>
          <cell r="X206">
            <v>0</v>
          </cell>
          <cell r="Y206">
            <v>0</v>
          </cell>
          <cell r="Z206" t="e">
            <v>#DIV/0!</v>
          </cell>
          <cell r="AA206">
            <v>0.12426971762414799</v>
          </cell>
          <cell r="AB206">
            <v>0.24853943524829597</v>
          </cell>
          <cell r="AC206">
            <v>6.1037136011795061</v>
          </cell>
          <cell r="AD206">
            <v>10.403975266633736</v>
          </cell>
          <cell r="AE206">
            <v>9.4963473178877056</v>
          </cell>
          <cell r="AF206">
            <v>8.1393150899477771</v>
          </cell>
          <cell r="AG206">
            <v>13.498627396240462</v>
          </cell>
          <cell r="AH206">
            <v>12.998636232529353</v>
          </cell>
          <cell r="AI206">
            <v>8.5099587859862211</v>
          </cell>
          <cell r="AJ206">
            <v>8.7232858000188926</v>
          </cell>
          <cell r="AK206">
            <v>9.1771033857405426E-2</v>
          </cell>
          <cell r="AL206">
            <v>7.9579392608997708</v>
          </cell>
          <cell r="AM206">
            <v>8.5</v>
          </cell>
          <cell r="AN206">
            <v>0.12840497077177965</v>
          </cell>
          <cell r="AO206">
            <v>11.152326175075949</v>
          </cell>
          <cell r="AP206">
            <v>0.17147153316327987</v>
          </cell>
          <cell r="AQ206">
            <v>0.17147153316327987</v>
          </cell>
          <cell r="AR206">
            <v>42.802342138858883</v>
          </cell>
          <cell r="AS206">
            <v>0.12</v>
          </cell>
          <cell r="AT206">
            <v>0.12</v>
          </cell>
          <cell r="AU206">
            <v>0.12</v>
          </cell>
          <cell r="AV206">
            <v>0.12</v>
          </cell>
          <cell r="AW206">
            <v>0.12</v>
          </cell>
          <cell r="AX206">
            <v>0.12</v>
          </cell>
          <cell r="AY206">
            <v>0.12</v>
          </cell>
          <cell r="AZ206">
            <v>0.12</v>
          </cell>
          <cell r="BA206">
            <v>0.12</v>
          </cell>
          <cell r="BB206">
            <v>0.12</v>
          </cell>
          <cell r="BC206">
            <v>0.12</v>
          </cell>
          <cell r="BD206">
            <v>0.12</v>
          </cell>
          <cell r="BE206">
            <v>0.12</v>
          </cell>
          <cell r="BF206">
            <v>0.12</v>
          </cell>
          <cell r="BG206">
            <v>0.12</v>
          </cell>
          <cell r="BH206">
            <v>0.12</v>
          </cell>
          <cell r="BI206">
            <v>0.12</v>
          </cell>
          <cell r="BJ206">
            <v>0.12</v>
          </cell>
          <cell r="BK206">
            <v>0.12</v>
          </cell>
          <cell r="BL206">
            <v>0.12</v>
          </cell>
          <cell r="BM206">
            <v>0.12</v>
          </cell>
          <cell r="BN206">
            <v>0.12</v>
          </cell>
          <cell r="BO206">
            <v>0.12</v>
          </cell>
          <cell r="BP206">
            <v>0.12</v>
          </cell>
          <cell r="BQ206">
            <v>0.12</v>
          </cell>
          <cell r="BR206">
            <v>0.12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-1.3959999999999999</v>
          </cell>
          <cell r="AB207">
            <v>-1.3959999999999999</v>
          </cell>
          <cell r="AC207">
            <v>-52.348999999999997</v>
          </cell>
          <cell r="AD207">
            <v>-2.0020000000000024</v>
          </cell>
          <cell r="AE207">
            <v>-54.350999999999999</v>
          </cell>
          <cell r="AF207">
            <v>6.0970000000000013</v>
          </cell>
          <cell r="AG207">
            <v>9.3029999999999973</v>
          </cell>
          <cell r="AH207">
            <v>15.399999999999999</v>
          </cell>
          <cell r="AI207">
            <v>-3.1469999999999985</v>
          </cell>
          <cell r="AJ207">
            <v>-0.46300000000000097</v>
          </cell>
          <cell r="AK207">
            <v>-3.6099999999999994</v>
          </cell>
          <cell r="AL207">
            <v>-67.740000000000009</v>
          </cell>
          <cell r="AM207">
            <v>7.2920000000000087</v>
          </cell>
          <cell r="AN207">
            <v>-60.448</v>
          </cell>
          <cell r="AO207">
            <v>-22.911000000000001</v>
          </cell>
          <cell r="AP207">
            <v>-21.977000000000004</v>
          </cell>
          <cell r="AQ207">
            <v>-44.888000000000005</v>
          </cell>
          <cell r="AR207">
            <v>19.611000000000018</v>
          </cell>
          <cell r="AS207">
            <v>-26.88300000000001</v>
          </cell>
          <cell r="AT207">
            <v>-7.2719999999999914</v>
          </cell>
          <cell r="AU207">
            <v>-35.426000000000016</v>
          </cell>
          <cell r="AV207">
            <v>12.548000000000002</v>
          </cell>
          <cell r="AW207">
            <v>-22.878000000000014</v>
          </cell>
          <cell r="AX207">
            <v>-46.923662237681015</v>
          </cell>
          <cell r="AY207">
            <v>18.800726707144747</v>
          </cell>
          <cell r="AZ207">
            <v>-28.122935530536267</v>
          </cell>
          <cell r="BA207">
            <v>-30.678701330926685</v>
          </cell>
          <cell r="BB207">
            <v>19.808960401278597</v>
          </cell>
          <cell r="BC207">
            <v>-10.869740929648088</v>
          </cell>
          <cell r="BD207">
            <v>-36.128791531622937</v>
          </cell>
          <cell r="BE207">
            <v>21.17070212735689</v>
          </cell>
          <cell r="BF207">
            <v>-14.958089404266047</v>
          </cell>
          <cell r="BG207">
            <v>-38.310567030080222</v>
          </cell>
          <cell r="BH207">
            <v>22.260921720551607</v>
          </cell>
          <cell r="BI207">
            <v>-16.049645309528614</v>
          </cell>
          <cell r="BJ207">
            <v>-36.334268100881502</v>
          </cell>
          <cell r="BK207">
            <v>23.073980430977485</v>
          </cell>
          <cell r="BL207">
            <v>-13.260287669904017</v>
          </cell>
          <cell r="BM207">
            <v>-42.304362303323614</v>
          </cell>
          <cell r="BN207">
            <v>24.278084545400986</v>
          </cell>
          <cell r="BO207">
            <v>-18.026277757922628</v>
          </cell>
          <cell r="BP207">
            <v>-43.849187482371462</v>
          </cell>
          <cell r="BQ207">
            <v>25.487705575797861</v>
          </cell>
          <cell r="BR207">
            <v>-18.361481906573601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-4.077</v>
          </cell>
          <cell r="AD208">
            <v>-2.8000000000000469E-2</v>
          </cell>
          <cell r="AE208">
            <v>-4.1050000000000004</v>
          </cell>
          <cell r="AF208">
            <v>-0.13899999999999935</v>
          </cell>
          <cell r="AG208">
            <v>-0.9740000000000002</v>
          </cell>
          <cell r="AH208">
            <v>-1.1129999999999995</v>
          </cell>
          <cell r="AI208">
            <v>0.25300000000000011</v>
          </cell>
          <cell r="AJ208">
            <v>-0.31599999999999984</v>
          </cell>
          <cell r="AK208">
            <v>-6.2999999999999723E-2</v>
          </cell>
          <cell r="AL208">
            <v>-0.59700000000000042</v>
          </cell>
          <cell r="AM208">
            <v>-0.61399999999999988</v>
          </cell>
          <cell r="AN208">
            <v>-1.2110000000000003</v>
          </cell>
          <cell r="AO208">
            <v>0.34400000000000031</v>
          </cell>
          <cell r="AP208">
            <v>-1.0470000000000006</v>
          </cell>
          <cell r="AQ208">
            <v>-0.70300000000000029</v>
          </cell>
          <cell r="AR208">
            <v>2.3000000000000576E-2</v>
          </cell>
          <cell r="AS208">
            <v>-1.0070000000000006</v>
          </cell>
          <cell r="AT208">
            <v>-0.98399999999999999</v>
          </cell>
          <cell r="AU208">
            <v>-1.2910000000000004</v>
          </cell>
          <cell r="AV208">
            <v>1.077</v>
          </cell>
          <cell r="AW208">
            <v>-0.21400000000000041</v>
          </cell>
          <cell r="AX208">
            <v>-8.5844996678260763</v>
          </cell>
          <cell r="AY208">
            <v>-0.31966162638527962</v>
          </cell>
          <cell r="AZ208">
            <v>-8.9041612942113559</v>
          </cell>
          <cell r="BA208">
            <v>-0.5711864703983629</v>
          </cell>
          <cell r="BB208">
            <v>-0.33462527373897544</v>
          </cell>
          <cell r="BC208">
            <v>-0.90581174413733834</v>
          </cell>
          <cell r="BD208">
            <v>-0.88936206103685223</v>
          </cell>
          <cell r="BE208">
            <v>-0.35714538931865292</v>
          </cell>
          <cell r="BF208">
            <v>-1.2465074503555051</v>
          </cell>
          <cell r="BG208">
            <v>-0.92834447838559697</v>
          </cell>
          <cell r="BH208">
            <v>-0.40912596407512325</v>
          </cell>
          <cell r="BI208">
            <v>-1.3374704424607202</v>
          </cell>
          <cell r="BJ208">
            <v>-0.64637501444961742</v>
          </cell>
          <cell r="BK208">
            <v>-0.45864895804238159</v>
          </cell>
          <cell r="BL208">
            <v>-1.105023972491999</v>
          </cell>
          <cell r="BM208">
            <v>-0.98362968238357951</v>
          </cell>
          <cell r="BN208">
            <v>-0.51856013077664187</v>
          </cell>
          <cell r="BO208">
            <v>-1.5021898131602214</v>
          </cell>
          <cell r="BP208">
            <v>-0.94927258949613957</v>
          </cell>
          <cell r="BQ208">
            <v>-0.58085090271832485</v>
          </cell>
          <cell r="BR208">
            <v>-1.5301234922144644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1.0209999999999999</v>
          </cell>
          <cell r="AB209">
            <v>1.0209999999999999</v>
          </cell>
          <cell r="AC209">
            <v>30.773</v>
          </cell>
          <cell r="AD209">
            <v>13.702999999999999</v>
          </cell>
          <cell r="AE209">
            <v>44.475999999999999</v>
          </cell>
          <cell r="AF209">
            <v>-15.355</v>
          </cell>
          <cell r="AG209">
            <v>16.276</v>
          </cell>
          <cell r="AH209">
            <v>0.92099999999999937</v>
          </cell>
          <cell r="AI209">
            <v>-12.844000000000001</v>
          </cell>
          <cell r="AJ209">
            <v>4.6189999999999998</v>
          </cell>
          <cell r="AK209">
            <v>-8.2250000000000014</v>
          </cell>
          <cell r="AL209">
            <v>18.78</v>
          </cell>
          <cell r="AM209">
            <v>30.858999999999995</v>
          </cell>
          <cell r="AN209">
            <v>49.638999999999996</v>
          </cell>
          <cell r="AO209">
            <v>-8.7599999999999909</v>
          </cell>
          <cell r="AP209">
            <v>41.122</v>
          </cell>
          <cell r="AQ209">
            <v>32.362000000000009</v>
          </cell>
          <cell r="AR209">
            <v>228.49099999999999</v>
          </cell>
          <cell r="AS209">
            <v>-219.983</v>
          </cell>
          <cell r="AT209">
            <v>8.5079999999999956</v>
          </cell>
          <cell r="AU209">
            <v>2.8180000000000121</v>
          </cell>
          <cell r="AV209">
            <v>-21.199000000000012</v>
          </cell>
          <cell r="AW209">
            <v>-18.381</v>
          </cell>
          <cell r="AX209">
            <v>25.498997342608618</v>
          </cell>
          <cell r="AY209">
            <v>2.5572930110822369</v>
          </cell>
          <cell r="AZ209">
            <v>28.056290353690855</v>
          </cell>
          <cell r="BA209">
            <v>4.5694917631869032</v>
          </cell>
          <cell r="BB209">
            <v>2.6770021899118035</v>
          </cell>
          <cell r="BC209">
            <v>7.2464939530987067</v>
          </cell>
          <cell r="BD209">
            <v>7.1148964882948178</v>
          </cell>
          <cell r="BE209">
            <v>2.8571631145492233</v>
          </cell>
          <cell r="BF209">
            <v>9.9720596028440411</v>
          </cell>
          <cell r="BG209">
            <v>7.4267558270847758</v>
          </cell>
          <cell r="BH209">
            <v>3.273007712600986</v>
          </cell>
          <cell r="BI209">
            <v>10.699763539685762</v>
          </cell>
          <cell r="BJ209">
            <v>5.1710001155969394</v>
          </cell>
          <cell r="BK209">
            <v>3.6691916643390527</v>
          </cell>
          <cell r="BL209">
            <v>8.8401917799359921</v>
          </cell>
          <cell r="BM209">
            <v>7.8690374590686361</v>
          </cell>
          <cell r="BN209">
            <v>4.148481046213135</v>
          </cell>
          <cell r="BO209">
            <v>12.017518505281771</v>
          </cell>
          <cell r="BP209">
            <v>7.5941807159691166</v>
          </cell>
          <cell r="BQ209">
            <v>4.6468072217465988</v>
          </cell>
          <cell r="BR209">
            <v>12.240987937715715</v>
          </cell>
        </row>
        <row r="210">
          <cell r="E210" t="e">
            <v>#DIV/0!</v>
          </cell>
          <cell r="F210" t="e">
            <v>#DIV/0!</v>
          </cell>
          <cell r="G210" t="e">
            <v>#DIV/0!</v>
          </cell>
          <cell r="H210" t="e">
            <v>#DIV/0!</v>
          </cell>
          <cell r="I210" t="e">
            <v>#DIV/0!</v>
          </cell>
          <cell r="J210" t="e">
            <v>#DIV/0!</v>
          </cell>
          <cell r="K210" t="e">
            <v>#DIV/0!</v>
          </cell>
          <cell r="L210" t="e">
            <v>#DIV/0!</v>
          </cell>
          <cell r="M210" t="e">
            <v>#DIV/0!</v>
          </cell>
          <cell r="N210" t="e">
            <v>#DIV/0!</v>
          </cell>
          <cell r="O210" t="e">
            <v>#DIV/0!</v>
          </cell>
          <cell r="P210" t="e">
            <v>#DIV/0!</v>
          </cell>
          <cell r="Q210" t="e">
            <v>#DIV/0!</v>
          </cell>
          <cell r="R210" t="e">
            <v>#REF!</v>
          </cell>
          <cell r="S210" t="e">
            <v>#REF!</v>
          </cell>
          <cell r="T210" t="e">
            <v>#DIV/0!</v>
          </cell>
          <cell r="U210" t="e">
            <v>#DIV/0!</v>
          </cell>
          <cell r="V210">
            <v>0</v>
          </cell>
          <cell r="W210" t="e">
            <v>#DIV/0!</v>
          </cell>
          <cell r="X210" t="e">
            <v>#DIV/0!</v>
          </cell>
          <cell r="Y210">
            <v>0</v>
          </cell>
          <cell r="Z210" t="e">
            <v>#DIV/0!</v>
          </cell>
          <cell r="AA210" t="e">
            <v>#DIV/0!</v>
          </cell>
          <cell r="AB210">
            <v>-0.70666991236611487</v>
          </cell>
          <cell r="AC210">
            <v>-3.6126213294016476</v>
          </cell>
          <cell r="AD210">
            <v>-0.37422901499409411</v>
          </cell>
          <cell r="AE210">
            <v>-3.9868503443957417</v>
          </cell>
          <cell r="AF210">
            <v>-0.52764321165675676</v>
          </cell>
          <cell r="AG210">
            <v>-3.9467462433683207</v>
          </cell>
          <cell r="AH210">
            <v>-4.4743894550250776</v>
          </cell>
          <cell r="AI210">
            <v>0.75837840852060745</v>
          </cell>
          <cell r="AJ210">
            <v>-1.3715789384713797</v>
          </cell>
          <cell r="AK210">
            <v>-0.61320052995077223</v>
          </cell>
          <cell r="AL210">
            <v>0.8179610045430139</v>
          </cell>
          <cell r="AM210">
            <v>-4.5276296143138337</v>
          </cell>
          <cell r="AN210">
            <v>-3.7096686097708198</v>
          </cell>
          <cell r="AO210">
            <v>2.0772392238278847</v>
          </cell>
          <cell r="AP210">
            <v>-6.2824960445127784</v>
          </cell>
          <cell r="AQ210">
            <v>-4.2052568206848937</v>
          </cell>
          <cell r="AR210">
            <v>-69.677403515663357</v>
          </cell>
          <cell r="AS210">
            <v>73.795759692569163</v>
          </cell>
          <cell r="AT210">
            <v>4.118356176905805</v>
          </cell>
          <cell r="AU210">
            <v>12.526506956285013</v>
          </cell>
          <cell r="AV210">
            <v>-5.6819153448059838</v>
          </cell>
          <cell r="AW210">
            <v>6.8445916114790295</v>
          </cell>
          <cell r="AX210">
            <v>18.999999999999996</v>
          </cell>
          <cell r="AY210">
            <v>-11.499999999999998</v>
          </cell>
          <cell r="AZ210">
            <v>7.4999999999999982</v>
          </cell>
          <cell r="BA210">
            <v>19</v>
          </cell>
          <cell r="BB210">
            <v>-11.5</v>
          </cell>
          <cell r="BC210">
            <v>7.5000000000000009</v>
          </cell>
          <cell r="BD210">
            <v>19</v>
          </cell>
          <cell r="BE210">
            <v>-11.5</v>
          </cell>
          <cell r="BF210">
            <v>7.5000000000000009</v>
          </cell>
          <cell r="BG210">
            <v>19</v>
          </cell>
          <cell r="BH210">
            <v>-11.5</v>
          </cell>
          <cell r="BI210">
            <v>7.5</v>
          </cell>
          <cell r="BJ210">
            <v>19</v>
          </cell>
          <cell r="BK210">
            <v>-11.499999999999996</v>
          </cell>
          <cell r="BL210">
            <v>7.5000000000000027</v>
          </cell>
          <cell r="BM210">
            <v>18.999999999999996</v>
          </cell>
          <cell r="BN210">
            <v>-11.499999999999996</v>
          </cell>
          <cell r="BO210">
            <v>7.5</v>
          </cell>
          <cell r="BP210">
            <v>19.000000000000007</v>
          </cell>
          <cell r="BQ210">
            <v>-11.500000000000007</v>
          </cell>
          <cell r="BR210">
            <v>7.5</v>
          </cell>
        </row>
        <row r="212">
          <cell r="B212" t="str">
            <v xml:space="preserve">    Current provisions - tax</v>
          </cell>
          <cell r="D212" t="str">
            <v>$m</v>
          </cell>
          <cell r="F212">
            <v>0</v>
          </cell>
          <cell r="I212">
            <v>0</v>
          </cell>
          <cell r="L212">
            <v>0</v>
          </cell>
          <cell r="O212">
            <v>0</v>
          </cell>
          <cell r="R212">
            <v>0</v>
          </cell>
          <cell r="U212">
            <v>0</v>
          </cell>
          <cell r="X212">
            <v>0</v>
          </cell>
          <cell r="AA212">
            <v>0</v>
          </cell>
          <cell r="AD212">
            <v>0</v>
          </cell>
          <cell r="AG212">
            <v>0</v>
          </cell>
          <cell r="AI212">
            <v>0.17</v>
          </cell>
          <cell r="AJ212">
            <v>0</v>
          </cell>
          <cell r="AM212">
            <v>0</v>
          </cell>
          <cell r="AP212">
            <v>0</v>
          </cell>
          <cell r="AS212">
            <v>0</v>
          </cell>
          <cell r="AV212">
            <v>0</v>
          </cell>
          <cell r="AY212">
            <v>0</v>
          </cell>
          <cell r="BB212">
            <v>0</v>
          </cell>
          <cell r="BE212">
            <v>0</v>
          </cell>
          <cell r="BH212">
            <v>0</v>
          </cell>
          <cell r="BK212">
            <v>0</v>
          </cell>
          <cell r="BN212">
            <v>0</v>
          </cell>
          <cell r="BQ212">
            <v>0</v>
          </cell>
        </row>
        <row r="213">
          <cell r="B213" t="str">
            <v xml:space="preserve">    Current provisions - employee entitlements</v>
          </cell>
          <cell r="D213" t="str">
            <v>$m</v>
          </cell>
          <cell r="F213">
            <v>0</v>
          </cell>
          <cell r="I213">
            <v>0</v>
          </cell>
          <cell r="L213">
            <v>0</v>
          </cell>
          <cell r="O213">
            <v>0</v>
          </cell>
          <cell r="R213">
            <v>0</v>
          </cell>
          <cell r="U213">
            <v>0</v>
          </cell>
          <cell r="X213">
            <v>0</v>
          </cell>
          <cell r="AA213">
            <v>0</v>
          </cell>
          <cell r="AD213">
            <v>0</v>
          </cell>
          <cell r="AG213">
            <v>0</v>
          </cell>
          <cell r="AI213">
            <v>12.875</v>
          </cell>
          <cell r="AJ213">
            <v>0</v>
          </cell>
          <cell r="AM213">
            <v>0</v>
          </cell>
          <cell r="AP213">
            <v>0</v>
          </cell>
          <cell r="AS213">
            <v>0</v>
          </cell>
          <cell r="AV213">
            <v>0</v>
          </cell>
          <cell r="AY213">
            <v>0</v>
          </cell>
          <cell r="BB213">
            <v>0</v>
          </cell>
          <cell r="BE213">
            <v>0</v>
          </cell>
          <cell r="BH213">
            <v>0</v>
          </cell>
          <cell r="BK213">
            <v>0</v>
          </cell>
          <cell r="BN213">
            <v>0</v>
          </cell>
          <cell r="BQ213">
            <v>0</v>
          </cell>
        </row>
        <row r="214">
          <cell r="B214" t="str">
            <v xml:space="preserve">    Current provisions - final dividend</v>
          </cell>
          <cell r="D214" t="str">
            <v>$m</v>
          </cell>
          <cell r="F214">
            <v>0</v>
          </cell>
          <cell r="I214">
            <v>0</v>
          </cell>
          <cell r="L214">
            <v>0</v>
          </cell>
          <cell r="O214">
            <v>0</v>
          </cell>
          <cell r="R214">
            <v>0</v>
          </cell>
          <cell r="U214">
            <v>0</v>
          </cell>
          <cell r="X214">
            <v>0</v>
          </cell>
          <cell r="AA214">
            <v>0</v>
          </cell>
          <cell r="AD214">
            <v>0</v>
          </cell>
          <cell r="AG214">
            <v>0</v>
          </cell>
          <cell r="AJ214">
            <v>0</v>
          </cell>
          <cell r="AM214">
            <v>0</v>
          </cell>
          <cell r="AP214">
            <v>0</v>
          </cell>
          <cell r="AS214">
            <v>0</v>
          </cell>
          <cell r="AV214">
            <v>0</v>
          </cell>
          <cell r="AY214">
            <v>0</v>
          </cell>
          <cell r="BB214">
            <v>0</v>
          </cell>
          <cell r="BE214">
            <v>0</v>
          </cell>
          <cell r="BH214">
            <v>0</v>
          </cell>
          <cell r="BK214">
            <v>0</v>
          </cell>
          <cell r="BN214">
            <v>0</v>
          </cell>
          <cell r="BQ214">
            <v>0</v>
          </cell>
        </row>
        <row r="215">
          <cell r="B215" t="str">
            <v xml:space="preserve">    Current provisions - other</v>
          </cell>
          <cell r="D215" t="str">
            <v>$m</v>
          </cell>
          <cell r="F215">
            <v>0</v>
          </cell>
          <cell r="I215">
            <v>0</v>
          </cell>
          <cell r="L215">
            <v>0</v>
          </cell>
          <cell r="O215">
            <v>0</v>
          </cell>
          <cell r="Q215">
            <v>0</v>
          </cell>
          <cell r="R215">
            <v>7.9640000000000004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3.278</v>
          </cell>
          <cell r="AB215">
            <v>3.278</v>
          </cell>
          <cell r="AC215">
            <v>35.436999999999998</v>
          </cell>
          <cell r="AD215">
            <v>33.456000000000003</v>
          </cell>
          <cell r="AE215">
            <v>33.456000000000003</v>
          </cell>
          <cell r="AF215">
            <v>24.728999999999999</v>
          </cell>
          <cell r="AG215">
            <v>15.125</v>
          </cell>
          <cell r="AH215">
            <v>15.125</v>
          </cell>
          <cell r="AI215">
            <v>0.34399999999999997</v>
          </cell>
          <cell r="AJ215">
            <v>0.34399999999999997</v>
          </cell>
          <cell r="AK215">
            <v>13.597</v>
          </cell>
          <cell r="AL215">
            <v>57.673999999999999</v>
          </cell>
          <cell r="AM215">
            <v>48.44</v>
          </cell>
          <cell r="AN215">
            <v>48.44</v>
          </cell>
          <cell r="AO215">
            <v>47.027999999999999</v>
          </cell>
          <cell r="AP215">
            <v>65.771000000000001</v>
          </cell>
          <cell r="AQ215">
            <v>65.771000000000001</v>
          </cell>
          <cell r="AR215">
            <v>71.978999999999999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7.9640000000000004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3.278</v>
          </cell>
          <cell r="AB216">
            <v>3.278</v>
          </cell>
          <cell r="AC216">
            <v>35.436999999999998</v>
          </cell>
          <cell r="AD216">
            <v>33.456000000000003</v>
          </cell>
          <cell r="AE216">
            <v>33.456000000000003</v>
          </cell>
          <cell r="AF216">
            <v>24.728999999999999</v>
          </cell>
          <cell r="AG216">
            <v>15.125</v>
          </cell>
          <cell r="AH216">
            <v>15.125</v>
          </cell>
          <cell r="AI216">
            <v>13.388999999999999</v>
          </cell>
          <cell r="AJ216">
            <v>0.34399999999999997</v>
          </cell>
          <cell r="AK216">
            <v>13.597</v>
          </cell>
          <cell r="AL216">
            <v>57.673999999999999</v>
          </cell>
          <cell r="AM216">
            <v>48.44</v>
          </cell>
          <cell r="AN216">
            <v>48.44</v>
          </cell>
          <cell r="AO216">
            <v>47.027999999999999</v>
          </cell>
          <cell r="AP216">
            <v>65.771000000000001</v>
          </cell>
          <cell r="AQ216">
            <v>65.771000000000001</v>
          </cell>
          <cell r="AR216">
            <v>71.978999999999999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 t="str">
            <v xml:space="preserve">    Non current prov - deferred tax</v>
          </cell>
          <cell r="D217" t="str">
            <v>$m</v>
          </cell>
          <cell r="F217">
            <v>0</v>
          </cell>
          <cell r="I217">
            <v>0</v>
          </cell>
          <cell r="L217">
            <v>0</v>
          </cell>
          <cell r="O217">
            <v>0</v>
          </cell>
          <cell r="R217">
            <v>0</v>
          </cell>
          <cell r="U217">
            <v>0</v>
          </cell>
          <cell r="X217">
            <v>0</v>
          </cell>
          <cell r="AA217">
            <v>0</v>
          </cell>
          <cell r="AD217">
            <v>0</v>
          </cell>
          <cell r="AG217">
            <v>0</v>
          </cell>
          <cell r="AJ217">
            <v>0</v>
          </cell>
          <cell r="AM217">
            <v>0</v>
          </cell>
          <cell r="AP217">
            <v>0</v>
          </cell>
          <cell r="AS217">
            <v>0</v>
          </cell>
          <cell r="AV217">
            <v>0</v>
          </cell>
          <cell r="AY217">
            <v>0</v>
          </cell>
          <cell r="BB217">
            <v>0</v>
          </cell>
          <cell r="BE217">
            <v>0</v>
          </cell>
          <cell r="BH217">
            <v>0</v>
          </cell>
          <cell r="BK217">
            <v>0</v>
          </cell>
          <cell r="BN217">
            <v>0</v>
          </cell>
          <cell r="BQ217">
            <v>0</v>
          </cell>
        </row>
        <row r="218">
          <cell r="B218" t="str">
            <v xml:space="preserve">    Non current prov - employee entitlements</v>
          </cell>
          <cell r="D218" t="str">
            <v>$m</v>
          </cell>
          <cell r="F218">
            <v>0</v>
          </cell>
          <cell r="I218">
            <v>0</v>
          </cell>
          <cell r="L218">
            <v>0</v>
          </cell>
          <cell r="O218">
            <v>0</v>
          </cell>
          <cell r="R218">
            <v>0</v>
          </cell>
          <cell r="U218">
            <v>0</v>
          </cell>
          <cell r="X218">
            <v>0</v>
          </cell>
          <cell r="AA218">
            <v>0</v>
          </cell>
          <cell r="AD218">
            <v>0</v>
          </cell>
          <cell r="AG218">
            <v>0</v>
          </cell>
          <cell r="AJ218">
            <v>0</v>
          </cell>
          <cell r="AM218">
            <v>0</v>
          </cell>
          <cell r="AP218">
            <v>0</v>
          </cell>
          <cell r="AS218">
            <v>0</v>
          </cell>
          <cell r="AV218">
            <v>0</v>
          </cell>
          <cell r="AY218">
            <v>0</v>
          </cell>
          <cell r="BB218">
            <v>0</v>
          </cell>
          <cell r="BE218">
            <v>0</v>
          </cell>
          <cell r="BH218">
            <v>0</v>
          </cell>
          <cell r="BK218">
            <v>0</v>
          </cell>
          <cell r="BN218">
            <v>0</v>
          </cell>
          <cell r="BQ218">
            <v>0</v>
          </cell>
        </row>
        <row r="219">
          <cell r="B219" t="str">
            <v xml:space="preserve">    Non current prov - other</v>
          </cell>
          <cell r="D219" t="str">
            <v>$m</v>
          </cell>
          <cell r="F219">
            <v>0</v>
          </cell>
          <cell r="I219">
            <v>0</v>
          </cell>
          <cell r="L219">
            <v>0</v>
          </cell>
          <cell r="O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0.216</v>
          </cell>
          <cell r="AB219">
            <v>0.216</v>
          </cell>
          <cell r="AC219">
            <v>25.073</v>
          </cell>
          <cell r="AD219">
            <v>19.559000000000001</v>
          </cell>
          <cell r="AE219">
            <v>19.559000000000001</v>
          </cell>
          <cell r="AF219">
            <v>22.664999999999999</v>
          </cell>
          <cell r="AG219">
            <v>19.738</v>
          </cell>
          <cell r="AH219">
            <v>19.738</v>
          </cell>
          <cell r="AI219">
            <v>24.79</v>
          </cell>
          <cell r="AJ219">
            <v>25.53</v>
          </cell>
          <cell r="AK219">
            <v>25.53</v>
          </cell>
          <cell r="AL219">
            <v>28.785999999999998</v>
          </cell>
          <cell r="AM219">
            <v>32.136000000000003</v>
          </cell>
          <cell r="AN219">
            <v>32.136000000000003</v>
          </cell>
          <cell r="AO219">
            <v>43.36</v>
          </cell>
          <cell r="AP219">
            <v>25.123000000000001</v>
          </cell>
          <cell r="AQ219">
            <v>25.123000000000001</v>
          </cell>
          <cell r="AR219">
            <v>40.83</v>
          </cell>
          <cell r="AS219">
            <v>0</v>
          </cell>
          <cell r="AT219">
            <v>0</v>
          </cell>
          <cell r="AU219">
            <v>40.83</v>
          </cell>
          <cell r="AV219">
            <v>0</v>
          </cell>
          <cell r="AW219">
            <v>0</v>
          </cell>
          <cell r="AX219">
            <v>40.83</v>
          </cell>
          <cell r="AY219">
            <v>40.83</v>
          </cell>
          <cell r="AZ219">
            <v>40.83</v>
          </cell>
          <cell r="BA219">
            <v>40.83</v>
          </cell>
          <cell r="BB219">
            <v>40.83</v>
          </cell>
          <cell r="BC219">
            <v>40.83</v>
          </cell>
          <cell r="BD219">
            <v>32.136000000000003</v>
          </cell>
          <cell r="BE219">
            <v>32.136000000000003</v>
          </cell>
          <cell r="BF219">
            <v>32.136000000000003</v>
          </cell>
          <cell r="BG219">
            <v>32.136000000000003</v>
          </cell>
          <cell r="BH219">
            <v>32.136000000000003</v>
          </cell>
          <cell r="BI219">
            <v>32.136000000000003</v>
          </cell>
          <cell r="BJ219">
            <v>32.136000000000003</v>
          </cell>
          <cell r="BK219">
            <v>32.136000000000003</v>
          </cell>
          <cell r="BL219">
            <v>32.136000000000003</v>
          </cell>
          <cell r="BM219">
            <v>32.136000000000003</v>
          </cell>
          <cell r="BN219">
            <v>32.136000000000003</v>
          </cell>
          <cell r="BO219">
            <v>32.136000000000003</v>
          </cell>
          <cell r="BP219">
            <v>32.136000000000003</v>
          </cell>
          <cell r="BQ219">
            <v>32.136000000000003</v>
          </cell>
          <cell r="BR219">
            <v>32.136000000000003</v>
          </cell>
        </row>
        <row r="220"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0.216</v>
          </cell>
          <cell r="AB220">
            <v>0.216</v>
          </cell>
          <cell r="AC220">
            <v>25.073</v>
          </cell>
          <cell r="AD220">
            <v>19.559000000000001</v>
          </cell>
          <cell r="AE220">
            <v>19.559000000000001</v>
          </cell>
          <cell r="AF220">
            <v>22.664999999999999</v>
          </cell>
          <cell r="AG220">
            <v>19.738</v>
          </cell>
          <cell r="AH220">
            <v>19.738</v>
          </cell>
          <cell r="AI220">
            <v>24.79</v>
          </cell>
          <cell r="AJ220">
            <v>25.53</v>
          </cell>
          <cell r="AK220">
            <v>25.53</v>
          </cell>
          <cell r="AL220">
            <v>28.785999999999998</v>
          </cell>
          <cell r="AM220">
            <v>32.136000000000003</v>
          </cell>
          <cell r="AN220">
            <v>32.136000000000003</v>
          </cell>
          <cell r="AO220">
            <v>43.36</v>
          </cell>
          <cell r="AP220">
            <v>25.123000000000001</v>
          </cell>
          <cell r="AQ220">
            <v>25.123000000000001</v>
          </cell>
          <cell r="AR220">
            <v>40.83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40.83</v>
          </cell>
          <cell r="AY220">
            <v>40.83</v>
          </cell>
          <cell r="AZ220">
            <v>40.83</v>
          </cell>
          <cell r="BA220">
            <v>40.83</v>
          </cell>
          <cell r="BB220">
            <v>40.83</v>
          </cell>
          <cell r="BC220">
            <v>40.83</v>
          </cell>
          <cell r="BD220">
            <v>32.136000000000003</v>
          </cell>
          <cell r="BE220">
            <v>32.136000000000003</v>
          </cell>
          <cell r="BF220">
            <v>32.136000000000003</v>
          </cell>
          <cell r="BG220">
            <v>32.136000000000003</v>
          </cell>
          <cell r="BH220">
            <v>32.136000000000003</v>
          </cell>
          <cell r="BI220">
            <v>32.136000000000003</v>
          </cell>
          <cell r="BJ220">
            <v>32.136000000000003</v>
          </cell>
          <cell r="BK220">
            <v>32.136000000000003</v>
          </cell>
          <cell r="BL220">
            <v>32.136000000000003</v>
          </cell>
          <cell r="BM220">
            <v>32.136000000000003</v>
          </cell>
          <cell r="BN220">
            <v>32.136000000000003</v>
          </cell>
          <cell r="BO220">
            <v>32.136000000000003</v>
          </cell>
          <cell r="BP220">
            <v>32.136000000000003</v>
          </cell>
          <cell r="BQ220">
            <v>32.136000000000003</v>
          </cell>
          <cell r="BR220">
            <v>32.136000000000003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3.278</v>
          </cell>
          <cell r="AB221">
            <v>3.278</v>
          </cell>
          <cell r="AC221">
            <v>32.158999999999999</v>
          </cell>
          <cell r="AD221">
            <v>-1.9809999999999945</v>
          </cell>
          <cell r="AE221">
            <v>30.178000000000004</v>
          </cell>
          <cell r="AF221">
            <v>-8.7270000000000039</v>
          </cell>
          <cell r="AG221">
            <v>-9.6039999999999992</v>
          </cell>
          <cell r="AH221">
            <v>-18.331000000000003</v>
          </cell>
          <cell r="AI221">
            <v>-1.7360000000000007</v>
          </cell>
          <cell r="AJ221">
            <v>0.20800000000000018</v>
          </cell>
          <cell r="AK221">
            <v>-1.5280000000000005</v>
          </cell>
          <cell r="AL221">
            <v>44.076999999999998</v>
          </cell>
          <cell r="AM221">
            <v>-9.2340000000000018</v>
          </cell>
          <cell r="AN221">
            <v>34.842999999999996</v>
          </cell>
          <cell r="AO221">
            <v>-1.411999999999999</v>
          </cell>
          <cell r="AP221">
            <v>18.743000000000002</v>
          </cell>
          <cell r="AQ221">
            <v>17.331000000000003</v>
          </cell>
          <cell r="AR221">
            <v>6.2079999999999984</v>
          </cell>
          <cell r="AS221">
            <v>-71.978999999999999</v>
          </cell>
          <cell r="AT221">
            <v>-65.771000000000001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0.216</v>
          </cell>
          <cell r="AB222">
            <v>0.216</v>
          </cell>
          <cell r="AC222">
            <v>24.856999999999999</v>
          </cell>
          <cell r="AD222">
            <v>-5.5139999999999993</v>
          </cell>
          <cell r="AE222">
            <v>19.343</v>
          </cell>
          <cell r="AF222">
            <v>3.1059999999999981</v>
          </cell>
          <cell r="AG222">
            <v>-2.9269999999999996</v>
          </cell>
          <cell r="AH222">
            <v>0.17899999999999849</v>
          </cell>
          <cell r="AI222">
            <v>5.0519999999999996</v>
          </cell>
          <cell r="AJ222">
            <v>0.74000000000000199</v>
          </cell>
          <cell r="AK222">
            <v>5.7920000000000016</v>
          </cell>
          <cell r="AL222">
            <v>3.2559999999999967</v>
          </cell>
          <cell r="AM222">
            <v>3.350000000000005</v>
          </cell>
          <cell r="AN222">
            <v>6.6060000000000016</v>
          </cell>
          <cell r="AO222">
            <v>11.223999999999997</v>
          </cell>
          <cell r="AP222">
            <v>-18.236999999999998</v>
          </cell>
          <cell r="AQ222">
            <v>-7.0130000000000017</v>
          </cell>
          <cell r="AR222">
            <v>15.706999999999997</v>
          </cell>
          <cell r="AS222">
            <v>-40.83</v>
          </cell>
          <cell r="AT222">
            <v>-25.123000000000001</v>
          </cell>
          <cell r="AU222">
            <v>0</v>
          </cell>
          <cell r="AV222">
            <v>0</v>
          </cell>
          <cell r="AW222">
            <v>0</v>
          </cell>
          <cell r="AX222">
            <v>40.83</v>
          </cell>
          <cell r="AY222">
            <v>0</v>
          </cell>
          <cell r="AZ222">
            <v>40.83</v>
          </cell>
          <cell r="BA222">
            <v>0</v>
          </cell>
          <cell r="BB222">
            <v>0</v>
          </cell>
          <cell r="BC222">
            <v>0</v>
          </cell>
          <cell r="BD222">
            <v>-8.6939999999999955</v>
          </cell>
          <cell r="BE222">
            <v>0</v>
          </cell>
          <cell r="BF222">
            <v>-8.6939999999999955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4">
          <cell r="B224" t="str">
            <v xml:space="preserve">     Cash</v>
          </cell>
          <cell r="D224" t="str">
            <v>$m</v>
          </cell>
          <cell r="F224">
            <v>0</v>
          </cell>
          <cell r="I224">
            <v>0</v>
          </cell>
          <cell r="L224">
            <v>0</v>
          </cell>
          <cell r="O224">
            <v>0</v>
          </cell>
          <cell r="R224">
            <v>0</v>
          </cell>
          <cell r="U224">
            <v>0</v>
          </cell>
          <cell r="X224">
            <v>0</v>
          </cell>
          <cell r="AA224">
            <v>25.721</v>
          </cell>
          <cell r="AB224">
            <v>25.721</v>
          </cell>
          <cell r="AC224">
            <v>20.370999999999999</v>
          </cell>
          <cell r="AD224">
            <v>25.780999999999999</v>
          </cell>
          <cell r="AE224">
            <v>25.780999999999999</v>
          </cell>
          <cell r="AF224">
            <v>21.33</v>
          </cell>
          <cell r="AG224">
            <v>11.561</v>
          </cell>
          <cell r="AH224">
            <v>11.561</v>
          </cell>
          <cell r="AI224">
            <v>13.491</v>
          </cell>
          <cell r="AJ224">
            <v>14.398999999999999</v>
          </cell>
          <cell r="AK224">
            <v>14.398999999999999</v>
          </cell>
          <cell r="AL224">
            <v>16.079000000000001</v>
          </cell>
          <cell r="AM224">
            <v>1.1850000000000001</v>
          </cell>
          <cell r="AN224">
            <v>1.1850000000000001</v>
          </cell>
          <cell r="AO224">
            <v>303.33300000000003</v>
          </cell>
          <cell r="AP224">
            <v>295.59800000000001</v>
          </cell>
          <cell r="AQ224">
            <v>295.59800000000001</v>
          </cell>
          <cell r="AR224">
            <v>79.27200000000002</v>
          </cell>
          <cell r="AS224">
            <v>46.323999999999998</v>
          </cell>
          <cell r="AT224">
            <v>46.323999999999998</v>
          </cell>
          <cell r="AU224">
            <v>9.73</v>
          </cell>
          <cell r="AV224">
            <v>31.367999999999999</v>
          </cell>
          <cell r="AW224">
            <v>31.367999999999999</v>
          </cell>
          <cell r="AX224">
            <v>31.367999999999999</v>
          </cell>
          <cell r="AY224">
            <v>31.367999999999999</v>
          </cell>
          <cell r="AZ224">
            <v>31.367999999999999</v>
          </cell>
          <cell r="BA224">
            <v>31.367999999999999</v>
          </cell>
          <cell r="BB224">
            <v>31.367999999999999</v>
          </cell>
          <cell r="BC224">
            <v>31.367999999999999</v>
          </cell>
          <cell r="BD224">
            <v>31.367999999999999</v>
          </cell>
          <cell r="BE224">
            <v>31.367999999999999</v>
          </cell>
          <cell r="BF224">
            <v>31.367999999999999</v>
          </cell>
          <cell r="BG224">
            <v>31.367999999999999</v>
          </cell>
          <cell r="BH224">
            <v>31.367999999999999</v>
          </cell>
          <cell r="BI224">
            <v>31.367999999999999</v>
          </cell>
          <cell r="BJ224">
            <v>31.367999999999999</v>
          </cell>
          <cell r="BK224">
            <v>31.367999999999999</v>
          </cell>
          <cell r="BL224">
            <v>31.367999999999999</v>
          </cell>
          <cell r="BM224">
            <v>31.367999999999999</v>
          </cell>
          <cell r="BN224">
            <v>31.367999999999999</v>
          </cell>
          <cell r="BO224">
            <v>31.367999999999999</v>
          </cell>
          <cell r="BP224">
            <v>31.367999999999999</v>
          </cell>
          <cell r="BQ224">
            <v>31.367999999999999</v>
          </cell>
          <cell r="BR224">
            <v>31.367999999999999</v>
          </cell>
        </row>
        <row r="225">
          <cell r="F225">
            <v>0</v>
          </cell>
          <cell r="I225">
            <v>0</v>
          </cell>
          <cell r="L225">
            <v>0</v>
          </cell>
          <cell r="O225">
            <v>0</v>
          </cell>
          <cell r="R225">
            <v>0</v>
          </cell>
          <cell r="U225">
            <v>0</v>
          </cell>
          <cell r="X225">
            <v>0</v>
          </cell>
          <cell r="AA225">
            <v>1.7789999999999999</v>
          </cell>
          <cell r="AB225">
            <v>1.7789999999999999</v>
          </cell>
          <cell r="AC225">
            <v>15.862</v>
          </cell>
          <cell r="AD225">
            <v>6.0010000000000003</v>
          </cell>
          <cell r="AE225">
            <v>6.0010000000000003</v>
          </cell>
          <cell r="AF225">
            <v>15.771000000000001</v>
          </cell>
          <cell r="AG225">
            <v>10.675000000000001</v>
          </cell>
          <cell r="AH225">
            <v>10.675000000000001</v>
          </cell>
          <cell r="AI225">
            <v>3.0750000000000002</v>
          </cell>
          <cell r="AJ225">
            <v>6.7779999999999996</v>
          </cell>
          <cell r="AK225">
            <v>6.7779999999999996</v>
          </cell>
          <cell r="AL225">
            <v>4.2030000000000003</v>
          </cell>
          <cell r="AM225">
            <v>13.167</v>
          </cell>
          <cell r="AN225">
            <v>13.167</v>
          </cell>
          <cell r="AO225">
            <v>15.093</v>
          </cell>
          <cell r="AP225">
            <v>26.731000000000002</v>
          </cell>
          <cell r="AQ225">
            <v>26.731000000000002</v>
          </cell>
          <cell r="AR225">
            <v>27.492999999999999</v>
          </cell>
          <cell r="AS225">
            <v>14.08</v>
          </cell>
          <cell r="AT225">
            <v>14.08</v>
          </cell>
          <cell r="AU225">
            <v>22.39</v>
          </cell>
          <cell r="AV225">
            <v>22.808</v>
          </cell>
          <cell r="AW225">
            <v>22.808</v>
          </cell>
          <cell r="AX225">
            <v>22.808</v>
          </cell>
          <cell r="AY225">
            <v>22.808</v>
          </cell>
          <cell r="AZ225">
            <v>22.808</v>
          </cell>
          <cell r="BA225">
            <v>22.808</v>
          </cell>
          <cell r="BB225">
            <v>22.808</v>
          </cell>
          <cell r="BC225">
            <v>22.808</v>
          </cell>
          <cell r="BD225">
            <v>22.808</v>
          </cell>
          <cell r="BE225">
            <v>22.808</v>
          </cell>
          <cell r="BF225">
            <v>22.808</v>
          </cell>
          <cell r="BG225">
            <v>22.808</v>
          </cell>
          <cell r="BH225">
            <v>22.808</v>
          </cell>
          <cell r="BI225">
            <v>22.808</v>
          </cell>
          <cell r="BJ225">
            <v>22.808</v>
          </cell>
          <cell r="BK225">
            <v>22.808</v>
          </cell>
          <cell r="BL225">
            <v>22.808</v>
          </cell>
          <cell r="BM225">
            <v>22.808</v>
          </cell>
          <cell r="BN225">
            <v>22.808</v>
          </cell>
          <cell r="BO225">
            <v>22.808</v>
          </cell>
          <cell r="BP225">
            <v>22.808</v>
          </cell>
          <cell r="BQ225">
            <v>22.808</v>
          </cell>
          <cell r="BR225">
            <v>22.808</v>
          </cell>
        </row>
        <row r="226">
          <cell r="F226">
            <v>0</v>
          </cell>
          <cell r="I226">
            <v>0</v>
          </cell>
          <cell r="L226">
            <v>0</v>
          </cell>
          <cell r="O226">
            <v>0</v>
          </cell>
          <cell r="R226">
            <v>0</v>
          </cell>
          <cell r="U226">
            <v>0</v>
          </cell>
          <cell r="X226">
            <v>0</v>
          </cell>
          <cell r="AA226">
            <v>7.9000000000000001E-2</v>
          </cell>
          <cell r="AB226">
            <v>7.9000000000000001E-2</v>
          </cell>
          <cell r="AC226">
            <v>10.425000000000001</v>
          </cell>
          <cell r="AD226">
            <v>9.0540000000000003</v>
          </cell>
          <cell r="AE226">
            <v>9.0540000000000003</v>
          </cell>
          <cell r="AF226">
            <v>11.159000000000001</v>
          </cell>
          <cell r="AG226">
            <v>9.1959999999999997</v>
          </cell>
          <cell r="AH226">
            <v>9.1959999999999997</v>
          </cell>
          <cell r="AI226">
            <v>8.3219999999999992</v>
          </cell>
          <cell r="AJ226">
            <v>9.4030000000000005</v>
          </cell>
          <cell r="AK226">
            <v>9.4030000000000005</v>
          </cell>
          <cell r="AL226">
            <v>9.2810000000000006</v>
          </cell>
          <cell r="AM226">
            <v>10.739000000000001</v>
          </cell>
          <cell r="AN226">
            <v>10.739000000000001</v>
          </cell>
          <cell r="AO226">
            <v>9.6950000000000003</v>
          </cell>
          <cell r="AP226">
            <v>7.819</v>
          </cell>
          <cell r="AQ226">
            <v>7.819</v>
          </cell>
          <cell r="AR226">
            <v>8.6639999999999997</v>
          </cell>
          <cell r="AS226">
            <v>17.658999999999999</v>
          </cell>
          <cell r="AT226">
            <v>17.658999999999999</v>
          </cell>
          <cell r="AU226">
            <v>14.487</v>
          </cell>
          <cell r="AV226">
            <v>15.292</v>
          </cell>
          <cell r="AW226">
            <v>15.292</v>
          </cell>
          <cell r="AX226">
            <v>15.292</v>
          </cell>
          <cell r="AY226">
            <v>15.292</v>
          </cell>
          <cell r="AZ226">
            <v>15.292</v>
          </cell>
          <cell r="BA226">
            <v>15.292</v>
          </cell>
          <cell r="BB226">
            <v>15.292</v>
          </cell>
          <cell r="BC226">
            <v>15.292</v>
          </cell>
          <cell r="BD226">
            <v>15.292</v>
          </cell>
          <cell r="BE226">
            <v>15.292</v>
          </cell>
          <cell r="BF226">
            <v>15.292</v>
          </cell>
          <cell r="BG226">
            <v>15.292</v>
          </cell>
          <cell r="BH226">
            <v>15.292</v>
          </cell>
          <cell r="BI226">
            <v>15.292</v>
          </cell>
          <cell r="BJ226">
            <v>15.292</v>
          </cell>
          <cell r="BK226">
            <v>15.292</v>
          </cell>
          <cell r="BL226">
            <v>15.292</v>
          </cell>
          <cell r="BM226">
            <v>15.292</v>
          </cell>
          <cell r="BN226">
            <v>15.292</v>
          </cell>
          <cell r="BO226">
            <v>15.292</v>
          </cell>
          <cell r="BP226">
            <v>15.292</v>
          </cell>
          <cell r="BQ226">
            <v>15.292</v>
          </cell>
          <cell r="BR226">
            <v>15.292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28.975000000000001</v>
          </cell>
          <cell r="AB227">
            <v>28.975000000000001</v>
          </cell>
          <cell r="AC227">
            <v>104.47999999999999</v>
          </cell>
          <cell r="AD227">
            <v>100.688</v>
          </cell>
          <cell r="AE227">
            <v>100.688</v>
          </cell>
          <cell r="AF227">
            <v>102.154</v>
          </cell>
          <cell r="AG227">
            <v>76.997</v>
          </cell>
          <cell r="AH227">
            <v>76.997</v>
          </cell>
          <cell r="AI227">
            <v>73.347000000000008</v>
          </cell>
          <cell r="AJ227">
            <v>79.818000000000012</v>
          </cell>
          <cell r="AK227">
            <v>79.818000000000012</v>
          </cell>
          <cell r="AL227">
            <v>147.13800000000003</v>
          </cell>
          <cell r="AM227">
            <v>135.988</v>
          </cell>
          <cell r="AN227">
            <v>135.988</v>
          </cell>
          <cell r="AO227">
            <v>461.58500000000004</v>
          </cell>
          <cell r="AP227">
            <v>486.63600000000002</v>
          </cell>
          <cell r="AQ227">
            <v>486.63600000000002</v>
          </cell>
          <cell r="AR227">
            <v>252.28299999999999</v>
          </cell>
          <cell r="AS227">
            <v>242.80700000000002</v>
          </cell>
          <cell r="AT227">
            <v>242.80700000000002</v>
          </cell>
          <cell r="AU227">
            <v>248.06799999999998</v>
          </cell>
          <cell r="AV227">
            <v>257.30399999999997</v>
          </cell>
          <cell r="AW227">
            <v>257.30399999999997</v>
          </cell>
          <cell r="AX227">
            <v>312.81216190550708</v>
          </cell>
          <cell r="AY227">
            <v>294.33109682474765</v>
          </cell>
          <cell r="AZ227">
            <v>294.33109682474765</v>
          </cell>
          <cell r="BA227">
            <v>325.58098462607268</v>
          </cell>
          <cell r="BB227">
            <v>306.10664949853305</v>
          </cell>
          <cell r="BC227">
            <v>306.10664949853305</v>
          </cell>
          <cell r="BD227">
            <v>343.1248030911928</v>
          </cell>
          <cell r="BE227">
            <v>322.31124635315456</v>
          </cell>
          <cell r="BF227">
            <v>322.31124635315456</v>
          </cell>
          <cell r="BG227">
            <v>361.55015786162039</v>
          </cell>
          <cell r="BH227">
            <v>339.69836210514393</v>
          </cell>
          <cell r="BI227">
            <v>339.69836210514393</v>
          </cell>
          <cell r="BJ227">
            <v>376.67900522047501</v>
          </cell>
          <cell r="BK227">
            <v>354.06367374753995</v>
          </cell>
          <cell r="BL227">
            <v>354.06367374753995</v>
          </cell>
          <cell r="BM227">
            <v>397.3516657332471</v>
          </cell>
          <cell r="BN227">
            <v>373.59214131862279</v>
          </cell>
          <cell r="BO227">
            <v>373.59214131862279</v>
          </cell>
          <cell r="BP227">
            <v>418.39060139049036</v>
          </cell>
          <cell r="BQ227">
            <v>393.48374671741084</v>
          </cell>
          <cell r="BR227">
            <v>393.48374671741084</v>
          </cell>
        </row>
        <row r="228">
          <cell r="F228">
            <v>0</v>
          </cell>
          <cell r="I228">
            <v>0</v>
          </cell>
          <cell r="L228">
            <v>0</v>
          </cell>
          <cell r="O228">
            <v>0</v>
          </cell>
          <cell r="R228">
            <v>0</v>
          </cell>
          <cell r="U228">
            <v>0</v>
          </cell>
          <cell r="X228">
            <v>0</v>
          </cell>
          <cell r="AA228">
            <v>2.6179999999999999</v>
          </cell>
          <cell r="AB228">
            <v>2.6179999999999999</v>
          </cell>
          <cell r="AC228">
            <v>10.25</v>
          </cell>
          <cell r="AD228">
            <v>14.192</v>
          </cell>
          <cell r="AE228">
            <v>14.192</v>
          </cell>
          <cell r="AF228">
            <v>10.762</v>
          </cell>
          <cell r="AG228">
            <v>3.149</v>
          </cell>
          <cell r="AH228">
            <v>3.149</v>
          </cell>
          <cell r="AI228">
            <v>12.77</v>
          </cell>
          <cell r="AJ228">
            <v>6.3940000000000001</v>
          </cell>
          <cell r="AK228">
            <v>6.3940000000000001</v>
          </cell>
          <cell r="AL228">
            <v>6.48</v>
          </cell>
          <cell r="AM228">
            <v>8.9139999999999997</v>
          </cell>
          <cell r="AN228">
            <v>8.9139999999999997</v>
          </cell>
          <cell r="AO228">
            <v>12.723000000000001</v>
          </cell>
          <cell r="AP228">
            <v>15.79</v>
          </cell>
          <cell r="AQ228">
            <v>15.79</v>
          </cell>
          <cell r="AR228">
            <v>16.991</v>
          </cell>
          <cell r="AS228">
            <v>15.311</v>
          </cell>
          <cell r="AT228">
            <v>15.311</v>
          </cell>
          <cell r="AU228">
            <v>16.495000000000001</v>
          </cell>
          <cell r="AV228">
            <v>16.459</v>
          </cell>
          <cell r="AW228">
            <v>16.459</v>
          </cell>
          <cell r="AX228">
            <v>16.459</v>
          </cell>
          <cell r="AY228">
            <v>16.459</v>
          </cell>
          <cell r="AZ228">
            <v>16.459</v>
          </cell>
          <cell r="BA228">
            <v>16.459</v>
          </cell>
          <cell r="BB228">
            <v>16.459</v>
          </cell>
          <cell r="BC228">
            <v>16.459</v>
          </cell>
          <cell r="BD228">
            <v>16.459</v>
          </cell>
          <cell r="BE228">
            <v>16.459</v>
          </cell>
          <cell r="BF228">
            <v>16.459</v>
          </cell>
          <cell r="BG228">
            <v>16.459</v>
          </cell>
          <cell r="BH228">
            <v>16.459</v>
          </cell>
          <cell r="BI228">
            <v>16.459</v>
          </cell>
          <cell r="BJ228">
            <v>16.459</v>
          </cell>
          <cell r="BK228">
            <v>16.459</v>
          </cell>
          <cell r="BL228">
            <v>16.459</v>
          </cell>
          <cell r="BM228">
            <v>16.459</v>
          </cell>
          <cell r="BN228">
            <v>16.459</v>
          </cell>
          <cell r="BO228">
            <v>16.459</v>
          </cell>
          <cell r="BP228">
            <v>16.459</v>
          </cell>
          <cell r="BQ228">
            <v>16.459</v>
          </cell>
          <cell r="BR228">
            <v>16.459</v>
          </cell>
        </row>
        <row r="229">
          <cell r="B229" t="str">
            <v xml:space="preserve">     Accumulated amortisation</v>
          </cell>
          <cell r="D229" t="str">
            <v>$m</v>
          </cell>
          <cell r="F229">
            <v>0</v>
          </cell>
          <cell r="I229">
            <v>0</v>
          </cell>
          <cell r="L229">
            <v>0</v>
          </cell>
          <cell r="O229">
            <v>0</v>
          </cell>
          <cell r="R229">
            <v>0</v>
          </cell>
          <cell r="U229">
            <v>0</v>
          </cell>
          <cell r="X229">
            <v>0</v>
          </cell>
          <cell r="AA229">
            <v>0.17100000000000001</v>
          </cell>
          <cell r="AB229">
            <v>0.17100000000000001</v>
          </cell>
          <cell r="AD229">
            <v>0</v>
          </cell>
          <cell r="AE229">
            <v>0</v>
          </cell>
          <cell r="AG229">
            <v>0</v>
          </cell>
          <cell r="AJ229">
            <v>0</v>
          </cell>
          <cell r="AM229">
            <v>4.3540000000000001</v>
          </cell>
          <cell r="AN229">
            <v>4.3540000000000001</v>
          </cell>
          <cell r="AP229">
            <v>10.643000000000001</v>
          </cell>
          <cell r="AQ229">
            <v>10.643000000000001</v>
          </cell>
          <cell r="AS229">
            <v>18.829999999999998</v>
          </cell>
          <cell r="AT229">
            <v>18.829999999999998</v>
          </cell>
          <cell r="AV229">
            <v>29.519999999999996</v>
          </cell>
          <cell r="AW229">
            <v>29.519999999999996</v>
          </cell>
          <cell r="AY229">
            <v>39.803999999999995</v>
          </cell>
          <cell r="AZ229">
            <v>39.803999999999995</v>
          </cell>
          <cell r="BB229">
            <v>50.087999999999994</v>
          </cell>
          <cell r="BC229">
            <v>50.087999999999994</v>
          </cell>
          <cell r="BE229">
            <v>60.371999999999993</v>
          </cell>
          <cell r="BF229">
            <v>60.371999999999993</v>
          </cell>
          <cell r="BH229">
            <v>70.181249999999991</v>
          </cell>
          <cell r="BI229">
            <v>70.181249999999991</v>
          </cell>
          <cell r="BK229">
            <v>75.769449999999992</v>
          </cell>
          <cell r="BL229">
            <v>75.769449999999992</v>
          </cell>
          <cell r="BN229">
            <v>81.357649999999992</v>
          </cell>
          <cell r="BO229">
            <v>81.357649999999992</v>
          </cell>
          <cell r="BQ229">
            <v>86.945849999999993</v>
          </cell>
          <cell r="BR229">
            <v>86.945849999999993</v>
          </cell>
        </row>
        <row r="230">
          <cell r="F230">
            <v>0</v>
          </cell>
          <cell r="I230">
            <v>0</v>
          </cell>
          <cell r="L230">
            <v>0</v>
          </cell>
          <cell r="O230">
            <v>0</v>
          </cell>
          <cell r="R230">
            <v>0</v>
          </cell>
          <cell r="U230">
            <v>0</v>
          </cell>
          <cell r="X230">
            <v>0</v>
          </cell>
          <cell r="AA230">
            <v>0</v>
          </cell>
          <cell r="AC230">
            <v>376.95</v>
          </cell>
          <cell r="AD230">
            <v>417.35399999999998</v>
          </cell>
          <cell r="AE230">
            <v>417.35399999999998</v>
          </cell>
          <cell r="AF230">
            <v>381.488</v>
          </cell>
          <cell r="AG230">
            <v>380.55099999999999</v>
          </cell>
          <cell r="AH230">
            <v>380.55099999999999</v>
          </cell>
          <cell r="AI230">
            <v>376.66500000000002</v>
          </cell>
          <cell r="AJ230">
            <v>370.04399999999998</v>
          </cell>
          <cell r="AK230">
            <v>370.04399999999998</v>
          </cell>
          <cell r="AL230">
            <v>455.25099999999998</v>
          </cell>
          <cell r="AM230">
            <v>460.63099999999997</v>
          </cell>
          <cell r="AN230">
            <v>460.63099999999997</v>
          </cell>
          <cell r="AO230">
            <v>535.61300000000006</v>
          </cell>
          <cell r="AP230">
            <v>609.17100000000005</v>
          </cell>
          <cell r="AQ230">
            <v>609.17100000000005</v>
          </cell>
          <cell r="AR230">
            <v>670.89099999999996</v>
          </cell>
          <cell r="AS230">
            <v>714.28300000000002</v>
          </cell>
          <cell r="AT230">
            <v>714.28300000000002</v>
          </cell>
          <cell r="AU230">
            <v>728.33100000000002</v>
          </cell>
          <cell r="AV230">
            <v>728.22400000000005</v>
          </cell>
          <cell r="AW230">
            <v>728.22400000000005</v>
          </cell>
          <cell r="AX230">
            <v>724.87995738863094</v>
          </cell>
          <cell r="AY230">
            <v>759.2951790664489</v>
          </cell>
          <cell r="AZ230">
            <v>759.2951790664489</v>
          </cell>
          <cell r="BA230">
            <v>750.04508452883067</v>
          </cell>
          <cell r="BB230">
            <v>787.61432306578911</v>
          </cell>
          <cell r="BC230">
            <v>787.61432306578911</v>
          </cell>
          <cell r="BD230">
            <v>777.01937009081962</v>
          </cell>
          <cell r="BE230">
            <v>794.31090467128581</v>
          </cell>
          <cell r="BF230">
            <v>794.31090467128581</v>
          </cell>
          <cell r="BG230">
            <v>782.92304147814036</v>
          </cell>
          <cell r="BH230">
            <v>800.41435695366704</v>
          </cell>
          <cell r="BI230">
            <v>800.41435695366704</v>
          </cell>
          <cell r="BJ230">
            <v>788.73664462881334</v>
          </cell>
          <cell r="BK230">
            <v>786.86293408427548</v>
          </cell>
          <cell r="BL230">
            <v>786.86293408427548</v>
          </cell>
          <cell r="BM230">
            <v>775.35387661038101</v>
          </cell>
          <cell r="BN230">
            <v>774.51178722842133</v>
          </cell>
          <cell r="BO230">
            <v>774.51178722842133</v>
          </cell>
          <cell r="BP230">
            <v>763.5892779941363</v>
          </cell>
          <cell r="BQ230">
            <v>753.69746536719458</v>
          </cell>
          <cell r="BR230">
            <v>753.69746536719458</v>
          </cell>
        </row>
        <row r="231">
          <cell r="F231">
            <v>0</v>
          </cell>
          <cell r="I231">
            <v>0</v>
          </cell>
          <cell r="L231">
            <v>0</v>
          </cell>
          <cell r="O231">
            <v>0</v>
          </cell>
          <cell r="R231">
            <v>0</v>
          </cell>
          <cell r="U231">
            <v>0</v>
          </cell>
          <cell r="X231">
            <v>0</v>
          </cell>
          <cell r="AA231">
            <v>142.91800000000001</v>
          </cell>
          <cell r="AB231">
            <v>142.91800000000001</v>
          </cell>
          <cell r="AC231">
            <v>12.817</v>
          </cell>
          <cell r="AD231">
            <v>9.32</v>
          </cell>
          <cell r="AE231">
            <v>9.32</v>
          </cell>
          <cell r="AF231">
            <v>10.042</v>
          </cell>
          <cell r="AG231">
            <v>8.6950000000000003</v>
          </cell>
          <cell r="AH231">
            <v>8.6950000000000003</v>
          </cell>
          <cell r="AI231">
            <v>8.8800000000000008</v>
          </cell>
          <cell r="AJ231">
            <v>11.135</v>
          </cell>
          <cell r="AK231">
            <v>11.135</v>
          </cell>
          <cell r="AL231">
            <v>23.932000000000002</v>
          </cell>
          <cell r="AM231">
            <v>22.888000000000002</v>
          </cell>
          <cell r="AN231">
            <v>22.888000000000002</v>
          </cell>
          <cell r="AO231">
            <v>21.911999999999999</v>
          </cell>
          <cell r="AP231">
            <v>26.481000000000002</v>
          </cell>
          <cell r="AQ231">
            <v>26.481000000000002</v>
          </cell>
          <cell r="AR231">
            <v>615.87599999999998</v>
          </cell>
          <cell r="AS231">
            <v>663.67</v>
          </cell>
          <cell r="AT231">
            <v>663.67</v>
          </cell>
          <cell r="AU231">
            <v>692.22199999999998</v>
          </cell>
          <cell r="AV231">
            <v>973.60799999999995</v>
          </cell>
          <cell r="AW231">
            <v>973.60799999999995</v>
          </cell>
          <cell r="AX231">
            <v>1133.1650718847313</v>
          </cell>
          <cell r="AY231">
            <v>1206.8617243610563</v>
          </cell>
          <cell r="AZ231">
            <v>1206.8617243610563</v>
          </cell>
          <cell r="BA231">
            <v>1279.0005214160101</v>
          </cell>
          <cell r="BB231">
            <v>1354.119408134175</v>
          </cell>
          <cell r="BC231">
            <v>1354.119408134175</v>
          </cell>
          <cell r="BD231">
            <v>1430.757693544188</v>
          </cell>
          <cell r="BE231">
            <v>1521.7960334755535</v>
          </cell>
          <cell r="BF231">
            <v>1521.7960334755535</v>
          </cell>
          <cell r="BG231">
            <v>1605.5945726446996</v>
          </cell>
          <cell r="BH231">
            <v>1706.2799992233188</v>
          </cell>
          <cell r="BI231">
            <v>1706.2799992233188</v>
          </cell>
          <cell r="BJ231">
            <v>1706.2799992233188</v>
          </cell>
          <cell r="BK231">
            <v>1706.2799992233188</v>
          </cell>
          <cell r="BL231">
            <v>1706.2799992233188</v>
          </cell>
          <cell r="BM231">
            <v>1706.2799992233188</v>
          </cell>
          <cell r="BN231">
            <v>1706.2799992233188</v>
          </cell>
          <cell r="BO231">
            <v>1706.2799992233188</v>
          </cell>
          <cell r="BP231">
            <v>1706.2799992233188</v>
          </cell>
          <cell r="BQ231">
            <v>1706.2799992233188</v>
          </cell>
          <cell r="BR231">
            <v>1706.2799992233188</v>
          </cell>
        </row>
        <row r="232">
          <cell r="AS232">
            <v>0.52800000000000002</v>
          </cell>
          <cell r="AT232">
            <v>0.52800000000000002</v>
          </cell>
          <cell r="AU232">
            <v>0.52800000000000002</v>
          </cell>
          <cell r="AV232">
            <v>0.52800000000000002</v>
          </cell>
          <cell r="AW232">
            <v>0.52800000000000002</v>
          </cell>
          <cell r="AX232">
            <v>-99.471999999999994</v>
          </cell>
          <cell r="AY232">
            <v>-199.47199999999998</v>
          </cell>
          <cell r="AZ232">
            <v>-199.47199999999998</v>
          </cell>
          <cell r="BA232">
            <v>-199.47199999999998</v>
          </cell>
          <cell r="BB232">
            <v>-199.47199999999998</v>
          </cell>
          <cell r="BC232">
            <v>-199.47199999999998</v>
          </cell>
          <cell r="BD232">
            <v>-199.47199999999998</v>
          </cell>
          <cell r="BE232">
            <v>-199.47199999999998</v>
          </cell>
          <cell r="BF232">
            <v>-199.47199999999998</v>
          </cell>
          <cell r="BG232">
            <v>-199.47199999999998</v>
          </cell>
          <cell r="BH232">
            <v>-199.47199999999998</v>
          </cell>
          <cell r="BI232">
            <v>-199.47199999999998</v>
          </cell>
          <cell r="BJ232">
            <v>-199.47199999999998</v>
          </cell>
          <cell r="BK232">
            <v>-199.47199999999998</v>
          </cell>
          <cell r="BL232">
            <v>-199.47199999999998</v>
          </cell>
          <cell r="BM232">
            <v>-199.47199999999998</v>
          </cell>
          <cell r="BN232">
            <v>-199.47199999999998</v>
          </cell>
          <cell r="BO232">
            <v>-199.47199999999998</v>
          </cell>
          <cell r="BP232">
            <v>-199.47199999999998</v>
          </cell>
          <cell r="BQ232">
            <v>-199.47199999999998</v>
          </cell>
          <cell r="BR232">
            <v>-199.47199999999998</v>
          </cell>
        </row>
        <row r="233">
          <cell r="F233">
            <v>0</v>
          </cell>
          <cell r="I233">
            <v>0</v>
          </cell>
          <cell r="L233">
            <v>0</v>
          </cell>
          <cell r="O233">
            <v>0</v>
          </cell>
          <cell r="R233">
            <v>0</v>
          </cell>
          <cell r="U233">
            <v>0</v>
          </cell>
          <cell r="X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J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8.1720000000000006</v>
          </cell>
          <cell r="AD234">
            <v>7.8929999999999998</v>
          </cell>
          <cell r="AE234">
            <v>7.8929999999999998</v>
          </cell>
          <cell r="AF234">
            <v>7.6130000000000004</v>
          </cell>
          <cell r="AG234">
            <v>7.3339999999999996</v>
          </cell>
          <cell r="AH234">
            <v>7.3339999999999996</v>
          </cell>
          <cell r="AI234">
            <v>7.0540000000000003</v>
          </cell>
          <cell r="AJ234">
            <v>6.8090000000000002</v>
          </cell>
          <cell r="AK234">
            <v>6.8090000000000002</v>
          </cell>
          <cell r="AL234">
            <v>97.771000000000001</v>
          </cell>
          <cell r="AM234">
            <v>100.527</v>
          </cell>
          <cell r="AN234">
            <v>100.527</v>
          </cell>
          <cell r="AO234">
            <v>110.872</v>
          </cell>
          <cell r="AP234">
            <v>111.764</v>
          </cell>
          <cell r="AQ234">
            <v>111.764</v>
          </cell>
          <cell r="AR234">
            <v>130.84299999999999</v>
          </cell>
          <cell r="AS234">
            <v>165.166</v>
          </cell>
          <cell r="AT234">
            <v>165.166</v>
          </cell>
          <cell r="AU234">
            <v>178.35</v>
          </cell>
          <cell r="AV234">
            <v>172.75299999999999</v>
          </cell>
          <cell r="AW234">
            <v>172.75299999999999</v>
          </cell>
          <cell r="AX234">
            <v>168.21093499999998</v>
          </cell>
          <cell r="AY234">
            <v>162.46899999999999</v>
          </cell>
          <cell r="AZ234">
            <v>162.46899999999999</v>
          </cell>
          <cell r="BA234">
            <v>157.92693499999999</v>
          </cell>
          <cell r="BB234">
            <v>152.185</v>
          </cell>
          <cell r="BC234">
            <v>152.185</v>
          </cell>
          <cell r="BD234">
            <v>149.39089999999999</v>
          </cell>
          <cell r="BE234">
            <v>141.90100000000001</v>
          </cell>
          <cell r="BF234">
            <v>141.90100000000001</v>
          </cell>
          <cell r="BG234">
            <v>139.1069</v>
          </cell>
          <cell r="BH234">
            <v>132.09175000000002</v>
          </cell>
          <cell r="BI234">
            <v>132.09175000000002</v>
          </cell>
          <cell r="BJ234">
            <v>129.29765000000003</v>
          </cell>
          <cell r="BK234">
            <v>126.50355000000002</v>
          </cell>
          <cell r="BL234">
            <v>126.50355000000002</v>
          </cell>
          <cell r="BM234">
            <v>123.70945000000002</v>
          </cell>
          <cell r="BN234">
            <v>120.91535000000002</v>
          </cell>
          <cell r="BO234">
            <v>120.91535000000002</v>
          </cell>
          <cell r="BP234">
            <v>118.12125000000002</v>
          </cell>
          <cell r="BQ234">
            <v>115.32715000000002</v>
          </cell>
          <cell r="BR234">
            <v>115.32715000000002</v>
          </cell>
        </row>
        <row r="235">
          <cell r="F235">
            <v>0</v>
          </cell>
          <cell r="I235">
            <v>0</v>
          </cell>
          <cell r="L235">
            <v>0</v>
          </cell>
          <cell r="O235">
            <v>0</v>
          </cell>
          <cell r="R235">
            <v>0</v>
          </cell>
          <cell r="U235">
            <v>0</v>
          </cell>
          <cell r="X235">
            <v>0</v>
          </cell>
          <cell r="AA235">
            <v>0</v>
          </cell>
          <cell r="AC235">
            <v>8.1720000000000006</v>
          </cell>
          <cell r="AD235">
            <v>7.8929999999999998</v>
          </cell>
          <cell r="AE235">
            <v>7.8929999999999998</v>
          </cell>
          <cell r="AF235">
            <v>7.6130000000000004</v>
          </cell>
          <cell r="AG235">
            <v>7.3339999999999996</v>
          </cell>
          <cell r="AH235">
            <v>7.3339999999999996</v>
          </cell>
          <cell r="AI235">
            <v>7.0540000000000003</v>
          </cell>
          <cell r="AJ235">
            <v>6.8090000000000002</v>
          </cell>
          <cell r="AK235">
            <v>6.8090000000000002</v>
          </cell>
          <cell r="AL235">
            <v>97.771000000000001</v>
          </cell>
          <cell r="AM235">
            <v>100.527</v>
          </cell>
          <cell r="AN235">
            <v>100.527</v>
          </cell>
          <cell r="AO235">
            <v>110.872</v>
          </cell>
          <cell r="AP235">
            <v>111.764</v>
          </cell>
          <cell r="AQ235">
            <v>111.764</v>
          </cell>
          <cell r="AR235">
            <v>130.84299999999999</v>
          </cell>
          <cell r="AS235">
            <v>165.166</v>
          </cell>
          <cell r="AT235">
            <v>165.166</v>
          </cell>
          <cell r="AU235">
            <v>178.35</v>
          </cell>
          <cell r="AV235">
            <v>172.75299999999999</v>
          </cell>
          <cell r="AW235">
            <v>172.75299999999999</v>
          </cell>
          <cell r="AX235">
            <v>168.21093499999998</v>
          </cell>
          <cell r="AY235">
            <v>162.46899999999999</v>
          </cell>
          <cell r="AZ235">
            <v>162.46899999999999</v>
          </cell>
          <cell r="BA235">
            <v>157.92693499999999</v>
          </cell>
          <cell r="BB235">
            <v>152.185</v>
          </cell>
          <cell r="BC235">
            <v>152.185</v>
          </cell>
          <cell r="BD235">
            <v>149.39089999999999</v>
          </cell>
          <cell r="BE235">
            <v>141.90100000000001</v>
          </cell>
          <cell r="BF235">
            <v>141.90100000000001</v>
          </cell>
          <cell r="BG235">
            <v>139.1069</v>
          </cell>
          <cell r="BH235">
            <v>132.09175000000002</v>
          </cell>
          <cell r="BI235">
            <v>132.09175000000002</v>
          </cell>
          <cell r="BJ235">
            <v>129.29765000000003</v>
          </cell>
          <cell r="BK235">
            <v>126.50355000000002</v>
          </cell>
          <cell r="BL235">
            <v>126.50355000000002</v>
          </cell>
          <cell r="BM235">
            <v>123.70945000000002</v>
          </cell>
          <cell r="BN235">
            <v>120.91535000000002</v>
          </cell>
          <cell r="BO235">
            <v>120.91535000000002</v>
          </cell>
          <cell r="BP235">
            <v>118.12125000000002</v>
          </cell>
          <cell r="BQ235">
            <v>115.32715000000002</v>
          </cell>
          <cell r="BR235">
            <v>115.32715000000002</v>
          </cell>
        </row>
        <row r="236">
          <cell r="F236">
            <v>0</v>
          </cell>
          <cell r="I236">
            <v>0</v>
          </cell>
          <cell r="L236">
            <v>0</v>
          </cell>
          <cell r="O236">
            <v>0</v>
          </cell>
          <cell r="R236">
            <v>0</v>
          </cell>
          <cell r="U236">
            <v>0</v>
          </cell>
          <cell r="X236">
            <v>0</v>
          </cell>
          <cell r="AA236">
            <v>0</v>
          </cell>
          <cell r="AD236">
            <v>0</v>
          </cell>
          <cell r="AG236">
            <v>0</v>
          </cell>
          <cell r="AJ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F237">
            <v>0</v>
          </cell>
          <cell r="I237">
            <v>0</v>
          </cell>
          <cell r="L237">
            <v>0</v>
          </cell>
          <cell r="O237">
            <v>0</v>
          </cell>
          <cell r="R237">
            <v>0</v>
          </cell>
          <cell r="U237">
            <v>0</v>
          </cell>
          <cell r="X237">
            <v>0</v>
          </cell>
          <cell r="AA237">
            <v>0</v>
          </cell>
          <cell r="AC237">
            <v>0</v>
          </cell>
          <cell r="AD237">
            <v>27.239000000000001</v>
          </cell>
          <cell r="AE237">
            <v>27.239000000000001</v>
          </cell>
          <cell r="AF237">
            <v>0</v>
          </cell>
          <cell r="AG237">
            <v>39.326000000000001</v>
          </cell>
          <cell r="AH237">
            <v>39.326000000000001</v>
          </cell>
          <cell r="AI237">
            <v>33.86</v>
          </cell>
          <cell r="AJ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F238">
            <v>0</v>
          </cell>
          <cell r="I238">
            <v>0</v>
          </cell>
          <cell r="L238">
            <v>0</v>
          </cell>
          <cell r="O238">
            <v>0</v>
          </cell>
          <cell r="R238">
            <v>0</v>
          </cell>
          <cell r="U238">
            <v>0</v>
          </cell>
          <cell r="X238">
            <v>0</v>
          </cell>
          <cell r="AA238">
            <v>1.208</v>
          </cell>
          <cell r="AB238">
            <v>1.208</v>
          </cell>
          <cell r="AC238">
            <v>49.930999999999997</v>
          </cell>
          <cell r="AD238">
            <v>7.639999999999997</v>
          </cell>
          <cell r="AE238">
            <v>7.639999999999997</v>
          </cell>
          <cell r="AF238">
            <v>8.9580000000000002</v>
          </cell>
          <cell r="AG238">
            <v>2.8130000000000024</v>
          </cell>
          <cell r="AH238">
            <v>2.8130000000000024</v>
          </cell>
          <cell r="AI238">
            <v>5.0999999999999996</v>
          </cell>
          <cell r="AJ238">
            <v>35.784999999999997</v>
          </cell>
          <cell r="AK238">
            <v>35.784999999999997</v>
          </cell>
          <cell r="AL238">
            <v>40.128999999999998</v>
          </cell>
          <cell r="AM238">
            <v>25.181999999999999</v>
          </cell>
          <cell r="AN238">
            <v>25.181999999999999</v>
          </cell>
          <cell r="AO238">
            <v>22.69</v>
          </cell>
          <cell r="AP238">
            <v>27.058</v>
          </cell>
          <cell r="AQ238">
            <v>27.058</v>
          </cell>
          <cell r="AR238">
            <v>29.099999999999998</v>
          </cell>
          <cell r="AS238">
            <v>32.641999999999996</v>
          </cell>
          <cell r="AT238">
            <v>32.641999999999996</v>
          </cell>
          <cell r="AU238">
            <v>37.805</v>
          </cell>
          <cell r="AV238">
            <v>29.939</v>
          </cell>
          <cell r="AW238">
            <v>29.939</v>
          </cell>
          <cell r="AX238">
            <v>29.939</v>
          </cell>
          <cell r="AY238">
            <v>29.939</v>
          </cell>
          <cell r="AZ238">
            <v>29.939</v>
          </cell>
          <cell r="BA238">
            <v>29.939</v>
          </cell>
          <cell r="BB238">
            <v>29.939</v>
          </cell>
          <cell r="BC238">
            <v>29.939</v>
          </cell>
          <cell r="BD238">
            <v>29.939</v>
          </cell>
          <cell r="BE238">
            <v>29.939</v>
          </cell>
          <cell r="BF238">
            <v>29.939</v>
          </cell>
          <cell r="BG238">
            <v>29.939</v>
          </cell>
          <cell r="BH238">
            <v>29.939</v>
          </cell>
          <cell r="BI238">
            <v>29.939</v>
          </cell>
          <cell r="BJ238">
            <v>29.939</v>
          </cell>
          <cell r="BK238">
            <v>29.939</v>
          </cell>
          <cell r="BL238">
            <v>29.939</v>
          </cell>
          <cell r="BM238">
            <v>29.939</v>
          </cell>
          <cell r="BN238">
            <v>29.939</v>
          </cell>
          <cell r="BO238">
            <v>29.939</v>
          </cell>
          <cell r="BP238">
            <v>29.939</v>
          </cell>
          <cell r="BQ238">
            <v>29.939</v>
          </cell>
          <cell r="BR238">
            <v>29.939</v>
          </cell>
        </row>
        <row r="239"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146.744</v>
          </cell>
          <cell r="AB239">
            <v>146.744</v>
          </cell>
          <cell r="AC239">
            <v>458.12</v>
          </cell>
          <cell r="AD239">
            <v>483.63799999999992</v>
          </cell>
          <cell r="AE239">
            <v>483.63799999999992</v>
          </cell>
          <cell r="AF239">
            <v>418.863</v>
          </cell>
          <cell r="AG239">
            <v>441.86799999999999</v>
          </cell>
          <cell r="AH239">
            <v>441.86799999999999</v>
          </cell>
          <cell r="AI239">
            <v>444.32900000000001</v>
          </cell>
          <cell r="AJ239">
            <v>430.16700000000003</v>
          </cell>
          <cell r="AK239">
            <v>430.16700000000003</v>
          </cell>
          <cell r="AL239">
            <v>623.56299999999999</v>
          </cell>
          <cell r="AM239">
            <v>618.14199999999994</v>
          </cell>
          <cell r="AN239">
            <v>618.14199999999994</v>
          </cell>
          <cell r="AO239">
            <v>706.64599999999996</v>
          </cell>
          <cell r="AP239">
            <v>790.26400000000001</v>
          </cell>
          <cell r="AQ239">
            <v>790.26400000000001</v>
          </cell>
          <cell r="AR239">
            <v>1463.7009999999998</v>
          </cell>
          <cell r="AS239">
            <v>1591.6000000000001</v>
          </cell>
          <cell r="AT239">
            <v>1591.6000000000001</v>
          </cell>
          <cell r="AU239">
            <v>1653.203</v>
          </cell>
          <cell r="AV239">
            <v>1921.511</v>
          </cell>
          <cell r="AW239">
            <v>1921.511</v>
          </cell>
          <cell r="AX239">
            <v>2072.6539642733624</v>
          </cell>
          <cell r="AY239">
            <v>2175.023903427505</v>
          </cell>
          <cell r="AZ239">
            <v>2175.023903427505</v>
          </cell>
          <cell r="BA239">
            <v>2233.3705409448407</v>
          </cell>
          <cell r="BB239">
            <v>2340.3167311999641</v>
          </cell>
          <cell r="BC239">
            <v>2340.3167311999641</v>
          </cell>
          <cell r="BD239">
            <v>2403.5659636350074</v>
          </cell>
          <cell r="BE239">
            <v>2504.4059381468392</v>
          </cell>
          <cell r="BF239">
            <v>2504.4059381468392</v>
          </cell>
          <cell r="BG239">
            <v>2574.0225141228398</v>
          </cell>
          <cell r="BH239">
            <v>2685.1841061769856</v>
          </cell>
          <cell r="BI239">
            <v>2685.1841061769856</v>
          </cell>
          <cell r="BJ239">
            <v>2670.712293852132</v>
          </cell>
          <cell r="BK239">
            <v>2666.044483307594</v>
          </cell>
          <cell r="BL239">
            <v>2666.044483307594</v>
          </cell>
          <cell r="BM239">
            <v>2651.7413258336992</v>
          </cell>
          <cell r="BN239">
            <v>2648.1051364517402</v>
          </cell>
          <cell r="BO239">
            <v>2648.1051364517402</v>
          </cell>
          <cell r="BP239">
            <v>2634.3885272174552</v>
          </cell>
          <cell r="BQ239">
            <v>2621.7026145905133</v>
          </cell>
          <cell r="BR239">
            <v>2621.7026145905133</v>
          </cell>
        </row>
        <row r="241">
          <cell r="B241" t="str">
            <v xml:space="preserve">   Current borrowings - fin leases</v>
          </cell>
          <cell r="D241" t="str">
            <v>$m</v>
          </cell>
          <cell r="F241">
            <v>0</v>
          </cell>
          <cell r="I241">
            <v>0</v>
          </cell>
          <cell r="L241">
            <v>0</v>
          </cell>
          <cell r="O241">
            <v>0</v>
          </cell>
          <cell r="R241">
            <v>0</v>
          </cell>
          <cell r="U241">
            <v>0</v>
          </cell>
          <cell r="X241">
            <v>0</v>
          </cell>
          <cell r="AA241">
            <v>0</v>
          </cell>
          <cell r="AD241">
            <v>2.3260000000000001</v>
          </cell>
          <cell r="AE241">
            <v>2.3260000000000001</v>
          </cell>
          <cell r="AF241">
            <v>0</v>
          </cell>
          <cell r="AG241">
            <v>2.6619999999999999</v>
          </cell>
          <cell r="AH241">
            <v>2.6619999999999999</v>
          </cell>
          <cell r="AJ241">
            <v>3.0720000000000001</v>
          </cell>
          <cell r="AK241">
            <v>3.0720000000000001</v>
          </cell>
          <cell r="AM241">
            <v>0</v>
          </cell>
          <cell r="AP241">
            <v>0</v>
          </cell>
          <cell r="AS241">
            <v>0</v>
          </cell>
          <cell r="AV241">
            <v>0</v>
          </cell>
          <cell r="AY241">
            <v>0</v>
          </cell>
          <cell r="BB241">
            <v>0</v>
          </cell>
          <cell r="BE241">
            <v>0</v>
          </cell>
          <cell r="BH241">
            <v>0</v>
          </cell>
          <cell r="BK241">
            <v>0</v>
          </cell>
          <cell r="BN241">
            <v>0</v>
          </cell>
          <cell r="BQ241">
            <v>0</v>
          </cell>
        </row>
        <row r="242">
          <cell r="B242" t="str">
            <v xml:space="preserve">   Current borrowings - other</v>
          </cell>
          <cell r="D242" t="str">
            <v>$m</v>
          </cell>
          <cell r="F242">
            <v>0</v>
          </cell>
          <cell r="I242">
            <v>0</v>
          </cell>
          <cell r="L242">
            <v>0</v>
          </cell>
          <cell r="O242">
            <v>0</v>
          </cell>
          <cell r="R242">
            <v>0</v>
          </cell>
          <cell r="U242">
            <v>0</v>
          </cell>
          <cell r="X242">
            <v>0</v>
          </cell>
          <cell r="AA242">
            <v>7.2999999999999995E-2</v>
          </cell>
          <cell r="AB242">
            <v>7.2999999999999995E-2</v>
          </cell>
          <cell r="AC242">
            <v>8.7739999999999991</v>
          </cell>
          <cell r="AD242">
            <v>7.391</v>
          </cell>
          <cell r="AE242">
            <v>7.391</v>
          </cell>
          <cell r="AF242">
            <v>11.885</v>
          </cell>
          <cell r="AG242">
            <v>17.022000000000002</v>
          </cell>
          <cell r="AH242">
            <v>17.022000000000002</v>
          </cell>
          <cell r="AI242">
            <v>8.9290000000000003</v>
          </cell>
          <cell r="AJ242">
            <v>0</v>
          </cell>
          <cell r="AL242">
            <v>17.321000000000002</v>
          </cell>
          <cell r="AM242">
            <v>15.359</v>
          </cell>
          <cell r="AN242">
            <v>15.359</v>
          </cell>
          <cell r="AO242">
            <v>14.696999999999999</v>
          </cell>
          <cell r="AP242">
            <v>14.739000000000001</v>
          </cell>
          <cell r="AQ242">
            <v>14.739000000000001</v>
          </cell>
          <cell r="AR242">
            <v>16.292999999999999</v>
          </cell>
          <cell r="AS242">
            <v>36.319000000000003</v>
          </cell>
          <cell r="AT242">
            <v>36.319000000000003</v>
          </cell>
          <cell r="AU242">
            <v>32.133000000000003</v>
          </cell>
          <cell r="AV242">
            <v>32.972999999999999</v>
          </cell>
          <cell r="AW242">
            <v>32.972999999999999</v>
          </cell>
          <cell r="AX242">
            <v>32.972999999999999</v>
          </cell>
          <cell r="AY242">
            <v>32.972999999999999</v>
          </cell>
          <cell r="AZ242">
            <v>32.972999999999999</v>
          </cell>
          <cell r="BA242">
            <v>32.972999999999999</v>
          </cell>
          <cell r="BB242">
            <v>32.972999999999999</v>
          </cell>
          <cell r="BC242">
            <v>32.972999999999999</v>
          </cell>
          <cell r="BD242">
            <v>32.972999999999999</v>
          </cell>
          <cell r="BE242">
            <v>32.972999999999999</v>
          </cell>
          <cell r="BF242">
            <v>32.972999999999999</v>
          </cell>
          <cell r="BG242">
            <v>32.972999999999999</v>
          </cell>
          <cell r="BH242">
            <v>32.972999999999999</v>
          </cell>
          <cell r="BI242">
            <v>32.972999999999999</v>
          </cell>
          <cell r="BJ242">
            <v>32.972999999999999</v>
          </cell>
          <cell r="BK242">
            <v>32.972999999999999</v>
          </cell>
          <cell r="BL242">
            <v>32.972999999999999</v>
          </cell>
          <cell r="BM242">
            <v>32.972999999999999</v>
          </cell>
          <cell r="BN242">
            <v>32.972999999999999</v>
          </cell>
          <cell r="BO242">
            <v>32.972999999999999</v>
          </cell>
          <cell r="BP242">
            <v>32.972999999999999</v>
          </cell>
          <cell r="BQ242">
            <v>32.972999999999999</v>
          </cell>
          <cell r="BR242">
            <v>32.972999999999999</v>
          </cell>
        </row>
        <row r="243"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7.2999999999999995E-2</v>
          </cell>
          <cell r="AB243">
            <v>7.2999999999999995E-2</v>
          </cell>
          <cell r="AC243">
            <v>8.7739999999999991</v>
          </cell>
          <cell r="AD243">
            <v>9.7170000000000005</v>
          </cell>
          <cell r="AE243">
            <v>9.7170000000000005</v>
          </cell>
          <cell r="AF243">
            <v>11.885</v>
          </cell>
          <cell r="AG243">
            <v>19.684000000000001</v>
          </cell>
          <cell r="AH243">
            <v>19.684000000000001</v>
          </cell>
          <cell r="AI243">
            <v>8.9290000000000003</v>
          </cell>
          <cell r="AJ243">
            <v>3.0720000000000001</v>
          </cell>
          <cell r="AK243">
            <v>3.0720000000000001</v>
          </cell>
          <cell r="AL243">
            <v>17.321000000000002</v>
          </cell>
          <cell r="AM243">
            <v>15.359</v>
          </cell>
          <cell r="AN243">
            <v>15.359</v>
          </cell>
          <cell r="AO243">
            <v>14.696999999999999</v>
          </cell>
          <cell r="AP243">
            <v>14.739000000000001</v>
          </cell>
          <cell r="AQ243">
            <v>14.739000000000001</v>
          </cell>
          <cell r="AR243">
            <v>16.292999999999999</v>
          </cell>
          <cell r="AS243">
            <v>36.319000000000003</v>
          </cell>
          <cell r="AT243">
            <v>36.319000000000003</v>
          </cell>
          <cell r="AU243">
            <v>32.133000000000003</v>
          </cell>
          <cell r="AV243">
            <v>32.972999999999999</v>
          </cell>
          <cell r="AW243">
            <v>32.972999999999999</v>
          </cell>
          <cell r="AX243">
            <v>32.972999999999999</v>
          </cell>
          <cell r="AY243">
            <v>32.972999999999999</v>
          </cell>
          <cell r="AZ243">
            <v>32.972999999999999</v>
          </cell>
          <cell r="BA243">
            <v>32.972999999999999</v>
          </cell>
          <cell r="BB243">
            <v>32.972999999999999</v>
          </cell>
          <cell r="BC243">
            <v>32.972999999999999</v>
          </cell>
          <cell r="BD243">
            <v>32.972999999999999</v>
          </cell>
          <cell r="BE243">
            <v>32.972999999999999</v>
          </cell>
          <cell r="BF243">
            <v>32.972999999999999</v>
          </cell>
          <cell r="BG243">
            <v>32.972999999999999</v>
          </cell>
          <cell r="BH243">
            <v>32.972999999999999</v>
          </cell>
          <cell r="BI243">
            <v>32.972999999999999</v>
          </cell>
          <cell r="BJ243">
            <v>32.972999999999999</v>
          </cell>
          <cell r="BK243">
            <v>32.972999999999999</v>
          </cell>
          <cell r="BL243">
            <v>32.972999999999999</v>
          </cell>
          <cell r="BM243">
            <v>32.972999999999999</v>
          </cell>
          <cell r="BN243">
            <v>32.972999999999999</v>
          </cell>
          <cell r="BO243">
            <v>32.972999999999999</v>
          </cell>
          <cell r="BP243">
            <v>32.972999999999999</v>
          </cell>
          <cell r="BQ243">
            <v>32.972999999999999</v>
          </cell>
          <cell r="BR243">
            <v>32.972999999999999</v>
          </cell>
        </row>
        <row r="244">
          <cell r="B244" t="str">
            <v xml:space="preserve">     Other current liabilities</v>
          </cell>
          <cell r="D244" t="str">
            <v>$m</v>
          </cell>
          <cell r="F244">
            <v>0</v>
          </cell>
          <cell r="I244">
            <v>0</v>
          </cell>
          <cell r="L244">
            <v>0</v>
          </cell>
          <cell r="O244">
            <v>0</v>
          </cell>
          <cell r="R244">
            <v>0</v>
          </cell>
          <cell r="U244">
            <v>0</v>
          </cell>
          <cell r="X244">
            <v>0</v>
          </cell>
          <cell r="AA244">
            <v>7.0999999999999994E-2</v>
          </cell>
          <cell r="AB244">
            <v>7.0999999999999994E-2</v>
          </cell>
          <cell r="AC244">
            <v>0.38100000000000001</v>
          </cell>
          <cell r="AD244">
            <v>0.41499999999999998</v>
          </cell>
          <cell r="AE244">
            <v>0.41499999999999998</v>
          </cell>
          <cell r="AF244">
            <v>0.09</v>
          </cell>
          <cell r="AG244">
            <v>1.4E-2</v>
          </cell>
          <cell r="AH244">
            <v>1.4E-2</v>
          </cell>
          <cell r="AI244">
            <v>1.2999999999999999E-2</v>
          </cell>
          <cell r="AJ244">
            <v>0.52900000000000003</v>
          </cell>
          <cell r="AK244">
            <v>0.52900000000000003</v>
          </cell>
          <cell r="AL244">
            <v>1.6639999999999999</v>
          </cell>
          <cell r="AM244">
            <v>0.25800000000000001</v>
          </cell>
          <cell r="AN244">
            <v>0.25800000000000001</v>
          </cell>
          <cell r="AO244">
            <v>0.218</v>
          </cell>
          <cell r="AP244">
            <v>51.564</v>
          </cell>
          <cell r="AQ244">
            <v>51.564</v>
          </cell>
          <cell r="AR244">
            <v>0</v>
          </cell>
          <cell r="AS244">
            <v>56.595999999999997</v>
          </cell>
          <cell r="AT244">
            <v>56.595999999999997</v>
          </cell>
          <cell r="AU244">
            <v>54.679000000000002</v>
          </cell>
          <cell r="AV244">
            <v>67.828000000000003</v>
          </cell>
          <cell r="AW244">
            <v>67.828000000000003</v>
          </cell>
          <cell r="AX244">
            <v>67.828000000000003</v>
          </cell>
          <cell r="AY244">
            <v>67.828000000000003</v>
          </cell>
          <cell r="AZ244">
            <v>67.828000000000003</v>
          </cell>
          <cell r="BA244">
            <v>67.828000000000003</v>
          </cell>
          <cell r="BB244">
            <v>67.828000000000003</v>
          </cell>
          <cell r="BC244">
            <v>67.828000000000003</v>
          </cell>
          <cell r="BD244">
            <v>67.828000000000003</v>
          </cell>
          <cell r="BE244">
            <v>67.828000000000003</v>
          </cell>
          <cell r="BF244">
            <v>67.828000000000003</v>
          </cell>
          <cell r="BG244">
            <v>67.828000000000003</v>
          </cell>
          <cell r="BH244">
            <v>67.828000000000003</v>
          </cell>
          <cell r="BI244">
            <v>67.828000000000003</v>
          </cell>
          <cell r="BJ244">
            <v>67.828000000000003</v>
          </cell>
          <cell r="BK244">
            <v>67.828000000000003</v>
          </cell>
          <cell r="BL244">
            <v>67.828000000000003</v>
          </cell>
          <cell r="BM244">
            <v>67.828000000000003</v>
          </cell>
          <cell r="BN244">
            <v>67.828000000000003</v>
          </cell>
          <cell r="BO244">
            <v>67.828000000000003</v>
          </cell>
          <cell r="BP244">
            <v>67.828000000000003</v>
          </cell>
          <cell r="BQ244">
            <v>67.828000000000003</v>
          </cell>
          <cell r="BR244">
            <v>67.828000000000003</v>
          </cell>
        </row>
        <row r="245"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4.4429999999999996</v>
          </cell>
          <cell r="AB245">
            <v>4.4429999999999996</v>
          </cell>
          <cell r="AC245">
            <v>76.385999999999996</v>
          </cell>
          <cell r="AD245">
            <v>89.085000000000008</v>
          </cell>
          <cell r="AE245">
            <v>89.085000000000008</v>
          </cell>
          <cell r="AF245">
            <v>66.846000000000004</v>
          </cell>
          <cell r="AG245">
            <v>81.241</v>
          </cell>
          <cell r="AH245">
            <v>81.241</v>
          </cell>
          <cell r="AI245">
            <v>55.904999999999994</v>
          </cell>
          <cell r="AJ245">
            <v>55.391000000000005</v>
          </cell>
          <cell r="AK245">
            <v>55.391000000000005</v>
          </cell>
          <cell r="AL245">
            <v>133.63199999999998</v>
          </cell>
          <cell r="AM245">
            <v>151.88899999999998</v>
          </cell>
          <cell r="AN245">
            <v>151.88899999999998</v>
          </cell>
          <cell r="AO245">
            <v>141.01499999999999</v>
          </cell>
          <cell r="AP245">
            <v>252.268</v>
          </cell>
          <cell r="AQ245">
            <v>252.268</v>
          </cell>
          <cell r="AR245">
            <v>436.95699999999999</v>
          </cell>
          <cell r="AS245">
            <v>221.61700000000002</v>
          </cell>
          <cell r="AT245">
            <v>221.61700000000002</v>
          </cell>
          <cell r="AU245">
            <v>218.33200000000002</v>
          </cell>
          <cell r="AV245">
            <v>211.12199999999999</v>
          </cell>
          <cell r="AW245">
            <v>211.12199999999999</v>
          </cell>
          <cell r="AX245">
            <v>236.6209973426086</v>
          </cell>
          <cell r="AY245">
            <v>239.17829035369087</v>
          </cell>
          <cell r="AZ245">
            <v>239.17829035369087</v>
          </cell>
          <cell r="BA245">
            <v>243.74778211687774</v>
          </cell>
          <cell r="BB245">
            <v>246.42478430678958</v>
          </cell>
          <cell r="BC245">
            <v>246.42478430678958</v>
          </cell>
          <cell r="BD245">
            <v>253.53968079508437</v>
          </cell>
          <cell r="BE245">
            <v>256.39684390963362</v>
          </cell>
          <cell r="BF245">
            <v>256.39684390963362</v>
          </cell>
          <cell r="BG245">
            <v>263.82359973671839</v>
          </cell>
          <cell r="BH245">
            <v>267.09660744931932</v>
          </cell>
          <cell r="BI245">
            <v>267.09660744931932</v>
          </cell>
          <cell r="BJ245">
            <v>272.26760756491626</v>
          </cell>
          <cell r="BK245">
            <v>275.93679922925537</v>
          </cell>
          <cell r="BL245">
            <v>275.93679922925537</v>
          </cell>
          <cell r="BM245">
            <v>283.80583668832401</v>
          </cell>
          <cell r="BN245">
            <v>287.95431773453709</v>
          </cell>
          <cell r="BO245">
            <v>287.95431773453709</v>
          </cell>
          <cell r="BP245">
            <v>295.54849845050626</v>
          </cell>
          <cell r="BQ245">
            <v>300.19530567225286</v>
          </cell>
          <cell r="BR245">
            <v>300.19530567225286</v>
          </cell>
        </row>
        <row r="246">
          <cell r="F246">
            <v>0</v>
          </cell>
          <cell r="I246">
            <v>0</v>
          </cell>
          <cell r="L246">
            <v>0</v>
          </cell>
          <cell r="O246">
            <v>0</v>
          </cell>
          <cell r="R246">
            <v>0</v>
          </cell>
          <cell r="U246">
            <v>0</v>
          </cell>
          <cell r="X246">
            <v>0</v>
          </cell>
          <cell r="AA246">
            <v>0</v>
          </cell>
          <cell r="AB246">
            <v>0</v>
          </cell>
          <cell r="AD246">
            <v>1.1519999999999999</v>
          </cell>
          <cell r="AE246">
            <v>1.1519999999999999</v>
          </cell>
          <cell r="AF246">
            <v>0.76400000000000001</v>
          </cell>
          <cell r="AG246">
            <v>0.54300000000000004</v>
          </cell>
          <cell r="AH246">
            <v>0.54300000000000004</v>
          </cell>
          <cell r="AJ246">
            <v>0.08</v>
          </cell>
          <cell r="AK246">
            <v>0.08</v>
          </cell>
          <cell r="AL246">
            <v>0</v>
          </cell>
          <cell r="AM246">
            <v>6.6000000000000003E-2</v>
          </cell>
          <cell r="AN246">
            <v>6.6000000000000003E-2</v>
          </cell>
          <cell r="AO246">
            <v>51.564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 t="str">
            <v xml:space="preserve">   Non Current borrowings - fin leases</v>
          </cell>
          <cell r="D247" t="str">
            <v>$m</v>
          </cell>
          <cell r="F247">
            <v>0</v>
          </cell>
          <cell r="I247">
            <v>0</v>
          </cell>
          <cell r="L247">
            <v>0</v>
          </cell>
          <cell r="O247">
            <v>0</v>
          </cell>
          <cell r="R247">
            <v>0</v>
          </cell>
          <cell r="U247">
            <v>0</v>
          </cell>
          <cell r="X247">
            <v>0</v>
          </cell>
          <cell r="AA247">
            <v>0</v>
          </cell>
          <cell r="AD247">
            <v>0</v>
          </cell>
          <cell r="AG247">
            <v>0</v>
          </cell>
          <cell r="AJ247">
            <v>9.6829999999999998</v>
          </cell>
          <cell r="AK247">
            <v>9.6829999999999998</v>
          </cell>
          <cell r="AM247">
            <v>0</v>
          </cell>
          <cell r="AP247">
            <v>0</v>
          </cell>
          <cell r="AS247">
            <v>0</v>
          </cell>
          <cell r="AY247">
            <v>0</v>
          </cell>
          <cell r="BB247">
            <v>0</v>
          </cell>
          <cell r="BE247">
            <v>0</v>
          </cell>
          <cell r="BH247">
            <v>0</v>
          </cell>
          <cell r="BK247">
            <v>0</v>
          </cell>
          <cell r="BN247">
            <v>0</v>
          </cell>
          <cell r="BQ247">
            <v>0</v>
          </cell>
        </row>
        <row r="248">
          <cell r="B248" t="str">
            <v xml:space="preserve">   Non Current borrowings - other</v>
          </cell>
          <cell r="D248" t="str">
            <v>$m</v>
          </cell>
          <cell r="F248">
            <v>0</v>
          </cell>
          <cell r="I248">
            <v>0</v>
          </cell>
          <cell r="L248">
            <v>0</v>
          </cell>
          <cell r="O248">
            <v>0</v>
          </cell>
          <cell r="R248">
            <v>0</v>
          </cell>
          <cell r="U248">
            <v>0</v>
          </cell>
          <cell r="X248">
            <v>0</v>
          </cell>
          <cell r="AA248">
            <v>0.10299999999999999</v>
          </cell>
          <cell r="AB248">
            <v>0.10299999999999999</v>
          </cell>
          <cell r="AC248">
            <v>207.77699999999999</v>
          </cell>
          <cell r="AD248">
            <v>243.62299999999999</v>
          </cell>
          <cell r="AE248">
            <v>243.62299999999999</v>
          </cell>
          <cell r="AF248">
            <v>226.363</v>
          </cell>
          <cell r="AG248">
            <v>224.97</v>
          </cell>
          <cell r="AH248">
            <v>224.97</v>
          </cell>
          <cell r="AI248">
            <v>222.84899999999999</v>
          </cell>
          <cell r="AJ248">
            <v>187.96600000000001</v>
          </cell>
          <cell r="AK248">
            <v>187.96600000000001</v>
          </cell>
          <cell r="AL248">
            <v>158.66999999999999</v>
          </cell>
          <cell r="AM248">
            <v>102.146</v>
          </cell>
          <cell r="AN248">
            <v>102.146</v>
          </cell>
          <cell r="AO248">
            <v>37.713000000000001</v>
          </cell>
          <cell r="AP248">
            <v>65.096000000000004</v>
          </cell>
          <cell r="AQ248">
            <v>65.096000000000004</v>
          </cell>
          <cell r="AR248">
            <v>55.046999999999997</v>
          </cell>
          <cell r="AS248">
            <v>288.84300000000002</v>
          </cell>
          <cell r="AT248">
            <v>288.84300000000002</v>
          </cell>
          <cell r="AU248">
            <v>296.14100000000002</v>
          </cell>
          <cell r="AV248">
            <v>530.41700000000003</v>
          </cell>
          <cell r="AW248">
            <v>530.41700000000003</v>
          </cell>
          <cell r="AX248">
            <v>232.3874127829651</v>
          </cell>
          <cell r="AY248">
            <v>245.17186052661475</v>
          </cell>
          <cell r="AZ248">
            <v>245.17186052661475</v>
          </cell>
          <cell r="BA248">
            <v>252.98805613497882</v>
          </cell>
          <cell r="BB248">
            <v>266.05879274917703</v>
          </cell>
          <cell r="BC248">
            <v>266.05879274917703</v>
          </cell>
          <cell r="BD248">
            <v>275.61366570383029</v>
          </cell>
          <cell r="BE248">
            <v>253.87508211861643</v>
          </cell>
          <cell r="BF248">
            <v>253.87508211861643</v>
          </cell>
          <cell r="BG248">
            <v>248.87556530688769</v>
          </cell>
          <cell r="BH248">
            <v>214.29197597786703</v>
          </cell>
          <cell r="BI248">
            <v>214.29197597786703</v>
          </cell>
          <cell r="BJ248">
            <v>204.1000356607947</v>
          </cell>
          <cell r="BK248">
            <v>147.76403807769881</v>
          </cell>
          <cell r="BL248">
            <v>147.76403807769881</v>
          </cell>
          <cell r="BM248">
            <v>137.14693063485336</v>
          </cell>
          <cell r="BN248">
            <v>75.994533509522796</v>
          </cell>
          <cell r="BO248">
            <v>75.994533509522796</v>
          </cell>
          <cell r="BP248" t="e">
            <v>#VALUE!</v>
          </cell>
          <cell r="BQ248" t="e">
            <v>#VALUE!</v>
          </cell>
          <cell r="BR248" t="e">
            <v>#VALUE!</v>
          </cell>
        </row>
        <row r="249"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0.10299999999999999</v>
          </cell>
          <cell r="AB249">
            <v>0.10299999999999999</v>
          </cell>
          <cell r="AC249">
            <v>207.77699999999999</v>
          </cell>
          <cell r="AD249">
            <v>243.62299999999999</v>
          </cell>
          <cell r="AE249">
            <v>243.62299999999999</v>
          </cell>
          <cell r="AF249">
            <v>226.363</v>
          </cell>
          <cell r="AG249">
            <v>224.97</v>
          </cell>
          <cell r="AH249">
            <v>224.97</v>
          </cell>
          <cell r="AI249">
            <v>222.84899999999999</v>
          </cell>
          <cell r="AJ249">
            <v>197.649</v>
          </cell>
          <cell r="AK249">
            <v>197.649</v>
          </cell>
          <cell r="AL249">
            <v>158.66999999999999</v>
          </cell>
          <cell r="AM249">
            <v>102.146</v>
          </cell>
          <cell r="AN249">
            <v>102.146</v>
          </cell>
          <cell r="AO249">
            <v>37.713000000000001</v>
          </cell>
          <cell r="AP249">
            <v>65.096000000000004</v>
          </cell>
          <cell r="AQ249">
            <v>65.096000000000004</v>
          </cell>
          <cell r="AR249">
            <v>55.046999999999997</v>
          </cell>
          <cell r="AS249">
            <v>288.84300000000002</v>
          </cell>
          <cell r="AT249">
            <v>288.84300000000002</v>
          </cell>
          <cell r="AU249">
            <v>296.14100000000002</v>
          </cell>
          <cell r="AV249">
            <v>530.41700000000003</v>
          </cell>
          <cell r="AW249">
            <v>530.41700000000003</v>
          </cell>
          <cell r="AX249">
            <v>232.3874127829651</v>
          </cell>
          <cell r="AY249">
            <v>245.17186052661475</v>
          </cell>
          <cell r="AZ249">
            <v>245.17186052661475</v>
          </cell>
          <cell r="BA249">
            <v>252.98805613497882</v>
          </cell>
          <cell r="BB249">
            <v>266.05879274917703</v>
          </cell>
          <cell r="BC249">
            <v>266.05879274917703</v>
          </cell>
          <cell r="BD249">
            <v>275.61366570383029</v>
          </cell>
          <cell r="BE249">
            <v>253.87508211861643</v>
          </cell>
          <cell r="BF249">
            <v>253.87508211861643</v>
          </cell>
          <cell r="BG249">
            <v>248.87556530688769</v>
          </cell>
          <cell r="BH249">
            <v>214.29197597786703</v>
          </cell>
          <cell r="BI249">
            <v>214.29197597786703</v>
          </cell>
          <cell r="BJ249">
            <v>204.1000356607947</v>
          </cell>
          <cell r="BK249">
            <v>147.76403807769881</v>
          </cell>
          <cell r="BL249">
            <v>147.76403807769881</v>
          </cell>
          <cell r="BM249">
            <v>137.14693063485336</v>
          </cell>
          <cell r="BN249">
            <v>75.994533509522796</v>
          </cell>
          <cell r="BO249">
            <v>75.994533509522796</v>
          </cell>
          <cell r="BP249" t="e">
            <v>#VALUE!</v>
          </cell>
          <cell r="BQ249" t="e">
            <v>#VALUE!</v>
          </cell>
          <cell r="BR249" t="e">
            <v>#VALUE!</v>
          </cell>
        </row>
        <row r="250">
          <cell r="F250">
            <v>0</v>
          </cell>
          <cell r="I250">
            <v>0</v>
          </cell>
          <cell r="L250">
            <v>0</v>
          </cell>
          <cell r="O250">
            <v>0</v>
          </cell>
          <cell r="R250">
            <v>0</v>
          </cell>
          <cell r="U250">
            <v>0</v>
          </cell>
          <cell r="X250">
            <v>0</v>
          </cell>
          <cell r="Y250">
            <v>0</v>
          </cell>
          <cell r="AA250">
            <v>0</v>
          </cell>
          <cell r="AD250">
            <v>0</v>
          </cell>
          <cell r="AG250">
            <v>0</v>
          </cell>
          <cell r="AJ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F251">
            <v>0</v>
          </cell>
          <cell r="I251">
            <v>0</v>
          </cell>
          <cell r="L251">
            <v>0</v>
          </cell>
          <cell r="O251">
            <v>0</v>
          </cell>
          <cell r="R251">
            <v>0</v>
          </cell>
          <cell r="U251">
            <v>0</v>
          </cell>
          <cell r="X251">
            <v>0</v>
          </cell>
          <cell r="AA251">
            <v>0</v>
          </cell>
          <cell r="AC251">
            <v>1.4379999999999999</v>
          </cell>
          <cell r="AD251">
            <v>0</v>
          </cell>
          <cell r="AG251">
            <v>0</v>
          </cell>
          <cell r="AJ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14.276</v>
          </cell>
          <cell r="AQ251">
            <v>14.276</v>
          </cell>
          <cell r="AR251">
            <v>0</v>
          </cell>
          <cell r="AS251">
            <v>44.341999999999999</v>
          </cell>
          <cell r="AT251">
            <v>44.341999999999999</v>
          </cell>
          <cell r="AU251">
            <v>47.483000000000004</v>
          </cell>
          <cell r="AV251">
            <v>43.161000000000001</v>
          </cell>
          <cell r="AW251">
            <v>43.161000000000001</v>
          </cell>
          <cell r="AX251">
            <v>43.161000000000001</v>
          </cell>
          <cell r="AY251">
            <v>43.161000000000001</v>
          </cell>
          <cell r="AZ251">
            <v>43.161000000000001</v>
          </cell>
          <cell r="BA251">
            <v>43.161000000000001</v>
          </cell>
          <cell r="BB251">
            <v>43.161000000000001</v>
          </cell>
          <cell r="BC251">
            <v>43.161000000000001</v>
          </cell>
          <cell r="BD251">
            <v>43.161000000000001</v>
          </cell>
          <cell r="BE251">
            <v>43.161000000000001</v>
          </cell>
          <cell r="BF251">
            <v>43.161000000000001</v>
          </cell>
          <cell r="BG251">
            <v>43.161000000000001</v>
          </cell>
          <cell r="BH251">
            <v>43.161000000000001</v>
          </cell>
          <cell r="BI251">
            <v>43.161000000000001</v>
          </cell>
          <cell r="BJ251">
            <v>43.161000000000001</v>
          </cell>
          <cell r="BK251">
            <v>43.161000000000001</v>
          </cell>
          <cell r="BL251">
            <v>43.161000000000001</v>
          </cell>
          <cell r="BM251">
            <v>43.161000000000001</v>
          </cell>
          <cell r="BN251">
            <v>43.161000000000001</v>
          </cell>
          <cell r="BO251">
            <v>43.161000000000001</v>
          </cell>
          <cell r="BP251">
            <v>43.161000000000001</v>
          </cell>
          <cell r="BQ251">
            <v>43.161000000000001</v>
          </cell>
          <cell r="BR251">
            <v>43.161000000000001</v>
          </cell>
        </row>
        <row r="252"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0.31900000000000001</v>
          </cell>
          <cell r="AB252">
            <v>0.31900000000000001</v>
          </cell>
          <cell r="AC252">
            <v>234.28799999999998</v>
          </cell>
          <cell r="AD252">
            <v>264.334</v>
          </cell>
          <cell r="AE252">
            <v>264.334</v>
          </cell>
          <cell r="AF252">
            <v>249.792</v>
          </cell>
          <cell r="AG252">
            <v>245.251</v>
          </cell>
          <cell r="AH252">
            <v>245.251</v>
          </cell>
          <cell r="AI252">
            <v>247.63899999999998</v>
          </cell>
          <cell r="AJ252">
            <v>223.25900000000001</v>
          </cell>
          <cell r="AK252">
            <v>223.25900000000001</v>
          </cell>
          <cell r="AL252">
            <v>187.45599999999999</v>
          </cell>
          <cell r="AM252">
            <v>134.34800000000001</v>
          </cell>
          <cell r="AN252">
            <v>134.34800000000001</v>
          </cell>
          <cell r="AO252">
            <v>132.637</v>
          </cell>
          <cell r="AP252">
            <v>104.495</v>
          </cell>
          <cell r="AQ252">
            <v>104.495</v>
          </cell>
          <cell r="AR252">
            <v>95.876999999999995</v>
          </cell>
          <cell r="AS252">
            <v>333.185</v>
          </cell>
          <cell r="AT252">
            <v>333.185</v>
          </cell>
          <cell r="AU252">
            <v>343.62400000000002</v>
          </cell>
          <cell r="AV252">
            <v>573.57799999999997</v>
          </cell>
          <cell r="AW252">
            <v>573.57799999999997</v>
          </cell>
          <cell r="AX252">
            <v>316.37841278296509</v>
          </cell>
          <cell r="AY252">
            <v>329.16286052661474</v>
          </cell>
          <cell r="AZ252">
            <v>329.16286052661474</v>
          </cell>
          <cell r="BA252">
            <v>336.9790561349788</v>
          </cell>
          <cell r="BB252">
            <v>350.04979274917702</v>
          </cell>
          <cell r="BC252">
            <v>350.04979274917702</v>
          </cell>
          <cell r="BD252">
            <v>350.91066570383032</v>
          </cell>
          <cell r="BE252">
            <v>329.17208211861646</v>
          </cell>
          <cell r="BF252">
            <v>329.17208211861646</v>
          </cell>
          <cell r="BG252">
            <v>324.17256530688769</v>
          </cell>
          <cell r="BH252">
            <v>289.58897597786699</v>
          </cell>
          <cell r="BI252">
            <v>289.58897597786699</v>
          </cell>
          <cell r="BJ252">
            <v>279.3970356607947</v>
          </cell>
          <cell r="BK252">
            <v>223.06103807769881</v>
          </cell>
          <cell r="BL252">
            <v>223.06103807769881</v>
          </cell>
          <cell r="BM252">
            <v>212.44393063485336</v>
          </cell>
          <cell r="BN252">
            <v>151.29153350952279</v>
          </cell>
          <cell r="BO252">
            <v>151.29153350952279</v>
          </cell>
          <cell r="BP252" t="e">
            <v>#VALUE!</v>
          </cell>
          <cell r="BQ252" t="e">
            <v>#VALUE!</v>
          </cell>
          <cell r="BR252" t="e">
            <v>#VALUE!</v>
          </cell>
        </row>
        <row r="254">
          <cell r="F254">
            <v>0</v>
          </cell>
          <cell r="I254">
            <v>0</v>
          </cell>
          <cell r="L254">
            <v>0</v>
          </cell>
          <cell r="O254">
            <v>0</v>
          </cell>
          <cell r="R254">
            <v>0</v>
          </cell>
          <cell r="U254">
            <v>0</v>
          </cell>
          <cell r="X254">
            <v>0</v>
          </cell>
          <cell r="AA254">
            <v>19.468</v>
          </cell>
          <cell r="AB254">
            <v>19.468</v>
          </cell>
          <cell r="AC254">
            <v>27.573</v>
          </cell>
          <cell r="AD254">
            <v>27.576000000000001</v>
          </cell>
          <cell r="AE254">
            <v>27.576000000000001</v>
          </cell>
          <cell r="AF254">
            <v>27.576000000000001</v>
          </cell>
          <cell r="AG254">
            <v>232.00899999999999</v>
          </cell>
          <cell r="AH254">
            <v>232.00899999999999</v>
          </cell>
          <cell r="AI254">
            <v>235.614</v>
          </cell>
          <cell r="AJ254">
            <v>236.54300000000001</v>
          </cell>
          <cell r="AK254">
            <v>236.54300000000001</v>
          </cell>
          <cell r="AL254">
            <v>236.54400000000001</v>
          </cell>
          <cell r="AM254">
            <v>238.22300000000001</v>
          </cell>
          <cell r="AN254">
            <v>238.22300000000001</v>
          </cell>
          <cell r="AO254">
            <v>641.60899999999992</v>
          </cell>
          <cell r="AP254">
            <v>642.05600000000004</v>
          </cell>
          <cell r="AQ254">
            <v>642.05600000000004</v>
          </cell>
          <cell r="AR254">
            <v>900.04700000000003</v>
          </cell>
          <cell r="AS254">
            <v>939.24700000000007</v>
          </cell>
          <cell r="AT254">
            <v>939.24700000000007</v>
          </cell>
          <cell r="AU254">
            <v>941.69699999999989</v>
          </cell>
          <cell r="AV254">
            <v>949.81899999999996</v>
          </cell>
          <cell r="AW254">
            <v>949.81899999999996</v>
          </cell>
          <cell r="AX254">
            <v>949.81899999999996</v>
          </cell>
          <cell r="AY254">
            <v>949.81899999999996</v>
          </cell>
          <cell r="AZ254">
            <v>949.81899999999996</v>
          </cell>
          <cell r="BA254">
            <v>949.81899999999996</v>
          </cell>
          <cell r="BB254">
            <v>949.81899999999996</v>
          </cell>
          <cell r="BC254">
            <v>949.81899999999996</v>
          </cell>
          <cell r="BD254">
            <v>949.81899999999996</v>
          </cell>
          <cell r="BE254">
            <v>949.81899999999996</v>
          </cell>
          <cell r="BF254">
            <v>949.81899999999996</v>
          </cell>
          <cell r="BG254">
            <v>949.81899999999996</v>
          </cell>
          <cell r="BH254">
            <v>949.81899999999996</v>
          </cell>
          <cell r="BI254">
            <v>949.81899999999996</v>
          </cell>
          <cell r="BJ254">
            <v>949.81899999999996</v>
          </cell>
          <cell r="BK254">
            <v>949.81899999999996</v>
          </cell>
          <cell r="BL254">
            <v>949.81899999999996</v>
          </cell>
          <cell r="BM254">
            <v>949.81899999999996</v>
          </cell>
          <cell r="BN254">
            <v>949.81899999999996</v>
          </cell>
          <cell r="BO254">
            <v>949.81899999999996</v>
          </cell>
          <cell r="BP254">
            <v>949.81899999999996</v>
          </cell>
          <cell r="BQ254">
            <v>949.81899999999996</v>
          </cell>
          <cell r="BR254">
            <v>949.81899999999996</v>
          </cell>
        </row>
        <row r="255">
          <cell r="F255">
            <v>0</v>
          </cell>
          <cell r="I255">
            <v>0</v>
          </cell>
          <cell r="L255">
            <v>0</v>
          </cell>
          <cell r="O255">
            <v>0</v>
          </cell>
          <cell r="R255">
            <v>0</v>
          </cell>
          <cell r="U255">
            <v>0</v>
          </cell>
          <cell r="X255">
            <v>0</v>
          </cell>
          <cell r="AA255">
            <v>0</v>
          </cell>
          <cell r="AD255">
            <v>0</v>
          </cell>
          <cell r="AG255">
            <v>0</v>
          </cell>
          <cell r="AJ255">
            <v>0</v>
          </cell>
          <cell r="AL255">
            <v>201.72900000000001</v>
          </cell>
          <cell r="AM255">
            <v>200.95500000000001</v>
          </cell>
          <cell r="AN255">
            <v>200.95500000000001</v>
          </cell>
          <cell r="AO255">
            <v>200.95400000000001</v>
          </cell>
          <cell r="AP255">
            <v>200.95500000000001</v>
          </cell>
          <cell r="AQ255">
            <v>200.95500000000001</v>
          </cell>
          <cell r="AR255">
            <v>200.95500000000001</v>
          </cell>
          <cell r="AS255">
            <v>200.95500000000001</v>
          </cell>
          <cell r="AT255">
            <v>200.95500000000001</v>
          </cell>
          <cell r="AU255">
            <v>200.95500000000001</v>
          </cell>
          <cell r="AV255">
            <v>200.952</v>
          </cell>
          <cell r="AW255">
            <v>200.952</v>
          </cell>
          <cell r="AX255">
            <v>575.952</v>
          </cell>
          <cell r="AY255">
            <v>575.952</v>
          </cell>
          <cell r="AZ255">
            <v>575.952</v>
          </cell>
          <cell r="BA255">
            <v>575.952</v>
          </cell>
          <cell r="BB255">
            <v>575.952</v>
          </cell>
          <cell r="BC255">
            <v>575.952</v>
          </cell>
          <cell r="BD255">
            <v>575.952</v>
          </cell>
          <cell r="BE255">
            <v>575.952</v>
          </cell>
          <cell r="BF255">
            <v>575.952</v>
          </cell>
          <cell r="BG255">
            <v>575.952</v>
          </cell>
          <cell r="BH255">
            <v>575.952</v>
          </cell>
          <cell r="BI255">
            <v>575.952</v>
          </cell>
          <cell r="BJ255">
            <v>575.952</v>
          </cell>
          <cell r="BK255">
            <v>575.952</v>
          </cell>
          <cell r="BL255">
            <v>575.952</v>
          </cell>
          <cell r="BM255">
            <v>575.952</v>
          </cell>
          <cell r="BN255">
            <v>575.952</v>
          </cell>
          <cell r="BO255">
            <v>575.952</v>
          </cell>
          <cell r="BP255">
            <v>575.952</v>
          </cell>
          <cell r="BQ255">
            <v>575.952</v>
          </cell>
          <cell r="BR255">
            <v>575.952</v>
          </cell>
        </row>
        <row r="256">
          <cell r="B256" t="str">
            <v xml:space="preserve">     Reserves</v>
          </cell>
          <cell r="D256" t="str">
            <v>$m</v>
          </cell>
          <cell r="F256">
            <v>0</v>
          </cell>
          <cell r="I256">
            <v>0</v>
          </cell>
          <cell r="L256">
            <v>0</v>
          </cell>
          <cell r="O256">
            <v>0</v>
          </cell>
          <cell r="R256">
            <v>0</v>
          </cell>
          <cell r="U256">
            <v>0</v>
          </cell>
          <cell r="X256">
            <v>0</v>
          </cell>
          <cell r="AA256">
            <v>133.65700000000001</v>
          </cell>
          <cell r="AB256">
            <v>133.65700000000001</v>
          </cell>
          <cell r="AC256">
            <v>194.56200000000001</v>
          </cell>
          <cell r="AD256">
            <v>191.13399999999999</v>
          </cell>
          <cell r="AE256">
            <v>191.13399999999999</v>
          </cell>
          <cell r="AF256">
            <v>191.13399999999999</v>
          </cell>
          <cell r="AG256">
            <v>12.112</v>
          </cell>
          <cell r="AH256">
            <v>12.112</v>
          </cell>
          <cell r="AI256">
            <v>12.112</v>
          </cell>
          <cell r="AJ256">
            <v>10.525</v>
          </cell>
          <cell r="AK256">
            <v>10.525</v>
          </cell>
          <cell r="AL256">
            <v>11.026</v>
          </cell>
          <cell r="AM256">
            <v>10.456</v>
          </cell>
          <cell r="AN256">
            <v>10.456</v>
          </cell>
          <cell r="AO256">
            <v>17.553999999999998</v>
          </cell>
          <cell r="AP256">
            <v>17.489999999999998</v>
          </cell>
          <cell r="AQ256">
            <v>17.489999999999998</v>
          </cell>
          <cell r="AR256">
            <v>17.472000000000001</v>
          </cell>
          <cell r="AS256">
            <v>17.234000000000002</v>
          </cell>
          <cell r="AT256">
            <v>17.234000000000002</v>
          </cell>
          <cell r="AU256">
            <v>17.236999999999998</v>
          </cell>
          <cell r="AV256">
            <v>17.334</v>
          </cell>
          <cell r="AW256">
            <v>17.334</v>
          </cell>
          <cell r="AX256">
            <v>17.334</v>
          </cell>
          <cell r="AY256">
            <v>17.334</v>
          </cell>
          <cell r="AZ256">
            <v>17.334</v>
          </cell>
          <cell r="BA256">
            <v>17.334</v>
          </cell>
          <cell r="BB256">
            <v>17.334</v>
          </cell>
          <cell r="BC256">
            <v>17.334</v>
          </cell>
          <cell r="BD256">
            <v>17.334</v>
          </cell>
          <cell r="BE256">
            <v>17.334</v>
          </cell>
          <cell r="BF256">
            <v>17.334</v>
          </cell>
          <cell r="BG256">
            <v>17.334</v>
          </cell>
          <cell r="BH256">
            <v>17.334</v>
          </cell>
          <cell r="BI256">
            <v>17.334</v>
          </cell>
          <cell r="BJ256">
            <v>17.334</v>
          </cell>
          <cell r="BK256">
            <v>17.334</v>
          </cell>
          <cell r="BL256">
            <v>17.334</v>
          </cell>
          <cell r="BM256">
            <v>17.334</v>
          </cell>
          <cell r="BN256">
            <v>17.334</v>
          </cell>
          <cell r="BO256">
            <v>17.334</v>
          </cell>
          <cell r="BP256">
            <v>17.334</v>
          </cell>
          <cell r="BQ256">
            <v>17.334</v>
          </cell>
          <cell r="BR256">
            <v>17.334</v>
          </cell>
        </row>
        <row r="257">
          <cell r="F257">
            <v>0</v>
          </cell>
          <cell r="I257">
            <v>0</v>
          </cell>
          <cell r="L257">
            <v>0</v>
          </cell>
          <cell r="O257">
            <v>0</v>
          </cell>
          <cell r="R257">
            <v>0</v>
          </cell>
          <cell r="U257">
            <v>0</v>
          </cell>
          <cell r="X257">
            <v>0</v>
          </cell>
          <cell r="AA257">
            <v>17.815000000000001</v>
          </cell>
          <cell r="AB257">
            <v>17.815000000000001</v>
          </cell>
          <cell r="AC257">
            <v>29.402999999999999</v>
          </cell>
          <cell r="AD257">
            <v>11.695</v>
          </cell>
          <cell r="AE257">
            <v>11.695</v>
          </cell>
          <cell r="AF257">
            <v>-14.355</v>
          </cell>
          <cell r="AG257">
            <v>-51.774999999999999</v>
          </cell>
          <cell r="AH257">
            <v>-51.774999999999999</v>
          </cell>
          <cell r="AI257">
            <v>-33.667999999999999</v>
          </cell>
          <cell r="AJ257">
            <v>-15.757</v>
          </cell>
          <cell r="AK257">
            <v>-15.757</v>
          </cell>
          <cell r="AL257">
            <v>0.30299999999999999</v>
          </cell>
          <cell r="AM257">
            <v>18.248000000000001</v>
          </cell>
          <cell r="AN257">
            <v>18.248000000000001</v>
          </cell>
          <cell r="AO257">
            <v>34.451000000000001</v>
          </cell>
          <cell r="AP257">
            <v>48.218000000000004</v>
          </cell>
          <cell r="AQ257">
            <v>48.218000000000004</v>
          </cell>
          <cell r="AR257">
            <v>64.677999999999997</v>
          </cell>
          <cell r="AS257">
            <v>122.021</v>
          </cell>
          <cell r="AT257">
            <v>122.021</v>
          </cell>
          <cell r="AU257">
            <v>170.40199999999999</v>
          </cell>
          <cell r="AV257">
            <v>216.25200000000001</v>
          </cell>
          <cell r="AW257">
            <v>216.25200000000001</v>
          </cell>
          <cell r="AX257">
            <v>280.13171605329558</v>
          </cell>
          <cell r="AY257">
            <v>348.67884937194731</v>
          </cell>
          <cell r="AZ257">
            <v>348.67884937194731</v>
          </cell>
          <cell r="BA257">
            <v>425.88968731905686</v>
          </cell>
          <cell r="BB257">
            <v>497.61380364253074</v>
          </cell>
          <cell r="BC257">
            <v>497.61380364253074</v>
          </cell>
          <cell r="BD257">
            <v>589.90542022728573</v>
          </cell>
          <cell r="BE257">
            <v>688.81325847174412</v>
          </cell>
          <cell r="BF257">
            <v>688.81325847174412</v>
          </cell>
          <cell r="BG257">
            <v>795.24150694085472</v>
          </cell>
          <cell r="BH257">
            <v>915.86188485494381</v>
          </cell>
          <cell r="BI257">
            <v>915.86188485494381</v>
          </cell>
          <cell r="BJ257">
            <v>943.39165584689658</v>
          </cell>
          <cell r="BK257">
            <v>968.77531974818055</v>
          </cell>
          <cell r="BL257">
            <v>968.77531974818055</v>
          </cell>
          <cell r="BM257">
            <v>1000.5082242437702</v>
          </cell>
          <cell r="BN257">
            <v>1030.1164265263033</v>
          </cell>
          <cell r="BO257">
            <v>1030.1164265263033</v>
          </cell>
          <cell r="BP257" t="e">
            <v>#VALUE!</v>
          </cell>
          <cell r="BQ257" t="e">
            <v>#VALUE!</v>
          </cell>
          <cell r="BR257" t="e">
            <v>#VALUE!</v>
          </cell>
        </row>
        <row r="258">
          <cell r="F258">
            <v>0</v>
          </cell>
          <cell r="I258">
            <v>0</v>
          </cell>
          <cell r="L258">
            <v>0</v>
          </cell>
          <cell r="O258">
            <v>0</v>
          </cell>
          <cell r="R258">
            <v>0</v>
          </cell>
          <cell r="U258">
            <v>0</v>
          </cell>
          <cell r="X258">
            <v>0</v>
          </cell>
          <cell r="AA258">
            <v>0</v>
          </cell>
          <cell r="AC258">
            <v>0.38800000000000001</v>
          </cell>
          <cell r="AD258">
            <v>0.502</v>
          </cell>
          <cell r="AE258">
            <v>0.502</v>
          </cell>
          <cell r="AF258">
            <v>2.4E-2</v>
          </cell>
          <cell r="AG258">
            <v>2.7E-2</v>
          </cell>
          <cell r="AH258">
            <v>2.7E-2</v>
          </cell>
          <cell r="AI258">
            <v>7.3999999999999996E-2</v>
          </cell>
          <cell r="AJ258">
            <v>2.4E-2</v>
          </cell>
          <cell r="AK258">
            <v>2.4E-2</v>
          </cell>
          <cell r="AL258">
            <v>1.0999999999999999E-2</v>
          </cell>
          <cell r="AM258">
            <v>1.0999999999999999E-2</v>
          </cell>
          <cell r="AN258">
            <v>1.0999999999999999E-2</v>
          </cell>
          <cell r="AO258">
            <v>1.0999999999999999E-2</v>
          </cell>
          <cell r="AP258">
            <v>11.417999999999999</v>
          </cell>
          <cell r="AQ258">
            <v>11.417999999999999</v>
          </cell>
          <cell r="AR258">
            <v>0</v>
          </cell>
          <cell r="AS258">
            <v>0.15</v>
          </cell>
          <cell r="AT258">
            <v>0.15</v>
          </cell>
          <cell r="AU258">
            <v>9.5549999999999997</v>
          </cell>
          <cell r="AV258">
            <v>9.7579999999999991</v>
          </cell>
          <cell r="AW258">
            <v>9.7579999999999991</v>
          </cell>
          <cell r="AX258">
            <v>9.7579999999999991</v>
          </cell>
          <cell r="AY258">
            <v>9.7579999999999991</v>
          </cell>
          <cell r="AZ258">
            <v>9.7579999999999991</v>
          </cell>
          <cell r="BA258">
            <v>9.7579999999999991</v>
          </cell>
          <cell r="BB258">
            <v>9.7579999999999991</v>
          </cell>
          <cell r="BC258">
            <v>9.7579999999999991</v>
          </cell>
          <cell r="BD258">
            <v>9.7579999999999991</v>
          </cell>
          <cell r="BE258">
            <v>9.7579999999999991</v>
          </cell>
          <cell r="BF258">
            <v>9.7579999999999991</v>
          </cell>
          <cell r="BG258">
            <v>9.7579999999999991</v>
          </cell>
          <cell r="BH258">
            <v>9.7579999999999991</v>
          </cell>
          <cell r="BI258">
            <v>9.7579999999999991</v>
          </cell>
          <cell r="BJ258">
            <v>9.7579999999999991</v>
          </cell>
          <cell r="BK258">
            <v>9.7579999999999991</v>
          </cell>
          <cell r="BL258">
            <v>9.7579999999999991</v>
          </cell>
          <cell r="BM258">
            <v>9.7579999999999991</v>
          </cell>
          <cell r="BN258">
            <v>9.7579999999999991</v>
          </cell>
          <cell r="BO258">
            <v>9.7579999999999991</v>
          </cell>
          <cell r="BP258">
            <v>9.7579999999999991</v>
          </cell>
          <cell r="BQ258">
            <v>9.7579999999999991</v>
          </cell>
          <cell r="BR258">
            <v>9.7579999999999991</v>
          </cell>
        </row>
        <row r="259"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170.94</v>
          </cell>
          <cell r="AB259">
            <v>170.94</v>
          </cell>
          <cell r="AC259">
            <v>251.92600000000002</v>
          </cell>
          <cell r="AD259">
            <v>230.90699999999998</v>
          </cell>
          <cell r="AE259">
            <v>230.90699999999998</v>
          </cell>
          <cell r="AF259">
            <v>204.37899999999999</v>
          </cell>
          <cell r="AG259">
            <v>192.37299999999996</v>
          </cell>
          <cell r="AH259">
            <v>192.37299999999996</v>
          </cell>
          <cell r="AI259">
            <v>214.13200000000001</v>
          </cell>
          <cell r="AJ259">
            <v>231.33500000000001</v>
          </cell>
          <cell r="AK259">
            <v>231.33500000000001</v>
          </cell>
          <cell r="AL259">
            <v>449.61300000000006</v>
          </cell>
          <cell r="AM259">
            <v>467.89300000000003</v>
          </cell>
          <cell r="AN259">
            <v>467.89300000000003</v>
          </cell>
          <cell r="AO259">
            <v>894.57899999999984</v>
          </cell>
          <cell r="AP259">
            <v>920.13700000000006</v>
          </cell>
          <cell r="AQ259">
            <v>920.13700000000006</v>
          </cell>
          <cell r="AR259">
            <v>1183.152</v>
          </cell>
          <cell r="AS259">
            <v>1279.607</v>
          </cell>
          <cell r="AT259">
            <v>1279.607</v>
          </cell>
          <cell r="AU259">
            <v>1338.846</v>
          </cell>
          <cell r="AV259">
            <v>1394.115</v>
          </cell>
          <cell r="AW259">
            <v>1394.115</v>
          </cell>
          <cell r="AX259">
            <v>1831.9947160532956</v>
          </cell>
          <cell r="AY259">
            <v>1900.5418493719474</v>
          </cell>
          <cell r="AZ259">
            <v>1900.5418493719474</v>
          </cell>
          <cell r="BA259">
            <v>1977.752687319057</v>
          </cell>
          <cell r="BB259">
            <v>2049.4768036425307</v>
          </cell>
          <cell r="BC259">
            <v>2049.4768036425307</v>
          </cell>
          <cell r="BD259">
            <v>2141.7684202272858</v>
          </cell>
          <cell r="BE259">
            <v>2240.6762584717439</v>
          </cell>
          <cell r="BF259">
            <v>2240.6762584717439</v>
          </cell>
          <cell r="BG259">
            <v>2347.1045069408547</v>
          </cell>
          <cell r="BH259">
            <v>2467.7248848549434</v>
          </cell>
          <cell r="BI259">
            <v>2467.7248848549434</v>
          </cell>
          <cell r="BJ259">
            <v>2495.2546558468966</v>
          </cell>
          <cell r="BK259">
            <v>2520.6383197481805</v>
          </cell>
          <cell r="BL259">
            <v>2520.6383197481805</v>
          </cell>
          <cell r="BM259">
            <v>2552.37122424377</v>
          </cell>
          <cell r="BN259">
            <v>2581.9794265263031</v>
          </cell>
          <cell r="BO259">
            <v>2581.9794265263031</v>
          </cell>
          <cell r="BP259" t="e">
            <v>#VALUE!</v>
          </cell>
          <cell r="BQ259" t="e">
            <v>#VALUE!</v>
          </cell>
          <cell r="BR259" t="e">
            <v>#VALUE!</v>
          </cell>
        </row>
        <row r="261">
          <cell r="E261" t="str">
            <v>1H89(a)</v>
          </cell>
          <cell r="F261" t="str">
            <v>2H89(a)</v>
          </cell>
          <cell r="G261" t="str">
            <v>FY89(a)</v>
          </cell>
          <cell r="H261" t="str">
            <v>1H90(a)</v>
          </cell>
          <cell r="I261" t="str">
            <v>2H90(a)</v>
          </cell>
          <cell r="J261" t="str">
            <v>FY90(a)</v>
          </cell>
          <cell r="K261" t="str">
            <v>1H91(a)</v>
          </cell>
          <cell r="L261" t="str">
            <v>2H91(a)</v>
          </cell>
          <cell r="M261" t="str">
            <v>FY91(a)</v>
          </cell>
          <cell r="N261" t="str">
            <v>1H92(a)</v>
          </cell>
          <cell r="O261" t="str">
            <v>2H92(a)</v>
          </cell>
          <cell r="P261" t="str">
            <v>FY92(a)</v>
          </cell>
          <cell r="Q261" t="str">
            <v>1H93(a)</v>
          </cell>
          <cell r="R261" t="str">
            <v>2H93(a)</v>
          </cell>
          <cell r="S261" t="str">
            <v>FY93(a)</v>
          </cell>
          <cell r="T261" t="str">
            <v>1H94(a)</v>
          </cell>
          <cell r="U261" t="str">
            <v>2H94(a)</v>
          </cell>
          <cell r="V261" t="str">
            <v>FY94(a)</v>
          </cell>
          <cell r="W261" t="str">
            <v>1H95(a)</v>
          </cell>
          <cell r="X261" t="str">
            <v>2H95(a)</v>
          </cell>
          <cell r="Y261" t="str">
            <v>FY95(a)</v>
          </cell>
          <cell r="Z261" t="str">
            <v>1H96(a)</v>
          </cell>
          <cell r="AA261" t="str">
            <v>2H96(a)</v>
          </cell>
          <cell r="AB261" t="str">
            <v>FY96(a)</v>
          </cell>
          <cell r="AC261" t="str">
            <v>1H97(a)</v>
          </cell>
          <cell r="AD261" t="str">
            <v>2H97(a)</v>
          </cell>
          <cell r="AE261" t="str">
            <v>FY97(a)</v>
          </cell>
          <cell r="AF261" t="str">
            <v>1H98(a)</v>
          </cell>
          <cell r="AG261" t="str">
            <v>2H98(a)</v>
          </cell>
          <cell r="AH261" t="str">
            <v>FY98(a)</v>
          </cell>
          <cell r="AI261" t="str">
            <v>1H99(a)</v>
          </cell>
          <cell r="AJ261" t="str">
            <v>2H99(a)</v>
          </cell>
          <cell r="AK261" t="str">
            <v>FY99(a)</v>
          </cell>
          <cell r="AL261" t="str">
            <v>1H00(a)</v>
          </cell>
          <cell r="AM261" t="str">
            <v>2H00(a)</v>
          </cell>
          <cell r="AN261" t="str">
            <v>FY00(a)</v>
          </cell>
          <cell r="AO261" t="str">
            <v>1H01(a)</v>
          </cell>
          <cell r="AP261" t="str">
            <v>2H01(a)</v>
          </cell>
          <cell r="AQ261" t="str">
            <v>FY01(a)</v>
          </cell>
          <cell r="AR261" t="str">
            <v>1H02(a)</v>
          </cell>
          <cell r="AS261" t="str">
            <v>2H02(a)</v>
          </cell>
          <cell r="AT261" t="str">
            <v>FY02(a)</v>
          </cell>
          <cell r="AU261" t="str">
            <v>1H03(e)</v>
          </cell>
          <cell r="AV261" t="str">
            <v>2H03(e)</v>
          </cell>
          <cell r="AW261" t="str">
            <v>FY03(e)</v>
          </cell>
          <cell r="AX261" t="str">
            <v>1H04(e)</v>
          </cell>
          <cell r="AY261" t="str">
            <v>2H04(e)</v>
          </cell>
          <cell r="AZ261" t="str">
            <v>FY04(e)</v>
          </cell>
          <cell r="BA261" t="str">
            <v>1H05(e)</v>
          </cell>
          <cell r="BB261" t="str">
            <v>2H05(e)</v>
          </cell>
          <cell r="BC261" t="str">
            <v>FY05(e)</v>
          </cell>
          <cell r="BD261" t="str">
            <v>1H06(e)</v>
          </cell>
          <cell r="BE261" t="str">
            <v>2H06(e)</v>
          </cell>
          <cell r="BF261" t="str">
            <v>FY06(e)</v>
          </cell>
          <cell r="BG261" t="str">
            <v>1H07(e)</v>
          </cell>
          <cell r="BH261" t="str">
            <v>2H07(e)</v>
          </cell>
          <cell r="BI261" t="str">
            <v>FY07(e)</v>
          </cell>
          <cell r="BJ261" t="str">
            <v>1H08(e)</v>
          </cell>
          <cell r="BK261" t="str">
            <v>2H08(e)</v>
          </cell>
          <cell r="BL261" t="str">
            <v>FY08(e)</v>
          </cell>
          <cell r="BM261" t="str">
            <v>1H09(e)</v>
          </cell>
          <cell r="BN261" t="str">
            <v>2H09(e)</v>
          </cell>
          <cell r="BO261" t="str">
            <v>FY09(e)</v>
          </cell>
          <cell r="BP261" t="str">
            <v>1H10(e)</v>
          </cell>
          <cell r="BQ261" t="str">
            <v>2H10(e)</v>
          </cell>
          <cell r="BR261" t="str">
            <v>FY10(e)</v>
          </cell>
        </row>
        <row r="262">
          <cell r="E262" t="e">
            <v>#DIV/0!</v>
          </cell>
          <cell r="F262" t="e">
            <v>#DIV/0!</v>
          </cell>
          <cell r="G262" t="e">
            <v>#DIV/0!</v>
          </cell>
          <cell r="H262" t="e">
            <v>#DIV/0!</v>
          </cell>
          <cell r="I262" t="e">
            <v>#DIV/0!</v>
          </cell>
          <cell r="J262" t="e">
            <v>#DIV/0!</v>
          </cell>
          <cell r="K262" t="e">
            <v>#DIV/0!</v>
          </cell>
          <cell r="L262" t="e">
            <v>#DIV/0!</v>
          </cell>
          <cell r="M262" t="e">
            <v>#DIV/0!</v>
          </cell>
          <cell r="N262" t="e">
            <v>#DIV/0!</v>
          </cell>
          <cell r="O262" t="e">
            <v>#DIV/0!</v>
          </cell>
          <cell r="P262" t="e">
            <v>#DIV/0!</v>
          </cell>
          <cell r="Q262" t="e">
            <v>#DIV/0!</v>
          </cell>
          <cell r="R262" t="e">
            <v>#DIV/0!</v>
          </cell>
          <cell r="S262" t="e">
            <v>#DIV/0!</v>
          </cell>
          <cell r="T262" t="e">
            <v>#DIV/0!</v>
          </cell>
          <cell r="U262" t="e">
            <v>#DIV/0!</v>
          </cell>
          <cell r="V262" t="e">
            <v>#DIV/0!</v>
          </cell>
          <cell r="W262" t="e">
            <v>#DIV/0!</v>
          </cell>
          <cell r="X262" t="e">
            <v>#DIV/0!</v>
          </cell>
          <cell r="Y262" t="e">
            <v>#DIV/0!</v>
          </cell>
          <cell r="Z262" t="e">
            <v>#DIV/0!</v>
          </cell>
          <cell r="AA262">
            <v>0.10296010296010295</v>
          </cell>
          <cell r="AB262">
            <v>0.10296010296010295</v>
          </cell>
          <cell r="AC262">
            <v>85.958178195184288</v>
          </cell>
          <cell r="AD262">
            <v>109.71516671213952</v>
          </cell>
          <cell r="AE262">
            <v>109.71516671213952</v>
          </cell>
          <cell r="AF262">
            <v>116.5716634292173</v>
          </cell>
          <cell r="AG262">
            <v>127.17689072790883</v>
          </cell>
          <cell r="AH262">
            <v>127.17689072790883</v>
          </cell>
          <cell r="AI262">
            <v>108.24071133693236</v>
          </cell>
          <cell r="AJ262">
            <v>86.766377763848965</v>
          </cell>
          <cell r="AK262">
            <v>86.766377763848965</v>
          </cell>
          <cell r="AL262">
            <v>39.142773896662234</v>
          </cell>
          <cell r="AM262">
            <v>25.11364777844507</v>
          </cell>
          <cell r="AN262">
            <v>25.11364777844507</v>
          </cell>
          <cell r="AO262">
            <v>5.8586217650984436</v>
          </cell>
          <cell r="AP262">
            <v>8.6764253583977169</v>
          </cell>
          <cell r="AQ262">
            <v>8.6764253583977169</v>
          </cell>
          <cell r="AR262">
            <v>6.0296563755121912</v>
          </cell>
          <cell r="AS262">
            <v>25.411083246653078</v>
          </cell>
          <cell r="AT262">
            <v>25.411083246653078</v>
          </cell>
          <cell r="AU262">
            <v>24.519175469023324</v>
          </cell>
          <cell r="AV262">
            <v>40.412017659949143</v>
          </cell>
          <cell r="AW262">
            <v>40.412017659949143</v>
          </cell>
          <cell r="AX262">
            <v>14.48478046676011</v>
          </cell>
          <cell r="AY262">
            <v>14.635029511111815</v>
          </cell>
          <cell r="AZ262">
            <v>14.635029511111815</v>
          </cell>
          <cell r="BA262">
            <v>14.458888513639861</v>
          </cell>
          <cell r="BB262">
            <v>14.590640509700256</v>
          </cell>
          <cell r="BC262">
            <v>14.590640509700256</v>
          </cell>
          <cell r="BD262">
            <v>14.408031362750362</v>
          </cell>
          <cell r="BE262">
            <v>12.801853058159393</v>
          </cell>
          <cell r="BF262">
            <v>12.801853058159393</v>
          </cell>
          <cell r="BG262">
            <v>12.008351757384702</v>
          </cell>
          <cell r="BH262">
            <v>10.019957147386858</v>
          </cell>
          <cell r="BI262">
            <v>10.019957147386858</v>
          </cell>
          <cell r="BJ262">
            <v>9.5009555479751793</v>
          </cell>
          <cell r="BK262">
            <v>7.1702884408959946</v>
          </cell>
          <cell r="BL262">
            <v>7.1702884408959946</v>
          </cell>
          <cell r="BM262">
            <v>6.6651719396835531</v>
          </cell>
          <cell r="BN262">
            <v>4.2203099060368414</v>
          </cell>
          <cell r="BO262">
            <v>4.2203099060368414</v>
          </cell>
          <cell r="BP262" t="e">
            <v>#VALUE!</v>
          </cell>
          <cell r="BQ262" t="e">
            <v>#VALUE!</v>
          </cell>
          <cell r="BR262" t="e">
            <v>#VALUE!</v>
          </cell>
        </row>
        <row r="263">
          <cell r="E263" t="e">
            <v>#DIV/0!</v>
          </cell>
          <cell r="F263" t="e">
            <v>#DIV/0!</v>
          </cell>
          <cell r="G263" t="e">
            <v>#DIV/0!</v>
          </cell>
          <cell r="H263" t="e">
            <v>#DIV/0!</v>
          </cell>
          <cell r="I263" t="e">
            <v>#DIV/0!</v>
          </cell>
          <cell r="J263" t="e">
            <v>#DIV/0!</v>
          </cell>
          <cell r="K263" t="e">
            <v>#DIV/0!</v>
          </cell>
          <cell r="L263" t="e">
            <v>#DIV/0!</v>
          </cell>
          <cell r="M263" t="e">
            <v>#DIV/0!</v>
          </cell>
          <cell r="N263" t="e">
            <v>#DIV/0!</v>
          </cell>
          <cell r="O263" t="e">
            <v>#DIV/0!</v>
          </cell>
          <cell r="P263" t="e">
            <v>#DIV/0!</v>
          </cell>
          <cell r="Q263" t="e">
            <v>#DIV/0!</v>
          </cell>
          <cell r="R263" t="e">
            <v>#DIV/0!</v>
          </cell>
          <cell r="S263" t="e">
            <v>#DIV/0!</v>
          </cell>
          <cell r="T263" t="e">
            <v>#DIV/0!</v>
          </cell>
          <cell r="U263" t="e">
            <v>#DIV/0!</v>
          </cell>
          <cell r="V263" t="e">
            <v>#DIV/0!</v>
          </cell>
          <cell r="W263" t="e">
            <v>#DIV/0!</v>
          </cell>
          <cell r="X263" t="e">
            <v>#DIV/0!</v>
          </cell>
          <cell r="Y263" t="e">
            <v>#DIV/0!</v>
          </cell>
          <cell r="Z263" t="e">
            <v>#DIV/0!</v>
          </cell>
          <cell r="AA263">
            <v>-14.943839943839945</v>
          </cell>
          <cell r="AB263">
            <v>-14.943839943839945</v>
          </cell>
          <cell r="AC263">
            <v>77.872073545406167</v>
          </cell>
          <cell r="AD263">
            <v>98.550065610830345</v>
          </cell>
          <cell r="AE263">
            <v>98.550065610830345</v>
          </cell>
          <cell r="AF263">
            <v>106.1351704431473</v>
          </cell>
          <cell r="AG263">
            <v>121.16721161493558</v>
          </cell>
          <cell r="AH263">
            <v>121.16721161493558</v>
          </cell>
          <cell r="AI263">
            <v>101.94039190779517</v>
          </cell>
          <cell r="AJ263">
            <v>80.542071022543055</v>
          </cell>
          <cell r="AK263">
            <v>80.542071022543055</v>
          </cell>
          <cell r="AL263">
            <v>35.566587265047936</v>
          </cell>
          <cell r="AM263">
            <v>24.860384746085106</v>
          </cell>
          <cell r="AN263">
            <v>24.860384746085106</v>
          </cell>
          <cell r="AO263">
            <v>-28.049283517721751</v>
          </cell>
          <cell r="AP263">
            <v>-23.449008136831797</v>
          </cell>
          <cell r="AQ263">
            <v>-23.449008136831797</v>
          </cell>
          <cell r="AR263">
            <v>-0.67041259280295484</v>
          </cell>
          <cell r="AS263">
            <v>21.790909240102625</v>
          </cell>
          <cell r="AT263">
            <v>21.790909240102625</v>
          </cell>
          <cell r="AU263">
            <v>23.792430197349059</v>
          </cell>
          <cell r="AV263">
            <v>38.161988071285364</v>
          </cell>
          <cell r="AW263">
            <v>38.161988071285364</v>
          </cell>
          <cell r="AX263">
            <v>12.772548454018462</v>
          </cell>
          <cell r="AY263">
            <v>12.984552832033907</v>
          </cell>
          <cell r="AZ263">
            <v>12.984552832033907</v>
          </cell>
          <cell r="BA263">
            <v>12.87284592089684</v>
          </cell>
          <cell r="BB263">
            <v>13.060103548059621</v>
          </cell>
          <cell r="BC263">
            <v>13.060103548059621</v>
          </cell>
          <cell r="BD263">
            <v>12.943447250679496</v>
          </cell>
          <cell r="BE263">
            <v>11.401918557072896</v>
          </cell>
          <cell r="BF263">
            <v>11.401918557072896</v>
          </cell>
          <cell r="BG263">
            <v>10.671896567288201</v>
          </cell>
          <cell r="BH263">
            <v>8.7488267960047654</v>
          </cell>
          <cell r="BI263">
            <v>8.7488267960047654</v>
          </cell>
          <cell r="BJ263">
            <v>8.2438493874276659</v>
          </cell>
          <cell r="BK263">
            <v>5.9258417563302466</v>
          </cell>
          <cell r="BL263">
            <v>5.9258417563302466</v>
          </cell>
          <cell r="BM263">
            <v>5.4361971063187919</v>
          </cell>
          <cell r="BN263">
            <v>3.0054280337129664</v>
          </cell>
          <cell r="BO263">
            <v>3.0054280337129664</v>
          </cell>
          <cell r="BP263" t="e">
            <v>#VALUE!</v>
          </cell>
          <cell r="BQ263" t="e">
            <v>#VALUE!</v>
          </cell>
          <cell r="BR263" t="e">
            <v>#VALUE!</v>
          </cell>
        </row>
        <row r="264"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-25.545000000000002</v>
          </cell>
          <cell r="AB264">
            <v>-25.545000000000002</v>
          </cell>
          <cell r="AC264">
            <v>196.17999999999998</v>
          </cell>
          <cell r="AD264">
            <v>227.559</v>
          </cell>
          <cell r="AE264">
            <v>227.559</v>
          </cell>
          <cell r="AF264">
            <v>216.91800000000001</v>
          </cell>
          <cell r="AG264">
            <v>233.09299999999999</v>
          </cell>
          <cell r="AH264">
            <v>233.09299999999999</v>
          </cell>
          <cell r="AI264">
            <v>218.28699999999998</v>
          </cell>
          <cell r="AJ264">
            <v>186.322</v>
          </cell>
          <cell r="AK264">
            <v>186.322</v>
          </cell>
          <cell r="AL264">
            <v>159.91199999999998</v>
          </cell>
          <cell r="AM264">
            <v>116.32</v>
          </cell>
          <cell r="AN264">
            <v>116.32</v>
          </cell>
          <cell r="AO264">
            <v>-250.92300000000003</v>
          </cell>
          <cell r="AP264">
            <v>-215.76300000000001</v>
          </cell>
          <cell r="AQ264">
            <v>-215.76300000000001</v>
          </cell>
          <cell r="AR264">
            <v>-7.9320000000000164</v>
          </cell>
          <cell r="AS264">
            <v>278.83800000000002</v>
          </cell>
          <cell r="AT264">
            <v>278.83800000000002</v>
          </cell>
          <cell r="AU264">
            <v>318.54399999999998</v>
          </cell>
          <cell r="AV264">
            <v>532.02199999999993</v>
          </cell>
          <cell r="AW264">
            <v>532.02199999999993</v>
          </cell>
          <cell r="AX264">
            <v>233.99241278296512</v>
          </cell>
          <cell r="AY264">
            <v>246.77686052661477</v>
          </cell>
          <cell r="AZ264">
            <v>246.77686052661477</v>
          </cell>
          <cell r="BA264">
            <v>254.59305613497884</v>
          </cell>
          <cell r="BB264">
            <v>267.66379274917705</v>
          </cell>
          <cell r="BC264">
            <v>267.66379274917705</v>
          </cell>
          <cell r="BD264">
            <v>277.21866570383031</v>
          </cell>
          <cell r="BE264">
            <v>255.48008211861645</v>
          </cell>
          <cell r="BF264">
            <v>255.48008211861645</v>
          </cell>
          <cell r="BG264">
            <v>250.48056530688768</v>
          </cell>
          <cell r="BH264">
            <v>215.89697597786704</v>
          </cell>
          <cell r="BI264">
            <v>215.89697597786704</v>
          </cell>
          <cell r="BJ264">
            <v>205.70503566079469</v>
          </cell>
          <cell r="BK264">
            <v>149.3690380776988</v>
          </cell>
          <cell r="BL264">
            <v>149.3690380776988</v>
          </cell>
          <cell r="BM264">
            <v>138.75193063485335</v>
          </cell>
          <cell r="BN264">
            <v>77.5995335095228</v>
          </cell>
          <cell r="BO264">
            <v>77.5995335095228</v>
          </cell>
          <cell r="BP264" t="e">
            <v>#VALUE!</v>
          </cell>
          <cell r="BQ264" t="e">
            <v>#VALUE!</v>
          </cell>
          <cell r="BR264" t="e">
            <v>#VALUE!</v>
          </cell>
        </row>
        <row r="265">
          <cell r="E265" t="e">
            <v>#DIV/0!</v>
          </cell>
          <cell r="F265" t="e">
            <v>#DIV/0!</v>
          </cell>
          <cell r="G265" t="e">
            <v>#DIV/0!</v>
          </cell>
          <cell r="H265" t="e">
            <v>#DIV/0!</v>
          </cell>
          <cell r="I265" t="e">
            <v>#DIV/0!</v>
          </cell>
          <cell r="J265" t="e">
            <v>#DIV/0!</v>
          </cell>
          <cell r="K265" t="e">
            <v>#DIV/0!</v>
          </cell>
          <cell r="L265" t="e">
            <v>#DIV/0!</v>
          </cell>
          <cell r="M265" t="e">
            <v>#DIV/0!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>
            <v>-0.81765749778172159</v>
          </cell>
          <cell r="AC265" t="e">
            <v>#REF!</v>
          </cell>
          <cell r="AD265" t="e">
            <v>#REF!</v>
          </cell>
          <cell r="AE265">
            <v>0.929864115532265</v>
          </cell>
          <cell r="AF265">
            <v>0.77606979642708762</v>
          </cell>
          <cell r="AG265">
            <v>0.54200217627856373</v>
          </cell>
          <cell r="AH265">
            <v>0.64499421119980505</v>
          </cell>
          <cell r="AI265">
            <v>3.5771497162811001</v>
          </cell>
          <cell r="AJ265">
            <v>4.3072060682680133</v>
          </cell>
          <cell r="AK265">
            <v>3.8963335994595583</v>
          </cell>
          <cell r="AL265">
            <v>4.7819038229817066</v>
          </cell>
          <cell r="AM265">
            <v>9.2185173195208794</v>
          </cell>
          <cell r="AN265">
            <v>6.5725485072189187</v>
          </cell>
          <cell r="AO265">
            <v>12.679160419790104</v>
          </cell>
          <cell r="AP265">
            <v>-7.5677758977251433</v>
          </cell>
          <cell r="AQ265">
            <v>-69.092634776006179</v>
          </cell>
          <cell r="AR265">
            <v>-197.98620689655172</v>
          </cell>
          <cell r="AS265">
            <v>7.0199912447103445</v>
          </cell>
          <cell r="AT265">
            <v>16.078622581136674</v>
          </cell>
          <cell r="AU265">
            <v>6.7251965959280415</v>
          </cell>
          <cell r="AV265">
            <v>5.0774599419542774</v>
          </cell>
          <cell r="AW265">
            <v>5.937351960168221</v>
          </cell>
          <cell r="AX265">
            <v>4.9877951650520824</v>
          </cell>
          <cell r="AY265">
            <v>7.9624914095520198</v>
          </cell>
          <cell r="AZ265">
            <v>6.1443714459762031</v>
          </cell>
          <cell r="BA265">
            <v>8.6817432792716875</v>
          </cell>
          <cell r="BB265">
            <v>8.4055572100139742</v>
          </cell>
          <cell r="BC265">
            <v>8.540259757060003</v>
          </cell>
          <cell r="BD265">
            <v>9.3870588100854295</v>
          </cell>
          <cell r="BE265">
            <v>10.332533944748656</v>
          </cell>
          <cell r="BF265">
            <v>9.6793657913897881</v>
          </cell>
          <cell r="BG265">
            <v>10.75745759759741</v>
          </cell>
          <cell r="BH265">
            <v>12.587506542474312</v>
          </cell>
          <cell r="BI265">
            <v>11.607808607551112</v>
          </cell>
          <cell r="BJ265">
            <v>13.540294620164639</v>
          </cell>
          <cell r="BK265">
            <v>18.481293944688328</v>
          </cell>
          <cell r="BL265">
            <v>15.647585820959771</v>
          </cell>
          <cell r="BM265">
            <v>20.130831906355994</v>
          </cell>
          <cell r="BN265">
            <v>33.974185311625725</v>
          </cell>
          <cell r="BO265">
            <v>25.324093034425836</v>
          </cell>
          <cell r="BP265" t="e">
            <v>#VALUE!</v>
          </cell>
          <cell r="BQ265" t="e">
            <v>#VALUE!</v>
          </cell>
          <cell r="BR265" t="e">
            <v>#VALUE!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2.0385</v>
          </cell>
          <cell r="AD267">
            <v>4.0910000000000002</v>
          </cell>
          <cell r="AE267">
            <v>2.0525000000000002</v>
          </cell>
          <cell r="AF267">
            <v>4.1745000000000001</v>
          </cell>
          <cell r="AG267">
            <v>4.7309999999999999</v>
          </cell>
          <cell r="AH267">
            <v>4.6615000000000002</v>
          </cell>
          <cell r="AI267">
            <v>5.0914999999999999</v>
          </cell>
          <cell r="AJ267">
            <v>5.1229999999999993</v>
          </cell>
          <cell r="AK267">
            <v>5.2494999999999994</v>
          </cell>
          <cell r="AL267">
            <v>5.5794999999999995</v>
          </cell>
          <cell r="AM267">
            <v>6.1850000000000005</v>
          </cell>
          <cell r="AN267">
            <v>5.8864999999999998</v>
          </cell>
          <cell r="AO267">
            <v>6.32</v>
          </cell>
          <cell r="AP267">
            <v>6.6715</v>
          </cell>
          <cell r="AQ267">
            <v>6.8435000000000006</v>
          </cell>
          <cell r="AR267">
            <v>7.1835000000000004</v>
          </cell>
          <cell r="AS267">
            <v>7.6754999999999995</v>
          </cell>
          <cell r="AT267">
            <v>7.6870000000000003</v>
          </cell>
          <cell r="AU267">
            <v>8.8245000000000005</v>
          </cell>
          <cell r="AV267">
            <v>8.9314999999999998</v>
          </cell>
          <cell r="AW267">
            <v>8.2860000000000014</v>
          </cell>
          <cell r="AX267">
            <v>12.685249833913039</v>
          </cell>
          <cell r="AY267">
            <v>17.137330481018715</v>
          </cell>
          <cell r="AZ267">
            <v>12.845080647105679</v>
          </cell>
          <cell r="BA267">
            <v>17.582754529410536</v>
          </cell>
          <cell r="BB267">
            <v>18.035660401479205</v>
          </cell>
          <cell r="BC267">
            <v>17.750067166280026</v>
          </cell>
          <cell r="BD267">
            <v>18.647654068867119</v>
          </cell>
          <cell r="BE267">
            <v>19.270907794044874</v>
          </cell>
          <cell r="BF267">
            <v>18.826226763526449</v>
          </cell>
          <cell r="BG267">
            <v>19.913652727896999</v>
          </cell>
          <cell r="BH267">
            <v>20.582387949127359</v>
          </cell>
          <cell r="BI267">
            <v>20.11821570993456</v>
          </cell>
          <cell r="BJ267">
            <v>21.110138438389729</v>
          </cell>
          <cell r="BK267">
            <v>21.662650424635729</v>
          </cell>
          <cell r="BL267">
            <v>21.33946291741092</v>
          </cell>
          <cell r="BM267">
            <v>22.383789744848709</v>
          </cell>
          <cell r="BN267">
            <v>23.13488465142882</v>
          </cell>
          <cell r="BO267">
            <v>22.64306981023703</v>
          </cell>
          <cell r="BP267">
            <v>23.868801011565211</v>
          </cell>
          <cell r="BQ267">
            <v>24.633862757672443</v>
          </cell>
          <cell r="BR267">
            <v>24.159226462924373</v>
          </cell>
        </row>
        <row r="268">
          <cell r="H268" t="e">
            <v>#DIV/0!</v>
          </cell>
          <cell r="I268" t="e">
            <v>#DIV/0!</v>
          </cell>
          <cell r="J268" t="e">
            <v>#DIV/0!</v>
          </cell>
          <cell r="K268" t="e">
            <v>#DIV/0!</v>
          </cell>
          <cell r="L268" t="e">
            <v>#DIV/0!</v>
          </cell>
          <cell r="M268" t="e">
            <v>#DIV/0!</v>
          </cell>
          <cell r="N268" t="e">
            <v>#DIV/0!</v>
          </cell>
          <cell r="O268" t="e">
            <v>#DIV/0!</v>
          </cell>
          <cell r="P268" t="e">
            <v>#DIV/0!</v>
          </cell>
          <cell r="Q268" t="e">
            <v>#DIV/0!</v>
          </cell>
          <cell r="R268" t="e">
            <v>#REF!</v>
          </cell>
          <cell r="S268" t="e">
            <v>#REF!</v>
          </cell>
          <cell r="T268" t="e">
            <v>#DIV/0!</v>
          </cell>
          <cell r="U268" t="e">
            <v>#DIV/0!</v>
          </cell>
          <cell r="V268" t="e">
            <v>#DIV/0!</v>
          </cell>
          <cell r="W268" t="e">
            <v>#DIV/0!</v>
          </cell>
          <cell r="X268" t="e">
            <v>#DIV/0!</v>
          </cell>
          <cell r="Y268" t="e">
            <v>#DIV/0!</v>
          </cell>
          <cell r="Z268" t="e">
            <v>#DIV/0!</v>
          </cell>
          <cell r="AA268" t="e">
            <v>#REF!</v>
          </cell>
          <cell r="AB268" t="e">
            <v>#DIV/0!</v>
          </cell>
          <cell r="AC268">
            <v>127.76453274466519</v>
          </cell>
          <cell r="AD268">
            <v>53.447078953801018</v>
          </cell>
          <cell r="AE268">
            <v>233.42265529841654</v>
          </cell>
          <cell r="AF268">
            <v>44.355731225296438</v>
          </cell>
          <cell r="AG268">
            <v>36.342422320862404</v>
          </cell>
          <cell r="AH268">
            <v>76.606028102542098</v>
          </cell>
          <cell r="AI268">
            <v>38.743592261612484</v>
          </cell>
          <cell r="AJ268">
            <v>42.735129845793494</v>
          </cell>
          <cell r="AK268">
            <v>79.279373311743996</v>
          </cell>
          <cell r="AL268">
            <v>64.156873373886569</v>
          </cell>
          <cell r="AM268">
            <v>52.717880118092133</v>
          </cell>
          <cell r="AN268">
            <v>116.2020493536057</v>
          </cell>
          <cell r="AO268">
            <v>56.093196202531644</v>
          </cell>
          <cell r="AP268">
            <v>56.635370658173869</v>
          </cell>
          <cell r="AQ268">
            <v>102.42653612917366</v>
          </cell>
          <cell r="AR268">
            <v>56.702164682953985</v>
          </cell>
          <cell r="AS268">
            <v>60.951729529020909</v>
          </cell>
          <cell r="AT268">
            <v>113.84870560686873</v>
          </cell>
          <cell r="AU268">
            <v>63.272026743724858</v>
          </cell>
          <cell r="AV268">
            <v>64.284386721155457</v>
          </cell>
          <cell r="AW268">
            <v>136.67632150615495</v>
          </cell>
          <cell r="AX268">
            <v>44.612180524917051</v>
          </cell>
          <cell r="AY268">
            <v>34.26598041841855</v>
          </cell>
          <cell r="AZ268">
            <v>89.773207188122228</v>
          </cell>
          <cell r="BA268">
            <v>33.874760132570955</v>
          </cell>
          <cell r="BB268">
            <v>34.261010131105408</v>
          </cell>
          <cell r="BC268">
            <v>68.367715148440155</v>
          </cell>
          <cell r="BD268">
            <v>34.128216215788129</v>
          </cell>
          <cell r="BE268">
            <v>34.259977249477807</v>
          </cell>
          <cell r="BF268">
            <v>68.873707348110173</v>
          </cell>
          <cell r="BG268">
            <v>34.110308215064499</v>
          </cell>
          <cell r="BH268">
            <v>34.327207234375194</v>
          </cell>
          <cell r="BI268">
            <v>68.882685657854282</v>
          </cell>
          <cell r="BJ268">
            <v>33.843652909821884</v>
          </cell>
          <cell r="BK268">
            <v>34.391950236278845</v>
          </cell>
          <cell r="BL268">
            <v>68.392770672140344</v>
          </cell>
          <cell r="BM268">
            <v>34.065730672059196</v>
          </cell>
          <cell r="BN268">
            <v>34.454065376284355</v>
          </cell>
          <cell r="BO268">
            <v>68.878071489053823</v>
          </cell>
          <cell r="BP268">
            <v>33.996173909919889</v>
          </cell>
          <cell r="BQ268">
            <v>34.512301707948914</v>
          </cell>
          <cell r="BR268">
            <v>68.777831793804395</v>
          </cell>
        </row>
        <row r="269">
          <cell r="H269" t="e">
            <v>#DIV/0!</v>
          </cell>
          <cell r="I269" t="e">
            <v>#DIV/0!</v>
          </cell>
          <cell r="J269" t="e">
            <v>#DIV/0!</v>
          </cell>
          <cell r="K269" t="e">
            <v>#DIV/0!</v>
          </cell>
          <cell r="L269" t="e">
            <v>#DIV/0!</v>
          </cell>
          <cell r="M269" t="e">
            <v>#DIV/0!</v>
          </cell>
          <cell r="N269" t="e">
            <v>#DIV/0!</v>
          </cell>
          <cell r="O269" t="e">
            <v>#DIV/0!</v>
          </cell>
          <cell r="P269" t="e">
            <v>#DIV/0!</v>
          </cell>
          <cell r="Q269" t="e">
            <v>#DIV/0!</v>
          </cell>
          <cell r="R269" t="e">
            <v>#REF!</v>
          </cell>
          <cell r="S269" t="e">
            <v>#REF!</v>
          </cell>
          <cell r="T269" t="e">
            <v>#DIV/0!</v>
          </cell>
          <cell r="U269">
            <v>0</v>
          </cell>
          <cell r="V269">
            <v>0</v>
          </cell>
          <cell r="W269" t="e">
            <v>#DIV/0!</v>
          </cell>
          <cell r="X269">
            <v>0</v>
          </cell>
          <cell r="Y269">
            <v>0</v>
          </cell>
          <cell r="Z269" t="e">
            <v>#DIV/0!</v>
          </cell>
          <cell r="AA269" t="e">
            <v>#REF!</v>
          </cell>
          <cell r="AB269">
            <v>0</v>
          </cell>
          <cell r="AC269">
            <v>1.4284089338370807</v>
          </cell>
          <cell r="AD269">
            <v>3.4145925946252498</v>
          </cell>
          <cell r="AE269">
            <v>1.5636871216864954</v>
          </cell>
          <cell r="AF269">
            <v>4.1144626626269831</v>
          </cell>
          <cell r="AG269">
            <v>5.0216795784477934</v>
          </cell>
          <cell r="AH269">
            <v>4.7646380975583806</v>
          </cell>
          <cell r="AI269">
            <v>4.7104563450824539</v>
          </cell>
          <cell r="AJ269">
            <v>4.2704912950665541</v>
          </cell>
          <cell r="AK269">
            <v>4.6039718119962858</v>
          </cell>
          <cell r="AL269">
            <v>2.8445899932879519</v>
          </cell>
          <cell r="AM269">
            <v>3.4618235708868772</v>
          </cell>
          <cell r="AN269">
            <v>3.1410805750017028</v>
          </cell>
          <cell r="AO269">
            <v>3.253514015158995</v>
          </cell>
          <cell r="AP269">
            <v>3.2223678926988852</v>
          </cell>
          <cell r="AQ269">
            <v>3.5635296652000981</v>
          </cell>
          <cell r="AR269">
            <v>3.2185720072670141</v>
          </cell>
          <cell r="AS269">
            <v>2.9941726249639298</v>
          </cell>
          <cell r="AT269">
            <v>3.206009221223669</v>
          </cell>
          <cell r="AU269">
            <v>2.8843710150015043</v>
          </cell>
          <cell r="AV269">
            <v>2.8389475160061033</v>
          </cell>
          <cell r="AW269">
            <v>2.6705430463576163</v>
          </cell>
          <cell r="AX269">
            <v>4.0908110263310045</v>
          </cell>
          <cell r="AY269">
            <v>5.3259821482272001</v>
          </cell>
          <cell r="AZ269">
            <v>4.0658010494727277</v>
          </cell>
          <cell r="BA269">
            <v>5.3874920231397958</v>
          </cell>
          <cell r="BB269">
            <v>5.3267547950756162</v>
          </cell>
          <cell r="BC269">
            <v>5.3387772168122201</v>
          </cell>
          <cell r="BD269">
            <v>5.3474813581253997</v>
          </cell>
          <cell r="BE269">
            <v>5.3269153879190538</v>
          </cell>
          <cell r="BF269">
            <v>5.2995549978915895</v>
          </cell>
          <cell r="BG269">
            <v>5.3502887997769708</v>
          </cell>
          <cell r="BH269">
            <v>5.3164826009278405</v>
          </cell>
          <cell r="BI269">
            <v>5.2988642430840125</v>
          </cell>
          <cell r="BJ269">
            <v>5.3924439092399528</v>
          </cell>
          <cell r="BK269">
            <v>5.3064742983806488</v>
          </cell>
          <cell r="BL269">
            <v>5.3368213688801758</v>
          </cell>
          <cell r="BM269">
            <v>5.3572900507220593</v>
          </cell>
          <cell r="BN269">
            <v>5.2969075784484811</v>
          </cell>
          <cell r="BO269">
            <v>5.2992192160607479</v>
          </cell>
          <cell r="BP269">
            <v>5.3682511591914031</v>
          </cell>
          <cell r="BQ269">
            <v>5.2879695345838487</v>
          </cell>
          <cell r="BR269">
            <v>5.3069425202915417</v>
          </cell>
        </row>
        <row r="270">
          <cell r="H270" t="e">
            <v>#DIV/0!</v>
          </cell>
          <cell r="I270" t="e">
            <v>#DIV/0!</v>
          </cell>
          <cell r="J270" t="e">
            <v>#DIV/0!</v>
          </cell>
          <cell r="K270" t="e">
            <v>#DIV/0!</v>
          </cell>
          <cell r="L270" t="e">
            <v>#DIV/0!</v>
          </cell>
          <cell r="M270" t="e">
            <v>#DIV/0!</v>
          </cell>
          <cell r="N270" t="e">
            <v>#DIV/0!</v>
          </cell>
          <cell r="O270" t="e">
            <v>#DIV/0!</v>
          </cell>
          <cell r="P270" t="e">
            <v>#DIV/0!</v>
          </cell>
          <cell r="Q270" t="e">
            <v>#DIV/0!</v>
          </cell>
          <cell r="R270" t="e">
            <v>#REF!</v>
          </cell>
          <cell r="S270" t="e">
            <v>#REF!</v>
          </cell>
          <cell r="T270" t="e">
            <v>#DIV/0!</v>
          </cell>
          <cell r="U270" t="e">
            <v>#REF!</v>
          </cell>
          <cell r="V270">
            <v>0</v>
          </cell>
          <cell r="W270" t="e">
            <v>#DIV/0!</v>
          </cell>
          <cell r="X270">
            <v>0</v>
          </cell>
          <cell r="Y270">
            <v>0</v>
          </cell>
          <cell r="Z270" t="e">
            <v>#DIV/0!</v>
          </cell>
          <cell r="AA270">
            <v>112.4864934782603</v>
          </cell>
          <cell r="AB270">
            <v>224.9729869565206</v>
          </cell>
          <cell r="AC270" t="e">
            <v>#DIV/0!</v>
          </cell>
          <cell r="AD270">
            <v>-213.60421997626833</v>
          </cell>
          <cell r="AE270">
            <v>627.24273103953146</v>
          </cell>
          <cell r="AF270">
            <v>-332.71600642359033</v>
          </cell>
          <cell r="AG270">
            <v>-384.36931544117624</v>
          </cell>
          <cell r="AH270">
            <v>-688.68705670445308</v>
          </cell>
          <cell r="AI270">
            <v>1170.7338110113642</v>
          </cell>
          <cell r="AJ270">
            <v>292.05812953125474</v>
          </cell>
          <cell r="AK270">
            <v>36.968591259980471</v>
          </cell>
          <cell r="AL270">
            <v>174.35008864258768</v>
          </cell>
          <cell r="AM270">
            <v>402.89260708119133</v>
          </cell>
          <cell r="AN270">
            <v>39.583538288320952</v>
          </cell>
          <cell r="AO270">
            <v>-21911.889634701496</v>
          </cell>
          <cell r="AP270">
            <v>4036.8757713030323</v>
          </cell>
          <cell r="AQ270">
            <v>66.052484036087861</v>
          </cell>
          <cell r="AR270">
            <v>1708.8385525920273</v>
          </cell>
          <cell r="AS270">
            <v>745.47805918387724</v>
          </cell>
          <cell r="AT270">
            <v>63.781941484651291</v>
          </cell>
          <cell r="AU270">
            <v>857.81809382614665</v>
          </cell>
          <cell r="AV270">
            <v>1491.3795550114751</v>
          </cell>
          <cell r="AW270">
            <v>54.146984547461372</v>
          </cell>
          <cell r="AX270">
            <v>27302.907923230559</v>
          </cell>
          <cell r="AY270">
            <v>17392.496824023117</v>
          </cell>
          <cell r="AZ270">
            <v>61.249180891282592</v>
          </cell>
          <cell r="BA270">
            <v>7752.7059278937131</v>
          </cell>
          <cell r="BB270">
            <v>7972.9501466693018</v>
          </cell>
          <cell r="BC270">
            <v>64.065326601746648</v>
          </cell>
          <cell r="BD270">
            <v>6300.8859533956447</v>
          </cell>
          <cell r="BE270">
            <v>6504.2606262408908</v>
          </cell>
          <cell r="BF270">
            <v>63.594659974699077</v>
          </cell>
          <cell r="BG270">
            <v>6845.4026295221238</v>
          </cell>
          <cell r="BH270">
            <v>6778.9275532254878</v>
          </cell>
          <cell r="BI270">
            <v>63.586370917008153</v>
          </cell>
          <cell r="BJ270">
            <v>9428.9922544967339</v>
          </cell>
          <cell r="BK270">
            <v>9188.3735318730178</v>
          </cell>
          <cell r="BL270">
            <v>64.04185642656212</v>
          </cell>
          <cell r="BM270">
            <v>7698.412189063295</v>
          </cell>
          <cell r="BN270">
            <v>7647.4534916806042</v>
          </cell>
          <cell r="BO270">
            <v>63.590630592728985</v>
          </cell>
          <cell r="BP270">
            <v>8608.0765754892236</v>
          </cell>
          <cell r="BQ270">
            <v>8545.9661474184668</v>
          </cell>
          <cell r="BR270">
            <v>63.683310243498482</v>
          </cell>
        </row>
        <row r="271">
          <cell r="H271" t="e">
            <v>#DIV/0!</v>
          </cell>
          <cell r="I271" t="e">
            <v>#DIV/0!</v>
          </cell>
          <cell r="J271" t="e">
            <v>#DIV/0!</v>
          </cell>
          <cell r="K271" t="e">
            <v>#DIV/0!</v>
          </cell>
          <cell r="L271" t="e">
            <v>#DIV/0!</v>
          </cell>
          <cell r="M271" t="e">
            <v>#DIV/0!</v>
          </cell>
          <cell r="N271" t="e">
            <v>#DIV/0!</v>
          </cell>
          <cell r="O271" t="e">
            <v>#DIV/0!</v>
          </cell>
          <cell r="P271" t="e">
            <v>#DIV/0!</v>
          </cell>
          <cell r="Q271" t="e">
            <v>#DIV/0!</v>
          </cell>
          <cell r="R271" t="e">
            <v>#DIV/0!</v>
          </cell>
          <cell r="S271" t="e">
            <v>#REF!</v>
          </cell>
          <cell r="T271" t="e">
            <v>#DIV/0!</v>
          </cell>
          <cell r="U271" t="e">
            <v>#DIV/0!</v>
          </cell>
          <cell r="V271">
            <v>0</v>
          </cell>
          <cell r="W271" t="e">
            <v>#DIV/0!</v>
          </cell>
          <cell r="X271" t="e">
            <v>#DIV/0!</v>
          </cell>
          <cell r="Y271">
            <v>0</v>
          </cell>
          <cell r="Z271" t="e">
            <v>#DIV/0!</v>
          </cell>
          <cell r="AA271">
            <v>8.3191579605321895</v>
          </cell>
          <cell r="AB271">
            <v>16.638315921064379</v>
          </cell>
          <cell r="AC271">
            <v>44.717433021713809</v>
          </cell>
          <cell r="AD271">
            <v>817.90603618230273</v>
          </cell>
          <cell r="AE271">
            <v>112.31772177019251</v>
          </cell>
          <cell r="AF271">
            <v>6361.3444700460823</v>
          </cell>
          <cell r="AG271">
            <v>576.6963843486875</v>
          </cell>
          <cell r="AH271">
            <v>1270.8907871808469</v>
          </cell>
          <cell r="AI271">
            <v>13271.399999999998</v>
          </cell>
          <cell r="AJ271">
            <v>242.71668025647679</v>
          </cell>
          <cell r="AK271">
            <v>37.103215447644324</v>
          </cell>
          <cell r="AL271">
            <v>6247.4082733812957</v>
          </cell>
          <cell r="AM271">
            <v>8647.549901832459</v>
          </cell>
          <cell r="AN271">
            <v>33.623942874763401</v>
          </cell>
          <cell r="AO271">
            <v>10778.478414720452</v>
          </cell>
          <cell r="AP271">
            <v>2178.1291926209874</v>
          </cell>
          <cell r="AQ271">
            <v>54.161381028195777</v>
          </cell>
          <cell r="AR271">
            <v>8745.9543642681929</v>
          </cell>
          <cell r="AS271">
            <v>24680.772662889522</v>
          </cell>
          <cell r="AT271">
            <v>51.903399969148325</v>
          </cell>
          <cell r="AU271" t="e">
            <v>#DIV/0!</v>
          </cell>
          <cell r="AV271">
            <v>9126.5472497932169</v>
          </cell>
          <cell r="AW271">
            <v>38.51805518763797</v>
          </cell>
          <cell r="AX271">
            <v>28641.119621924299</v>
          </cell>
          <cell r="AY271">
            <v>31905.7670266352</v>
          </cell>
          <cell r="AZ271">
            <v>39.359728354447853</v>
          </cell>
          <cell r="BA271">
            <v>32735.044137897708</v>
          </cell>
          <cell r="BB271">
            <v>33578.250683702681</v>
          </cell>
          <cell r="BC271">
            <v>42.71021773449776</v>
          </cell>
          <cell r="BD271">
            <v>34717.642107301697</v>
          </cell>
          <cell r="BE271">
            <v>35877.997168203925</v>
          </cell>
          <cell r="BF271">
            <v>42.396439983132716</v>
          </cell>
          <cell r="BG271">
            <v>37074.640375834759</v>
          </cell>
          <cell r="BH271">
            <v>38319.671519670934</v>
          </cell>
          <cell r="BI271">
            <v>42.3909139446721</v>
          </cell>
          <cell r="BJ271">
            <v>39302.221525183631</v>
          </cell>
          <cell r="BK271">
            <v>40330.871741861978</v>
          </cell>
          <cell r="BL271">
            <v>42.694570951041406</v>
          </cell>
          <cell r="BM271">
            <v>41673.467262788981</v>
          </cell>
          <cell r="BN271">
            <v>43071.833194447943</v>
          </cell>
          <cell r="BO271">
            <v>42.393753728485983</v>
          </cell>
          <cell r="BP271">
            <v>44438.216624439185</v>
          </cell>
          <cell r="BQ271">
            <v>45862.585598319012</v>
          </cell>
          <cell r="BR271">
            <v>42.455540162332333</v>
          </cell>
        </row>
        <row r="272">
          <cell r="H272" t="e">
            <v>#DIV/0!</v>
          </cell>
          <cell r="I272" t="e">
            <v>#DIV/0!</v>
          </cell>
          <cell r="J272" t="e">
            <v>#DIV/0!</v>
          </cell>
          <cell r="K272" t="e">
            <v>#DIV/0!</v>
          </cell>
          <cell r="L272" t="e">
            <v>#DIV/0!</v>
          </cell>
          <cell r="M272" t="e">
            <v>#DIV/0!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>
            <v>2.4573660982146435</v>
          </cell>
          <cell r="AC272" t="e">
            <v>#REF!</v>
          </cell>
          <cell r="AD272" t="e">
            <v>#REF!</v>
          </cell>
          <cell r="AE272">
            <v>4.3074308828116301</v>
          </cell>
          <cell r="AF272">
            <v>2.1514210358608556</v>
          </cell>
          <cell r="AG272">
            <v>1.8693079413688065</v>
          </cell>
          <cell r="AH272">
            <v>1.9862100541446306</v>
          </cell>
          <cell r="AI272">
            <v>13.061824615090369</v>
          </cell>
          <cell r="AJ272">
            <v>12.229855716977932</v>
          </cell>
          <cell r="AK272">
            <v>12.652235040732283</v>
          </cell>
          <cell r="AL272">
            <v>13.871546631056225</v>
          </cell>
          <cell r="AM272">
            <v>18.246082796502456</v>
          </cell>
          <cell r="AN272">
            <v>16.115899404980734</v>
          </cell>
          <cell r="AO272">
            <v>12.532602252519265</v>
          </cell>
          <cell r="AP272">
            <v>9.2842599698889536</v>
          </cell>
          <cell r="AQ272">
            <v>10.493891585224022</v>
          </cell>
          <cell r="AR272">
            <v>9.1806476629050913</v>
          </cell>
          <cell r="AS272">
            <v>6.9485463379053467</v>
          </cell>
          <cell r="AT272">
            <v>7.6207533441540267</v>
          </cell>
          <cell r="AU272">
            <v>7.0777237346641542</v>
          </cell>
          <cell r="AV272">
            <v>5.8851898654612294</v>
          </cell>
          <cell r="AW272">
            <v>6.2419038858806815</v>
          </cell>
          <cell r="AX272">
            <v>6.4468243090309825</v>
          </cell>
          <cell r="AY272">
            <v>6.0617856851802649</v>
          </cell>
          <cell r="AZ272">
            <v>6.0154401640124098</v>
          </cell>
          <cell r="BA272">
            <v>6.4647128335919861</v>
          </cell>
          <cell r="BB272">
            <v>6.3511939582815398</v>
          </cell>
          <cell r="BC272">
            <v>6.2983364739200969</v>
          </cell>
          <cell r="BD272">
            <v>7.0536677094398588</v>
          </cell>
          <cell r="BE272">
            <v>6.9425407272689545</v>
          </cell>
          <cell r="BF272">
            <v>6.7759065754494543</v>
          </cell>
          <cell r="BG272">
            <v>7.0201118555026767</v>
          </cell>
          <cell r="BH272">
            <v>6.9212830954111153</v>
          </cell>
          <cell r="BI272">
            <v>6.8680210923814631</v>
          </cell>
          <cell r="BJ272">
            <v>7.0367621315491151</v>
          </cell>
          <cell r="BK272">
            <v>7.0683835211711452</v>
          </cell>
          <cell r="BL272">
            <v>7.0160926997756681</v>
          </cell>
          <cell r="BM272">
            <v>7.1475734804517232</v>
          </cell>
          <cell r="BN272">
            <v>7.3083438029228427</v>
          </cell>
          <cell r="BO272">
            <v>7.2606410803190897</v>
          </cell>
          <cell r="BP272">
            <v>7.5845533526273572</v>
          </cell>
          <cell r="BQ272">
            <v>7.7685165559439993</v>
          </cell>
          <cell r="BR272">
            <v>7.717788421052985</v>
          </cell>
        </row>
        <row r="273">
          <cell r="H273" t="e">
            <v>#DIV/0!</v>
          </cell>
          <cell r="I273" t="e">
            <v>#DIV/0!</v>
          </cell>
          <cell r="J273" t="e">
            <v>#DIV/0!</v>
          </cell>
          <cell r="K273" t="e">
            <v>#DIV/0!</v>
          </cell>
          <cell r="L273" t="e">
            <v>#DIV/0!</v>
          </cell>
          <cell r="M273" t="e">
            <v>#DIV/0!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>
            <v>10.526500526500527</v>
          </cell>
          <cell r="AC273" t="e">
            <v>#REF!</v>
          </cell>
          <cell r="AD273" t="e">
            <v>#REF!</v>
          </cell>
          <cell r="AE273">
            <v>0.11361795961080869</v>
          </cell>
          <cell r="AF273">
            <v>0.18688595788924162</v>
          </cell>
          <cell r="AG273">
            <v>-3.9777552270722016</v>
          </cell>
          <cell r="AH273">
            <v>-1.888109076028206</v>
          </cell>
          <cell r="AI273">
            <v>17.531960049042453</v>
          </cell>
          <cell r="AJ273">
            <v>16.080933396592048</v>
          </cell>
          <cell r="AK273">
            <v>16.697941967204599</v>
          </cell>
          <cell r="AL273">
            <v>14.791911520959527</v>
          </cell>
          <cell r="AM273">
            <v>19.881777992628646</v>
          </cell>
          <cell r="AN273">
            <v>16.960982160862596</v>
          </cell>
          <cell r="AO273">
            <v>10.537357625895535</v>
          </cell>
          <cell r="AP273">
            <v>9.9941813205133556</v>
          </cell>
          <cell r="AQ273">
            <v>10.141645981660627</v>
          </cell>
          <cell r="AR273">
            <v>8.9066861752305435</v>
          </cell>
          <cell r="AS273">
            <v>11.608024217430406</v>
          </cell>
          <cell r="AT273">
            <v>10.032556796162648</v>
          </cell>
          <cell r="AU273">
            <v>12.156074356967713</v>
          </cell>
          <cell r="AV273">
            <v>10.950216971312049</v>
          </cell>
          <cell r="AW273">
            <v>11.397192146298501</v>
          </cell>
          <cell r="AX273">
            <v>12.221598752176856</v>
          </cell>
          <cell r="AY273">
            <v>14.008006978167142</v>
          </cell>
          <cell r="AZ273">
            <v>12.886099554468034</v>
          </cell>
          <cell r="BA273">
            <v>12.605255260618978</v>
          </cell>
          <cell r="BB273">
            <v>12.521266834402379</v>
          </cell>
          <cell r="BC273">
            <v>12.338448114948559</v>
          </cell>
          <cell r="BD273">
            <v>12.965552576241196</v>
          </cell>
          <cell r="BE273">
            <v>14.026665720180368</v>
          </cell>
          <cell r="BF273">
            <v>13.094106982763032</v>
          </cell>
          <cell r="BG273">
            <v>12.964112880238519</v>
          </cell>
          <cell r="BH273">
            <v>13.961652253798215</v>
          </cell>
          <cell r="BI273">
            <v>13.159529523006455</v>
          </cell>
          <cell r="BJ273">
            <v>5.4732939599891433</v>
          </cell>
          <cell r="BK273">
            <v>5.5117006016886831</v>
          </cell>
          <cell r="BL273">
            <v>5.4121163108241772</v>
          </cell>
          <cell r="BM273">
            <v>5.5841798711819628</v>
          </cell>
          <cell r="BN273">
            <v>5.7201681170536887</v>
          </cell>
          <cell r="BO273">
            <v>5.6219794682710855</v>
          </cell>
          <cell r="BP273" t="e">
            <v>#VALUE!</v>
          </cell>
          <cell r="BQ273" t="e">
            <v>#VALUE!</v>
          </cell>
          <cell r="BR273" t="e">
            <v>#VALUE!</v>
          </cell>
        </row>
        <row r="274">
          <cell r="H274" t="e">
            <v>#DIV/0!</v>
          </cell>
          <cell r="I274" t="e">
            <v>#DIV/0!</v>
          </cell>
          <cell r="J274" t="e">
            <v>#DIV/0!</v>
          </cell>
          <cell r="K274" t="e">
            <v>#DIV/0!</v>
          </cell>
          <cell r="L274" t="e">
            <v>#DIV/0!</v>
          </cell>
          <cell r="M274" t="e">
            <v>#DIV/0!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>
            <v>2.5351628322844668</v>
          </cell>
          <cell r="AC274" t="e">
            <v>#REF!</v>
          </cell>
          <cell r="AD274" t="e">
            <v>#REF!</v>
          </cell>
          <cell r="AE274">
            <v>5.0583483465068069</v>
          </cell>
          <cell r="AF274">
            <v>2.5795434014851706</v>
          </cell>
          <cell r="AG274">
            <v>2.2553692935160972</v>
          </cell>
          <cell r="AH274">
            <v>2.3964147733254246</v>
          </cell>
          <cell r="AI274">
            <v>15.360969426605346</v>
          </cell>
          <cell r="AJ274">
            <v>14.548223639262122</v>
          </cell>
          <cell r="AK274">
            <v>15.050671828740603</v>
          </cell>
          <cell r="AL274">
            <v>16.760041425951108</v>
          </cell>
          <cell r="AM274">
            <v>22.739073799577778</v>
          </cell>
          <cell r="AN274">
            <v>20.084345226509352</v>
          </cell>
          <cell r="AO274">
            <v>16.196508184516091</v>
          </cell>
          <cell r="AP274">
            <v>12.607054099805978</v>
          </cell>
          <cell r="AQ274">
            <v>14.249607331277728</v>
          </cell>
          <cell r="AR274">
            <v>12.626775489109971</v>
          </cell>
          <cell r="AS274">
            <v>8.5477807672267545</v>
          </cell>
          <cell r="AT274">
            <v>9.3746987785902132</v>
          </cell>
          <cell r="AU274">
            <v>8.8426039861121684</v>
          </cell>
          <cell r="AV274">
            <v>6.6657595133294905</v>
          </cell>
          <cell r="AW274">
            <v>7.0697855395930667</v>
          </cell>
          <cell r="AX274">
            <v>7.3854333261679725</v>
          </cell>
          <cell r="AY274">
            <v>6.8548289670534528</v>
          </cell>
          <cell r="AZ274">
            <v>6.8024202153268307</v>
          </cell>
          <cell r="BA274">
            <v>7.3721140065244173</v>
          </cell>
          <cell r="BB274">
            <v>7.2168341331087209</v>
          </cell>
          <cell r="BC274">
            <v>7.156772403009529</v>
          </cell>
          <cell r="BD274">
            <v>7.980833118624199</v>
          </cell>
          <cell r="BE274">
            <v>7.8322914533560244</v>
          </cell>
          <cell r="BF274">
            <v>7.6443015956938574</v>
          </cell>
          <cell r="BG274">
            <v>7.8914318916526653</v>
          </cell>
          <cell r="BH274">
            <v>7.7613965696269656</v>
          </cell>
          <cell r="BI274">
            <v>7.7016695620898981</v>
          </cell>
          <cell r="BJ274">
            <v>7.8884698153485537</v>
          </cell>
          <cell r="BK274">
            <v>7.9242827654643913</v>
          </cell>
          <cell r="BL274">
            <v>7.8656601322222865</v>
          </cell>
          <cell r="BM274">
            <v>8.0242111601780817</v>
          </cell>
          <cell r="BN274">
            <v>8.2260008690626503</v>
          </cell>
          <cell r="BO274">
            <v>8.1723084528084797</v>
          </cell>
          <cell r="BP274" t="e">
            <v>#VALUE!</v>
          </cell>
          <cell r="BQ274" t="e">
            <v>#VALUE!</v>
          </cell>
          <cell r="BR274" t="e">
            <v>#VALUE!</v>
          </cell>
        </row>
        <row r="276">
          <cell r="E276" t="str">
            <v>1H89(a)</v>
          </cell>
          <cell r="F276" t="str">
            <v>2H89(a)</v>
          </cell>
          <cell r="G276" t="str">
            <v>FY89(a)</v>
          </cell>
          <cell r="H276" t="str">
            <v>1H90(a)</v>
          </cell>
          <cell r="I276" t="str">
            <v>2H90(a)</v>
          </cell>
          <cell r="J276" t="str">
            <v>FY90(a)</v>
          </cell>
          <cell r="K276" t="str">
            <v>1H91(a)</v>
          </cell>
          <cell r="L276" t="str">
            <v>2H91(a)</v>
          </cell>
          <cell r="M276" t="str">
            <v>FY91(a)</v>
          </cell>
          <cell r="N276" t="str">
            <v>1H92(a)</v>
          </cell>
          <cell r="O276" t="str">
            <v>2H92(a)</v>
          </cell>
          <cell r="P276" t="str">
            <v>FY92(a)</v>
          </cell>
          <cell r="Q276" t="str">
            <v>1H93(a)</v>
          </cell>
          <cell r="R276" t="str">
            <v>2H93(a)</v>
          </cell>
          <cell r="S276" t="str">
            <v>FY93(a)</v>
          </cell>
          <cell r="T276" t="str">
            <v>1H94(a)</v>
          </cell>
          <cell r="U276" t="str">
            <v>2H94(a)</v>
          </cell>
          <cell r="V276" t="str">
            <v>FY94(a)</v>
          </cell>
          <cell r="W276" t="str">
            <v>1H95(a)</v>
          </cell>
          <cell r="X276" t="str">
            <v>2H95(a)</v>
          </cell>
          <cell r="Y276" t="str">
            <v>FY95(a)</v>
          </cell>
          <cell r="Z276" t="str">
            <v>1H96(a)</v>
          </cell>
          <cell r="AA276" t="str">
            <v>2H96(a)</v>
          </cell>
          <cell r="AB276" t="str">
            <v>FY96(a)</v>
          </cell>
          <cell r="AC276" t="str">
            <v>1H97(a)</v>
          </cell>
          <cell r="AD276" t="str">
            <v>2H97(a)</v>
          </cell>
          <cell r="AE276" t="str">
            <v>FY97(a)</v>
          </cell>
          <cell r="AF276" t="str">
            <v>1H98(a)</v>
          </cell>
          <cell r="AG276" t="str">
            <v>2H98(a)</v>
          </cell>
          <cell r="AH276" t="str">
            <v>FY98(a)</v>
          </cell>
          <cell r="AI276" t="str">
            <v>1H99(a)</v>
          </cell>
          <cell r="AJ276" t="str">
            <v>2H99(a)</v>
          </cell>
          <cell r="AK276" t="str">
            <v>FY99(a)</v>
          </cell>
          <cell r="AL276" t="str">
            <v>1H00(a)</v>
          </cell>
          <cell r="AM276" t="str">
            <v>2H00(a)</v>
          </cell>
          <cell r="AN276" t="str">
            <v>FY00(a)</v>
          </cell>
          <cell r="AO276" t="str">
            <v>1H01(a)</v>
          </cell>
          <cell r="AP276" t="str">
            <v>2H01(a)</v>
          </cell>
          <cell r="AQ276" t="str">
            <v>FY01(a)</v>
          </cell>
          <cell r="AR276" t="str">
            <v>1H02(a)</v>
          </cell>
          <cell r="AS276" t="str">
            <v>2H02(a)</v>
          </cell>
          <cell r="AT276" t="str">
            <v>FY02(a)</v>
          </cell>
          <cell r="AU276" t="str">
            <v>1H03(e)</v>
          </cell>
          <cell r="AV276" t="str">
            <v>2H03(e)</v>
          </cell>
          <cell r="AW276" t="str">
            <v>FY03(e)</v>
          </cell>
          <cell r="AX276" t="str">
            <v>1H04(e)</v>
          </cell>
          <cell r="AY276" t="str">
            <v>2H04(e)</v>
          </cell>
          <cell r="AZ276" t="str">
            <v>FY04(e)</v>
          </cell>
          <cell r="BA276" t="str">
            <v>1H05(e)</v>
          </cell>
          <cell r="BB276" t="str">
            <v>2H05(e)</v>
          </cell>
          <cell r="BC276" t="str">
            <v>FY05(e)</v>
          </cell>
          <cell r="BD276" t="str">
            <v>1H06(e)</v>
          </cell>
          <cell r="BE276" t="str">
            <v>2H06(e)</v>
          </cell>
          <cell r="BF276" t="str">
            <v>FY06(e)</v>
          </cell>
          <cell r="BG276" t="str">
            <v>1H07(e)</v>
          </cell>
          <cell r="BH276" t="str">
            <v>2H07(e)</v>
          </cell>
          <cell r="BI276" t="str">
            <v>FY07(e)</v>
          </cell>
          <cell r="BJ276" t="str">
            <v>1H08(e)</v>
          </cell>
          <cell r="BK276" t="str">
            <v>2H08(e)</v>
          </cell>
          <cell r="BL276" t="str">
            <v>FY08(e)</v>
          </cell>
          <cell r="BM276" t="str">
            <v>1H09(e)</v>
          </cell>
          <cell r="BN276" t="str">
            <v>2H09(e)</v>
          </cell>
          <cell r="BO276" t="str">
            <v>FY09(e)</v>
          </cell>
          <cell r="BP276" t="str">
            <v>1H10(e)</v>
          </cell>
          <cell r="BQ276" t="str">
            <v>2H10(e)</v>
          </cell>
          <cell r="BR276" t="str">
            <v>FY10(e)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>
            <v>4.0970000000000004</v>
          </cell>
          <cell r="AC278" t="e">
            <v>#REF!</v>
          </cell>
          <cell r="AD278" t="e">
            <v>#REF!</v>
          </cell>
          <cell r="AE278">
            <v>-1.1509999999999994</v>
          </cell>
          <cell r="AF278">
            <v>-1.6169999999999998</v>
          </cell>
          <cell r="AG278">
            <v>-4.2090000000000005</v>
          </cell>
          <cell r="AH278">
            <v>-5.8260000000000005</v>
          </cell>
          <cell r="AI278">
            <v>23.617000000000001</v>
          </cell>
          <cell r="AJ278">
            <v>23.543999999999993</v>
          </cell>
          <cell r="AK278">
            <v>47.160999999999994</v>
          </cell>
          <cell r="AL278">
            <v>34.524999999999999</v>
          </cell>
          <cell r="AM278">
            <v>50.774000000000008</v>
          </cell>
          <cell r="AN278">
            <v>85.299000000000007</v>
          </cell>
          <cell r="AO278">
            <v>46.739999999999995</v>
          </cell>
          <cell r="AP278">
            <v>45.572000000000017</v>
          </cell>
          <cell r="AQ278">
            <v>92.312000000000012</v>
          </cell>
          <cell r="AR278">
            <v>57.706000000000003</v>
          </cell>
          <cell r="AS278">
            <v>41.254999999999995</v>
          </cell>
          <cell r="AT278">
            <v>98.960999999999999</v>
          </cell>
          <cell r="AU278">
            <v>53.147000000000006</v>
          </cell>
          <cell r="AV278">
            <v>48.99199999999999</v>
          </cell>
          <cell r="AW278">
            <v>102.139</v>
          </cell>
          <cell r="AX278">
            <v>54.708291591355604</v>
          </cell>
          <cell r="AY278">
            <v>60.762653174752316</v>
          </cell>
          <cell r="AZ278">
            <v>115.47094476610792</v>
          </cell>
          <cell r="BA278">
            <v>69.809021517365466</v>
          </cell>
          <cell r="BB278">
            <v>70.687001279012605</v>
          </cell>
          <cell r="BC278">
            <v>140.49602279637807</v>
          </cell>
          <cell r="BD278">
            <v>82.605174021060378</v>
          </cell>
          <cell r="BE278">
            <v>81.759409704417862</v>
          </cell>
          <cell r="BF278">
            <v>164.36458372547824</v>
          </cell>
          <cell r="BG278">
            <v>89.456286657091923</v>
          </cell>
          <cell r="BH278">
            <v>92.208344650671293</v>
          </cell>
          <cell r="BI278">
            <v>181.66463130776322</v>
          </cell>
          <cell r="BJ278">
            <v>96.456374788503979</v>
          </cell>
          <cell r="BK278">
            <v>99.992219744691255</v>
          </cell>
          <cell r="BL278">
            <v>196.44859453319523</v>
          </cell>
          <cell r="BM278">
            <v>102.4608512222708</v>
          </cell>
          <cell r="BN278">
            <v>106.0272745750477</v>
          </cell>
          <cell r="BO278">
            <v>208.4881257973185</v>
          </cell>
          <cell r="BP278" t="e">
            <v>#VALUE!</v>
          </cell>
          <cell r="BQ278" t="e">
            <v>#VALUE!</v>
          </cell>
          <cell r="BR278" t="e">
            <v>#VALUE!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0.57100000000000006</v>
          </cell>
          <cell r="AB279">
            <v>0.57100000000000006</v>
          </cell>
          <cell r="AC279">
            <v>16.058999999999997</v>
          </cell>
          <cell r="AD279">
            <v>8.6170000000000044</v>
          </cell>
          <cell r="AE279">
            <v>24.676000000000002</v>
          </cell>
          <cell r="AF279">
            <v>14.061999999999999</v>
          </cell>
          <cell r="AG279">
            <v>10.614000000000003</v>
          </cell>
          <cell r="AH279">
            <v>24.676000000000002</v>
          </cell>
          <cell r="AI279">
            <v>16.983000000000001</v>
          </cell>
          <cell r="AJ279">
            <v>15.186000000000003</v>
          </cell>
          <cell r="AK279">
            <v>32.169000000000004</v>
          </cell>
          <cell r="AL279">
            <v>21.712999999999997</v>
          </cell>
          <cell r="AM279">
            <v>21.48</v>
          </cell>
          <cell r="AN279">
            <v>43.192999999999998</v>
          </cell>
          <cell r="AO279">
            <v>23.779000000000003</v>
          </cell>
          <cell r="AP279">
            <v>26.361999999999995</v>
          </cell>
          <cell r="AQ279">
            <v>50.140999999999998</v>
          </cell>
          <cell r="AR279">
            <v>30.928000000000001</v>
          </cell>
          <cell r="AS279">
            <v>34.692000000000007</v>
          </cell>
          <cell r="AT279">
            <v>65.62</v>
          </cell>
          <cell r="AU279">
            <v>38.566000000000003</v>
          </cell>
          <cell r="AV279">
            <v>39.387999999999991</v>
          </cell>
          <cell r="AW279">
            <v>77.953999999999994</v>
          </cell>
          <cell r="AX279">
            <v>37.886107611369084</v>
          </cell>
          <cell r="AY279">
            <v>41.326713322182087</v>
          </cell>
          <cell r="AZ279">
            <v>79.212820933551171</v>
          </cell>
          <cell r="BA279">
            <v>38.792159537618268</v>
          </cell>
          <cell r="BB279">
            <v>43.17269646304154</v>
          </cell>
          <cell r="BC279">
            <v>81.964856000659807</v>
          </cell>
          <cell r="BD279">
            <v>38.389052974969431</v>
          </cell>
          <cell r="BE279">
            <v>45.198365419533872</v>
          </cell>
          <cell r="BF279">
            <v>83.587418394503302</v>
          </cell>
          <cell r="BG279">
            <v>39.181963193145428</v>
          </cell>
          <cell r="BH279">
            <v>44.523834524473322</v>
          </cell>
          <cell r="BI279">
            <v>83.705797717618751</v>
          </cell>
          <cell r="BJ279">
            <v>39.471812324853708</v>
          </cell>
          <cell r="BK279">
            <v>39.667810544537822</v>
          </cell>
          <cell r="BL279">
            <v>79.13962286939153</v>
          </cell>
          <cell r="BM279">
            <v>39.30315747389443</v>
          </cell>
          <cell r="BN279">
            <v>38.636189381959696</v>
          </cell>
          <cell r="BO279">
            <v>77.939346855854126</v>
          </cell>
          <cell r="BP279">
            <v>38.716609234285009</v>
          </cell>
          <cell r="BQ279">
            <v>37.685912626941722</v>
          </cell>
          <cell r="BR279">
            <v>76.402521861226731</v>
          </cell>
        </row>
        <row r="280">
          <cell r="B280" t="str">
            <v>Tax paid</v>
          </cell>
          <cell r="D280" t="str">
            <v>$m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-0.752</v>
          </cell>
          <cell r="Y280">
            <v>-0.752</v>
          </cell>
          <cell r="Z280">
            <v>0</v>
          </cell>
          <cell r="AA280">
            <v>-0.13200000000000001</v>
          </cell>
          <cell r="AB280">
            <v>-0.13200000000000001</v>
          </cell>
          <cell r="AC280">
            <v>-1.4359999999999999</v>
          </cell>
          <cell r="AD280">
            <v>-0.1160000000000001</v>
          </cell>
          <cell r="AE280">
            <v>-1.552</v>
          </cell>
          <cell r="AF280">
            <v>-0.42099999999999999</v>
          </cell>
          <cell r="AG280">
            <v>-5.8999999999999997E-2</v>
          </cell>
          <cell r="AH280">
            <v>-0.48</v>
          </cell>
          <cell r="AI280">
            <v>0</v>
          </cell>
          <cell r="AJ280">
            <v>-0.13400000000000001</v>
          </cell>
          <cell r="AK280">
            <v>-0.13400000000000001</v>
          </cell>
          <cell r="AL280">
            <v>-2.1179999999999999</v>
          </cell>
          <cell r="AM280">
            <v>-0.15100000000000025</v>
          </cell>
          <cell r="AN280">
            <v>-2.2690000000000001</v>
          </cell>
          <cell r="AO280">
            <v>-12.285</v>
          </cell>
          <cell r="AP280">
            <v>-8.3909999999999982</v>
          </cell>
          <cell r="AQ280">
            <v>-20.675999999999998</v>
          </cell>
          <cell r="AR280">
            <v>-12.512</v>
          </cell>
          <cell r="AS280">
            <v>-15.943999999999999</v>
          </cell>
          <cell r="AT280">
            <v>-28.456</v>
          </cell>
          <cell r="AU280">
            <v>-9.2141999999999999</v>
          </cell>
          <cell r="AV280">
            <v>-31.207799999999999</v>
          </cell>
          <cell r="AW280">
            <v>-40.421999999999997</v>
          </cell>
          <cell r="AX280">
            <v>-10.0764</v>
          </cell>
          <cell r="AY280">
            <v>-23.511600000000001</v>
          </cell>
          <cell r="AZ280">
            <v>-33.588000000000001</v>
          </cell>
          <cell r="BA280">
            <v>-7.5282566859664755</v>
          </cell>
          <cell r="BB280">
            <v>-30.113026743865902</v>
          </cell>
          <cell r="BC280">
            <v>-37.641283429832377</v>
          </cell>
          <cell r="BD280">
            <v>-9.0297613677826849</v>
          </cell>
          <cell r="BE280">
            <v>-36.11904547113074</v>
          </cell>
          <cell r="BF280">
            <v>-45.148806838913423</v>
          </cell>
          <cell r="BG280">
            <v>-10.461875023528695</v>
          </cell>
          <cell r="BH280">
            <v>-41.847500094114778</v>
          </cell>
          <cell r="BI280">
            <v>-52.309375117643469</v>
          </cell>
          <cell r="BJ280">
            <v>-11.499877878465794</v>
          </cell>
          <cell r="BK280">
            <v>-45.999511513863169</v>
          </cell>
          <cell r="BL280">
            <v>-57.499389392328965</v>
          </cell>
          <cell r="BM280">
            <v>-12.386915671991714</v>
          </cell>
          <cell r="BN280">
            <v>-49.547662687966849</v>
          </cell>
          <cell r="BO280">
            <v>-61.934578359958564</v>
          </cell>
          <cell r="BP280">
            <v>-13.109287547839111</v>
          </cell>
          <cell r="BQ280">
            <v>-52.437150191356444</v>
          </cell>
          <cell r="BR280">
            <v>-65.546437739195554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>
            <v>4.5360000000000005</v>
          </cell>
          <cell r="AC281" t="e">
            <v>#REF!</v>
          </cell>
          <cell r="AD281" t="e">
            <v>#REF!</v>
          </cell>
          <cell r="AE281">
            <v>21.973000000000003</v>
          </cell>
          <cell r="AF281">
            <v>12.024000000000001</v>
          </cell>
          <cell r="AG281">
            <v>6.3460000000000001</v>
          </cell>
          <cell r="AH281">
            <v>18.37</v>
          </cell>
          <cell r="AI281">
            <v>40.6</v>
          </cell>
          <cell r="AJ281">
            <v>38.595999999999997</v>
          </cell>
          <cell r="AK281">
            <v>79.195999999999998</v>
          </cell>
          <cell r="AL281">
            <v>54.12</v>
          </cell>
          <cell r="AM281">
            <v>72.103000000000009</v>
          </cell>
          <cell r="AN281">
            <v>126.22300000000001</v>
          </cell>
          <cell r="AO281">
            <v>58.234000000000009</v>
          </cell>
          <cell r="AP281">
            <v>63.542999999999992</v>
          </cell>
          <cell r="AQ281">
            <v>121.777</v>
          </cell>
          <cell r="AR281">
            <v>76.122</v>
          </cell>
          <cell r="AS281">
            <v>60.003000000000029</v>
          </cell>
          <cell r="AT281">
            <v>136.12500000000003</v>
          </cell>
          <cell r="AU281">
            <v>82.498800000000003</v>
          </cell>
          <cell r="AV281">
            <v>57.172199999999989</v>
          </cell>
          <cell r="AW281">
            <v>139.67099999999999</v>
          </cell>
          <cell r="AX281">
            <v>82.517999202724695</v>
          </cell>
          <cell r="AY281">
            <v>78.577766496934402</v>
          </cell>
          <cell r="AZ281">
            <v>161.0957656996591</v>
          </cell>
          <cell r="BA281">
            <v>101.07292436901724</v>
          </cell>
          <cell r="BB281">
            <v>83.74667099818825</v>
          </cell>
          <cell r="BC281">
            <v>184.81959536720549</v>
          </cell>
          <cell r="BD281">
            <v>111.96446562824713</v>
          </cell>
          <cell r="BE281">
            <v>90.838729652821002</v>
          </cell>
          <cell r="BF281">
            <v>202.80319528106813</v>
          </cell>
          <cell r="BG281">
            <v>118.17637482670865</v>
          </cell>
          <cell r="BH281">
            <v>94.88467908102983</v>
          </cell>
          <cell r="BI281">
            <v>213.06105390773848</v>
          </cell>
          <cell r="BJ281">
            <v>124.4283092348919</v>
          </cell>
          <cell r="BK281">
            <v>93.660518775365929</v>
          </cell>
          <cell r="BL281">
            <v>218.08882801025783</v>
          </cell>
          <cell r="BM281">
            <v>129.37709302417352</v>
          </cell>
          <cell r="BN281">
            <v>95.11580126904056</v>
          </cell>
          <cell r="BO281">
            <v>224.49289429321408</v>
          </cell>
          <cell r="BP281" t="e">
            <v>#VALUE!</v>
          </cell>
          <cell r="BQ281" t="e">
            <v>#VALUE!</v>
          </cell>
          <cell r="BR281" t="e">
            <v>#VALUE!</v>
          </cell>
        </row>
        <row r="282">
          <cell r="B282" t="str">
            <v>(Inc) / dec in working cap.</v>
          </cell>
          <cell r="D282" t="str">
            <v>$m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-0.375</v>
          </cell>
          <cell r="AB282">
            <v>-0.375</v>
          </cell>
          <cell r="AC282">
            <v>-25.652999999999995</v>
          </cell>
          <cell r="AD282">
            <v>11.672999999999991</v>
          </cell>
          <cell r="AE282">
            <v>-13.980000000000004</v>
          </cell>
          <cell r="AF282">
            <v>-9.3969999999999985</v>
          </cell>
          <cell r="AG282">
            <v>24.604999999999997</v>
          </cell>
          <cell r="AH282">
            <v>15.207999999999998</v>
          </cell>
          <cell r="AI282">
            <v>-15.738</v>
          </cell>
          <cell r="AJ282">
            <v>3.84</v>
          </cell>
          <cell r="AK282">
            <v>-11.898</v>
          </cell>
          <cell r="AL282">
            <v>-49.557000000000002</v>
          </cell>
          <cell r="AM282">
            <v>37.536999999999999</v>
          </cell>
          <cell r="AN282">
            <v>-12.020000000000003</v>
          </cell>
          <cell r="AO282">
            <v>-31.326999999999991</v>
          </cell>
          <cell r="AP282">
            <v>18.097999999999992</v>
          </cell>
          <cell r="AQ282">
            <v>-13.228999999999999</v>
          </cell>
          <cell r="AR282">
            <v>248.125</v>
          </cell>
          <cell r="AS282">
            <v>-247.87299999999999</v>
          </cell>
          <cell r="AT282">
            <v>0.25200000000000422</v>
          </cell>
          <cell r="AU282">
            <v>-33.899000000000001</v>
          </cell>
          <cell r="AV282">
            <v>-7.5740000000000123</v>
          </cell>
          <cell r="AW282">
            <v>-41.473000000000013</v>
          </cell>
          <cell r="AX282">
            <v>-30.009164562898476</v>
          </cell>
          <cell r="AY282">
            <v>21.038358091841708</v>
          </cell>
          <cell r="AZ282">
            <v>-8.9708064710567683</v>
          </cell>
          <cell r="BA282">
            <v>-26.680396038138145</v>
          </cell>
          <cell r="BB282">
            <v>22.151337317451425</v>
          </cell>
          <cell r="BC282">
            <v>-4.5290587206867201</v>
          </cell>
          <cell r="BD282">
            <v>-29.903257104364968</v>
          </cell>
          <cell r="BE282">
            <v>23.670719852587457</v>
          </cell>
          <cell r="BF282">
            <v>-6.2325372517775115</v>
          </cell>
          <cell r="BG282">
            <v>-31.812155681381043</v>
          </cell>
          <cell r="BH282">
            <v>25.12480346907747</v>
          </cell>
          <cell r="BI282">
            <v>-6.6873522123035727</v>
          </cell>
          <cell r="BJ282">
            <v>-31.80964299973418</v>
          </cell>
          <cell r="BK282">
            <v>26.284523137274157</v>
          </cell>
          <cell r="BL282">
            <v>-5.5251198624600235</v>
          </cell>
          <cell r="BM282">
            <v>-35.418954526638558</v>
          </cell>
          <cell r="BN282">
            <v>27.908005460837479</v>
          </cell>
          <cell r="BO282">
            <v>-7.5109490658010785</v>
          </cell>
          <cell r="BP282">
            <v>-37.204279355898485</v>
          </cell>
          <cell r="BQ282">
            <v>29.553661894826135</v>
          </cell>
          <cell r="BR282">
            <v>-7.6506174610723505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3.4940000000000002</v>
          </cell>
          <cell r="AB283">
            <v>3.4940000000000002</v>
          </cell>
          <cell r="AC283">
            <v>57.015999999999998</v>
          </cell>
          <cell r="AD283">
            <v>-7.4949999999999974</v>
          </cell>
          <cell r="AE283">
            <v>49.521000000000001</v>
          </cell>
          <cell r="AF283">
            <v>-5.6210000000000058</v>
          </cell>
          <cell r="AG283">
            <v>-12.530999999999999</v>
          </cell>
          <cell r="AH283">
            <v>-18.152000000000005</v>
          </cell>
          <cell r="AI283">
            <v>3.3159999999999989</v>
          </cell>
          <cell r="AJ283">
            <v>0.94800000000000217</v>
          </cell>
          <cell r="AK283">
            <v>4.2640000000000011</v>
          </cell>
          <cell r="AL283">
            <v>47.332999999999998</v>
          </cell>
          <cell r="AM283">
            <v>-5.8840000000000003</v>
          </cell>
          <cell r="AN283">
            <v>41.448999999999998</v>
          </cell>
          <cell r="AO283">
            <v>9.8119999999999976</v>
          </cell>
          <cell r="AP283">
            <v>0.50600000000000378</v>
          </cell>
          <cell r="AQ283">
            <v>10.318000000000001</v>
          </cell>
          <cell r="AR283">
            <v>21.914999999999996</v>
          </cell>
          <cell r="AS283">
            <v>-112.809</v>
          </cell>
          <cell r="AT283">
            <v>-90.894000000000005</v>
          </cell>
          <cell r="AU283">
            <v>0</v>
          </cell>
          <cell r="AV283">
            <v>0</v>
          </cell>
          <cell r="AW283">
            <v>0</v>
          </cell>
          <cell r="AX283">
            <v>40.83</v>
          </cell>
          <cell r="AY283">
            <v>0</v>
          </cell>
          <cell r="AZ283">
            <v>40.83</v>
          </cell>
          <cell r="BA283">
            <v>0</v>
          </cell>
          <cell r="BB283">
            <v>0</v>
          </cell>
          <cell r="BC283">
            <v>0</v>
          </cell>
          <cell r="BD283">
            <v>-8.6939999999999955</v>
          </cell>
          <cell r="BE283">
            <v>0</v>
          </cell>
          <cell r="BF283">
            <v>-8.6939999999999955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>
            <v>-1.6490000000000005</v>
          </cell>
          <cell r="AC284" t="e">
            <v>#REF!</v>
          </cell>
          <cell r="AD284" t="e">
            <v>#REF!</v>
          </cell>
          <cell r="AE284">
            <v>-41.099999999999994</v>
          </cell>
          <cell r="AF284">
            <v>-6.5999999999997172E-2</v>
          </cell>
          <cell r="AG284">
            <v>-46.920999999999999</v>
          </cell>
          <cell r="AH284">
            <v>-46.986999999999995</v>
          </cell>
          <cell r="AI284">
            <v>-4.9170000000000016</v>
          </cell>
          <cell r="AJ284">
            <v>-6.0639999999999947</v>
          </cell>
          <cell r="AK284">
            <v>-10.980999999999996</v>
          </cell>
          <cell r="AL284">
            <v>-1.455999999999996</v>
          </cell>
          <cell r="AM284">
            <v>-42.925000000000011</v>
          </cell>
          <cell r="AN284">
            <v>-44.381000000000007</v>
          </cell>
          <cell r="AO284">
            <v>10.155999999999985</v>
          </cell>
          <cell r="AP284">
            <v>-29.743999999999982</v>
          </cell>
          <cell r="AQ284">
            <v>-19.587999999999997</v>
          </cell>
          <cell r="AR284">
            <v>-269.62900000000002</v>
          </cell>
          <cell r="AS284">
            <v>274.70100000000002</v>
          </cell>
          <cell r="AT284">
            <v>5.0720000000000027</v>
          </cell>
          <cell r="AU284">
            <v>-8.9057999999999993</v>
          </cell>
          <cell r="AV284">
            <v>15.739800000000002</v>
          </cell>
          <cell r="AW284">
            <v>6.8340000000000032</v>
          </cell>
          <cell r="AX284">
            <v>-7.8360874774066787</v>
          </cell>
          <cell r="AY284">
            <v>3.782804047574281</v>
          </cell>
          <cell r="AZ284">
            <v>-4.0532834298323976</v>
          </cell>
          <cell r="BA284">
            <v>-14.914449769243159</v>
          </cell>
          <cell r="BB284">
            <v>7.4069263601621138</v>
          </cell>
          <cell r="BC284">
            <v>-7.5075234090810454</v>
          </cell>
          <cell r="BD284">
            <v>-17.25179083853542</v>
          </cell>
          <cell r="BE284">
            <v>10.091222559805399</v>
          </cell>
          <cell r="BF284">
            <v>-7.1605682787300218</v>
          </cell>
          <cell r="BG284">
            <v>-17.875010973598876</v>
          </cell>
          <cell r="BH284">
            <v>12.684996698913373</v>
          </cell>
          <cell r="BI284">
            <v>-5.1900142746855025</v>
          </cell>
          <cell r="BJ284">
            <v>-18.937034558085401</v>
          </cell>
          <cell r="BK284">
            <v>14.501845590455808</v>
          </cell>
          <cell r="BL284">
            <v>-4.4351889676295926</v>
          </cell>
          <cell r="BM284">
            <v>-19.851339694689514</v>
          </cell>
          <cell r="BN284">
            <v>16.239480315452532</v>
          </cell>
          <cell r="BO284">
            <v>-3.6118593792369822</v>
          </cell>
          <cell r="BP284" t="e">
            <v>#VALUE!</v>
          </cell>
          <cell r="BQ284" t="e">
            <v>#VALUE!</v>
          </cell>
          <cell r="BR284" t="e">
            <v>#VALUE!</v>
          </cell>
        </row>
        <row r="285">
          <cell r="B285" t="str">
            <v>Operating cashflow</v>
          </cell>
          <cell r="D285" t="str">
            <v>$m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6.0060000000000002</v>
          </cell>
          <cell r="AB285">
            <v>6.0060000000000002</v>
          </cell>
          <cell r="AC285">
            <v>-5.2779999999999996</v>
          </cell>
          <cell r="AD285">
            <v>21.692</v>
          </cell>
          <cell r="AE285">
            <v>16.414000000000001</v>
          </cell>
          <cell r="AF285">
            <v>-3.06</v>
          </cell>
          <cell r="AG285">
            <v>-28.501000000000001</v>
          </cell>
          <cell r="AH285">
            <v>-31.561</v>
          </cell>
          <cell r="AI285">
            <v>23.260999999999999</v>
          </cell>
          <cell r="AJ285">
            <v>37.320000000000007</v>
          </cell>
          <cell r="AK285">
            <v>60.581000000000003</v>
          </cell>
          <cell r="AL285">
            <v>50.44</v>
          </cell>
          <cell r="AM285">
            <v>60.831000000000003</v>
          </cell>
          <cell r="AN285">
            <v>111.271</v>
          </cell>
          <cell r="AO285">
            <v>46.875</v>
          </cell>
          <cell r="AP285">
            <v>52.403000000000006</v>
          </cell>
          <cell r="AQ285">
            <v>99.278000000000006</v>
          </cell>
          <cell r="AR285">
            <v>76.533000000000001</v>
          </cell>
          <cell r="AS285">
            <v>-25.977999999999966</v>
          </cell>
          <cell r="AT285">
            <v>50.555000000000035</v>
          </cell>
          <cell r="AU285">
            <v>39.694000000000003</v>
          </cell>
          <cell r="AV285">
            <v>65.33799999999998</v>
          </cell>
          <cell r="AW285">
            <v>105.03199999999998</v>
          </cell>
          <cell r="AX285">
            <v>85.502747162419539</v>
          </cell>
          <cell r="AY285">
            <v>103.39892863635039</v>
          </cell>
          <cell r="AZ285">
            <v>188.90167579876993</v>
          </cell>
          <cell r="BA285">
            <v>59.47807856163594</v>
          </cell>
          <cell r="BB285">
            <v>113.30493467580179</v>
          </cell>
          <cell r="BC285">
            <v>172.78301323743773</v>
          </cell>
          <cell r="BD285">
            <v>56.115417685346742</v>
          </cell>
          <cell r="BE285">
            <v>124.60067206521386</v>
          </cell>
          <cell r="BF285">
            <v>180.7160897505606</v>
          </cell>
          <cell r="BG285">
            <v>68.489208171728734</v>
          </cell>
          <cell r="BH285">
            <v>132.69447924902067</v>
          </cell>
          <cell r="BI285">
            <v>201.18368742074941</v>
          </cell>
          <cell r="BJ285">
            <v>73.681631677072318</v>
          </cell>
          <cell r="BK285">
            <v>134.44688750309589</v>
          </cell>
          <cell r="BL285">
            <v>208.12851918016821</v>
          </cell>
          <cell r="BM285">
            <v>74.106798802845447</v>
          </cell>
          <cell r="BN285">
            <v>139.26328704533057</v>
          </cell>
          <cell r="BO285">
            <v>213.37008584817602</v>
          </cell>
          <cell r="BP285" t="e">
            <v>#VALUE!</v>
          </cell>
          <cell r="BQ285" t="e">
            <v>#VALUE!</v>
          </cell>
          <cell r="BR285" t="e">
            <v>#VALUE!</v>
          </cell>
        </row>
        <row r="287">
          <cell r="B287" t="str">
            <v>Capital expenditure</v>
          </cell>
          <cell r="D287" t="str">
            <v>$m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-4.9000000000000002E-2</v>
          </cell>
          <cell r="AB287">
            <v>-4.9000000000000002E-2</v>
          </cell>
          <cell r="AC287">
            <v>-48.889000000000003</v>
          </cell>
          <cell r="AD287">
            <v>-57.291000000000004</v>
          </cell>
          <cell r="AE287">
            <v>-106.18</v>
          </cell>
          <cell r="AF287">
            <v>-30.827000000000002</v>
          </cell>
          <cell r="AG287">
            <v>-8.2689999999999948</v>
          </cell>
          <cell r="AH287">
            <v>-39.095999999999997</v>
          </cell>
          <cell r="AI287">
            <v>-14.048999999999999</v>
          </cell>
          <cell r="AJ287">
            <v>-15.350999999999999</v>
          </cell>
          <cell r="AK287">
            <v>-29.4</v>
          </cell>
          <cell r="AL287">
            <v>-15.9</v>
          </cell>
          <cell r="AM287">
            <v>-26.024999999999999</v>
          </cell>
          <cell r="AN287">
            <v>-41.924999999999997</v>
          </cell>
          <cell r="AO287">
            <v>-37.213999999999999</v>
          </cell>
          <cell r="AP287">
            <v>-25.82</v>
          </cell>
          <cell r="AQ287">
            <v>-63.033999999999999</v>
          </cell>
          <cell r="AR287">
            <v>-29.259</v>
          </cell>
          <cell r="AS287">
            <v>-85.251999999999995</v>
          </cell>
          <cell r="AT287">
            <v>-114.511</v>
          </cell>
          <cell r="AU287">
            <v>-24.384</v>
          </cell>
          <cell r="AV287">
            <v>-79.14</v>
          </cell>
          <cell r="AW287">
            <v>-103.524</v>
          </cell>
          <cell r="AX287">
            <v>-30</v>
          </cell>
          <cell r="AY287">
            <v>-70</v>
          </cell>
          <cell r="AZ287">
            <v>-100</v>
          </cell>
          <cell r="BA287">
            <v>-25</v>
          </cell>
          <cell r="BB287">
            <v>-75</v>
          </cell>
          <cell r="BC287">
            <v>-100</v>
          </cell>
          <cell r="BD287">
            <v>-25</v>
          </cell>
          <cell r="BE287">
            <v>-55</v>
          </cell>
          <cell r="BF287">
            <v>-80</v>
          </cell>
          <cell r="BG287">
            <v>-25</v>
          </cell>
          <cell r="BH287">
            <v>-55</v>
          </cell>
          <cell r="BI287">
            <v>-80</v>
          </cell>
          <cell r="BJ287">
            <v>-25</v>
          </cell>
          <cell r="BK287">
            <v>-35</v>
          </cell>
          <cell r="BL287">
            <v>-60</v>
          </cell>
          <cell r="BM287">
            <v>-25</v>
          </cell>
          <cell r="BN287">
            <v>-35</v>
          </cell>
          <cell r="BO287">
            <v>-60</v>
          </cell>
          <cell r="BP287">
            <v>-25</v>
          </cell>
          <cell r="BQ287">
            <v>-25</v>
          </cell>
          <cell r="BR287">
            <v>-50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-4.649</v>
          </cell>
          <cell r="AB288">
            <v>-4.649</v>
          </cell>
          <cell r="AC288">
            <v>-0.58200000000000074</v>
          </cell>
          <cell r="AD288">
            <v>0.49900000000000233</v>
          </cell>
          <cell r="AE288">
            <v>-8.2999999999998408E-2</v>
          </cell>
          <cell r="AF288">
            <v>1.1579999999999999</v>
          </cell>
          <cell r="AG288">
            <v>-3.2229999999999999</v>
          </cell>
          <cell r="AH288">
            <v>-2.0649999999999999</v>
          </cell>
          <cell r="AI288">
            <v>1.5669999999999999</v>
          </cell>
          <cell r="AJ288">
            <v>7.4879999999999995</v>
          </cell>
          <cell r="AK288">
            <v>9.0549999999999997</v>
          </cell>
          <cell r="AL288">
            <v>-136.286</v>
          </cell>
          <cell r="AM288">
            <v>-1.1409999999999911</v>
          </cell>
          <cell r="AN288">
            <v>-137.42699999999999</v>
          </cell>
          <cell r="AO288">
            <v>-18.321999999999999</v>
          </cell>
          <cell r="AP288">
            <v>-15.370000000000001</v>
          </cell>
          <cell r="AQ288">
            <v>-33.692</v>
          </cell>
          <cell r="AR288">
            <v>-423.154</v>
          </cell>
          <cell r="AS288">
            <v>-152.44600000000003</v>
          </cell>
          <cell r="AT288">
            <v>-575.6</v>
          </cell>
          <cell r="AU288">
            <v>0</v>
          </cell>
          <cell r="AV288">
            <v>-240</v>
          </cell>
          <cell r="AW288">
            <v>-240</v>
          </cell>
          <cell r="AX288">
            <v>-100</v>
          </cell>
          <cell r="AY288">
            <v>0</v>
          </cell>
          <cell r="AZ288">
            <v>-100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 t="str">
            <v>Asset sales</v>
          </cell>
          <cell r="D289" t="str">
            <v>$m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1.264</v>
          </cell>
          <cell r="AD289">
            <v>6.4859999999999998</v>
          </cell>
          <cell r="AE289">
            <v>7.75</v>
          </cell>
          <cell r="AF289">
            <v>0.14299999999999999</v>
          </cell>
          <cell r="AG289">
            <v>0.35099999999999998</v>
          </cell>
          <cell r="AH289">
            <v>0.49399999999999999</v>
          </cell>
          <cell r="AI289">
            <v>0</v>
          </cell>
          <cell r="AJ289">
            <v>2.2080000000000002</v>
          </cell>
          <cell r="AK289">
            <v>2.2080000000000002</v>
          </cell>
          <cell r="AL289">
            <v>62.088999999999999</v>
          </cell>
          <cell r="AM289">
            <v>25.521000000000001</v>
          </cell>
          <cell r="AN289">
            <v>87.61</v>
          </cell>
          <cell r="AO289">
            <v>7.6999999999999999E-2</v>
          </cell>
          <cell r="AP289">
            <v>1.1100000000000001</v>
          </cell>
          <cell r="AQ289">
            <v>1.1870000000000001</v>
          </cell>
          <cell r="AR289">
            <v>-51.564</v>
          </cell>
          <cell r="AS289">
            <v>58.238999999999997</v>
          </cell>
          <cell r="AT289">
            <v>6.6749999999999998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 t="str">
            <v>(Purchase) / sale of intangibles</v>
          </cell>
          <cell r="D290" t="str">
            <v>$m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-19.079000000000001</v>
          </cell>
          <cell r="AS290">
            <v>0</v>
          </cell>
          <cell r="AT290">
            <v>-19.079000000000001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 t="str">
            <v>(Loans to) / repaid by other entities</v>
          </cell>
          <cell r="D291" t="str">
            <v>$m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4.6559999999999988</v>
          </cell>
          <cell r="AB291">
            <v>4.6559999999999988</v>
          </cell>
          <cell r="AC291">
            <v>-12.771000000000001</v>
          </cell>
          <cell r="AD291">
            <v>0.11100000000000065</v>
          </cell>
          <cell r="AE291">
            <v>-12.66</v>
          </cell>
          <cell r="AF291">
            <v>46.551000000000002</v>
          </cell>
          <cell r="AG291">
            <v>3.3049999999999997</v>
          </cell>
          <cell r="AH291">
            <v>49.856000000000002</v>
          </cell>
          <cell r="AI291">
            <v>0.41799999999999998</v>
          </cell>
          <cell r="AJ291">
            <v>-0.45</v>
          </cell>
          <cell r="AK291">
            <v>-3.2000000000000028E-2</v>
          </cell>
          <cell r="AL291">
            <v>0</v>
          </cell>
          <cell r="AM291">
            <v>-0.95599999999999996</v>
          </cell>
          <cell r="AN291">
            <v>-0.95599999999999996</v>
          </cell>
          <cell r="AO291">
            <v>-2.31</v>
          </cell>
          <cell r="AP291">
            <v>-1.8459999999999996</v>
          </cell>
          <cell r="AQ291">
            <v>-4.1559999999999997</v>
          </cell>
          <cell r="AR291">
            <v>1.9980000000000002</v>
          </cell>
          <cell r="AS291">
            <v>0</v>
          </cell>
          <cell r="AT291">
            <v>1.998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3">
          <cell r="B293" t="str">
            <v>Equity raised</v>
          </cell>
          <cell r="D293" t="str">
            <v>$m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5.8390000000000004</v>
          </cell>
          <cell r="AD293">
            <v>9.1999999999999638E-2</v>
          </cell>
          <cell r="AE293">
            <v>5.931</v>
          </cell>
          <cell r="AF293">
            <v>0</v>
          </cell>
          <cell r="AG293">
            <v>20.039000000000001</v>
          </cell>
          <cell r="AH293">
            <v>20.039000000000001</v>
          </cell>
          <cell r="AI293">
            <v>3.605</v>
          </cell>
          <cell r="AJ293">
            <v>0.92899999999999983</v>
          </cell>
          <cell r="AK293">
            <v>4.5339999999999998</v>
          </cell>
          <cell r="AL293">
            <v>201.72900000000001</v>
          </cell>
          <cell r="AM293">
            <v>0.90599999999997749</v>
          </cell>
          <cell r="AN293">
            <v>202.63499999999999</v>
          </cell>
          <cell r="AO293">
            <v>395.79300000000001</v>
          </cell>
          <cell r="AP293">
            <v>8.0400000000000205</v>
          </cell>
          <cell r="AQ293">
            <v>403.83300000000003</v>
          </cell>
          <cell r="AR293">
            <v>257.98899999999998</v>
          </cell>
          <cell r="AS293">
            <v>0</v>
          </cell>
          <cell r="AT293">
            <v>257.98899999999998</v>
          </cell>
          <cell r="AU293">
            <v>0</v>
          </cell>
          <cell r="AV293">
            <v>10.571</v>
          </cell>
          <cell r="AW293">
            <v>10.571</v>
          </cell>
          <cell r="AX293">
            <v>375</v>
          </cell>
          <cell r="AY293">
            <v>0</v>
          </cell>
          <cell r="AZ293">
            <v>375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 t="str">
            <v>Dividends paid</v>
          </cell>
          <cell r="D294" t="str">
            <v>$m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-4.6749999999999998</v>
          </cell>
          <cell r="AB294">
            <v>-4.6749999999999998</v>
          </cell>
          <cell r="AC294">
            <v>-3.3039999999999998</v>
          </cell>
          <cell r="AD294">
            <v>-3.3069999999999999</v>
          </cell>
          <cell r="AE294">
            <v>-6.6109999999999998</v>
          </cell>
          <cell r="AF294">
            <v>-3.4090000000000003</v>
          </cell>
          <cell r="AG294">
            <v>0.10000000000000009</v>
          </cell>
          <cell r="AH294">
            <v>-3.3090000000000002</v>
          </cell>
          <cell r="AI294">
            <v>0</v>
          </cell>
          <cell r="AJ294">
            <v>-0.17499999999999999</v>
          </cell>
          <cell r="AK294">
            <v>-0.17499999999999999</v>
          </cell>
          <cell r="AL294">
            <v>-1.1100000000000001</v>
          </cell>
          <cell r="AM294">
            <v>-12.782</v>
          </cell>
          <cell r="AN294">
            <v>-13.891999999999999</v>
          </cell>
          <cell r="AO294">
            <v>-16.146999999999998</v>
          </cell>
          <cell r="AP294">
            <v>-19.004000000000005</v>
          </cell>
          <cell r="AQ294">
            <v>-35.151000000000003</v>
          </cell>
          <cell r="AR294">
            <v>-20.40689223</v>
          </cell>
          <cell r="AS294">
            <v>-24.727677590000003</v>
          </cell>
          <cell r="AT294">
            <v>-45.134569820000003</v>
          </cell>
          <cell r="AU294">
            <v>-29.92996273</v>
          </cell>
          <cell r="AV294">
            <v>-26.453037269999996</v>
          </cell>
          <cell r="AW294">
            <v>-56.382999999999996</v>
          </cell>
          <cell r="AX294">
            <v>-32.473159945384616</v>
          </cell>
          <cell r="AY294">
            <v>-46.183376380000006</v>
          </cell>
          <cell r="AZ294">
            <v>-78.656536325384621</v>
          </cell>
          <cell r="BA294">
            <v>-42.294274169999994</v>
          </cell>
          <cell r="BB294">
            <v>-51.375671290000014</v>
          </cell>
          <cell r="BC294">
            <v>-93.669945460000008</v>
          </cell>
          <cell r="BD294">
            <v>-40.670290640000005</v>
          </cell>
          <cell r="BE294">
            <v>-47.862088479999997</v>
          </cell>
          <cell r="BF294">
            <v>-88.532379120000002</v>
          </cell>
          <cell r="BG294">
            <v>-38.489691359999995</v>
          </cell>
          <cell r="BH294">
            <v>-43.110889920000005</v>
          </cell>
          <cell r="BI294">
            <v>-81.60058128</v>
          </cell>
          <cell r="BJ294">
            <v>-38.489691359999995</v>
          </cell>
          <cell r="BK294">
            <v>-43.110889920000005</v>
          </cell>
          <cell r="BL294">
            <v>-81.60058128</v>
          </cell>
          <cell r="BM294">
            <v>-38.489691359999995</v>
          </cell>
          <cell r="BN294">
            <v>-43.110889920000005</v>
          </cell>
          <cell r="BO294">
            <v>-81.60058128</v>
          </cell>
          <cell r="BP294">
            <v>-38.489691359999995</v>
          </cell>
          <cell r="BQ294">
            <v>-43.110889920000005</v>
          </cell>
          <cell r="BR294">
            <v>-81.60058128</v>
          </cell>
        </row>
        <row r="295">
          <cell r="B295" t="str">
            <v>Net change in borrowings</v>
          </cell>
          <cell r="D295" t="str">
            <v>$m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-0.22800000000000001</v>
          </cell>
          <cell r="AB295">
            <v>-0.22800000000000001</v>
          </cell>
          <cell r="AC295">
            <v>51.812999999999988</v>
          </cell>
          <cell r="AD295">
            <v>36.346000000000004</v>
          </cell>
          <cell r="AE295">
            <v>88.158999999999992</v>
          </cell>
          <cell r="AF295">
            <v>-17.03</v>
          </cell>
          <cell r="AG295">
            <v>15.792</v>
          </cell>
          <cell r="AH295">
            <v>-1.2380000000000009</v>
          </cell>
          <cell r="AI295">
            <v>-18.939999999999998</v>
          </cell>
          <cell r="AJ295">
            <v>-24.993000000000002</v>
          </cell>
          <cell r="AK295">
            <v>-43.933</v>
          </cell>
          <cell r="AL295">
            <v>-164.874</v>
          </cell>
          <cell r="AM295">
            <v>-59.021000000000015</v>
          </cell>
          <cell r="AN295">
            <v>-223.89500000000001</v>
          </cell>
          <cell r="AO295">
            <v>-63.123000000000005</v>
          </cell>
          <cell r="AP295">
            <v>-7.9579999999999984</v>
          </cell>
          <cell r="AQ295">
            <v>-71.081000000000003</v>
          </cell>
          <cell r="AR295">
            <v>-9.07</v>
          </cell>
          <cell r="AS295">
            <v>196.17756981999989</v>
          </cell>
          <cell r="AT295">
            <v>187.1075698199999</v>
          </cell>
          <cell r="AU295">
            <v>14.619962729999997</v>
          </cell>
          <cell r="AV295">
            <v>269.68403727000003</v>
          </cell>
          <cell r="AW295">
            <v>284.30400000000003</v>
          </cell>
          <cell r="AX295">
            <v>-298.02958721703493</v>
          </cell>
          <cell r="AY295">
            <v>12.78444774364965</v>
          </cell>
          <cell r="AZ295">
            <v>-285.24513947338528</v>
          </cell>
          <cell r="BA295">
            <v>7.8161956083640547</v>
          </cell>
          <cell r="BB295">
            <v>13.070736614198225</v>
          </cell>
          <cell r="BC295">
            <v>20.88693222256228</v>
          </cell>
          <cell r="BD295">
            <v>9.5548729546532627</v>
          </cell>
          <cell r="BE295">
            <v>-21.73858358521386</v>
          </cell>
          <cell r="BF295">
            <v>-12.183710630560597</v>
          </cell>
          <cell r="BG295">
            <v>-4.9995168117287392</v>
          </cell>
          <cell r="BH295">
            <v>-34.583589329020668</v>
          </cell>
          <cell r="BI295">
            <v>-39.583106140749408</v>
          </cell>
          <cell r="BJ295">
            <v>-10.191940317072323</v>
          </cell>
          <cell r="BK295">
            <v>-56.335997583095889</v>
          </cell>
          <cell r="BL295">
            <v>-66.527937900168212</v>
          </cell>
          <cell r="BM295">
            <v>-10.617107442845452</v>
          </cell>
          <cell r="BN295">
            <v>-61.152397125330566</v>
          </cell>
          <cell r="BO295">
            <v>-71.769504568176018</v>
          </cell>
          <cell r="BP295" t="e">
            <v>#VALUE!</v>
          </cell>
          <cell r="BQ295" t="e">
            <v>#VALUE!</v>
          </cell>
          <cell r="BR295" t="e">
            <v>#VALUE!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8.8817841970012523E-16</v>
          </cell>
          <cell r="AB296">
            <v>8.8817841970012523E-16</v>
          </cell>
          <cell r="AC296">
            <v>1.0658141036401503E-14</v>
          </cell>
          <cell r="AD296">
            <v>-1.0658141036401503E-14</v>
          </cell>
          <cell r="AE296">
            <v>0</v>
          </cell>
          <cell r="AF296">
            <v>1.3322676295501878E-15</v>
          </cell>
          <cell r="AG296">
            <v>-8.4376949871511897E-15</v>
          </cell>
          <cell r="AH296">
            <v>-7.1054273576010019E-15</v>
          </cell>
          <cell r="AI296">
            <v>3.9999999999982272E-3</v>
          </cell>
          <cell r="AJ296">
            <v>-3.9999999999964508E-3</v>
          </cell>
          <cell r="AK296">
            <v>1.7763568394002505E-15</v>
          </cell>
          <cell r="AL296">
            <v>-0.125</v>
          </cell>
          <cell r="AM296">
            <v>2.8421709430404007E-14</v>
          </cell>
          <cell r="AN296">
            <v>-0.12499999999997158</v>
          </cell>
          <cell r="AO296">
            <v>8.9999999999577085E-3</v>
          </cell>
          <cell r="AP296">
            <v>-8.9999999999577085E-3</v>
          </cell>
          <cell r="AQ296">
            <v>0</v>
          </cell>
          <cell r="AR296">
            <v>-0.31310777000010148</v>
          </cell>
          <cell r="AS296">
            <v>0.31310777000010148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 t="str">
            <v>Inc / (dec) in net cash held</v>
          </cell>
          <cell r="D297" t="str">
            <v>$m</v>
          </cell>
          <cell r="H297" t="str">
            <v/>
          </cell>
          <cell r="I297">
            <v>0</v>
          </cell>
          <cell r="J297" t="str">
            <v/>
          </cell>
          <cell r="K297" t="str">
            <v/>
          </cell>
          <cell r="L297">
            <v>0</v>
          </cell>
          <cell r="M297" t="str">
            <v/>
          </cell>
          <cell r="N297" t="str">
            <v/>
          </cell>
          <cell r="O297">
            <v>0</v>
          </cell>
          <cell r="P297" t="str">
            <v/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1.0609999999999999</v>
          </cell>
          <cell r="AB297">
            <v>1.0609999999999999</v>
          </cell>
          <cell r="AC297">
            <v>-11.907999999999999</v>
          </cell>
          <cell r="AD297">
            <v>4.6279999999999992</v>
          </cell>
          <cell r="AE297">
            <v>-7.28</v>
          </cell>
          <cell r="AF297">
            <v>-6.4740000000000002</v>
          </cell>
          <cell r="AG297">
            <v>-0.40599999999999969</v>
          </cell>
          <cell r="AH297">
            <v>-6.88</v>
          </cell>
          <cell r="AI297">
            <v>-4.1340000000000003</v>
          </cell>
          <cell r="AJ297">
            <v>6.9720000000000004</v>
          </cell>
          <cell r="AK297">
            <v>2.8380000000000001</v>
          </cell>
          <cell r="AL297">
            <v>-4.0369999999999999</v>
          </cell>
          <cell r="AM297">
            <v>-12.667000000000002</v>
          </cell>
          <cell r="AN297">
            <v>-16.704000000000001</v>
          </cell>
          <cell r="AO297">
            <v>305.63799999999998</v>
          </cell>
          <cell r="AP297">
            <v>-8.4539999999999509</v>
          </cell>
          <cell r="AQ297">
            <v>297.18400000000003</v>
          </cell>
          <cell r="AR297">
            <v>-216.32599999999999</v>
          </cell>
          <cell r="AS297">
            <v>-33.674000000000007</v>
          </cell>
          <cell r="AT297">
            <v>-250</v>
          </cell>
          <cell r="AU297">
            <v>0</v>
          </cell>
          <cell r="AV297">
            <v>0</v>
          </cell>
          <cell r="AW297">
            <v>0</v>
          </cell>
          <cell r="AX297" t="str">
            <v>0</v>
          </cell>
          <cell r="AY297">
            <v>0</v>
          </cell>
          <cell r="AZ297" t="str">
            <v>0</v>
          </cell>
          <cell r="BA297" t="str">
            <v>0</v>
          </cell>
          <cell r="BB297">
            <v>0</v>
          </cell>
          <cell r="BC297" t="str">
            <v>0</v>
          </cell>
          <cell r="BD297" t="str">
            <v>0.0</v>
          </cell>
          <cell r="BE297">
            <v>0</v>
          </cell>
          <cell r="BF297" t="str">
            <v>0</v>
          </cell>
          <cell r="BG297" t="str">
            <v>0.0</v>
          </cell>
          <cell r="BH297">
            <v>0</v>
          </cell>
          <cell r="BI297" t="str">
            <v>0</v>
          </cell>
          <cell r="BJ297" t="str">
            <v>0.0</v>
          </cell>
          <cell r="BK297">
            <v>0</v>
          </cell>
          <cell r="BL297" t="str">
            <v>0.0</v>
          </cell>
          <cell r="BM297" t="str">
            <v>0.0</v>
          </cell>
          <cell r="BN297">
            <v>0</v>
          </cell>
          <cell r="BO297" t="str">
            <v>0.0</v>
          </cell>
          <cell r="BP297" t="str">
            <v>0.0</v>
          </cell>
          <cell r="BQ297">
            <v>0</v>
          </cell>
          <cell r="BR297" t="str">
            <v>0.0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1.0609999999999999</v>
          </cell>
          <cell r="AD299">
            <v>-10.847</v>
          </cell>
          <cell r="AE299">
            <v>1.0609999999999999</v>
          </cell>
          <cell r="AF299">
            <v>-6.2190000000000003</v>
          </cell>
          <cell r="AG299">
            <v>-12.693000000000001</v>
          </cell>
          <cell r="AH299">
            <v>-6.2190000000000003</v>
          </cell>
          <cell r="AI299">
            <v>-13.099</v>
          </cell>
          <cell r="AJ299">
            <v>-17.233000000000001</v>
          </cell>
          <cell r="AK299">
            <v>-13.099</v>
          </cell>
          <cell r="AL299">
            <v>-10.260999999999999</v>
          </cell>
          <cell r="AM299">
            <v>-14.297999999999998</v>
          </cell>
          <cell r="AN299">
            <v>-10.260999999999999</v>
          </cell>
          <cell r="AO299">
            <v>-26.965</v>
          </cell>
          <cell r="AP299">
            <v>278.673</v>
          </cell>
          <cell r="AQ299">
            <v>-26.965</v>
          </cell>
          <cell r="AR299">
            <v>270.21900000000005</v>
          </cell>
          <cell r="AS299">
            <v>53.893000000000058</v>
          </cell>
          <cell r="AT299">
            <v>270.21900000000005</v>
          </cell>
          <cell r="AU299">
            <v>20.219000000000051</v>
          </cell>
          <cell r="AV299">
            <v>20.219000000000051</v>
          </cell>
          <cell r="AW299">
            <v>20.219000000000051</v>
          </cell>
          <cell r="AX299">
            <v>20.219000000000051</v>
          </cell>
          <cell r="AY299">
            <v>20.219000000000051</v>
          </cell>
          <cell r="AZ299">
            <v>20.219000000000051</v>
          </cell>
          <cell r="BA299">
            <v>20.219000000000051</v>
          </cell>
          <cell r="BB299">
            <v>20.219000000000051</v>
          </cell>
          <cell r="BC299">
            <v>20.219000000000051</v>
          </cell>
          <cell r="BD299">
            <v>20.219000000000051</v>
          </cell>
          <cell r="BE299">
            <v>20.219000000000051</v>
          </cell>
          <cell r="BF299">
            <v>20.219000000000051</v>
          </cell>
          <cell r="BG299">
            <v>20.219000000000051</v>
          </cell>
          <cell r="BH299">
            <v>20.219000000000051</v>
          </cell>
          <cell r="BI299">
            <v>20.219000000000051</v>
          </cell>
          <cell r="BJ299">
            <v>20.219000000000051</v>
          </cell>
          <cell r="BK299">
            <v>20.219000000000051</v>
          </cell>
          <cell r="BL299">
            <v>20.219000000000051</v>
          </cell>
          <cell r="BM299">
            <v>20.219000000000051</v>
          </cell>
          <cell r="BN299">
            <v>20.219000000000051</v>
          </cell>
          <cell r="BO299">
            <v>20.219000000000051</v>
          </cell>
          <cell r="BP299">
            <v>20.219000000000051</v>
          </cell>
          <cell r="BQ299">
            <v>20.219000000000051</v>
          </cell>
          <cell r="BR299">
            <v>20.219000000000051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1.0609999999999999</v>
          </cell>
          <cell r="AB301">
            <v>1.0609999999999999</v>
          </cell>
          <cell r="AC301">
            <v>-10.847</v>
          </cell>
          <cell r="AD301">
            <v>-6.2190000000000003</v>
          </cell>
          <cell r="AE301">
            <v>-6.2190000000000003</v>
          </cell>
          <cell r="AF301">
            <v>-12.693000000000001</v>
          </cell>
          <cell r="AG301">
            <v>-13.099</v>
          </cell>
          <cell r="AH301">
            <v>-13.099</v>
          </cell>
          <cell r="AI301">
            <v>-17.233000000000001</v>
          </cell>
          <cell r="AJ301">
            <v>-10.260999999999999</v>
          </cell>
          <cell r="AK301">
            <v>-10.260999999999999</v>
          </cell>
          <cell r="AL301">
            <v>-14.297999999999998</v>
          </cell>
          <cell r="AM301">
            <v>-26.965</v>
          </cell>
          <cell r="AN301">
            <v>-26.965</v>
          </cell>
          <cell r="AO301">
            <v>278.673</v>
          </cell>
          <cell r="AP301">
            <v>270.21900000000005</v>
          </cell>
          <cell r="AQ301">
            <v>270.21900000000005</v>
          </cell>
          <cell r="AR301">
            <v>53.893000000000058</v>
          </cell>
          <cell r="AS301">
            <v>20.219000000000051</v>
          </cell>
          <cell r="AT301">
            <v>20.219000000000051</v>
          </cell>
          <cell r="AU301">
            <v>20.219000000000051</v>
          </cell>
          <cell r="AV301">
            <v>20.219000000000051</v>
          </cell>
          <cell r="AW301">
            <v>20.219000000000051</v>
          </cell>
          <cell r="AX301">
            <v>20.219000000000051</v>
          </cell>
          <cell r="AY301">
            <v>20.219000000000051</v>
          </cell>
          <cell r="AZ301">
            <v>20.219000000000051</v>
          </cell>
          <cell r="BA301">
            <v>20.219000000000051</v>
          </cell>
          <cell r="BB301">
            <v>20.219000000000051</v>
          </cell>
          <cell r="BC301">
            <v>20.219000000000051</v>
          </cell>
          <cell r="BD301">
            <v>20.219000000000051</v>
          </cell>
          <cell r="BE301">
            <v>20.219000000000051</v>
          </cell>
          <cell r="BF301">
            <v>20.219000000000051</v>
          </cell>
          <cell r="BG301">
            <v>20.219000000000051</v>
          </cell>
          <cell r="BH301">
            <v>20.219000000000051</v>
          </cell>
          <cell r="BI301">
            <v>20.219000000000051</v>
          </cell>
          <cell r="BJ301">
            <v>20.219000000000051</v>
          </cell>
          <cell r="BK301">
            <v>20.219000000000051</v>
          </cell>
          <cell r="BL301">
            <v>20.219000000000051</v>
          </cell>
          <cell r="BM301">
            <v>20.219000000000051</v>
          </cell>
          <cell r="BN301">
            <v>20.219000000000051</v>
          </cell>
          <cell r="BO301">
            <v>20.219000000000051</v>
          </cell>
          <cell r="BP301">
            <v>20.219000000000051</v>
          </cell>
          <cell r="BQ301">
            <v>20.219000000000051</v>
          </cell>
          <cell r="BR301">
            <v>20.219000000000051</v>
          </cell>
        </row>
        <row r="303">
          <cell r="E303" t="str">
            <v>1H89(a)</v>
          </cell>
          <cell r="F303" t="str">
            <v>2H89(a)</v>
          </cell>
          <cell r="G303" t="str">
            <v>FY89(a)</v>
          </cell>
          <cell r="H303" t="str">
            <v>1H90(a)</v>
          </cell>
          <cell r="I303" t="str">
            <v>2H90(a)</v>
          </cell>
          <cell r="J303" t="str">
            <v>FY90(a)</v>
          </cell>
          <cell r="K303" t="str">
            <v>1H91(a)</v>
          </cell>
          <cell r="L303" t="str">
            <v>2H91(a)</v>
          </cell>
          <cell r="M303" t="str">
            <v>FY91(a)</v>
          </cell>
          <cell r="N303" t="str">
            <v>1H92(a)</v>
          </cell>
          <cell r="O303" t="str">
            <v>2H92(a)</v>
          </cell>
          <cell r="P303" t="str">
            <v>FY92(a)</v>
          </cell>
          <cell r="Q303" t="str">
            <v>1H93(a)</v>
          </cell>
          <cell r="R303" t="str">
            <v>2H93(a)</v>
          </cell>
          <cell r="S303" t="str">
            <v>FY93(a)</v>
          </cell>
          <cell r="T303" t="str">
            <v>1H94(a)</v>
          </cell>
          <cell r="U303" t="str">
            <v>2H94(a)</v>
          </cell>
          <cell r="V303" t="str">
            <v>FY94(a)</v>
          </cell>
          <cell r="W303" t="str">
            <v>1H95(a)</v>
          </cell>
          <cell r="X303" t="str">
            <v>2H95(a)</v>
          </cell>
          <cell r="Y303" t="str">
            <v>FY95(a)</v>
          </cell>
          <cell r="Z303" t="str">
            <v>1H96(a)</v>
          </cell>
          <cell r="AA303" t="str">
            <v>2H96(a)</v>
          </cell>
          <cell r="AB303" t="str">
            <v>FY96(a)</v>
          </cell>
          <cell r="AC303" t="str">
            <v>1H97(a)</v>
          </cell>
          <cell r="AD303" t="str">
            <v>2H97(a)</v>
          </cell>
          <cell r="AE303" t="str">
            <v>FY97(a)</v>
          </cell>
          <cell r="AF303" t="str">
            <v>1H98(a)</v>
          </cell>
          <cell r="AG303" t="str">
            <v>2H98(a)</v>
          </cell>
          <cell r="AH303" t="str">
            <v>FY98(a)</v>
          </cell>
          <cell r="AI303" t="str">
            <v>1H99(a)</v>
          </cell>
          <cell r="AJ303" t="str">
            <v>2H99(a)</v>
          </cell>
          <cell r="AK303" t="str">
            <v>FY99(a)</v>
          </cell>
          <cell r="AL303" t="str">
            <v>1H00(a)</v>
          </cell>
          <cell r="AM303" t="str">
            <v>2H00(a)</v>
          </cell>
          <cell r="AN303" t="str">
            <v>FY00(a)</v>
          </cell>
          <cell r="AO303" t="str">
            <v>1H01(a)</v>
          </cell>
          <cell r="AP303" t="str">
            <v>2H01(a)</v>
          </cell>
          <cell r="AQ303" t="str">
            <v>FY01(a)</v>
          </cell>
          <cell r="AR303" t="str">
            <v>1H02(a)</v>
          </cell>
          <cell r="AS303" t="str">
            <v>2H02(a)</v>
          </cell>
          <cell r="AT303" t="str">
            <v>FY02(a)</v>
          </cell>
          <cell r="AU303" t="str">
            <v>1H03(e)</v>
          </cell>
          <cell r="AV303" t="str">
            <v>2H03(e)</v>
          </cell>
          <cell r="AW303" t="str">
            <v>FY03(e)</v>
          </cell>
          <cell r="AX303" t="str">
            <v>1H04(e)</v>
          </cell>
          <cell r="AY303" t="str">
            <v>2H04(e)</v>
          </cell>
          <cell r="AZ303" t="str">
            <v>FY04(e)</v>
          </cell>
          <cell r="BA303" t="str">
            <v>1H05(e)</v>
          </cell>
          <cell r="BB303" t="str">
            <v>2H05(e)</v>
          </cell>
          <cell r="BC303" t="str">
            <v>FY05(e)</v>
          </cell>
          <cell r="BD303" t="str">
            <v>1H06(e)</v>
          </cell>
          <cell r="BE303" t="str">
            <v>2H06(e)</v>
          </cell>
          <cell r="BF303" t="str">
            <v>FY06(e)</v>
          </cell>
          <cell r="BG303" t="str">
            <v>1H07(e)</v>
          </cell>
          <cell r="BH303" t="str">
            <v>2H07(e)</v>
          </cell>
          <cell r="BI303" t="str">
            <v>FY07(e)</v>
          </cell>
          <cell r="BJ303" t="str">
            <v>1H08(e)</v>
          </cell>
          <cell r="BK303" t="str">
            <v>2H08(e)</v>
          </cell>
          <cell r="BL303" t="str">
            <v>FY08(e)</v>
          </cell>
          <cell r="BM303" t="str">
            <v>1H09(e)</v>
          </cell>
          <cell r="BN303" t="str">
            <v>2H09(e)</v>
          </cell>
          <cell r="BO303" t="str">
            <v>FY09(e)</v>
          </cell>
          <cell r="BP303" t="str">
            <v>1H10(e)</v>
          </cell>
          <cell r="BQ303" t="str">
            <v>2H10(e)</v>
          </cell>
          <cell r="BR303" t="str">
            <v>FY10(e)</v>
          </cell>
        </row>
        <row r="305"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25.721</v>
          </cell>
          <cell r="AB305">
            <v>25.721</v>
          </cell>
          <cell r="AC305">
            <v>20.370999999999999</v>
          </cell>
          <cell r="AD305">
            <v>25.780999999999999</v>
          </cell>
          <cell r="AE305">
            <v>25.780999999999999</v>
          </cell>
          <cell r="AF305">
            <v>21.33</v>
          </cell>
          <cell r="AG305">
            <v>11.561</v>
          </cell>
          <cell r="AH305">
            <v>11.561</v>
          </cell>
          <cell r="AI305">
            <v>13.491</v>
          </cell>
          <cell r="AJ305">
            <v>14.398999999999999</v>
          </cell>
          <cell r="AK305">
            <v>14.398999999999999</v>
          </cell>
          <cell r="AL305">
            <v>16.079000000000001</v>
          </cell>
          <cell r="AM305">
            <v>1.1850000000000001</v>
          </cell>
          <cell r="AN305">
            <v>1.1850000000000001</v>
          </cell>
          <cell r="AO305">
            <v>303.33300000000003</v>
          </cell>
          <cell r="AP305">
            <v>295.59800000000001</v>
          </cell>
          <cell r="AQ305">
            <v>295.59800000000001</v>
          </cell>
          <cell r="AR305">
            <v>79.27200000000002</v>
          </cell>
          <cell r="AS305">
            <v>46.323999999999998</v>
          </cell>
          <cell r="AT305">
            <v>46.323999999999998</v>
          </cell>
          <cell r="AU305">
            <v>9.73</v>
          </cell>
          <cell r="AV305">
            <v>31.367999999999999</v>
          </cell>
          <cell r="AW305">
            <v>31.367999999999999</v>
          </cell>
          <cell r="AX305">
            <v>31.367999999999999</v>
          </cell>
          <cell r="AY305">
            <v>31.367999999999999</v>
          </cell>
          <cell r="AZ305">
            <v>31.367999999999999</v>
          </cell>
          <cell r="BA305">
            <v>31.367999999999999</v>
          </cell>
          <cell r="BB305">
            <v>31.367999999999999</v>
          </cell>
          <cell r="BC305">
            <v>31.367999999999999</v>
          </cell>
          <cell r="BD305">
            <v>31.367999999999999</v>
          </cell>
          <cell r="BE305">
            <v>31.367999999999999</v>
          </cell>
          <cell r="BF305">
            <v>31.367999999999999</v>
          </cell>
          <cell r="BG305">
            <v>31.367999999999999</v>
          </cell>
          <cell r="BH305">
            <v>31.367999999999999</v>
          </cell>
          <cell r="BI305">
            <v>31.367999999999999</v>
          </cell>
          <cell r="BJ305">
            <v>31.367999999999999</v>
          </cell>
          <cell r="BK305">
            <v>31.367999999999999</v>
          </cell>
          <cell r="BL305">
            <v>31.367999999999999</v>
          </cell>
          <cell r="BM305">
            <v>31.367999999999999</v>
          </cell>
          <cell r="BN305">
            <v>31.367999999999999</v>
          </cell>
          <cell r="BO305">
            <v>31.367999999999999</v>
          </cell>
          <cell r="BP305">
            <v>31.367999999999999</v>
          </cell>
          <cell r="BQ305">
            <v>31.367999999999999</v>
          </cell>
          <cell r="BR305">
            <v>31.367999999999999</v>
          </cell>
        </row>
        <row r="306">
          <cell r="B306" t="str">
            <v>Current receivables</v>
          </cell>
          <cell r="D306" t="str">
            <v>$m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1.3959999999999999</v>
          </cell>
          <cell r="AB306">
            <v>1.3959999999999999</v>
          </cell>
          <cell r="AC306">
            <v>53.744999999999997</v>
          </cell>
          <cell r="AD306">
            <v>55.747</v>
          </cell>
          <cell r="AE306">
            <v>55.747</v>
          </cell>
          <cell r="AF306">
            <v>49.65</v>
          </cell>
          <cell r="AG306">
            <v>40.347000000000001</v>
          </cell>
          <cell r="AH306">
            <v>40.347000000000001</v>
          </cell>
          <cell r="AI306">
            <v>43.494</v>
          </cell>
          <cell r="AJ306">
            <v>43.957000000000001</v>
          </cell>
          <cell r="AK306">
            <v>43.957000000000001</v>
          </cell>
          <cell r="AL306">
            <v>111.697</v>
          </cell>
          <cell r="AM306">
            <v>104.405</v>
          </cell>
          <cell r="AN306">
            <v>104.405</v>
          </cell>
          <cell r="AO306">
            <v>127.316</v>
          </cell>
          <cell r="AP306">
            <v>149.29300000000001</v>
          </cell>
          <cell r="AQ306">
            <v>149.29300000000001</v>
          </cell>
          <cell r="AR306">
            <v>129.68199999999999</v>
          </cell>
          <cell r="AS306">
            <v>156.565</v>
          </cell>
          <cell r="AT306">
            <v>156.565</v>
          </cell>
          <cell r="AU306">
            <v>191.99100000000001</v>
          </cell>
          <cell r="AV306">
            <v>179.44300000000001</v>
          </cell>
          <cell r="AW306">
            <v>179.44300000000001</v>
          </cell>
          <cell r="AX306">
            <v>226.36666223768103</v>
          </cell>
          <cell r="AY306">
            <v>207.56593553053628</v>
          </cell>
          <cell r="AZ306">
            <v>207.56593553053628</v>
          </cell>
          <cell r="BA306">
            <v>238.24463686146296</v>
          </cell>
          <cell r="BB306">
            <v>218.43567646018437</v>
          </cell>
          <cell r="BC306">
            <v>218.43567646018437</v>
          </cell>
          <cell r="BD306">
            <v>254.56446799180731</v>
          </cell>
          <cell r="BE306">
            <v>233.39376586445042</v>
          </cell>
          <cell r="BF306">
            <v>233.39376586445042</v>
          </cell>
          <cell r="BG306">
            <v>271.70433289453064</v>
          </cell>
          <cell r="BH306">
            <v>249.44341117397903</v>
          </cell>
          <cell r="BI306">
            <v>249.44341117397903</v>
          </cell>
          <cell r="BJ306">
            <v>285.77767927486053</v>
          </cell>
          <cell r="BK306">
            <v>262.70369884388305</v>
          </cell>
          <cell r="BL306">
            <v>262.70369884388305</v>
          </cell>
          <cell r="BM306">
            <v>305.00806114720666</v>
          </cell>
          <cell r="BN306">
            <v>280.72997660180567</v>
          </cell>
          <cell r="BO306">
            <v>280.72997660180567</v>
          </cell>
          <cell r="BP306">
            <v>324.57916408417714</v>
          </cell>
          <cell r="BQ306">
            <v>299.09145850837928</v>
          </cell>
          <cell r="BR306">
            <v>299.09145850837928</v>
          </cell>
        </row>
        <row r="307"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1.7789999999999999</v>
          </cell>
          <cell r="AB307">
            <v>1.7789999999999999</v>
          </cell>
          <cell r="AC307">
            <v>15.862</v>
          </cell>
          <cell r="AD307">
            <v>6.0010000000000003</v>
          </cell>
          <cell r="AE307">
            <v>6.0010000000000003</v>
          </cell>
          <cell r="AF307">
            <v>15.771000000000001</v>
          </cell>
          <cell r="AG307">
            <v>10.675000000000001</v>
          </cell>
          <cell r="AH307">
            <v>10.675000000000001</v>
          </cell>
          <cell r="AI307">
            <v>3.0750000000000002</v>
          </cell>
          <cell r="AJ307">
            <v>6.7779999999999996</v>
          </cell>
          <cell r="AK307">
            <v>6.7779999999999996</v>
          </cell>
          <cell r="AL307">
            <v>4.2030000000000003</v>
          </cell>
          <cell r="AM307">
            <v>13.167</v>
          </cell>
          <cell r="AN307">
            <v>13.167</v>
          </cell>
          <cell r="AO307">
            <v>15.093</v>
          </cell>
          <cell r="AP307">
            <v>26.731000000000002</v>
          </cell>
          <cell r="AQ307">
            <v>26.731000000000002</v>
          </cell>
          <cell r="AR307">
            <v>27.492999999999999</v>
          </cell>
          <cell r="AS307">
            <v>14.08</v>
          </cell>
          <cell r="AT307">
            <v>14.08</v>
          </cell>
          <cell r="AU307">
            <v>22.39</v>
          </cell>
          <cell r="AV307">
            <v>22.808</v>
          </cell>
          <cell r="AW307">
            <v>22.808</v>
          </cell>
          <cell r="AX307">
            <v>22.808</v>
          </cell>
          <cell r="AY307">
            <v>22.808</v>
          </cell>
          <cell r="AZ307">
            <v>22.808</v>
          </cell>
          <cell r="BA307">
            <v>22.808</v>
          </cell>
          <cell r="BB307">
            <v>22.808</v>
          </cell>
          <cell r="BC307">
            <v>22.808</v>
          </cell>
          <cell r="BD307">
            <v>22.808</v>
          </cell>
          <cell r="BE307">
            <v>22.808</v>
          </cell>
          <cell r="BF307">
            <v>22.808</v>
          </cell>
          <cell r="BG307">
            <v>22.808</v>
          </cell>
          <cell r="BH307">
            <v>22.808</v>
          </cell>
          <cell r="BI307">
            <v>22.808</v>
          </cell>
          <cell r="BJ307">
            <v>22.808</v>
          </cell>
          <cell r="BK307">
            <v>22.808</v>
          </cell>
          <cell r="BL307">
            <v>22.808</v>
          </cell>
          <cell r="BM307">
            <v>22.808</v>
          </cell>
          <cell r="BN307">
            <v>22.808</v>
          </cell>
          <cell r="BO307">
            <v>22.808</v>
          </cell>
          <cell r="BP307">
            <v>22.808</v>
          </cell>
          <cell r="BQ307">
            <v>22.808</v>
          </cell>
          <cell r="BR307">
            <v>22.808</v>
          </cell>
        </row>
        <row r="308">
          <cell r="B308" t="str">
            <v>Current inventories</v>
          </cell>
          <cell r="D308" t="str">
            <v>$m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4.077</v>
          </cell>
          <cell r="AD308">
            <v>4.1050000000000004</v>
          </cell>
          <cell r="AE308">
            <v>4.1050000000000004</v>
          </cell>
          <cell r="AF308">
            <v>4.2439999999999998</v>
          </cell>
          <cell r="AG308">
            <v>5.218</v>
          </cell>
          <cell r="AH308">
            <v>5.218</v>
          </cell>
          <cell r="AI308">
            <v>4.9649999999999999</v>
          </cell>
          <cell r="AJ308">
            <v>5.2809999999999997</v>
          </cell>
          <cell r="AK308">
            <v>5.2809999999999997</v>
          </cell>
          <cell r="AL308">
            <v>5.8780000000000001</v>
          </cell>
          <cell r="AM308">
            <v>6.492</v>
          </cell>
          <cell r="AN308">
            <v>6.492</v>
          </cell>
          <cell r="AO308">
            <v>6.1479999999999997</v>
          </cell>
          <cell r="AP308">
            <v>7.1950000000000003</v>
          </cell>
          <cell r="AQ308">
            <v>7.1950000000000003</v>
          </cell>
          <cell r="AR308">
            <v>7.1719999999999997</v>
          </cell>
          <cell r="AS308">
            <v>8.1790000000000003</v>
          </cell>
          <cell r="AT308">
            <v>8.1790000000000003</v>
          </cell>
          <cell r="AU308">
            <v>9.4700000000000006</v>
          </cell>
          <cell r="AV308">
            <v>8.3930000000000007</v>
          </cell>
          <cell r="AW308">
            <v>8.3930000000000007</v>
          </cell>
          <cell r="AX308">
            <v>16.977499667826077</v>
          </cell>
          <cell r="AY308">
            <v>17.297161294211357</v>
          </cell>
          <cell r="AZ308">
            <v>17.297161294211357</v>
          </cell>
          <cell r="BA308">
            <v>17.86834776460972</v>
          </cell>
          <cell r="BB308">
            <v>18.202973038348695</v>
          </cell>
          <cell r="BC308">
            <v>18.202973038348695</v>
          </cell>
          <cell r="BD308">
            <v>19.092335099385547</v>
          </cell>
          <cell r="BE308">
            <v>19.4494804887042</v>
          </cell>
          <cell r="BF308">
            <v>19.4494804887042</v>
          </cell>
          <cell r="BG308">
            <v>20.377824967089797</v>
          </cell>
          <cell r="BH308">
            <v>20.78695093116492</v>
          </cell>
          <cell r="BI308">
            <v>20.78695093116492</v>
          </cell>
          <cell r="BJ308">
            <v>21.433325945614538</v>
          </cell>
          <cell r="BK308">
            <v>21.891974903656919</v>
          </cell>
          <cell r="BL308">
            <v>21.891974903656919</v>
          </cell>
          <cell r="BM308">
            <v>22.875604586040499</v>
          </cell>
          <cell r="BN308">
            <v>23.394164716817141</v>
          </cell>
          <cell r="BO308">
            <v>23.394164716817141</v>
          </cell>
          <cell r="BP308">
            <v>24.34343730631328</v>
          </cell>
          <cell r="BQ308">
            <v>24.924288209031605</v>
          </cell>
          <cell r="BR308">
            <v>24.924288209031605</v>
          </cell>
        </row>
        <row r="309"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7.9000000000000001E-2</v>
          </cell>
          <cell r="AB309">
            <v>7.9000000000000001E-2</v>
          </cell>
          <cell r="AC309">
            <v>10.425000000000001</v>
          </cell>
          <cell r="AD309">
            <v>9.0540000000000003</v>
          </cell>
          <cell r="AE309">
            <v>9.0540000000000003</v>
          </cell>
          <cell r="AF309">
            <v>11.159000000000001</v>
          </cell>
          <cell r="AG309">
            <v>9.1959999999999997</v>
          </cell>
          <cell r="AH309">
            <v>9.1959999999999997</v>
          </cell>
          <cell r="AI309">
            <v>8.3219999999999992</v>
          </cell>
          <cell r="AJ309">
            <v>9.4030000000000005</v>
          </cell>
          <cell r="AK309">
            <v>9.4030000000000005</v>
          </cell>
          <cell r="AL309">
            <v>9.2810000000000006</v>
          </cell>
          <cell r="AM309">
            <v>10.739000000000001</v>
          </cell>
          <cell r="AN309">
            <v>10.739000000000001</v>
          </cell>
          <cell r="AO309">
            <v>9.6950000000000003</v>
          </cell>
          <cell r="AP309">
            <v>7.819</v>
          </cell>
          <cell r="AQ309">
            <v>7.819</v>
          </cell>
          <cell r="AR309">
            <v>8.6639999999999997</v>
          </cell>
          <cell r="AS309">
            <v>17.658999999999999</v>
          </cell>
          <cell r="AT309">
            <v>17.658999999999999</v>
          </cell>
          <cell r="AU309">
            <v>14.487</v>
          </cell>
          <cell r="AV309">
            <v>15.292</v>
          </cell>
          <cell r="AW309">
            <v>15.292</v>
          </cell>
          <cell r="AX309">
            <v>15.292</v>
          </cell>
          <cell r="AY309">
            <v>15.292</v>
          </cell>
          <cell r="AZ309">
            <v>15.292</v>
          </cell>
          <cell r="BA309">
            <v>15.292</v>
          </cell>
          <cell r="BB309">
            <v>15.292</v>
          </cell>
          <cell r="BC309">
            <v>15.292</v>
          </cell>
          <cell r="BD309">
            <v>15.292</v>
          </cell>
          <cell r="BE309">
            <v>15.292</v>
          </cell>
          <cell r="BF309">
            <v>15.292</v>
          </cell>
          <cell r="BG309">
            <v>15.292</v>
          </cell>
          <cell r="BH309">
            <v>15.292</v>
          </cell>
          <cell r="BI309">
            <v>15.292</v>
          </cell>
          <cell r="BJ309">
            <v>15.292</v>
          </cell>
          <cell r="BK309">
            <v>15.292</v>
          </cell>
          <cell r="BL309">
            <v>15.292</v>
          </cell>
          <cell r="BM309">
            <v>15.292</v>
          </cell>
          <cell r="BN309">
            <v>15.292</v>
          </cell>
          <cell r="BO309">
            <v>15.292</v>
          </cell>
          <cell r="BP309">
            <v>15.292</v>
          </cell>
          <cell r="BQ309">
            <v>15.292</v>
          </cell>
          <cell r="BR309">
            <v>15.292</v>
          </cell>
        </row>
        <row r="310">
          <cell r="B310" t="str">
            <v>Total Current Assets</v>
          </cell>
          <cell r="D310" t="str">
            <v>$m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28.975000000000001</v>
          </cell>
          <cell r="AB310">
            <v>28.975000000000001</v>
          </cell>
          <cell r="AC310">
            <v>104.47999999999999</v>
          </cell>
          <cell r="AD310">
            <v>100.688</v>
          </cell>
          <cell r="AE310">
            <v>100.688</v>
          </cell>
          <cell r="AF310">
            <v>102.154</v>
          </cell>
          <cell r="AG310">
            <v>76.997</v>
          </cell>
          <cell r="AH310">
            <v>76.997</v>
          </cell>
          <cell r="AI310">
            <v>73.347000000000008</v>
          </cell>
          <cell r="AJ310">
            <v>79.818000000000012</v>
          </cell>
          <cell r="AK310">
            <v>79.818000000000012</v>
          </cell>
          <cell r="AL310">
            <v>147.13800000000003</v>
          </cell>
          <cell r="AM310">
            <v>135.988</v>
          </cell>
          <cell r="AN310">
            <v>135.988</v>
          </cell>
          <cell r="AO310">
            <v>461.58500000000004</v>
          </cell>
          <cell r="AP310">
            <v>486.63600000000002</v>
          </cell>
          <cell r="AQ310">
            <v>486.63600000000002</v>
          </cell>
          <cell r="AR310">
            <v>252.28299999999999</v>
          </cell>
          <cell r="AS310">
            <v>242.80700000000002</v>
          </cell>
          <cell r="AT310">
            <v>242.80700000000002</v>
          </cell>
          <cell r="AU310">
            <v>248.06799999999998</v>
          </cell>
          <cell r="AV310">
            <v>257.30399999999997</v>
          </cell>
          <cell r="AW310">
            <v>257.30399999999997</v>
          </cell>
          <cell r="AX310">
            <v>312.81216190550708</v>
          </cell>
          <cell r="AY310">
            <v>294.33109682474765</v>
          </cell>
          <cell r="AZ310">
            <v>294.33109682474765</v>
          </cell>
          <cell r="BA310">
            <v>325.58098462607268</v>
          </cell>
          <cell r="BB310">
            <v>306.10664949853305</v>
          </cell>
          <cell r="BC310">
            <v>306.10664949853305</v>
          </cell>
          <cell r="BD310">
            <v>343.1248030911928</v>
          </cell>
          <cell r="BE310">
            <v>322.31124635315456</v>
          </cell>
          <cell r="BF310">
            <v>322.31124635315456</v>
          </cell>
          <cell r="BG310">
            <v>361.55015786162039</v>
          </cell>
          <cell r="BH310">
            <v>339.69836210514393</v>
          </cell>
          <cell r="BI310">
            <v>339.69836210514393</v>
          </cell>
          <cell r="BJ310">
            <v>376.67900522047501</v>
          </cell>
          <cell r="BK310">
            <v>354.06367374753995</v>
          </cell>
          <cell r="BL310">
            <v>354.06367374753995</v>
          </cell>
          <cell r="BM310">
            <v>397.3516657332471</v>
          </cell>
          <cell r="BN310">
            <v>373.59214131862279</v>
          </cell>
          <cell r="BO310">
            <v>373.59214131862279</v>
          </cell>
          <cell r="BP310">
            <v>418.39060139049036</v>
          </cell>
          <cell r="BQ310">
            <v>393.48374671741084</v>
          </cell>
          <cell r="BR310">
            <v>393.48374671741084</v>
          </cell>
        </row>
        <row r="312"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2.6179999999999999</v>
          </cell>
          <cell r="AB312">
            <v>2.6179999999999999</v>
          </cell>
          <cell r="AC312">
            <v>10.25</v>
          </cell>
          <cell r="AD312">
            <v>14.192</v>
          </cell>
          <cell r="AE312">
            <v>14.192</v>
          </cell>
          <cell r="AF312">
            <v>10.762</v>
          </cell>
          <cell r="AG312">
            <v>3.149</v>
          </cell>
          <cell r="AH312">
            <v>3.149</v>
          </cell>
          <cell r="AI312">
            <v>12.77</v>
          </cell>
          <cell r="AJ312">
            <v>6.3940000000000001</v>
          </cell>
          <cell r="AK312">
            <v>6.3940000000000001</v>
          </cell>
          <cell r="AL312">
            <v>6.48</v>
          </cell>
          <cell r="AM312">
            <v>8.9139999999999997</v>
          </cell>
          <cell r="AN312">
            <v>8.9139999999999997</v>
          </cell>
          <cell r="AO312">
            <v>12.723000000000001</v>
          </cell>
          <cell r="AP312">
            <v>15.79</v>
          </cell>
          <cell r="AQ312">
            <v>15.79</v>
          </cell>
          <cell r="AR312">
            <v>16.991</v>
          </cell>
          <cell r="AS312">
            <v>15.311</v>
          </cell>
          <cell r="AT312">
            <v>15.311</v>
          </cell>
          <cell r="AU312">
            <v>16.495000000000001</v>
          </cell>
          <cell r="AV312">
            <v>16.459</v>
          </cell>
          <cell r="AW312">
            <v>16.459</v>
          </cell>
          <cell r="AX312">
            <v>16.459</v>
          </cell>
          <cell r="AY312">
            <v>16.459</v>
          </cell>
          <cell r="AZ312">
            <v>16.459</v>
          </cell>
          <cell r="BA312">
            <v>16.459</v>
          </cell>
          <cell r="BB312">
            <v>16.459</v>
          </cell>
          <cell r="BC312">
            <v>16.459</v>
          </cell>
          <cell r="BD312">
            <v>16.459</v>
          </cell>
          <cell r="BE312">
            <v>16.459</v>
          </cell>
          <cell r="BF312">
            <v>16.459</v>
          </cell>
          <cell r="BG312">
            <v>16.459</v>
          </cell>
          <cell r="BH312">
            <v>16.459</v>
          </cell>
          <cell r="BI312">
            <v>16.459</v>
          </cell>
          <cell r="BJ312">
            <v>16.459</v>
          </cell>
          <cell r="BK312">
            <v>16.459</v>
          </cell>
          <cell r="BL312">
            <v>16.459</v>
          </cell>
          <cell r="BM312">
            <v>16.459</v>
          </cell>
          <cell r="BN312">
            <v>16.459</v>
          </cell>
          <cell r="BO312">
            <v>16.459</v>
          </cell>
          <cell r="BP312">
            <v>16.459</v>
          </cell>
          <cell r="BQ312">
            <v>16.459</v>
          </cell>
          <cell r="BR312">
            <v>16.459</v>
          </cell>
        </row>
        <row r="313">
          <cell r="B313" t="str">
            <v>Property, plant and equipment</v>
          </cell>
          <cell r="D313" t="str">
            <v>$m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376.95</v>
          </cell>
          <cell r="AD313">
            <v>417.35399999999998</v>
          </cell>
          <cell r="AE313">
            <v>417.35399999999998</v>
          </cell>
          <cell r="AF313">
            <v>381.488</v>
          </cell>
          <cell r="AG313">
            <v>380.55099999999999</v>
          </cell>
          <cell r="AH313">
            <v>380.55099999999999</v>
          </cell>
          <cell r="AI313">
            <v>376.66500000000002</v>
          </cell>
          <cell r="AJ313">
            <v>370.04399999999998</v>
          </cell>
          <cell r="AK313">
            <v>370.04399999999998</v>
          </cell>
          <cell r="AL313">
            <v>455.25099999999998</v>
          </cell>
          <cell r="AM313">
            <v>460.63099999999997</v>
          </cell>
          <cell r="AN313">
            <v>460.63099999999997</v>
          </cell>
          <cell r="AO313">
            <v>535.61300000000006</v>
          </cell>
          <cell r="AP313">
            <v>609.17100000000005</v>
          </cell>
          <cell r="AQ313">
            <v>609.17100000000005</v>
          </cell>
          <cell r="AR313">
            <v>670.89099999999996</v>
          </cell>
          <cell r="AS313">
            <v>714.28300000000002</v>
          </cell>
          <cell r="AT313">
            <v>714.28300000000002</v>
          </cell>
          <cell r="AU313">
            <v>728.33100000000002</v>
          </cell>
          <cell r="AV313">
            <v>728.22400000000005</v>
          </cell>
          <cell r="AW313">
            <v>728.22400000000005</v>
          </cell>
          <cell r="AX313">
            <v>724.87995738863094</v>
          </cell>
          <cell r="AY313">
            <v>759.2951790664489</v>
          </cell>
          <cell r="AZ313">
            <v>759.2951790664489</v>
          </cell>
          <cell r="BA313">
            <v>750.04508452883067</v>
          </cell>
          <cell r="BB313">
            <v>787.61432306578911</v>
          </cell>
          <cell r="BC313">
            <v>787.61432306578911</v>
          </cell>
          <cell r="BD313">
            <v>777.01937009081962</v>
          </cell>
          <cell r="BE313">
            <v>794.31090467128581</v>
          </cell>
          <cell r="BF313">
            <v>794.31090467128581</v>
          </cell>
          <cell r="BG313">
            <v>782.92304147814036</v>
          </cell>
          <cell r="BH313">
            <v>800.41435695366704</v>
          </cell>
          <cell r="BI313">
            <v>800.41435695366704</v>
          </cell>
          <cell r="BJ313">
            <v>788.73664462881334</v>
          </cell>
          <cell r="BK313">
            <v>786.86293408427548</v>
          </cell>
          <cell r="BL313">
            <v>786.86293408427548</v>
          </cell>
          <cell r="BM313">
            <v>775.35387661038101</v>
          </cell>
          <cell r="BN313">
            <v>774.51178722842133</v>
          </cell>
          <cell r="BO313">
            <v>774.51178722842133</v>
          </cell>
          <cell r="BP313">
            <v>763.5892779941363</v>
          </cell>
          <cell r="BQ313">
            <v>753.69746536719458</v>
          </cell>
          <cell r="BR313">
            <v>753.69746536719458</v>
          </cell>
        </row>
        <row r="314">
          <cell r="B314" t="str">
            <v>Non-current investments</v>
          </cell>
          <cell r="D314" t="str">
            <v>$m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142.91800000000001</v>
          </cell>
          <cell r="AB314">
            <v>142.91800000000001</v>
          </cell>
          <cell r="AC314">
            <v>12.817</v>
          </cell>
          <cell r="AD314">
            <v>9.32</v>
          </cell>
          <cell r="AE314">
            <v>9.32</v>
          </cell>
          <cell r="AF314">
            <v>10.042</v>
          </cell>
          <cell r="AG314">
            <v>8.6950000000000003</v>
          </cell>
          <cell r="AH314">
            <v>8.6950000000000003</v>
          </cell>
          <cell r="AI314">
            <v>8.8800000000000008</v>
          </cell>
          <cell r="AJ314">
            <v>11.135</v>
          </cell>
          <cell r="AK314">
            <v>11.135</v>
          </cell>
          <cell r="AL314">
            <v>23.932000000000002</v>
          </cell>
          <cell r="AM314">
            <v>22.888000000000002</v>
          </cell>
          <cell r="AN314">
            <v>22.888000000000002</v>
          </cell>
          <cell r="AO314">
            <v>21.911999999999999</v>
          </cell>
          <cell r="AP314">
            <v>26.481000000000002</v>
          </cell>
          <cell r="AQ314">
            <v>26.481000000000002</v>
          </cell>
          <cell r="AR314">
            <v>615.87599999999998</v>
          </cell>
          <cell r="AS314">
            <v>663.67</v>
          </cell>
          <cell r="AT314">
            <v>663.67</v>
          </cell>
          <cell r="AU314">
            <v>692.22199999999998</v>
          </cell>
          <cell r="AV314">
            <v>973.60799999999995</v>
          </cell>
          <cell r="AW314">
            <v>973.60799999999995</v>
          </cell>
          <cell r="AX314">
            <v>1133.1650718847313</v>
          </cell>
          <cell r="AY314">
            <v>1206.8617243610563</v>
          </cell>
          <cell r="AZ314">
            <v>1206.8617243610563</v>
          </cell>
          <cell r="BA314">
            <v>1279.0005214160101</v>
          </cell>
          <cell r="BB314">
            <v>1354.119408134175</v>
          </cell>
          <cell r="BC314">
            <v>1354.119408134175</v>
          </cell>
          <cell r="BD314">
            <v>1430.757693544188</v>
          </cell>
          <cell r="BE314">
            <v>1521.7960334755535</v>
          </cell>
          <cell r="BF314">
            <v>1521.7960334755535</v>
          </cell>
          <cell r="BG314">
            <v>1605.5945726446996</v>
          </cell>
          <cell r="BH314">
            <v>1706.2799992233188</v>
          </cell>
          <cell r="BI314">
            <v>1706.2799992233188</v>
          </cell>
          <cell r="BJ314">
            <v>1706.2799992233188</v>
          </cell>
          <cell r="BK314">
            <v>1706.2799992233188</v>
          </cell>
          <cell r="BL314">
            <v>1706.2799992233188</v>
          </cell>
          <cell r="BM314">
            <v>1706.2799992233188</v>
          </cell>
          <cell r="BN314">
            <v>1706.2799992233188</v>
          </cell>
          <cell r="BO314">
            <v>1706.2799992233188</v>
          </cell>
          <cell r="BP314">
            <v>1706.2799992233188</v>
          </cell>
          <cell r="BQ314">
            <v>1706.2799992233188</v>
          </cell>
          <cell r="BR314">
            <v>1706.2799992233188</v>
          </cell>
        </row>
        <row r="315"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0.52800000000000002</v>
          </cell>
          <cell r="AT315">
            <v>0.52800000000000002</v>
          </cell>
          <cell r="AU315">
            <v>0.52800000000000002</v>
          </cell>
          <cell r="AV315">
            <v>0.52800000000000002</v>
          </cell>
          <cell r="AW315">
            <v>0.52800000000000002</v>
          </cell>
          <cell r="AX315">
            <v>-99.471999999999994</v>
          </cell>
          <cell r="AY315">
            <v>-199.47199999999998</v>
          </cell>
          <cell r="AZ315">
            <v>-199.47199999999998</v>
          </cell>
          <cell r="BA315">
            <v>-199.47199999999998</v>
          </cell>
          <cell r="BB315">
            <v>-199.47199999999998</v>
          </cell>
          <cell r="BC315">
            <v>-199.47199999999998</v>
          </cell>
          <cell r="BD315">
            <v>-199.47199999999998</v>
          </cell>
          <cell r="BE315">
            <v>-199.47199999999998</v>
          </cell>
          <cell r="BF315">
            <v>-199.47199999999998</v>
          </cell>
          <cell r="BG315">
            <v>-199.47199999999998</v>
          </cell>
          <cell r="BH315">
            <v>-199.47199999999998</v>
          </cell>
          <cell r="BI315">
            <v>-199.47199999999998</v>
          </cell>
          <cell r="BJ315">
            <v>-199.47199999999998</v>
          </cell>
          <cell r="BK315">
            <v>-199.47199999999998</v>
          </cell>
          <cell r="BL315">
            <v>-199.47199999999998</v>
          </cell>
          <cell r="BM315">
            <v>-199.47199999999998</v>
          </cell>
          <cell r="BN315">
            <v>-199.47199999999998</v>
          </cell>
          <cell r="BO315">
            <v>-199.47199999999998</v>
          </cell>
          <cell r="BP315">
            <v>-199.47199999999998</v>
          </cell>
          <cell r="BQ315">
            <v>-199.47199999999998</v>
          </cell>
          <cell r="BR315">
            <v>-199.47199999999998</v>
          </cell>
        </row>
        <row r="316"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 t="str">
            <v>Net intangibles (expand for detail)</v>
          </cell>
          <cell r="D317" t="str">
            <v>$m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8.1720000000000006</v>
          </cell>
          <cell r="AD317">
            <v>7.8929999999999998</v>
          </cell>
          <cell r="AE317">
            <v>7.8929999999999998</v>
          </cell>
          <cell r="AF317">
            <v>7.6130000000000004</v>
          </cell>
          <cell r="AG317">
            <v>7.3339999999999996</v>
          </cell>
          <cell r="AH317">
            <v>7.3339999999999996</v>
          </cell>
          <cell r="AI317">
            <v>7.0540000000000003</v>
          </cell>
          <cell r="AJ317">
            <v>6.8090000000000002</v>
          </cell>
          <cell r="AK317">
            <v>6.8090000000000002</v>
          </cell>
          <cell r="AL317">
            <v>97.771000000000001</v>
          </cell>
          <cell r="AM317">
            <v>100.527</v>
          </cell>
          <cell r="AN317">
            <v>100.527</v>
          </cell>
          <cell r="AO317">
            <v>110.872</v>
          </cell>
          <cell r="AP317">
            <v>111.764</v>
          </cell>
          <cell r="AQ317">
            <v>111.764</v>
          </cell>
          <cell r="AR317">
            <v>130.84299999999999</v>
          </cell>
          <cell r="AS317">
            <v>165.166</v>
          </cell>
          <cell r="AT317">
            <v>165.166</v>
          </cell>
          <cell r="AU317">
            <v>178.35</v>
          </cell>
          <cell r="AV317">
            <v>172.75299999999999</v>
          </cell>
          <cell r="AW317">
            <v>172.75299999999999</v>
          </cell>
          <cell r="AX317">
            <v>168.21093499999998</v>
          </cell>
          <cell r="AY317">
            <v>162.46899999999999</v>
          </cell>
          <cell r="AZ317">
            <v>162.46899999999999</v>
          </cell>
          <cell r="BA317">
            <v>157.92693499999999</v>
          </cell>
          <cell r="BB317">
            <v>152.185</v>
          </cell>
          <cell r="BC317">
            <v>152.185</v>
          </cell>
          <cell r="BD317">
            <v>149.39089999999999</v>
          </cell>
          <cell r="BE317">
            <v>141.90100000000001</v>
          </cell>
          <cell r="BF317">
            <v>141.90100000000001</v>
          </cell>
          <cell r="BG317">
            <v>139.1069</v>
          </cell>
          <cell r="BH317">
            <v>132.09175000000002</v>
          </cell>
          <cell r="BI317">
            <v>132.09175000000002</v>
          </cell>
          <cell r="BJ317">
            <v>129.29765000000003</v>
          </cell>
          <cell r="BK317">
            <v>126.50355000000002</v>
          </cell>
          <cell r="BL317">
            <v>126.50355000000002</v>
          </cell>
          <cell r="BM317">
            <v>123.70945000000002</v>
          </cell>
          <cell r="BN317">
            <v>120.91535000000002</v>
          </cell>
          <cell r="BO317">
            <v>120.91535000000002</v>
          </cell>
          <cell r="BP317">
            <v>118.12125000000002</v>
          </cell>
          <cell r="BQ317">
            <v>115.32715000000002</v>
          </cell>
          <cell r="BR317">
            <v>115.32715000000002</v>
          </cell>
        </row>
        <row r="318">
          <cell r="B318" t="str">
            <v xml:space="preserve">     Goodwill</v>
          </cell>
          <cell r="D318" t="str">
            <v>$m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8.1720000000000006</v>
          </cell>
          <cell r="AD318">
            <v>7.8929999999999998</v>
          </cell>
          <cell r="AE318">
            <v>7.8929999999999998</v>
          </cell>
          <cell r="AF318">
            <v>7.6130000000000004</v>
          </cell>
          <cell r="AG318">
            <v>7.3339999999999996</v>
          </cell>
          <cell r="AH318">
            <v>7.3339999999999996</v>
          </cell>
          <cell r="AI318">
            <v>7.0540000000000003</v>
          </cell>
          <cell r="AJ318">
            <v>6.8090000000000002</v>
          </cell>
          <cell r="AK318">
            <v>6.8090000000000002</v>
          </cell>
          <cell r="AL318">
            <v>97.771000000000001</v>
          </cell>
          <cell r="AM318">
            <v>100.527</v>
          </cell>
          <cell r="AN318">
            <v>100.527</v>
          </cell>
          <cell r="AO318">
            <v>110.872</v>
          </cell>
          <cell r="AP318">
            <v>111.764</v>
          </cell>
          <cell r="AQ318">
            <v>111.764</v>
          </cell>
          <cell r="AR318">
            <v>130.84299999999999</v>
          </cell>
          <cell r="AS318">
            <v>165.166</v>
          </cell>
          <cell r="AT318">
            <v>165.166</v>
          </cell>
          <cell r="AU318">
            <v>178.35</v>
          </cell>
          <cell r="AV318">
            <v>172.75299999999999</v>
          </cell>
          <cell r="AW318">
            <v>172.75299999999999</v>
          </cell>
          <cell r="AX318">
            <v>168.21093499999998</v>
          </cell>
          <cell r="AY318">
            <v>162.46899999999999</v>
          </cell>
          <cell r="AZ318">
            <v>162.46899999999999</v>
          </cell>
          <cell r="BA318">
            <v>157.92693499999999</v>
          </cell>
          <cell r="BB318">
            <v>152.185</v>
          </cell>
          <cell r="BC318">
            <v>152.185</v>
          </cell>
          <cell r="BD318">
            <v>149.39089999999999</v>
          </cell>
          <cell r="BE318">
            <v>141.90100000000001</v>
          </cell>
          <cell r="BF318">
            <v>141.90100000000001</v>
          </cell>
          <cell r="BG318">
            <v>139.1069</v>
          </cell>
          <cell r="BH318">
            <v>132.09175000000002</v>
          </cell>
          <cell r="BI318">
            <v>132.09175000000002</v>
          </cell>
          <cell r="BJ318">
            <v>129.29765000000003</v>
          </cell>
          <cell r="BK318">
            <v>126.50355000000002</v>
          </cell>
          <cell r="BL318">
            <v>126.50355000000002</v>
          </cell>
          <cell r="BM318">
            <v>123.70945000000002</v>
          </cell>
          <cell r="BN318">
            <v>120.91535000000002</v>
          </cell>
          <cell r="BO318">
            <v>120.91535000000002</v>
          </cell>
          <cell r="BP318">
            <v>118.12125000000002</v>
          </cell>
          <cell r="BQ318">
            <v>115.32715000000002</v>
          </cell>
          <cell r="BR318">
            <v>115.32715000000002</v>
          </cell>
        </row>
        <row r="319">
          <cell r="B319" t="str">
            <v xml:space="preserve">     Other intangibles</v>
          </cell>
          <cell r="D319" t="str">
            <v>$m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 t="str">
            <v>Future income tax benefit</v>
          </cell>
          <cell r="D320" t="str">
            <v>$m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27.239000000000001</v>
          </cell>
          <cell r="AE320">
            <v>27.239000000000001</v>
          </cell>
          <cell r="AF320">
            <v>0</v>
          </cell>
          <cell r="AG320">
            <v>39.326000000000001</v>
          </cell>
          <cell r="AH320">
            <v>39.326000000000001</v>
          </cell>
          <cell r="AI320">
            <v>33.86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</row>
        <row r="321"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1.208</v>
          </cell>
          <cell r="AB321">
            <v>1.208</v>
          </cell>
          <cell r="AC321">
            <v>49.930999999999997</v>
          </cell>
          <cell r="AD321">
            <v>7.639999999999997</v>
          </cell>
          <cell r="AE321">
            <v>7.639999999999997</v>
          </cell>
          <cell r="AF321">
            <v>8.9580000000000002</v>
          </cell>
          <cell r="AG321">
            <v>2.8130000000000024</v>
          </cell>
          <cell r="AH321">
            <v>2.8130000000000024</v>
          </cell>
          <cell r="AI321">
            <v>5.0999999999999996</v>
          </cell>
          <cell r="AJ321">
            <v>35.784999999999997</v>
          </cell>
          <cell r="AK321">
            <v>35.784999999999997</v>
          </cell>
          <cell r="AL321">
            <v>40.128999999999998</v>
          </cell>
          <cell r="AM321">
            <v>25.181999999999999</v>
          </cell>
          <cell r="AN321">
            <v>25.181999999999999</v>
          </cell>
          <cell r="AO321">
            <v>25.526</v>
          </cell>
          <cell r="AP321">
            <v>27.058</v>
          </cell>
          <cell r="AQ321">
            <v>27.058</v>
          </cell>
          <cell r="AR321">
            <v>29.099999999999998</v>
          </cell>
          <cell r="AS321">
            <v>32.641999999999996</v>
          </cell>
          <cell r="AT321">
            <v>32.641999999999996</v>
          </cell>
          <cell r="AU321">
            <v>37.805</v>
          </cell>
          <cell r="AV321">
            <v>29.939</v>
          </cell>
          <cell r="AW321">
            <v>29.939</v>
          </cell>
          <cell r="AX321">
            <v>29.939</v>
          </cell>
          <cell r="AY321">
            <v>29.939</v>
          </cell>
          <cell r="AZ321">
            <v>29.939</v>
          </cell>
          <cell r="BA321">
            <v>29.939</v>
          </cell>
          <cell r="BB321">
            <v>29.939</v>
          </cell>
          <cell r="BC321">
            <v>29.939</v>
          </cell>
          <cell r="BD321">
            <v>29.939</v>
          </cell>
          <cell r="BE321">
            <v>29.939</v>
          </cell>
          <cell r="BF321">
            <v>29.939</v>
          </cell>
          <cell r="BG321">
            <v>29.939</v>
          </cell>
          <cell r="BH321">
            <v>29.939</v>
          </cell>
          <cell r="BI321">
            <v>29.939</v>
          </cell>
          <cell r="BJ321">
            <v>29.939</v>
          </cell>
          <cell r="BK321">
            <v>29.939</v>
          </cell>
          <cell r="BL321">
            <v>29.939</v>
          </cell>
          <cell r="BM321">
            <v>29.939</v>
          </cell>
          <cell r="BN321">
            <v>29.939</v>
          </cell>
          <cell r="BO321">
            <v>29.939</v>
          </cell>
          <cell r="BP321">
            <v>29.939</v>
          </cell>
          <cell r="BQ321">
            <v>29.939</v>
          </cell>
          <cell r="BR321">
            <v>29.939</v>
          </cell>
        </row>
        <row r="322">
          <cell r="B322" t="str">
            <v>Total Non-Current Assets</v>
          </cell>
          <cell r="D322" t="str">
            <v>$m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146.744</v>
          </cell>
          <cell r="AB322">
            <v>146.744</v>
          </cell>
          <cell r="AC322">
            <v>458.12</v>
          </cell>
          <cell r="AD322">
            <v>483.63799999999992</v>
          </cell>
          <cell r="AE322">
            <v>483.63799999999992</v>
          </cell>
          <cell r="AF322">
            <v>418.863</v>
          </cell>
          <cell r="AG322">
            <v>441.86799999999999</v>
          </cell>
          <cell r="AH322">
            <v>441.86799999999999</v>
          </cell>
          <cell r="AI322">
            <v>444.32900000000001</v>
          </cell>
          <cell r="AJ322">
            <v>430.16700000000003</v>
          </cell>
          <cell r="AK322">
            <v>430.16700000000003</v>
          </cell>
          <cell r="AL322">
            <v>623.56299999999999</v>
          </cell>
          <cell r="AM322">
            <v>618.14199999999994</v>
          </cell>
          <cell r="AN322">
            <v>618.14199999999994</v>
          </cell>
          <cell r="AO322">
            <v>706.64599999999996</v>
          </cell>
          <cell r="AP322">
            <v>790.26400000000001</v>
          </cell>
          <cell r="AQ322">
            <v>790.26400000000001</v>
          </cell>
          <cell r="AR322">
            <v>1463.7009999999998</v>
          </cell>
          <cell r="AS322">
            <v>1591.6000000000001</v>
          </cell>
          <cell r="AT322">
            <v>1591.6000000000001</v>
          </cell>
          <cell r="AU322">
            <v>1653.203</v>
          </cell>
          <cell r="AV322">
            <v>1921.511</v>
          </cell>
          <cell r="AW322">
            <v>1921.511</v>
          </cell>
          <cell r="AX322">
            <v>2072.6539642733624</v>
          </cell>
          <cell r="AY322">
            <v>2175.023903427505</v>
          </cell>
          <cell r="AZ322">
            <v>2175.023903427505</v>
          </cell>
          <cell r="BA322">
            <v>2233.3705409448407</v>
          </cell>
          <cell r="BB322">
            <v>2340.3167311999641</v>
          </cell>
          <cell r="BC322">
            <v>2340.3167311999641</v>
          </cell>
          <cell r="BD322">
            <v>2403.5659636350074</v>
          </cell>
          <cell r="BE322">
            <v>2504.4059381468392</v>
          </cell>
          <cell r="BF322">
            <v>2504.4059381468392</v>
          </cell>
          <cell r="BG322">
            <v>2574.0225141228398</v>
          </cell>
          <cell r="BH322">
            <v>2685.1841061769856</v>
          </cell>
          <cell r="BI322">
            <v>2685.1841061769856</v>
          </cell>
          <cell r="BJ322">
            <v>2670.712293852132</v>
          </cell>
          <cell r="BK322">
            <v>2666.044483307594</v>
          </cell>
          <cell r="BL322">
            <v>2666.044483307594</v>
          </cell>
          <cell r="BM322">
            <v>2651.7413258336992</v>
          </cell>
          <cell r="BN322">
            <v>2648.1051364517402</v>
          </cell>
          <cell r="BO322">
            <v>2648.1051364517402</v>
          </cell>
          <cell r="BP322">
            <v>2634.3885272174552</v>
          </cell>
          <cell r="BQ322">
            <v>2621.7026145905133</v>
          </cell>
          <cell r="BR322">
            <v>2621.7026145905133</v>
          </cell>
        </row>
        <row r="323">
          <cell r="B323" t="str">
            <v>Total Assets</v>
          </cell>
          <cell r="D323" t="str">
            <v>$m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175.71899999999999</v>
          </cell>
          <cell r="AB323">
            <v>175.71899999999999</v>
          </cell>
          <cell r="AC323">
            <v>562.6</v>
          </cell>
          <cell r="AD323">
            <v>584.32599999999991</v>
          </cell>
          <cell r="AE323">
            <v>584.32599999999991</v>
          </cell>
          <cell r="AF323">
            <v>521.01700000000005</v>
          </cell>
          <cell r="AG323">
            <v>518.86500000000001</v>
          </cell>
          <cell r="AH323">
            <v>518.86500000000001</v>
          </cell>
          <cell r="AI323">
            <v>517.67600000000004</v>
          </cell>
          <cell r="AJ323">
            <v>509.98500000000001</v>
          </cell>
          <cell r="AK323">
            <v>509.98500000000001</v>
          </cell>
          <cell r="AL323">
            <v>770.70100000000002</v>
          </cell>
          <cell r="AM323">
            <v>754.12999999999988</v>
          </cell>
          <cell r="AN323">
            <v>754.12999999999988</v>
          </cell>
          <cell r="AO323">
            <v>1168.231</v>
          </cell>
          <cell r="AP323">
            <v>1276.9000000000001</v>
          </cell>
          <cell r="AQ323">
            <v>1276.9000000000001</v>
          </cell>
          <cell r="AR323">
            <v>1715.9839999999997</v>
          </cell>
          <cell r="AS323">
            <v>1834.4070000000002</v>
          </cell>
          <cell r="AT323">
            <v>1834.4070000000002</v>
          </cell>
          <cell r="AU323">
            <v>1901.271</v>
          </cell>
          <cell r="AV323">
            <v>2178.8150000000001</v>
          </cell>
          <cell r="AW323">
            <v>2178.8150000000001</v>
          </cell>
          <cell r="AX323">
            <v>2385.4661261788697</v>
          </cell>
          <cell r="AY323">
            <v>2469.3550002522525</v>
          </cell>
          <cell r="AZ323">
            <v>2469.3550002522525</v>
          </cell>
          <cell r="BA323">
            <v>2558.9515255709134</v>
          </cell>
          <cell r="BB323">
            <v>2646.4233806984971</v>
          </cell>
          <cell r="BC323">
            <v>2646.4233806984971</v>
          </cell>
          <cell r="BD323">
            <v>2746.6907667262003</v>
          </cell>
          <cell r="BE323">
            <v>2826.7171844999939</v>
          </cell>
          <cell r="BF323">
            <v>2826.7171844999939</v>
          </cell>
          <cell r="BG323">
            <v>2935.5726719844602</v>
          </cell>
          <cell r="BH323">
            <v>3024.8824682821296</v>
          </cell>
          <cell r="BI323">
            <v>3024.8824682821296</v>
          </cell>
          <cell r="BJ323">
            <v>3047.3912990726071</v>
          </cell>
          <cell r="BK323">
            <v>3020.1081570551341</v>
          </cell>
          <cell r="BL323">
            <v>3020.1081570551341</v>
          </cell>
          <cell r="BM323">
            <v>3049.0929915669462</v>
          </cell>
          <cell r="BN323">
            <v>3021.6972777703631</v>
          </cell>
          <cell r="BO323">
            <v>3021.6972777703631</v>
          </cell>
          <cell r="BP323">
            <v>3052.7791286079455</v>
          </cell>
          <cell r="BQ323">
            <v>3015.186361307924</v>
          </cell>
          <cell r="BR323">
            <v>3015.186361307924</v>
          </cell>
        </row>
        <row r="325">
          <cell r="B325" t="str">
            <v>Current accounts payable</v>
          </cell>
          <cell r="D325" t="str">
            <v>$m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1.0209999999999999</v>
          </cell>
          <cell r="AB325">
            <v>1.0209999999999999</v>
          </cell>
          <cell r="AC325">
            <v>31.794</v>
          </cell>
          <cell r="AD325">
            <v>45.497</v>
          </cell>
          <cell r="AE325">
            <v>45.497</v>
          </cell>
          <cell r="AF325">
            <v>30.141999999999999</v>
          </cell>
          <cell r="AG325">
            <v>46.417999999999999</v>
          </cell>
          <cell r="AH325">
            <v>46.417999999999999</v>
          </cell>
          <cell r="AI325">
            <v>33.573999999999998</v>
          </cell>
          <cell r="AJ325">
            <v>38.192999999999998</v>
          </cell>
          <cell r="AK325">
            <v>38.192999999999998</v>
          </cell>
          <cell r="AL325">
            <v>56.972999999999999</v>
          </cell>
          <cell r="AM325">
            <v>87.831999999999994</v>
          </cell>
          <cell r="AN325">
            <v>87.831999999999994</v>
          </cell>
          <cell r="AO325">
            <v>79.072000000000003</v>
          </cell>
          <cell r="AP325">
            <v>120.194</v>
          </cell>
          <cell r="AQ325">
            <v>120.194</v>
          </cell>
          <cell r="AR325">
            <v>348.685</v>
          </cell>
          <cell r="AS325">
            <v>128.702</v>
          </cell>
          <cell r="AT325">
            <v>128.702</v>
          </cell>
          <cell r="AU325">
            <v>131.52000000000001</v>
          </cell>
          <cell r="AV325">
            <v>110.321</v>
          </cell>
          <cell r="AW325">
            <v>110.321</v>
          </cell>
          <cell r="AX325">
            <v>135.81999734260862</v>
          </cell>
          <cell r="AY325">
            <v>138.37729035369085</v>
          </cell>
          <cell r="AZ325">
            <v>138.37729035369085</v>
          </cell>
          <cell r="BA325">
            <v>142.94678211687776</v>
          </cell>
          <cell r="BB325">
            <v>145.62378430678956</v>
          </cell>
          <cell r="BC325">
            <v>145.62378430678956</v>
          </cell>
          <cell r="BD325">
            <v>152.73868079508438</v>
          </cell>
          <cell r="BE325">
            <v>155.5958439096336</v>
          </cell>
          <cell r="BF325">
            <v>155.5958439096336</v>
          </cell>
          <cell r="BG325">
            <v>163.02259973671838</v>
          </cell>
          <cell r="BH325">
            <v>166.29560744931936</v>
          </cell>
          <cell r="BI325">
            <v>166.29560744931936</v>
          </cell>
          <cell r="BJ325">
            <v>171.4666075649163</v>
          </cell>
          <cell r="BK325">
            <v>175.13579922925535</v>
          </cell>
          <cell r="BL325">
            <v>175.13579922925535</v>
          </cell>
          <cell r="BM325">
            <v>183.00483668832399</v>
          </cell>
          <cell r="BN325">
            <v>187.15331773453713</v>
          </cell>
          <cell r="BO325">
            <v>187.15331773453713</v>
          </cell>
          <cell r="BP325">
            <v>194.74749845050624</v>
          </cell>
          <cell r="BQ325">
            <v>199.39430567225284</v>
          </cell>
          <cell r="BR325">
            <v>199.39430567225284</v>
          </cell>
        </row>
        <row r="326"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7.2999999999999995E-2</v>
          </cell>
          <cell r="AB326">
            <v>7.2999999999999995E-2</v>
          </cell>
          <cell r="AC326">
            <v>8.7739999999999991</v>
          </cell>
          <cell r="AD326">
            <v>9.7170000000000005</v>
          </cell>
          <cell r="AE326">
            <v>9.7170000000000005</v>
          </cell>
          <cell r="AF326">
            <v>11.885</v>
          </cell>
          <cell r="AG326">
            <v>19.684000000000001</v>
          </cell>
          <cell r="AH326">
            <v>19.684000000000001</v>
          </cell>
          <cell r="AI326">
            <v>8.9290000000000003</v>
          </cell>
          <cell r="AJ326">
            <v>3.0720000000000001</v>
          </cell>
          <cell r="AK326">
            <v>3.0720000000000001</v>
          </cell>
          <cell r="AL326">
            <v>17.321000000000002</v>
          </cell>
          <cell r="AM326">
            <v>15.359</v>
          </cell>
          <cell r="AN326">
            <v>15.359</v>
          </cell>
          <cell r="AO326">
            <v>14.696999999999999</v>
          </cell>
          <cell r="AP326">
            <v>14.739000000000001</v>
          </cell>
          <cell r="AQ326">
            <v>14.739000000000001</v>
          </cell>
          <cell r="AR326">
            <v>16.292999999999999</v>
          </cell>
          <cell r="AS326">
            <v>36.319000000000003</v>
          </cell>
          <cell r="AT326">
            <v>36.319000000000003</v>
          </cell>
          <cell r="AU326">
            <v>32.133000000000003</v>
          </cell>
          <cell r="AV326">
            <v>32.972999999999999</v>
          </cell>
          <cell r="AW326">
            <v>32.972999999999999</v>
          </cell>
          <cell r="AX326">
            <v>32.972999999999999</v>
          </cell>
          <cell r="AY326">
            <v>32.972999999999999</v>
          </cell>
          <cell r="AZ326">
            <v>32.972999999999999</v>
          </cell>
          <cell r="BA326">
            <v>32.972999999999999</v>
          </cell>
          <cell r="BB326">
            <v>32.972999999999999</v>
          </cell>
          <cell r="BC326">
            <v>32.972999999999999</v>
          </cell>
          <cell r="BD326">
            <v>32.972999999999999</v>
          </cell>
          <cell r="BE326">
            <v>32.972999999999999</v>
          </cell>
          <cell r="BF326">
            <v>32.972999999999999</v>
          </cell>
          <cell r="BG326">
            <v>32.972999999999999</v>
          </cell>
          <cell r="BH326">
            <v>32.972999999999999</v>
          </cell>
          <cell r="BI326">
            <v>32.972999999999999</v>
          </cell>
          <cell r="BJ326">
            <v>32.972999999999999</v>
          </cell>
          <cell r="BK326">
            <v>32.972999999999999</v>
          </cell>
          <cell r="BL326">
            <v>32.972999999999999</v>
          </cell>
          <cell r="BM326">
            <v>32.972999999999999</v>
          </cell>
          <cell r="BN326">
            <v>32.972999999999999</v>
          </cell>
          <cell r="BO326">
            <v>32.972999999999999</v>
          </cell>
          <cell r="BP326">
            <v>32.972999999999999</v>
          </cell>
          <cell r="BQ326">
            <v>32.972999999999999</v>
          </cell>
          <cell r="BR326">
            <v>32.972999999999999</v>
          </cell>
        </row>
        <row r="327"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3.278</v>
          </cell>
          <cell r="AB327">
            <v>3.278</v>
          </cell>
          <cell r="AC327">
            <v>35.436999999999998</v>
          </cell>
          <cell r="AD327">
            <v>33.456000000000003</v>
          </cell>
          <cell r="AE327">
            <v>33.456000000000003</v>
          </cell>
          <cell r="AF327">
            <v>24.728999999999999</v>
          </cell>
          <cell r="AG327">
            <v>15.125</v>
          </cell>
          <cell r="AH327">
            <v>15.125</v>
          </cell>
          <cell r="AI327">
            <v>13.388999999999999</v>
          </cell>
          <cell r="AJ327">
            <v>13.597</v>
          </cell>
          <cell r="AK327">
            <v>13.597</v>
          </cell>
          <cell r="AL327">
            <v>57.673999999999999</v>
          </cell>
          <cell r="AM327">
            <v>48.44</v>
          </cell>
          <cell r="AN327">
            <v>48.44</v>
          </cell>
          <cell r="AO327">
            <v>47.027999999999999</v>
          </cell>
          <cell r="AP327">
            <v>65.771000000000001</v>
          </cell>
          <cell r="AQ327">
            <v>65.771000000000001</v>
          </cell>
          <cell r="AR327">
            <v>71.978999999999999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7.0999999999999994E-2</v>
          </cell>
          <cell r="AB328">
            <v>7.0999999999999994E-2</v>
          </cell>
          <cell r="AC328">
            <v>0.38100000000000001</v>
          </cell>
          <cell r="AD328">
            <v>0.41499999999999998</v>
          </cell>
          <cell r="AE328">
            <v>0.41499999999999998</v>
          </cell>
          <cell r="AF328">
            <v>0.09</v>
          </cell>
          <cell r="AG328">
            <v>1.4E-2</v>
          </cell>
          <cell r="AH328">
            <v>1.4E-2</v>
          </cell>
          <cell r="AI328">
            <v>1.2999999999999999E-2</v>
          </cell>
          <cell r="AJ328">
            <v>0.52900000000000003</v>
          </cell>
          <cell r="AK328">
            <v>0.52900000000000003</v>
          </cell>
          <cell r="AL328">
            <v>1.6639999999999999</v>
          </cell>
          <cell r="AM328">
            <v>0.25800000000000001</v>
          </cell>
          <cell r="AN328">
            <v>0.25800000000000001</v>
          </cell>
          <cell r="AO328">
            <v>0.218</v>
          </cell>
          <cell r="AP328">
            <v>51.564</v>
          </cell>
          <cell r="AQ328">
            <v>51.564</v>
          </cell>
          <cell r="AR328">
            <v>0</v>
          </cell>
          <cell r="AS328">
            <v>56.595999999999997</v>
          </cell>
          <cell r="AT328">
            <v>56.595999999999997</v>
          </cell>
          <cell r="AU328">
            <v>54.679000000000002</v>
          </cell>
          <cell r="AV328">
            <v>67.828000000000003</v>
          </cell>
          <cell r="AW328">
            <v>67.828000000000003</v>
          </cell>
          <cell r="AX328">
            <v>67.828000000000003</v>
          </cell>
          <cell r="AY328">
            <v>67.828000000000003</v>
          </cell>
          <cell r="AZ328">
            <v>67.828000000000003</v>
          </cell>
          <cell r="BA328">
            <v>67.828000000000003</v>
          </cell>
          <cell r="BB328">
            <v>67.828000000000003</v>
          </cell>
          <cell r="BC328">
            <v>67.828000000000003</v>
          </cell>
          <cell r="BD328">
            <v>67.828000000000003</v>
          </cell>
          <cell r="BE328">
            <v>67.828000000000003</v>
          </cell>
          <cell r="BF328">
            <v>67.828000000000003</v>
          </cell>
          <cell r="BG328">
            <v>67.828000000000003</v>
          </cell>
          <cell r="BH328">
            <v>67.828000000000003</v>
          </cell>
          <cell r="BI328">
            <v>67.828000000000003</v>
          </cell>
          <cell r="BJ328">
            <v>67.828000000000003</v>
          </cell>
          <cell r="BK328">
            <v>67.828000000000003</v>
          </cell>
          <cell r="BL328">
            <v>67.828000000000003</v>
          </cell>
          <cell r="BM328">
            <v>67.828000000000003</v>
          </cell>
          <cell r="BN328">
            <v>67.828000000000003</v>
          </cell>
          <cell r="BO328">
            <v>67.828000000000003</v>
          </cell>
          <cell r="BP328">
            <v>67.828000000000003</v>
          </cell>
          <cell r="BQ328">
            <v>67.828000000000003</v>
          </cell>
          <cell r="BR328">
            <v>67.828000000000003</v>
          </cell>
        </row>
        <row r="329">
          <cell r="B329" t="str">
            <v>Total Current Liabilities</v>
          </cell>
          <cell r="D329" t="str">
            <v>$m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4.4429999999999996</v>
          </cell>
          <cell r="AB329">
            <v>4.4429999999999996</v>
          </cell>
          <cell r="AC329">
            <v>76.385999999999996</v>
          </cell>
          <cell r="AD329">
            <v>89.085000000000008</v>
          </cell>
          <cell r="AE329">
            <v>89.085000000000008</v>
          </cell>
          <cell r="AF329">
            <v>66.846000000000004</v>
          </cell>
          <cell r="AG329">
            <v>81.241</v>
          </cell>
          <cell r="AH329">
            <v>81.241</v>
          </cell>
          <cell r="AI329">
            <v>55.904999999999994</v>
          </cell>
          <cell r="AJ329">
            <v>55.391000000000005</v>
          </cell>
          <cell r="AK329">
            <v>55.391000000000005</v>
          </cell>
          <cell r="AL329">
            <v>133.63199999999998</v>
          </cell>
          <cell r="AM329">
            <v>151.88899999999998</v>
          </cell>
          <cell r="AN329">
            <v>151.88899999999998</v>
          </cell>
          <cell r="AO329">
            <v>141.01499999999999</v>
          </cell>
          <cell r="AP329">
            <v>252.268</v>
          </cell>
          <cell r="AQ329">
            <v>252.268</v>
          </cell>
          <cell r="AR329">
            <v>436.95699999999999</v>
          </cell>
          <cell r="AS329">
            <v>221.61700000000002</v>
          </cell>
          <cell r="AT329">
            <v>221.61700000000002</v>
          </cell>
          <cell r="AU329">
            <v>218.33200000000002</v>
          </cell>
          <cell r="AV329">
            <v>211.12199999999999</v>
          </cell>
          <cell r="AW329">
            <v>211.12199999999999</v>
          </cell>
          <cell r="AX329">
            <v>236.6209973426086</v>
          </cell>
          <cell r="AY329">
            <v>239.17829035369087</v>
          </cell>
          <cell r="AZ329">
            <v>239.17829035369087</v>
          </cell>
          <cell r="BA329">
            <v>243.74778211687774</v>
          </cell>
          <cell r="BB329">
            <v>246.42478430678958</v>
          </cell>
          <cell r="BC329">
            <v>246.42478430678958</v>
          </cell>
          <cell r="BD329">
            <v>253.53968079508437</v>
          </cell>
          <cell r="BE329">
            <v>256.39684390963362</v>
          </cell>
          <cell r="BF329">
            <v>256.39684390963362</v>
          </cell>
          <cell r="BG329">
            <v>263.82359973671839</v>
          </cell>
          <cell r="BH329">
            <v>267.09660744931932</v>
          </cell>
          <cell r="BI329">
            <v>267.09660744931932</v>
          </cell>
          <cell r="BJ329">
            <v>272.26760756491626</v>
          </cell>
          <cell r="BK329">
            <v>275.93679922925537</v>
          </cell>
          <cell r="BL329">
            <v>275.93679922925537</v>
          </cell>
          <cell r="BM329">
            <v>283.80583668832401</v>
          </cell>
          <cell r="BN329">
            <v>287.95431773453709</v>
          </cell>
          <cell r="BO329">
            <v>287.95431773453709</v>
          </cell>
          <cell r="BP329">
            <v>295.54849845050626</v>
          </cell>
          <cell r="BQ329">
            <v>300.19530567225286</v>
          </cell>
          <cell r="BR329">
            <v>300.19530567225286</v>
          </cell>
        </row>
        <row r="331">
          <cell r="B331" t="str">
            <v>Non-current acc. payable</v>
          </cell>
          <cell r="D331" t="str">
            <v>$m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1.1519999999999999</v>
          </cell>
          <cell r="AE331">
            <v>1.1519999999999999</v>
          </cell>
          <cell r="AF331">
            <v>0.76400000000000001</v>
          </cell>
          <cell r="AG331">
            <v>0.54300000000000004</v>
          </cell>
          <cell r="AH331">
            <v>0.54300000000000004</v>
          </cell>
          <cell r="AI331">
            <v>0</v>
          </cell>
          <cell r="AJ331">
            <v>0.08</v>
          </cell>
          <cell r="AK331">
            <v>0.08</v>
          </cell>
          <cell r="AL331">
            <v>0</v>
          </cell>
          <cell r="AM331">
            <v>6.6000000000000003E-2</v>
          </cell>
          <cell r="AN331">
            <v>6.6000000000000003E-2</v>
          </cell>
          <cell r="AO331">
            <v>51.564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0.10299999999999999</v>
          </cell>
          <cell r="AB332">
            <v>0.10299999999999999</v>
          </cell>
          <cell r="AC332">
            <v>207.77699999999999</v>
          </cell>
          <cell r="AD332">
            <v>243.62299999999999</v>
          </cell>
          <cell r="AE332">
            <v>243.62299999999999</v>
          </cell>
          <cell r="AF332">
            <v>226.363</v>
          </cell>
          <cell r="AG332">
            <v>224.97</v>
          </cell>
          <cell r="AH332">
            <v>224.97</v>
          </cell>
          <cell r="AI332">
            <v>222.84899999999999</v>
          </cell>
          <cell r="AJ332">
            <v>197.649</v>
          </cell>
          <cell r="AK332">
            <v>197.649</v>
          </cell>
          <cell r="AL332">
            <v>158.66999999999999</v>
          </cell>
          <cell r="AM332">
            <v>102.146</v>
          </cell>
          <cell r="AN332">
            <v>102.146</v>
          </cell>
          <cell r="AO332">
            <v>37.713000000000001</v>
          </cell>
          <cell r="AP332">
            <v>65.096000000000004</v>
          </cell>
          <cell r="AQ332">
            <v>65.096000000000004</v>
          </cell>
          <cell r="AR332">
            <v>55.046999999999997</v>
          </cell>
          <cell r="AS332">
            <v>288.84300000000002</v>
          </cell>
          <cell r="AT332">
            <v>288.84300000000002</v>
          </cell>
          <cell r="AU332">
            <v>296.14100000000002</v>
          </cell>
          <cell r="AV332">
            <v>530.41700000000003</v>
          </cell>
          <cell r="AW332">
            <v>530.41700000000003</v>
          </cell>
          <cell r="AX332">
            <v>232.3874127829651</v>
          </cell>
          <cell r="AY332">
            <v>245.17186052661475</v>
          </cell>
          <cell r="AZ332">
            <v>245.17186052661475</v>
          </cell>
          <cell r="BA332">
            <v>252.98805613497882</v>
          </cell>
          <cell r="BB332">
            <v>266.05879274917703</v>
          </cell>
          <cell r="BC332">
            <v>266.05879274917703</v>
          </cell>
          <cell r="BD332">
            <v>275.61366570383029</v>
          </cell>
          <cell r="BE332">
            <v>253.87508211861643</v>
          </cell>
          <cell r="BF332">
            <v>253.87508211861643</v>
          </cell>
          <cell r="BG332">
            <v>248.87556530688769</v>
          </cell>
          <cell r="BH332">
            <v>214.29197597786703</v>
          </cell>
          <cell r="BI332">
            <v>214.29197597786703</v>
          </cell>
          <cell r="BJ332">
            <v>204.1000356607947</v>
          </cell>
          <cell r="BK332">
            <v>147.76403807769881</v>
          </cell>
          <cell r="BL332">
            <v>147.76403807769881</v>
          </cell>
          <cell r="BM332">
            <v>137.14693063485336</v>
          </cell>
          <cell r="BN332">
            <v>75.994533509522796</v>
          </cell>
          <cell r="BO332">
            <v>75.994533509522796</v>
          </cell>
          <cell r="BP332" t="e">
            <v>#VALUE!</v>
          </cell>
          <cell r="BQ332" t="e">
            <v>#VALUE!</v>
          </cell>
          <cell r="BR332" t="e">
            <v>#VALUE!</v>
          </cell>
        </row>
        <row r="333">
          <cell r="B333" t="str">
            <v xml:space="preserve">     Convertibles treated as debt</v>
          </cell>
          <cell r="D333" t="str">
            <v>$m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0.216</v>
          </cell>
          <cell r="AB334">
            <v>0.216</v>
          </cell>
          <cell r="AC334">
            <v>25.073</v>
          </cell>
          <cell r="AD334">
            <v>19.559000000000001</v>
          </cell>
          <cell r="AE334">
            <v>19.559000000000001</v>
          </cell>
          <cell r="AF334">
            <v>22.664999999999999</v>
          </cell>
          <cell r="AG334">
            <v>19.738</v>
          </cell>
          <cell r="AH334">
            <v>19.738</v>
          </cell>
          <cell r="AI334">
            <v>24.79</v>
          </cell>
          <cell r="AJ334">
            <v>25.53</v>
          </cell>
          <cell r="AK334">
            <v>25.53</v>
          </cell>
          <cell r="AL334">
            <v>28.785999999999998</v>
          </cell>
          <cell r="AM334">
            <v>32.136000000000003</v>
          </cell>
          <cell r="AN334">
            <v>32.136000000000003</v>
          </cell>
          <cell r="AO334">
            <v>43.36</v>
          </cell>
          <cell r="AP334">
            <v>25.123000000000001</v>
          </cell>
          <cell r="AQ334">
            <v>25.123000000000001</v>
          </cell>
          <cell r="AR334">
            <v>40.83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40.83</v>
          </cell>
          <cell r="AY334">
            <v>40.83</v>
          </cell>
          <cell r="AZ334">
            <v>40.83</v>
          </cell>
          <cell r="BA334">
            <v>40.83</v>
          </cell>
          <cell r="BB334">
            <v>40.83</v>
          </cell>
          <cell r="BC334">
            <v>40.83</v>
          </cell>
          <cell r="BD334">
            <v>32.136000000000003</v>
          </cell>
          <cell r="BE334">
            <v>32.136000000000003</v>
          </cell>
          <cell r="BF334">
            <v>32.136000000000003</v>
          </cell>
          <cell r="BG334">
            <v>32.136000000000003</v>
          </cell>
          <cell r="BH334">
            <v>32.136000000000003</v>
          </cell>
          <cell r="BI334">
            <v>32.136000000000003</v>
          </cell>
          <cell r="BJ334">
            <v>32.136000000000003</v>
          </cell>
          <cell r="BK334">
            <v>32.136000000000003</v>
          </cell>
          <cell r="BL334">
            <v>32.136000000000003</v>
          </cell>
          <cell r="BM334">
            <v>32.136000000000003</v>
          </cell>
          <cell r="BN334">
            <v>32.136000000000003</v>
          </cell>
          <cell r="BO334">
            <v>32.136000000000003</v>
          </cell>
          <cell r="BP334">
            <v>32.136000000000003</v>
          </cell>
          <cell r="BQ334">
            <v>32.136000000000003</v>
          </cell>
          <cell r="BR334">
            <v>32.136000000000003</v>
          </cell>
        </row>
        <row r="335"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1.4379999999999999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14.276</v>
          </cell>
          <cell r="AQ335">
            <v>14.276</v>
          </cell>
          <cell r="AR335">
            <v>0</v>
          </cell>
          <cell r="AS335">
            <v>44.341999999999999</v>
          </cell>
          <cell r="AT335">
            <v>44.341999999999999</v>
          </cell>
          <cell r="AU335">
            <v>47.483000000000004</v>
          </cell>
          <cell r="AV335">
            <v>43.161000000000001</v>
          </cell>
          <cell r="AW335">
            <v>43.161000000000001</v>
          </cell>
          <cell r="AX335">
            <v>43.161000000000001</v>
          </cell>
          <cell r="AY335">
            <v>43.161000000000001</v>
          </cell>
          <cell r="AZ335">
            <v>43.161000000000001</v>
          </cell>
          <cell r="BA335">
            <v>43.161000000000001</v>
          </cell>
          <cell r="BB335">
            <v>43.161000000000001</v>
          </cell>
          <cell r="BC335">
            <v>43.161000000000001</v>
          </cell>
          <cell r="BD335">
            <v>43.161000000000001</v>
          </cell>
          <cell r="BE335">
            <v>43.161000000000001</v>
          </cell>
          <cell r="BF335">
            <v>43.161000000000001</v>
          </cell>
          <cell r="BG335">
            <v>43.161000000000001</v>
          </cell>
          <cell r="BH335">
            <v>43.161000000000001</v>
          </cell>
          <cell r="BI335">
            <v>43.161000000000001</v>
          </cell>
          <cell r="BJ335">
            <v>43.161000000000001</v>
          </cell>
          <cell r="BK335">
            <v>43.161000000000001</v>
          </cell>
          <cell r="BL335">
            <v>43.161000000000001</v>
          </cell>
          <cell r="BM335">
            <v>43.161000000000001</v>
          </cell>
          <cell r="BN335">
            <v>43.161000000000001</v>
          </cell>
          <cell r="BO335">
            <v>43.161000000000001</v>
          </cell>
          <cell r="BP335">
            <v>43.161000000000001</v>
          </cell>
          <cell r="BQ335">
            <v>43.161000000000001</v>
          </cell>
          <cell r="BR335">
            <v>43.161000000000001</v>
          </cell>
        </row>
        <row r="336">
          <cell r="B336" t="str">
            <v>Total Non-Curr. Liab's</v>
          </cell>
          <cell r="D336" t="str">
            <v>$m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0.31900000000000001</v>
          </cell>
          <cell r="AB336">
            <v>0.31900000000000001</v>
          </cell>
          <cell r="AC336">
            <v>234.28799999999998</v>
          </cell>
          <cell r="AD336">
            <v>264.334</v>
          </cell>
          <cell r="AE336">
            <v>264.334</v>
          </cell>
          <cell r="AF336">
            <v>249.792</v>
          </cell>
          <cell r="AG336">
            <v>245.251</v>
          </cell>
          <cell r="AH336">
            <v>245.251</v>
          </cell>
          <cell r="AI336">
            <v>247.63899999999998</v>
          </cell>
          <cell r="AJ336">
            <v>223.25900000000001</v>
          </cell>
          <cell r="AK336">
            <v>223.25900000000001</v>
          </cell>
          <cell r="AL336">
            <v>187.45599999999999</v>
          </cell>
          <cell r="AM336">
            <v>134.34800000000001</v>
          </cell>
          <cell r="AN336">
            <v>134.34800000000001</v>
          </cell>
          <cell r="AO336">
            <v>132.637</v>
          </cell>
          <cell r="AP336">
            <v>104.495</v>
          </cell>
          <cell r="AQ336">
            <v>104.495</v>
          </cell>
          <cell r="AR336">
            <v>95.876999999999995</v>
          </cell>
          <cell r="AS336">
            <v>333.185</v>
          </cell>
          <cell r="AT336">
            <v>333.185</v>
          </cell>
          <cell r="AU336">
            <v>343.62400000000002</v>
          </cell>
          <cell r="AV336">
            <v>573.57799999999997</v>
          </cell>
          <cell r="AW336">
            <v>573.57799999999997</v>
          </cell>
          <cell r="AX336">
            <v>316.37841278296509</v>
          </cell>
          <cell r="AY336">
            <v>329.16286052661474</v>
          </cell>
          <cell r="AZ336">
            <v>329.16286052661474</v>
          </cell>
          <cell r="BA336">
            <v>336.9790561349788</v>
          </cell>
          <cell r="BB336">
            <v>350.04979274917702</v>
          </cell>
          <cell r="BC336">
            <v>350.04979274917702</v>
          </cell>
          <cell r="BD336">
            <v>350.91066570383032</v>
          </cell>
          <cell r="BE336">
            <v>329.17208211861646</v>
          </cell>
          <cell r="BF336">
            <v>329.17208211861646</v>
          </cell>
          <cell r="BG336">
            <v>324.17256530688769</v>
          </cell>
          <cell r="BH336">
            <v>289.58897597786699</v>
          </cell>
          <cell r="BI336">
            <v>289.58897597786699</v>
          </cell>
          <cell r="BJ336">
            <v>279.3970356607947</v>
          </cell>
          <cell r="BK336">
            <v>223.06103807769881</v>
          </cell>
          <cell r="BL336">
            <v>223.06103807769881</v>
          </cell>
          <cell r="BM336">
            <v>212.44393063485336</v>
          </cell>
          <cell r="BN336">
            <v>151.29153350952279</v>
          </cell>
          <cell r="BO336">
            <v>151.29153350952279</v>
          </cell>
          <cell r="BP336" t="e">
            <v>#VALUE!</v>
          </cell>
          <cell r="BQ336" t="e">
            <v>#VALUE!</v>
          </cell>
          <cell r="BR336" t="e">
            <v>#VALUE!</v>
          </cell>
        </row>
        <row r="337">
          <cell r="B337" t="str">
            <v>Total Liabilities</v>
          </cell>
          <cell r="D337" t="str">
            <v>$m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4.7619999999999996</v>
          </cell>
          <cell r="AB337">
            <v>4.7619999999999996</v>
          </cell>
          <cell r="AC337">
            <v>310.67399999999998</v>
          </cell>
          <cell r="AD337">
            <v>353.41899999999998</v>
          </cell>
          <cell r="AE337">
            <v>353.41899999999998</v>
          </cell>
          <cell r="AF337">
            <v>316.63800000000003</v>
          </cell>
          <cell r="AG337">
            <v>326.49200000000002</v>
          </cell>
          <cell r="AH337">
            <v>326.49200000000002</v>
          </cell>
          <cell r="AI337">
            <v>303.54399999999998</v>
          </cell>
          <cell r="AJ337">
            <v>278.65000000000003</v>
          </cell>
          <cell r="AK337">
            <v>278.65000000000003</v>
          </cell>
          <cell r="AL337">
            <v>321.08799999999997</v>
          </cell>
          <cell r="AM337">
            <v>286.23699999999997</v>
          </cell>
          <cell r="AN337">
            <v>286.23699999999997</v>
          </cell>
          <cell r="AO337">
            <v>273.65199999999999</v>
          </cell>
          <cell r="AP337">
            <v>356.76300000000003</v>
          </cell>
          <cell r="AQ337">
            <v>356.76300000000003</v>
          </cell>
          <cell r="AR337">
            <v>532.83399999999995</v>
          </cell>
          <cell r="AS337">
            <v>554.80200000000002</v>
          </cell>
          <cell r="AT337">
            <v>554.80200000000002</v>
          </cell>
          <cell r="AU337">
            <v>561.95600000000002</v>
          </cell>
          <cell r="AV337">
            <v>784.69999999999993</v>
          </cell>
          <cell r="AW337">
            <v>784.69999999999993</v>
          </cell>
          <cell r="AX337">
            <v>552.99941012557372</v>
          </cell>
          <cell r="AY337">
            <v>568.34115088030558</v>
          </cell>
          <cell r="AZ337">
            <v>568.34115088030558</v>
          </cell>
          <cell r="BA337">
            <v>580.72683825185652</v>
          </cell>
          <cell r="BB337">
            <v>596.47457705596662</v>
          </cell>
          <cell r="BC337">
            <v>596.47457705596662</v>
          </cell>
          <cell r="BD337">
            <v>604.45034649891466</v>
          </cell>
          <cell r="BE337">
            <v>585.56892602825008</v>
          </cell>
          <cell r="BF337">
            <v>585.56892602825008</v>
          </cell>
          <cell r="BG337">
            <v>587.99616504360608</v>
          </cell>
          <cell r="BH337">
            <v>556.68558342718632</v>
          </cell>
          <cell r="BI337">
            <v>556.68558342718632</v>
          </cell>
          <cell r="BJ337">
            <v>551.66464322571096</v>
          </cell>
          <cell r="BK337">
            <v>498.99783730695418</v>
          </cell>
          <cell r="BL337">
            <v>498.99783730695418</v>
          </cell>
          <cell r="BM337">
            <v>496.24976732317737</v>
          </cell>
          <cell r="BN337">
            <v>439.24585124405985</v>
          </cell>
          <cell r="BO337">
            <v>439.24585124405985</v>
          </cell>
          <cell r="BP337" t="e">
            <v>#VALUE!</v>
          </cell>
          <cell r="BQ337" t="e">
            <v>#VALUE!</v>
          </cell>
          <cell r="BR337" t="e">
            <v>#VALUE!</v>
          </cell>
        </row>
        <row r="339"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170.95699999999999</v>
          </cell>
          <cell r="AB339">
            <v>170.95699999999999</v>
          </cell>
          <cell r="AC339">
            <v>251.92600000000004</v>
          </cell>
          <cell r="AD339">
            <v>230.90699999999993</v>
          </cell>
          <cell r="AE339">
            <v>230.90699999999993</v>
          </cell>
          <cell r="AF339">
            <v>204.37900000000002</v>
          </cell>
          <cell r="AG339">
            <v>192.37299999999999</v>
          </cell>
          <cell r="AH339">
            <v>192.37299999999999</v>
          </cell>
          <cell r="AI339">
            <v>214.13200000000006</v>
          </cell>
          <cell r="AJ339">
            <v>231.33499999999998</v>
          </cell>
          <cell r="AK339">
            <v>231.33499999999998</v>
          </cell>
          <cell r="AL339">
            <v>449.61300000000006</v>
          </cell>
          <cell r="AM339">
            <v>467.89299999999992</v>
          </cell>
          <cell r="AN339">
            <v>467.89299999999992</v>
          </cell>
          <cell r="AO339">
            <v>894.57899999999995</v>
          </cell>
          <cell r="AP339">
            <v>920.13700000000006</v>
          </cell>
          <cell r="AQ339">
            <v>920.13700000000006</v>
          </cell>
          <cell r="AR339">
            <v>1183.1499999999996</v>
          </cell>
          <cell r="AS339">
            <v>1279.605</v>
          </cell>
          <cell r="AT339">
            <v>1279.605</v>
          </cell>
          <cell r="AU339">
            <v>1339.3150000000001</v>
          </cell>
          <cell r="AV339">
            <v>1394.1150000000002</v>
          </cell>
          <cell r="AW339">
            <v>1394.1150000000002</v>
          </cell>
          <cell r="AX339">
            <v>1832.4667160532958</v>
          </cell>
          <cell r="AY339">
            <v>1901.0138493719469</v>
          </cell>
          <cell r="AZ339">
            <v>1901.0138493719469</v>
          </cell>
          <cell r="BA339">
            <v>1978.224687319057</v>
          </cell>
          <cell r="BB339">
            <v>2049.9488036425305</v>
          </cell>
          <cell r="BC339">
            <v>2049.9488036425305</v>
          </cell>
          <cell r="BD339">
            <v>2142.2404202272855</v>
          </cell>
          <cell r="BE339">
            <v>2241.1482584717437</v>
          </cell>
          <cell r="BF339">
            <v>2241.1482584717437</v>
          </cell>
          <cell r="BG339">
            <v>2347.576506940854</v>
          </cell>
          <cell r="BH339">
            <v>2468.1968848549432</v>
          </cell>
          <cell r="BI339">
            <v>2468.1968848549432</v>
          </cell>
          <cell r="BJ339">
            <v>2495.7266558468964</v>
          </cell>
          <cell r="BK339">
            <v>2521.1103197481798</v>
          </cell>
          <cell r="BL339">
            <v>2521.1103197481798</v>
          </cell>
          <cell r="BM339">
            <v>2552.8432242437689</v>
          </cell>
          <cell r="BN339">
            <v>2582.4514265263033</v>
          </cell>
          <cell r="BO339">
            <v>2582.4514265263033</v>
          </cell>
          <cell r="BP339" t="e">
            <v>#VALUE!</v>
          </cell>
          <cell r="BQ339" t="e">
            <v>#VALUE!</v>
          </cell>
          <cell r="BR339" t="e">
            <v>#VALUE!</v>
          </cell>
        </row>
        <row r="342">
          <cell r="B342" t="str">
            <v>Ordinary share capital</v>
          </cell>
          <cell r="D342" t="str">
            <v>$m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19.468</v>
          </cell>
          <cell r="AB342">
            <v>19.468</v>
          </cell>
          <cell r="AC342">
            <v>27.573</v>
          </cell>
          <cell r="AD342">
            <v>27.576000000000001</v>
          </cell>
          <cell r="AE342">
            <v>27.576000000000001</v>
          </cell>
          <cell r="AF342">
            <v>27.576000000000001</v>
          </cell>
          <cell r="AG342">
            <v>232.00899999999999</v>
          </cell>
          <cell r="AH342">
            <v>232.00899999999999</v>
          </cell>
          <cell r="AI342">
            <v>235.614</v>
          </cell>
          <cell r="AJ342">
            <v>236.54300000000001</v>
          </cell>
          <cell r="AK342">
            <v>236.54300000000001</v>
          </cell>
          <cell r="AL342">
            <v>236.54400000000001</v>
          </cell>
          <cell r="AM342">
            <v>238.22300000000001</v>
          </cell>
          <cell r="AN342">
            <v>238.22300000000001</v>
          </cell>
          <cell r="AO342">
            <v>641.60899999999992</v>
          </cell>
          <cell r="AP342">
            <v>642.05600000000004</v>
          </cell>
          <cell r="AQ342">
            <v>642.05600000000004</v>
          </cell>
          <cell r="AR342">
            <v>900.04700000000003</v>
          </cell>
          <cell r="AS342">
            <v>939.24700000000007</v>
          </cell>
          <cell r="AT342">
            <v>939.24700000000007</v>
          </cell>
          <cell r="AU342">
            <v>941.69699999999989</v>
          </cell>
          <cell r="AV342">
            <v>949.81899999999996</v>
          </cell>
          <cell r="AW342">
            <v>949.81899999999996</v>
          </cell>
          <cell r="AX342">
            <v>949.81899999999996</v>
          </cell>
          <cell r="AY342">
            <v>949.81899999999996</v>
          </cell>
          <cell r="AZ342">
            <v>949.81899999999996</v>
          </cell>
          <cell r="BA342">
            <v>949.81899999999996</v>
          </cell>
          <cell r="BB342">
            <v>949.81899999999996</v>
          </cell>
          <cell r="BC342">
            <v>949.81899999999996</v>
          </cell>
          <cell r="BD342">
            <v>949.81899999999996</v>
          </cell>
          <cell r="BE342">
            <v>949.81899999999996</v>
          </cell>
          <cell r="BF342">
            <v>949.81899999999996</v>
          </cell>
          <cell r="BG342">
            <v>949.81899999999996</v>
          </cell>
          <cell r="BH342">
            <v>949.81899999999996</v>
          </cell>
          <cell r="BI342">
            <v>949.81899999999996</v>
          </cell>
          <cell r="BJ342">
            <v>949.81899999999996</v>
          </cell>
          <cell r="BK342">
            <v>949.81899999999996</v>
          </cell>
          <cell r="BL342">
            <v>949.81899999999996</v>
          </cell>
          <cell r="BM342">
            <v>949.81899999999996</v>
          </cell>
          <cell r="BN342">
            <v>949.81899999999996</v>
          </cell>
          <cell r="BO342">
            <v>949.81899999999996</v>
          </cell>
          <cell r="BP342">
            <v>949.81899999999996</v>
          </cell>
          <cell r="BQ342">
            <v>949.81899999999996</v>
          </cell>
          <cell r="BR342">
            <v>949.81899999999996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201.72900000000001</v>
          </cell>
          <cell r="AM343">
            <v>200.95500000000001</v>
          </cell>
          <cell r="AN343">
            <v>200.95500000000001</v>
          </cell>
          <cell r="AO343">
            <v>200.95400000000001</v>
          </cell>
          <cell r="AP343">
            <v>200.95500000000001</v>
          </cell>
          <cell r="AQ343">
            <v>200.95500000000001</v>
          </cell>
          <cell r="AR343">
            <v>200.95500000000001</v>
          </cell>
          <cell r="AS343">
            <v>200.95500000000001</v>
          </cell>
          <cell r="AT343">
            <v>200.95500000000001</v>
          </cell>
          <cell r="AU343">
            <v>200.95500000000001</v>
          </cell>
          <cell r="AV343">
            <v>200.952</v>
          </cell>
          <cell r="AW343">
            <v>200.952</v>
          </cell>
          <cell r="AX343">
            <v>575.952</v>
          </cell>
          <cell r="AY343">
            <v>575.952</v>
          </cell>
          <cell r="AZ343">
            <v>575.952</v>
          </cell>
          <cell r="BA343">
            <v>575.952</v>
          </cell>
          <cell r="BB343">
            <v>575.952</v>
          </cell>
          <cell r="BC343">
            <v>575.952</v>
          </cell>
          <cell r="BD343">
            <v>575.952</v>
          </cell>
          <cell r="BE343">
            <v>575.952</v>
          </cell>
          <cell r="BF343">
            <v>575.952</v>
          </cell>
          <cell r="BG343">
            <v>575.952</v>
          </cell>
          <cell r="BH343">
            <v>575.952</v>
          </cell>
          <cell r="BI343">
            <v>575.952</v>
          </cell>
          <cell r="BJ343">
            <v>575.952</v>
          </cell>
          <cell r="BK343">
            <v>575.952</v>
          </cell>
          <cell r="BL343">
            <v>575.952</v>
          </cell>
          <cell r="BM343">
            <v>575.952</v>
          </cell>
          <cell r="BN343">
            <v>575.952</v>
          </cell>
          <cell r="BO343">
            <v>575.952</v>
          </cell>
          <cell r="BP343">
            <v>575.952</v>
          </cell>
          <cell r="BQ343">
            <v>575.952</v>
          </cell>
          <cell r="BR343">
            <v>575.952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133.65700000000001</v>
          </cell>
          <cell r="AB344">
            <v>133.65700000000001</v>
          </cell>
          <cell r="AC344">
            <v>194.56200000000001</v>
          </cell>
          <cell r="AD344">
            <v>191.13399999999999</v>
          </cell>
          <cell r="AE344">
            <v>191.13399999999999</v>
          </cell>
          <cell r="AF344">
            <v>191.13399999999999</v>
          </cell>
          <cell r="AG344">
            <v>12.112</v>
          </cell>
          <cell r="AH344">
            <v>12.112</v>
          </cell>
          <cell r="AI344">
            <v>12.112</v>
          </cell>
          <cell r="AJ344">
            <v>10.525</v>
          </cell>
          <cell r="AK344">
            <v>10.525</v>
          </cell>
          <cell r="AL344">
            <v>11.026</v>
          </cell>
          <cell r="AM344">
            <v>10.456</v>
          </cell>
          <cell r="AN344">
            <v>10.456</v>
          </cell>
          <cell r="AO344">
            <v>17.553999999999998</v>
          </cell>
          <cell r="AP344">
            <v>17.489999999999998</v>
          </cell>
          <cell r="AQ344">
            <v>17.489999999999998</v>
          </cell>
          <cell r="AR344">
            <v>17.472000000000001</v>
          </cell>
          <cell r="AS344">
            <v>17.234000000000002</v>
          </cell>
          <cell r="AT344">
            <v>17.234000000000002</v>
          </cell>
          <cell r="AU344">
            <v>17.236999999999998</v>
          </cell>
          <cell r="AV344">
            <v>17.334</v>
          </cell>
          <cell r="AW344">
            <v>17.334</v>
          </cell>
          <cell r="AX344">
            <v>17.334</v>
          </cell>
          <cell r="AY344">
            <v>17.334</v>
          </cell>
          <cell r="AZ344">
            <v>17.334</v>
          </cell>
          <cell r="BA344">
            <v>17.334</v>
          </cell>
          <cell r="BB344">
            <v>17.334</v>
          </cell>
          <cell r="BC344">
            <v>17.334</v>
          </cell>
          <cell r="BD344">
            <v>17.334</v>
          </cell>
          <cell r="BE344">
            <v>17.334</v>
          </cell>
          <cell r="BF344">
            <v>17.334</v>
          </cell>
          <cell r="BG344">
            <v>17.334</v>
          </cell>
          <cell r="BH344">
            <v>17.334</v>
          </cell>
          <cell r="BI344">
            <v>17.334</v>
          </cell>
          <cell r="BJ344">
            <v>17.334</v>
          </cell>
          <cell r="BK344">
            <v>17.334</v>
          </cell>
          <cell r="BL344">
            <v>17.334</v>
          </cell>
          <cell r="BM344">
            <v>17.334</v>
          </cell>
          <cell r="BN344">
            <v>17.334</v>
          </cell>
          <cell r="BO344">
            <v>17.334</v>
          </cell>
          <cell r="BP344">
            <v>17.334</v>
          </cell>
          <cell r="BQ344">
            <v>17.334</v>
          </cell>
          <cell r="BR344">
            <v>17.334</v>
          </cell>
        </row>
        <row r="345">
          <cell r="B345" t="str">
            <v>Retained profits</v>
          </cell>
          <cell r="D345" t="str">
            <v>$m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17.815000000000001</v>
          </cell>
          <cell r="AB345">
            <v>17.815000000000001</v>
          </cell>
          <cell r="AC345">
            <v>29.402999999999999</v>
          </cell>
          <cell r="AD345">
            <v>11.695</v>
          </cell>
          <cell r="AE345">
            <v>11.695</v>
          </cell>
          <cell r="AF345">
            <v>-14.355</v>
          </cell>
          <cell r="AG345">
            <v>-51.774999999999999</v>
          </cell>
          <cell r="AH345">
            <v>-51.774999999999999</v>
          </cell>
          <cell r="AI345">
            <v>-33.667999999999999</v>
          </cell>
          <cell r="AJ345">
            <v>-15.757</v>
          </cell>
          <cell r="AK345">
            <v>-15.757</v>
          </cell>
          <cell r="AL345">
            <v>0.30299999999999999</v>
          </cell>
          <cell r="AM345">
            <v>18.248000000000001</v>
          </cell>
          <cell r="AN345">
            <v>18.248000000000001</v>
          </cell>
          <cell r="AO345">
            <v>34.451000000000001</v>
          </cell>
          <cell r="AP345">
            <v>48.218000000000004</v>
          </cell>
          <cell r="AQ345">
            <v>48.218000000000004</v>
          </cell>
          <cell r="AR345">
            <v>64.677999999999997</v>
          </cell>
          <cell r="AS345">
            <v>122.021</v>
          </cell>
          <cell r="AT345">
            <v>122.021</v>
          </cell>
          <cell r="AU345">
            <v>170.40199999999999</v>
          </cell>
          <cell r="AV345">
            <v>216.25200000000001</v>
          </cell>
          <cell r="AW345">
            <v>216.25200000000001</v>
          </cell>
          <cell r="AX345">
            <v>280.13171605329558</v>
          </cell>
          <cell r="AY345">
            <v>348.67884937194731</v>
          </cell>
          <cell r="AZ345">
            <v>348.67884937194731</v>
          </cell>
          <cell r="BA345">
            <v>425.88968731905686</v>
          </cell>
          <cell r="BB345">
            <v>497.61380364253074</v>
          </cell>
          <cell r="BC345">
            <v>497.61380364253074</v>
          </cell>
          <cell r="BD345">
            <v>589.90542022728573</v>
          </cell>
          <cell r="BE345">
            <v>688.81325847174412</v>
          </cell>
          <cell r="BF345">
            <v>688.81325847174412</v>
          </cell>
          <cell r="BG345">
            <v>795.24150694085472</v>
          </cell>
          <cell r="BH345">
            <v>915.86188485494381</v>
          </cell>
          <cell r="BI345">
            <v>915.86188485494381</v>
          </cell>
          <cell r="BJ345">
            <v>943.39165584689658</v>
          </cell>
          <cell r="BK345">
            <v>968.77531974818055</v>
          </cell>
          <cell r="BL345">
            <v>968.77531974818055</v>
          </cell>
          <cell r="BM345">
            <v>1000.5082242437702</v>
          </cell>
          <cell r="BN345">
            <v>1030.1164265263033</v>
          </cell>
          <cell r="BO345">
            <v>1030.1164265263033</v>
          </cell>
          <cell r="BP345" t="e">
            <v>#VALUE!</v>
          </cell>
          <cell r="BQ345" t="e">
            <v>#VALUE!</v>
          </cell>
          <cell r="BR345" t="e">
            <v>#VALUE!</v>
          </cell>
        </row>
        <row r="346"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170.94</v>
          </cell>
          <cell r="AB346">
            <v>170.94</v>
          </cell>
          <cell r="AC346">
            <v>251.53800000000001</v>
          </cell>
          <cell r="AD346">
            <v>230.40499999999997</v>
          </cell>
          <cell r="AE346">
            <v>230.40499999999997</v>
          </cell>
          <cell r="AF346">
            <v>204.35499999999999</v>
          </cell>
          <cell r="AG346">
            <v>192.34599999999998</v>
          </cell>
          <cell r="AH346">
            <v>192.34599999999998</v>
          </cell>
          <cell r="AI346">
            <v>214.05799999999999</v>
          </cell>
          <cell r="AJ346">
            <v>231.31100000000001</v>
          </cell>
          <cell r="AK346">
            <v>231.31100000000001</v>
          </cell>
          <cell r="AL346">
            <v>449.60200000000003</v>
          </cell>
          <cell r="AM346">
            <v>467.88200000000001</v>
          </cell>
          <cell r="AN346">
            <v>467.88200000000001</v>
          </cell>
          <cell r="AO346">
            <v>894.56799999999987</v>
          </cell>
          <cell r="AP346">
            <v>908.71900000000005</v>
          </cell>
          <cell r="AQ346">
            <v>908.71900000000005</v>
          </cell>
          <cell r="AR346">
            <v>1183.152</v>
          </cell>
          <cell r="AS346">
            <v>1279.4569999999999</v>
          </cell>
          <cell r="AT346">
            <v>1279.4569999999999</v>
          </cell>
          <cell r="AU346">
            <v>1330.2909999999999</v>
          </cell>
          <cell r="AV346">
            <v>1384.357</v>
          </cell>
          <cell r="AW346">
            <v>1384.357</v>
          </cell>
          <cell r="AX346">
            <v>1823.2367160532956</v>
          </cell>
          <cell r="AY346">
            <v>1891.7838493719473</v>
          </cell>
          <cell r="AZ346">
            <v>1891.7838493719473</v>
          </cell>
          <cell r="BA346">
            <v>1968.994687319057</v>
          </cell>
          <cell r="BB346">
            <v>2040.7188036425307</v>
          </cell>
          <cell r="BC346">
            <v>2040.7188036425307</v>
          </cell>
          <cell r="BD346">
            <v>2133.010420227286</v>
          </cell>
          <cell r="BE346">
            <v>2231.9182584717441</v>
          </cell>
          <cell r="BF346">
            <v>2231.9182584717441</v>
          </cell>
          <cell r="BG346">
            <v>2338.3465069408549</v>
          </cell>
          <cell r="BH346">
            <v>2458.9668848549436</v>
          </cell>
          <cell r="BI346">
            <v>2458.9668848549436</v>
          </cell>
          <cell r="BJ346">
            <v>2486.4966558468968</v>
          </cell>
          <cell r="BK346">
            <v>2511.8803197481807</v>
          </cell>
          <cell r="BL346">
            <v>2511.8803197481807</v>
          </cell>
          <cell r="BM346">
            <v>2543.6132242437702</v>
          </cell>
          <cell r="BN346">
            <v>2573.2214265263033</v>
          </cell>
          <cell r="BO346">
            <v>2573.2214265263033</v>
          </cell>
          <cell r="BP346" t="e">
            <v>#VALUE!</v>
          </cell>
          <cell r="BQ346" t="e">
            <v>#VALUE!</v>
          </cell>
          <cell r="BR346" t="e">
            <v>#VALUE!</v>
          </cell>
        </row>
        <row r="347">
          <cell r="B347" t="str">
            <v>Outside equity interests</v>
          </cell>
          <cell r="D347" t="str">
            <v>$m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0.38800000000000001</v>
          </cell>
          <cell r="AD347">
            <v>0.502</v>
          </cell>
          <cell r="AE347">
            <v>0.502</v>
          </cell>
          <cell r="AF347">
            <v>2.4E-2</v>
          </cell>
          <cell r="AG347">
            <v>2.7E-2</v>
          </cell>
          <cell r="AH347">
            <v>2.7E-2</v>
          </cell>
          <cell r="AI347">
            <v>7.3999999999999996E-2</v>
          </cell>
          <cell r="AJ347">
            <v>2.4E-2</v>
          </cell>
          <cell r="AK347">
            <v>2.4E-2</v>
          </cell>
          <cell r="AL347">
            <v>1.0999999999999999E-2</v>
          </cell>
          <cell r="AM347">
            <v>1.0999999999999999E-2</v>
          </cell>
          <cell r="AN347">
            <v>1.0999999999999999E-2</v>
          </cell>
          <cell r="AO347">
            <v>1.0999999999999999E-2</v>
          </cell>
          <cell r="AP347">
            <v>11.417999999999999</v>
          </cell>
          <cell r="AQ347">
            <v>11.417999999999999</v>
          </cell>
          <cell r="AR347">
            <v>0</v>
          </cell>
          <cell r="AS347">
            <v>0.15</v>
          </cell>
          <cell r="AT347">
            <v>0.15</v>
          </cell>
          <cell r="AU347">
            <v>9.5549999999999997</v>
          </cell>
          <cell r="AV347">
            <v>9.7579999999999991</v>
          </cell>
          <cell r="AW347">
            <v>9.7579999999999991</v>
          </cell>
          <cell r="AX347">
            <v>9.7579999999999991</v>
          </cell>
          <cell r="AY347">
            <v>9.7579999999999991</v>
          </cell>
          <cell r="AZ347">
            <v>9.7579999999999991</v>
          </cell>
          <cell r="BA347">
            <v>9.7579999999999991</v>
          </cell>
          <cell r="BB347">
            <v>9.7579999999999991</v>
          </cell>
          <cell r="BC347">
            <v>9.7579999999999991</v>
          </cell>
          <cell r="BD347">
            <v>9.7579999999999991</v>
          </cell>
          <cell r="BE347">
            <v>9.7579999999999991</v>
          </cell>
          <cell r="BF347">
            <v>9.7579999999999991</v>
          </cell>
          <cell r="BG347">
            <v>9.7579999999999991</v>
          </cell>
          <cell r="BH347">
            <v>9.7579999999999991</v>
          </cell>
          <cell r="BI347">
            <v>9.7579999999999991</v>
          </cell>
          <cell r="BJ347">
            <v>9.7579999999999991</v>
          </cell>
          <cell r="BK347">
            <v>9.7579999999999991</v>
          </cell>
          <cell r="BL347">
            <v>9.7579999999999991</v>
          </cell>
          <cell r="BM347">
            <v>9.7579999999999991</v>
          </cell>
          <cell r="BN347">
            <v>9.7579999999999991</v>
          </cell>
          <cell r="BO347">
            <v>9.7579999999999991</v>
          </cell>
          <cell r="BP347">
            <v>9.7579999999999991</v>
          </cell>
          <cell r="BQ347">
            <v>9.7579999999999991</v>
          </cell>
          <cell r="BR347">
            <v>9.7579999999999991</v>
          </cell>
        </row>
        <row r="348">
          <cell r="B348" t="str">
            <v>Total Shareholders Equity</v>
          </cell>
          <cell r="D348" t="str">
            <v>$m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170.94</v>
          </cell>
          <cell r="AB348">
            <v>170.94</v>
          </cell>
          <cell r="AC348">
            <v>251.92600000000002</v>
          </cell>
          <cell r="AD348">
            <v>230.90699999999998</v>
          </cell>
          <cell r="AE348">
            <v>230.90699999999998</v>
          </cell>
          <cell r="AF348">
            <v>204.37899999999999</v>
          </cell>
          <cell r="AG348">
            <v>192.37299999999996</v>
          </cell>
          <cell r="AH348">
            <v>192.37299999999996</v>
          </cell>
          <cell r="AI348">
            <v>214.13200000000001</v>
          </cell>
          <cell r="AJ348">
            <v>231.33500000000001</v>
          </cell>
          <cell r="AK348">
            <v>231.33500000000001</v>
          </cell>
          <cell r="AL348">
            <v>449.61300000000006</v>
          </cell>
          <cell r="AM348">
            <v>467.89300000000003</v>
          </cell>
          <cell r="AN348">
            <v>467.89300000000003</v>
          </cell>
          <cell r="AO348">
            <v>894.57899999999984</v>
          </cell>
          <cell r="AP348">
            <v>920.13700000000006</v>
          </cell>
          <cell r="AQ348">
            <v>920.13700000000006</v>
          </cell>
          <cell r="AR348">
            <v>1183.152</v>
          </cell>
          <cell r="AS348">
            <v>1279.607</v>
          </cell>
          <cell r="AT348">
            <v>1279.607</v>
          </cell>
          <cell r="AU348">
            <v>1338.846</v>
          </cell>
          <cell r="AV348">
            <v>1393.115</v>
          </cell>
          <cell r="AW348">
            <v>1394.115</v>
          </cell>
          <cell r="AX348">
            <v>1831.9947160532956</v>
          </cell>
          <cell r="AY348">
            <v>1900.5418493719474</v>
          </cell>
          <cell r="AZ348">
            <v>1900.5418493719474</v>
          </cell>
          <cell r="BA348">
            <v>1977.752687319057</v>
          </cell>
          <cell r="BB348">
            <v>2049.4768036425307</v>
          </cell>
          <cell r="BC348">
            <v>2049.4768036425307</v>
          </cell>
          <cell r="BD348">
            <v>2141.7684202272858</v>
          </cell>
          <cell r="BE348">
            <v>2240.6762584717439</v>
          </cell>
          <cell r="BF348">
            <v>2240.6762584717439</v>
          </cell>
          <cell r="BG348">
            <v>2347.1045069408547</v>
          </cell>
          <cell r="BH348">
            <v>2467.7248848549434</v>
          </cell>
          <cell r="BI348">
            <v>2467.7248848549434</v>
          </cell>
          <cell r="BJ348">
            <v>2495.2546558468966</v>
          </cell>
          <cell r="BK348">
            <v>2520.6383197481805</v>
          </cell>
          <cell r="BL348">
            <v>2520.6383197481805</v>
          </cell>
          <cell r="BM348">
            <v>2552.37122424377</v>
          </cell>
          <cell r="BN348">
            <v>2581.9794265263031</v>
          </cell>
          <cell r="BO348">
            <v>2581.9794265263031</v>
          </cell>
          <cell r="BP348" t="e">
            <v>#VALUE!</v>
          </cell>
          <cell r="BQ348" t="e">
            <v>#VALUE!</v>
          </cell>
          <cell r="BR348" t="e">
            <v>#VALUE!</v>
          </cell>
        </row>
        <row r="350"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1.6999999999995907E-2</v>
          </cell>
          <cell r="AB350">
            <v>1.6999999999995907E-2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-2.0000000004074536E-3</v>
          </cell>
          <cell r="AS350">
            <v>-1.9999999999527063E-3</v>
          </cell>
          <cell r="AT350">
            <v>-1.9999999999527063E-3</v>
          </cell>
          <cell r="AU350">
            <v>0.46900000000005093</v>
          </cell>
          <cell r="AV350">
            <v>1.0000000000002274</v>
          </cell>
          <cell r="AW350">
            <v>0</v>
          </cell>
          <cell r="AX350">
            <v>0.47200000000020736</v>
          </cell>
          <cell r="AY350">
            <v>0.47199999999952524</v>
          </cell>
          <cell r="AZ350">
            <v>0.47199999999952524</v>
          </cell>
          <cell r="BA350">
            <v>0.47199999999997999</v>
          </cell>
          <cell r="BB350">
            <v>0.47199999999975262</v>
          </cell>
          <cell r="BC350">
            <v>0.47199999999975262</v>
          </cell>
          <cell r="BD350">
            <v>0.47199999999975262</v>
          </cell>
          <cell r="BE350">
            <v>0.47199999999975262</v>
          </cell>
          <cell r="BF350">
            <v>0.47199999999975262</v>
          </cell>
          <cell r="BG350">
            <v>0.47199999999929787</v>
          </cell>
          <cell r="BH350">
            <v>0.47199999999975262</v>
          </cell>
          <cell r="BI350">
            <v>0.47199999999975262</v>
          </cell>
          <cell r="BJ350">
            <v>0.47199999999975262</v>
          </cell>
          <cell r="BK350">
            <v>0.47199999999929787</v>
          </cell>
          <cell r="BL350">
            <v>0.47199999999929787</v>
          </cell>
          <cell r="BM350">
            <v>0.47199999999884312</v>
          </cell>
          <cell r="BN350">
            <v>0.47200000000020736</v>
          </cell>
          <cell r="BO350">
            <v>0.47200000000020736</v>
          </cell>
          <cell r="BP350" t="e">
            <v>#VALUE!</v>
          </cell>
          <cell r="BQ350" t="e">
            <v>#VALUE!</v>
          </cell>
          <cell r="BR350" t="e">
            <v>#VALUE!</v>
          </cell>
        </row>
        <row r="351">
          <cell r="AW351">
            <v>0.3184573295702447</v>
          </cell>
          <cell r="AX351">
            <v>0.23697872072488049</v>
          </cell>
          <cell r="AY351">
            <v>0.53464444972505609</v>
          </cell>
          <cell r="AZ351">
            <v>0.3617490468991344</v>
          </cell>
        </row>
        <row r="352">
          <cell r="E352" t="str">
            <v>1H89(a)</v>
          </cell>
          <cell r="F352" t="str">
            <v>2H89(a)</v>
          </cell>
          <cell r="G352" t="str">
            <v>FY89(a)</v>
          </cell>
          <cell r="H352" t="str">
            <v>1H90(a)</v>
          </cell>
          <cell r="I352" t="str">
            <v>2H90(a)</v>
          </cell>
          <cell r="J352" t="str">
            <v>FY90(a)</v>
          </cell>
          <cell r="K352" t="str">
            <v>1H91(a)</v>
          </cell>
          <cell r="L352" t="str">
            <v>2H91(a)</v>
          </cell>
          <cell r="M352" t="str">
            <v>FY91(a)</v>
          </cell>
          <cell r="N352" t="str">
            <v>1H92(a)</v>
          </cell>
          <cell r="O352" t="str">
            <v>2H92(a)</v>
          </cell>
          <cell r="P352" t="str">
            <v>FY92(a)</v>
          </cell>
          <cell r="Q352" t="str">
            <v>1H93(a)</v>
          </cell>
          <cell r="R352" t="str">
            <v>2H93(a)</v>
          </cell>
          <cell r="S352" t="str">
            <v>FY93(a)</v>
          </cell>
          <cell r="T352" t="str">
            <v>1H94(a)</v>
          </cell>
          <cell r="U352" t="str">
            <v>2H94(a)</v>
          </cell>
          <cell r="V352" t="str">
            <v>FY94(a)</v>
          </cell>
          <cell r="W352" t="str">
            <v>1H95(a)</v>
          </cell>
          <cell r="X352" t="str">
            <v>2H95(a)</v>
          </cell>
          <cell r="Y352" t="str">
            <v>FY95(a)</v>
          </cell>
          <cell r="Z352" t="str">
            <v>1H96(a)</v>
          </cell>
          <cell r="AA352" t="str">
            <v>2H96(a)</v>
          </cell>
          <cell r="AB352" t="str">
            <v>FY96(a)</v>
          </cell>
          <cell r="AC352" t="str">
            <v>1H97(a)</v>
          </cell>
          <cell r="AD352" t="str">
            <v>2H97(a)</v>
          </cell>
          <cell r="AE352" t="str">
            <v>FY97(a)</v>
          </cell>
          <cell r="AF352" t="str">
            <v>1H98(a)</v>
          </cell>
          <cell r="AG352" t="str">
            <v>2H98(a)</v>
          </cell>
          <cell r="AH352" t="str">
            <v>FY98(a)</v>
          </cell>
          <cell r="AI352" t="str">
            <v>1H99(a)</v>
          </cell>
          <cell r="AJ352" t="str">
            <v>2H99(a)</v>
          </cell>
          <cell r="AK352" t="str">
            <v>FY99(a)</v>
          </cell>
          <cell r="AL352" t="str">
            <v>1H00(a)</v>
          </cell>
          <cell r="AM352" t="str">
            <v>2H00(a)</v>
          </cell>
          <cell r="AN352" t="str">
            <v>FY00(a)</v>
          </cell>
          <cell r="AO352" t="str">
            <v>1H01(a)</v>
          </cell>
          <cell r="AP352" t="str">
            <v>2H01(a)</v>
          </cell>
          <cell r="AQ352" t="str">
            <v>FY01(a)</v>
          </cell>
          <cell r="AR352" t="str">
            <v>1H02(a)</v>
          </cell>
          <cell r="AS352" t="str">
            <v>2H02(a)</v>
          </cell>
          <cell r="AT352" t="str">
            <v>FY02(a)</v>
          </cell>
          <cell r="AU352" t="str">
            <v>1H03(e)</v>
          </cell>
          <cell r="AV352" t="str">
            <v>2H03(e)</v>
          </cell>
          <cell r="AW352" t="str">
            <v>FY03(e)</v>
          </cell>
          <cell r="AX352" t="str">
            <v>1H04(e)</v>
          </cell>
          <cell r="AY352" t="str">
            <v>2H04(e)</v>
          </cell>
          <cell r="AZ352" t="str">
            <v>FY04(e)</v>
          </cell>
          <cell r="BA352" t="str">
            <v>1H05(e)</v>
          </cell>
          <cell r="BB352" t="str">
            <v>2H05(e)</v>
          </cell>
          <cell r="BC352" t="str">
            <v>FY05(e)</v>
          </cell>
          <cell r="BD352" t="str">
            <v>1H06(e)</v>
          </cell>
          <cell r="BE352" t="str">
            <v>2H06(e)</v>
          </cell>
          <cell r="BF352" t="str">
            <v>FY06(e)</v>
          </cell>
          <cell r="BG352" t="str">
            <v>1H07(e)</v>
          </cell>
          <cell r="BH352" t="str">
            <v>2H07(e)</v>
          </cell>
          <cell r="BI352" t="str">
            <v>FY07(e)</v>
          </cell>
          <cell r="BJ352" t="str">
            <v>1H08(e)</v>
          </cell>
          <cell r="BK352" t="str">
            <v>2H08(e)</v>
          </cell>
          <cell r="BL352" t="str">
            <v>FY08(e)</v>
          </cell>
          <cell r="BM352" t="str">
            <v>1H09(e)</v>
          </cell>
          <cell r="BN352" t="str">
            <v>2H09(e)</v>
          </cell>
          <cell r="BO352" t="str">
            <v>FY09(e)</v>
          </cell>
          <cell r="BP352" t="str">
            <v>1H10(e)</v>
          </cell>
          <cell r="BQ352" t="str">
            <v>2H10(e)</v>
          </cell>
          <cell r="BR352" t="str">
            <v>FY10(e)</v>
          </cell>
        </row>
        <row r="353"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  <cell r="T353" t="e">
            <v>#REF!</v>
          </cell>
          <cell r="U353" t="e">
            <v>#REF!</v>
          </cell>
          <cell r="V353" t="e">
            <v>#REF!</v>
          </cell>
          <cell r="W353" t="e">
            <v>#REF!</v>
          </cell>
          <cell r="X353" t="e">
            <v>#REF!</v>
          </cell>
          <cell r="Y353" t="e">
            <v>#REF!</v>
          </cell>
          <cell r="Z353" t="e">
            <v>#REF!</v>
          </cell>
          <cell r="AA353" t="e">
            <v>#REF!</v>
          </cell>
          <cell r="AB353">
            <v>8.9969999999999999</v>
          </cell>
          <cell r="AC353" t="e">
            <v>#REF!</v>
          </cell>
          <cell r="AD353" t="e">
            <v>#REF!</v>
          </cell>
          <cell r="AE353">
            <v>0.22800000000000004</v>
          </cell>
          <cell r="AF353">
            <v>0.21300000000000008</v>
          </cell>
          <cell r="AG353">
            <v>-4.2040000000000006</v>
          </cell>
          <cell r="AH353">
            <v>-3.9910000000000001</v>
          </cell>
          <cell r="AI353">
            <v>18.338999999999999</v>
          </cell>
          <cell r="AJ353">
            <v>17.031999999999993</v>
          </cell>
          <cell r="AK353">
            <v>35.370999999999995</v>
          </cell>
          <cell r="AL353">
            <v>24.542000000000002</v>
          </cell>
          <cell r="AM353">
            <v>34.753</v>
          </cell>
          <cell r="AN353">
            <v>59.295000000000002</v>
          </cell>
          <cell r="AO353">
            <v>35.409999999999997</v>
          </cell>
          <cell r="AP353">
            <v>34.395000000000017</v>
          </cell>
          <cell r="AQ353">
            <v>69.805000000000007</v>
          </cell>
          <cell r="AR353">
            <v>46.26400000000001</v>
          </cell>
          <cell r="AS353">
            <v>63.500999999999991</v>
          </cell>
          <cell r="AT353">
            <v>109.765</v>
          </cell>
          <cell r="AU353">
            <v>76.384</v>
          </cell>
          <cell r="AV353">
            <v>72.923353178046582</v>
          </cell>
          <cell r="AW353">
            <v>151.79999999999998</v>
          </cell>
          <cell r="AX353">
            <v>96.352875998680219</v>
          </cell>
          <cell r="AY353">
            <v>114.73050969865166</v>
          </cell>
          <cell r="AZ353">
            <v>211.08338569733186</v>
          </cell>
          <cell r="BA353">
            <v>119.50511211710958</v>
          </cell>
          <cell r="BB353">
            <v>123.09978761347385</v>
          </cell>
          <cell r="BC353">
            <v>242.60489973058344</v>
          </cell>
          <cell r="BD353">
            <v>132.96190722475509</v>
          </cell>
          <cell r="BE353">
            <v>149.82712953482616</v>
          </cell>
          <cell r="BF353">
            <v>279.7318339492133</v>
          </cell>
          <cell r="BG353">
            <v>144.91793982911054</v>
          </cell>
          <cell r="BH353">
            <v>163.73126783408904</v>
          </cell>
          <cell r="BI353">
            <v>308.6492076631996</v>
          </cell>
          <cell r="BJ353">
            <v>66.019462351952782</v>
          </cell>
          <cell r="BK353">
            <v>68.494553821283858</v>
          </cell>
          <cell r="BL353">
            <v>134.51401617323666</v>
          </cell>
          <cell r="BM353">
            <v>70.22259585558956</v>
          </cell>
          <cell r="BN353">
            <v>72.719092202533346</v>
          </cell>
          <cell r="BO353">
            <v>142.94168805812296</v>
          </cell>
          <cell r="BP353" t="e">
            <v>#VALUE!</v>
          </cell>
          <cell r="BQ353" t="e">
            <v>#VALUE!</v>
          </cell>
          <cell r="BR353" t="e">
            <v>#VALUE!</v>
          </cell>
        </row>
        <row r="354"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  <cell r="T354" t="e">
            <v>#REF!</v>
          </cell>
          <cell r="U354" t="e">
            <v>#REF!</v>
          </cell>
          <cell r="V354" t="e">
            <v>#REF!</v>
          </cell>
          <cell r="W354" t="e">
            <v>#REF!</v>
          </cell>
          <cell r="X354" t="e">
            <v>#REF!</v>
          </cell>
          <cell r="Y354" t="e">
            <v>#REF!</v>
          </cell>
          <cell r="Z354" t="e">
            <v>#REF!</v>
          </cell>
          <cell r="AA354" t="e">
            <v>#REF!</v>
          </cell>
          <cell r="AB354">
            <v>9.1679999999999993</v>
          </cell>
          <cell r="AC354" t="e">
            <v>#REF!</v>
          </cell>
          <cell r="AD354" t="e">
            <v>#REF!</v>
          </cell>
          <cell r="AE354">
            <v>0.78700000000000014</v>
          </cell>
          <cell r="AF354">
            <v>0.4930000000000001</v>
          </cell>
          <cell r="AG354">
            <v>-3.9250000000000007</v>
          </cell>
          <cell r="AH354">
            <v>-3.4319999999999999</v>
          </cell>
          <cell r="AI354">
            <v>18.619</v>
          </cell>
          <cell r="AJ354">
            <v>17.276999999999994</v>
          </cell>
          <cell r="AK354">
            <v>35.895999999999994</v>
          </cell>
          <cell r="AL354">
            <v>27.099</v>
          </cell>
          <cell r="AM354">
            <v>43.067999999999998</v>
          </cell>
          <cell r="AN354">
            <v>70.167000000000002</v>
          </cell>
          <cell r="AO354">
            <v>42.431582810000002</v>
          </cell>
          <cell r="AP354">
            <v>42.237582810000013</v>
          </cell>
          <cell r="AQ354">
            <v>84.669165620000015</v>
          </cell>
          <cell r="AR354">
            <v>38.934000000000012</v>
          </cell>
          <cell r="AS354">
            <v>63.500999999999991</v>
          </cell>
          <cell r="AT354">
            <v>117.7</v>
          </cell>
          <cell r="AU354">
            <v>81.525999999999996</v>
          </cell>
          <cell r="AV354">
            <v>78.471353178046584</v>
          </cell>
          <cell r="AW354">
            <v>162.48999999999998</v>
          </cell>
          <cell r="AX354">
            <v>100.89494099868021</v>
          </cell>
          <cell r="AY354">
            <v>120.47244469865166</v>
          </cell>
          <cell r="AZ354">
            <v>221.36738569733185</v>
          </cell>
          <cell r="BA354">
            <v>124.04717711710957</v>
          </cell>
          <cell r="BB354">
            <v>128.84172261347385</v>
          </cell>
          <cell r="BC354">
            <v>252.88889973058343</v>
          </cell>
          <cell r="BD354">
            <v>135.75600722475508</v>
          </cell>
          <cell r="BE354">
            <v>157.31702953482616</v>
          </cell>
          <cell r="BF354">
            <v>290.01583394921329</v>
          </cell>
          <cell r="BG354">
            <v>147.71203982911055</v>
          </cell>
          <cell r="BH354">
            <v>170.74641783408904</v>
          </cell>
          <cell r="BI354">
            <v>318.45845766319962</v>
          </cell>
          <cell r="BJ354">
            <v>68.813562351952783</v>
          </cell>
          <cell r="BK354">
            <v>71.288653821283859</v>
          </cell>
          <cell r="BL354">
            <v>140.10221617323666</v>
          </cell>
          <cell r="BM354">
            <v>73.01669585558956</v>
          </cell>
          <cell r="BN354">
            <v>75.513192202533347</v>
          </cell>
          <cell r="BO354">
            <v>148.52988805812296</v>
          </cell>
          <cell r="BP354" t="e">
            <v>#VALUE!</v>
          </cell>
          <cell r="BQ354" t="e">
            <v>#VALUE!</v>
          </cell>
          <cell r="BR354" t="e">
            <v>#VALUE!</v>
          </cell>
        </row>
        <row r="355">
          <cell r="B355" t="str">
            <v>EPS</v>
          </cell>
          <cell r="D355" t="str">
            <v>c</v>
          </cell>
          <cell r="E355" t="e">
            <v>#DIV/0!</v>
          </cell>
          <cell r="F355" t="e">
            <v>#DIV/0!</v>
          </cell>
          <cell r="G355" t="e">
            <v>#DIV/0!</v>
          </cell>
          <cell r="H355" t="e">
            <v>#DIV/0!</v>
          </cell>
          <cell r="I355" t="e">
            <v>#DIV/0!</v>
          </cell>
          <cell r="J355" t="e">
            <v>#DIV/0!</v>
          </cell>
          <cell r="K355" t="e">
            <v>#DIV/0!</v>
          </cell>
          <cell r="L355" t="e">
            <v>#DIV/0!</v>
          </cell>
          <cell r="M355" t="e">
            <v>#DIV/0!</v>
          </cell>
          <cell r="N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  <cell r="T355" t="e">
            <v>#REF!</v>
          </cell>
          <cell r="U355" t="e">
            <v>#REF!</v>
          </cell>
          <cell r="V355" t="e">
            <v>#REF!</v>
          </cell>
          <cell r="W355" t="e">
            <v>#REF!</v>
          </cell>
          <cell r="X355" t="e">
            <v>#REF!</v>
          </cell>
          <cell r="Y355" t="e">
            <v>#REF!</v>
          </cell>
          <cell r="Z355" t="e">
            <v>#REF!</v>
          </cell>
          <cell r="AA355" t="e">
            <v>#REF!</v>
          </cell>
          <cell r="AB355" t="e">
            <v>#DIV/0!</v>
          </cell>
          <cell r="AC355" t="e">
            <v>#REF!</v>
          </cell>
          <cell r="AD355" t="e">
            <v>#REF!</v>
          </cell>
          <cell r="AE355" t="e">
            <v>#DIV/0!</v>
          </cell>
          <cell r="AF355" t="e">
            <v>#DIV/0!</v>
          </cell>
          <cell r="AG355" t="e">
            <v>#DIV/0!</v>
          </cell>
          <cell r="AH355">
            <v>-2.9462299923726278</v>
          </cell>
          <cell r="AI355">
            <v>15.198093877088844</v>
          </cell>
          <cell r="AJ355">
            <v>13.863164760877444</v>
          </cell>
          <cell r="AK355">
            <v>29.049826394803109</v>
          </cell>
          <cell r="AL355">
            <v>17.845269952462527</v>
          </cell>
          <cell r="AM355">
            <v>25.60160778374399</v>
          </cell>
          <cell r="AN355">
            <v>43.843527034092226</v>
          </cell>
          <cell r="AO355">
            <v>23.416284297265811</v>
          </cell>
          <cell r="AP355">
            <v>20.267503842404299</v>
          </cell>
          <cell r="AQ355">
            <v>43.463998633060292</v>
          </cell>
          <cell r="AR355">
            <v>18.136256875835734</v>
          </cell>
          <cell r="AS355">
            <v>27.808266519478149</v>
          </cell>
          <cell r="AT355">
            <v>53.13435006434807</v>
          </cell>
          <cell r="AU355">
            <v>35.150544544405456</v>
          </cell>
          <cell r="AV355">
            <v>33.830221846919365</v>
          </cell>
          <cell r="AW355">
            <v>70.055373294290916</v>
          </cell>
          <cell r="AX355">
            <v>43.480475623321588</v>
          </cell>
          <cell r="AY355">
            <v>51.917362190342139</v>
          </cell>
          <cell r="AZ355">
            <v>95.397837813663728</v>
          </cell>
          <cell r="BA355">
            <v>53.457886068369788</v>
          </cell>
          <cell r="BB355">
            <v>55.457824308911455</v>
          </cell>
          <cell r="BC355">
            <v>108.91690443906622</v>
          </cell>
          <cell r="BD355">
            <v>58.38814240301302</v>
          </cell>
          <cell r="BE355">
            <v>66.699782374671685</v>
          </cell>
          <cell r="BF355">
            <v>123.84193416702978</v>
          </cell>
          <cell r="BG355">
            <v>62.497479288665616</v>
          </cell>
          <cell r="BH355">
            <v>72.243404969191815</v>
          </cell>
          <cell r="BI355">
            <v>134.74088425785743</v>
          </cell>
          <cell r="BJ355">
            <v>29.115258260910615</v>
          </cell>
          <cell r="BK355">
            <v>30.162478094994761</v>
          </cell>
          <cell r="BL355">
            <v>59.27773635590539</v>
          </cell>
          <cell r="BM355">
            <v>30.893618707323373</v>
          </cell>
          <cell r="BN355">
            <v>31.949895019788187</v>
          </cell>
          <cell r="BO355">
            <v>62.843513727111578</v>
          </cell>
          <cell r="BP355" t="e">
            <v>#VALUE!</v>
          </cell>
          <cell r="BQ355" t="e">
            <v>#VALUE!</v>
          </cell>
          <cell r="BR355" t="e">
            <v>#VALUE!</v>
          </cell>
        </row>
        <row r="356">
          <cell r="E356" t="e">
            <v>#DIV/0!</v>
          </cell>
          <cell r="F356" t="e">
            <v>#DIV/0!</v>
          </cell>
          <cell r="G356" t="e">
            <v>#DIV/0!</v>
          </cell>
          <cell r="H356" t="e">
            <v>#DIV/0!</v>
          </cell>
          <cell r="I356" t="e">
            <v>#DIV/0!</v>
          </cell>
          <cell r="J356" t="e">
            <v>#DIV/0!</v>
          </cell>
          <cell r="K356" t="e">
            <v>#DIV/0!</v>
          </cell>
          <cell r="L356" t="e">
            <v>#DIV/0!</v>
          </cell>
          <cell r="M356" t="e">
            <v>#DIV/0!</v>
          </cell>
          <cell r="N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  <cell r="T356" t="e">
            <v>#REF!</v>
          </cell>
          <cell r="U356" t="e">
            <v>#REF!</v>
          </cell>
          <cell r="V356" t="e">
            <v>#REF!</v>
          </cell>
          <cell r="W356" t="e">
            <v>#REF!</v>
          </cell>
          <cell r="X356" t="e">
            <v>#REF!</v>
          </cell>
          <cell r="Y356" t="e">
            <v>#REF!</v>
          </cell>
          <cell r="Z356" t="e">
            <v>#REF!</v>
          </cell>
          <cell r="AA356" t="e">
            <v>#REF!</v>
          </cell>
          <cell r="AB356" t="e">
            <v>#DIV/0!</v>
          </cell>
          <cell r="AC356" t="e">
            <v>#REF!</v>
          </cell>
          <cell r="AD356" t="e">
            <v>#REF!</v>
          </cell>
          <cell r="AE356" t="e">
            <v>#DIV/0!</v>
          </cell>
          <cell r="AF356" t="e">
            <v>#DIV/0!</v>
          </cell>
          <cell r="AG356" t="e">
            <v>#DIV/0!</v>
          </cell>
          <cell r="AH356">
            <v>-517.61064273597412</v>
          </cell>
          <cell r="AI356">
            <v>50.170765239808802</v>
          </cell>
          <cell r="AJ356">
            <v>55.001871012296832</v>
          </cell>
          <cell r="AK356">
            <v>52.49601079450224</v>
          </cell>
          <cell r="AL356">
            <v>42.72840937857486</v>
          </cell>
          <cell r="AM356">
            <v>29.783285738958838</v>
          </cell>
          <cell r="AN356">
            <v>34.782785582331854</v>
          </cell>
          <cell r="AO356">
            <v>32.562809296308075</v>
          </cell>
          <cell r="AP356">
            <v>37.621801181291694</v>
          </cell>
          <cell r="AQ356">
            <v>35.086509478215142</v>
          </cell>
          <cell r="AR356">
            <v>42.042854003459482</v>
          </cell>
          <cell r="AS356">
            <v>27.419904058597506</v>
          </cell>
          <cell r="AT356">
            <v>28.700830971926013</v>
          </cell>
          <cell r="AU356">
            <v>21.692409317777102</v>
          </cell>
          <cell r="AV356">
            <v>22.539018616262325</v>
          </cell>
          <cell r="AW356">
            <v>21.768494382204345</v>
          </cell>
          <cell r="AX356">
            <v>17.536606696892214</v>
          </cell>
          <cell r="AY356">
            <v>14.686801636887536</v>
          </cell>
          <cell r="AZ356">
            <v>15.985687254030992</v>
          </cell>
          <cell r="BA356">
            <v>14.263564388326227</v>
          </cell>
          <cell r="BB356">
            <v>13.749187053439361</v>
          </cell>
          <cell r="BC356">
            <v>14.001499655667908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 t="e">
            <v>#VALUE!</v>
          </cell>
          <cell r="BQ356" t="e">
            <v>#VALUE!</v>
          </cell>
          <cell r="BR356" t="e">
            <v>#VALUE!</v>
          </cell>
        </row>
        <row r="357">
          <cell r="B357" t="str">
            <v>EBITDA</v>
          </cell>
          <cell r="D357" t="str">
            <v>x</v>
          </cell>
          <cell r="E357" t="e">
            <v>#DIV/0!</v>
          </cell>
          <cell r="F357" t="e">
            <v>#DIV/0!</v>
          </cell>
          <cell r="G357" t="e">
            <v>#DIV/0!</v>
          </cell>
          <cell r="H357" t="e">
            <v>#DIV/0!</v>
          </cell>
          <cell r="I357" t="e">
            <v>#DIV/0!</v>
          </cell>
          <cell r="J357" t="e">
            <v>#DIV/0!</v>
          </cell>
          <cell r="K357" t="e">
            <v>#DIV/0!</v>
          </cell>
          <cell r="L357" t="e">
            <v>#DIV/0!</v>
          </cell>
          <cell r="M357" t="e">
            <v>#DIV/0!</v>
          </cell>
          <cell r="N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  <cell r="T357" t="e">
            <v>#REF!</v>
          </cell>
          <cell r="U357" t="e">
            <v>#REF!</v>
          </cell>
          <cell r="V357" t="e">
            <v>#REF!</v>
          </cell>
          <cell r="W357" t="e">
            <v>#REF!</v>
          </cell>
          <cell r="X357" t="e">
            <v>#REF!</v>
          </cell>
          <cell r="Y357" t="e">
            <v>#REF!</v>
          </cell>
          <cell r="Z357" t="e">
            <v>#REF!</v>
          </cell>
          <cell r="AA357" t="e">
            <v>#REF!</v>
          </cell>
          <cell r="AB357">
            <v>481.96644573322277</v>
          </cell>
          <cell r="AC357" t="e">
            <v>#REF!</v>
          </cell>
          <cell r="AD357" t="e">
            <v>#REF!</v>
          </cell>
          <cell r="AE357">
            <v>48.145664170721098</v>
          </cell>
          <cell r="AF357">
            <v>49.570157238380958</v>
          </cell>
          <cell r="AG357">
            <v>65.828695967929647</v>
          </cell>
          <cell r="AH357">
            <v>57.206480980966589</v>
          </cell>
          <cell r="AI357">
            <v>20.964411582670206</v>
          </cell>
          <cell r="AJ357">
            <v>22.39967741345399</v>
          </cell>
          <cell r="AK357">
            <v>21.313710185638477</v>
          </cell>
          <cell r="AL357">
            <v>15.510183984273413</v>
          </cell>
          <cell r="AM357">
            <v>12.728613279088629</v>
          </cell>
          <cell r="AN357">
            <v>13.841464775175623</v>
          </cell>
          <cell r="AO357">
            <v>12.048989018968266</v>
          </cell>
          <cell r="AP357">
            <v>16.85573991377564</v>
          </cell>
          <cell r="AQ357">
            <v>14.442295552082374</v>
          </cell>
          <cell r="AR357">
            <v>14.056043685491119</v>
          </cell>
          <cell r="AS357">
            <v>18.177327472826089</v>
          </cell>
          <cell r="AT357">
            <v>16.887736865452649</v>
          </cell>
          <cell r="AU357">
            <v>15.384041191394665</v>
          </cell>
          <cell r="AV357">
            <v>17.080070560918596</v>
          </cell>
          <cell r="AW357">
            <v>16.546512607901107</v>
          </cell>
          <cell r="AX357">
            <v>14.23543003695479</v>
          </cell>
          <cell r="AY357">
            <v>13.71463721535892</v>
          </cell>
          <cell r="AZ357">
            <v>13.9990727570605</v>
          </cell>
          <cell r="BA357">
            <v>14.298210270919055</v>
          </cell>
          <cell r="BB357">
            <v>15.112644024778042</v>
          </cell>
          <cell r="BC357">
            <v>14.742188864633695</v>
          </cell>
          <cell r="BD357">
            <v>14.300619140599252</v>
          </cell>
          <cell r="BE357">
            <v>13.557070746287312</v>
          </cell>
          <cell r="BF357">
            <v>14.036167281739374</v>
          </cell>
          <cell r="BG357">
            <v>13.693663055405958</v>
          </cell>
          <cell r="BH357">
            <v>12.922688063055668</v>
          </cell>
          <cell r="BI357">
            <v>13.23757172677152</v>
          </cell>
          <cell r="BJ357">
            <v>12.983468438198718</v>
          </cell>
          <cell r="BK357">
            <v>12.632526153745305</v>
          </cell>
          <cell r="BL357">
            <v>12.709461470165506</v>
          </cell>
          <cell r="BM357">
            <v>12.447052307089683</v>
          </cell>
          <cell r="BN357">
            <v>12.176391553286669</v>
          </cell>
          <cell r="BO357">
            <v>12.207725108011598</v>
          </cell>
          <cell r="BP357" t="e">
            <v>#VALUE!</v>
          </cell>
          <cell r="BQ357" t="e">
            <v>#VALUE!</v>
          </cell>
          <cell r="BR357" t="e">
            <v>#VALUE!</v>
          </cell>
        </row>
        <row r="358">
          <cell r="B358" t="str">
            <v>EBIT</v>
          </cell>
          <cell r="D358" t="str">
            <v>x</v>
          </cell>
          <cell r="E358" t="e">
            <v>#DIV/0!</v>
          </cell>
          <cell r="F358" t="e">
            <v>#DIV/0!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  <cell r="K358" t="e">
            <v>#DIV/0!</v>
          </cell>
          <cell r="L358" t="e">
            <v>#DIV/0!</v>
          </cell>
          <cell r="M358" t="e">
            <v>#DIV/0!</v>
          </cell>
          <cell r="N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  <cell r="T358" t="e">
            <v>#REF!</v>
          </cell>
          <cell r="U358" t="e">
            <v>#REF!</v>
          </cell>
          <cell r="V358" t="e">
            <v>#REF!</v>
          </cell>
          <cell r="W358" t="e">
            <v>#REF!</v>
          </cell>
          <cell r="X358" t="e">
            <v>#REF!</v>
          </cell>
          <cell r="Y358" t="e">
            <v>#REF!</v>
          </cell>
          <cell r="Z358" t="e">
            <v>#REF!</v>
          </cell>
          <cell r="AA358" t="e">
            <v>#REF!</v>
          </cell>
          <cell r="AB358">
            <v>631.28974498100899</v>
          </cell>
          <cell r="AC358" t="e">
            <v>#REF!</v>
          </cell>
          <cell r="AD358" t="e">
            <v>#REF!</v>
          </cell>
          <cell r="AE358">
            <v>125.99903304861844</v>
          </cell>
          <cell r="AF358">
            <v>173.95551610456818</v>
          </cell>
          <cell r="AG358">
            <v>206.10289372010897</v>
          </cell>
          <cell r="AH358">
            <v>190.56756975624592</v>
          </cell>
          <cell r="AI358">
            <v>31.825538513163114</v>
          </cell>
          <cell r="AJ358">
            <v>33.493226681324472</v>
          </cell>
          <cell r="AK358">
            <v>32.120732803408551</v>
          </cell>
          <cell r="AL358">
            <v>23.224771991111929</v>
          </cell>
          <cell r="AM358">
            <v>17.529333415955179</v>
          </cell>
          <cell r="AN358">
            <v>19.783996910775492</v>
          </cell>
          <cell r="AO358">
            <v>17.695453681024283</v>
          </cell>
          <cell r="AP358">
            <v>27.894693919860977</v>
          </cell>
          <cell r="AQ358">
            <v>22.400437661835245</v>
          </cell>
          <cell r="AR358">
            <v>21.627544993573693</v>
          </cell>
          <cell r="AS358">
            <v>31.285497521202299</v>
          </cell>
          <cell r="AT358">
            <v>27.389360127563663</v>
          </cell>
          <cell r="AU358">
            <v>24.887499986642567</v>
          </cell>
          <cell r="AV358">
            <v>28.698565558692358</v>
          </cell>
          <cell r="AW358">
            <v>27.048090806623875</v>
          </cell>
          <cell r="AX358">
            <v>22.117161958913986</v>
          </cell>
          <cell r="AY358">
            <v>21.8709553737873</v>
          </cell>
          <cell r="AZ358">
            <v>22.039458558525322</v>
          </cell>
          <cell r="BA358">
            <v>21.328398216323865</v>
          </cell>
          <cell r="BB358">
            <v>23.244717650886702</v>
          </cell>
          <cell r="BC358">
            <v>22.335668765426689</v>
          </cell>
          <cell r="BD358">
            <v>20.238550024462107</v>
          </cell>
          <cell r="BE358">
            <v>20.082369583262896</v>
          </cell>
          <cell r="BF358">
            <v>20.436790948875693</v>
          </cell>
          <cell r="BG358">
            <v>19.133952330697454</v>
          </cell>
          <cell r="BH358">
            <v>18.666834179203008</v>
          </cell>
          <cell r="BI358">
            <v>18.811596835757694</v>
          </cell>
          <cell r="BJ358">
            <v>17.904163859081795</v>
          </cell>
          <cell r="BK358">
            <v>17.37279995862588</v>
          </cell>
          <cell r="BL358">
            <v>17.502279145781557</v>
          </cell>
          <cell r="BM358">
            <v>16.98446341375363</v>
          </cell>
          <cell r="BN358">
            <v>16.482850547779446</v>
          </cell>
          <cell r="BO358">
            <v>16.591143581232256</v>
          </cell>
          <cell r="BP358" t="e">
            <v>#VALUE!</v>
          </cell>
          <cell r="BQ358" t="e">
            <v>#VALUE!</v>
          </cell>
          <cell r="BR358" t="e">
            <v>#VALUE!</v>
          </cell>
        </row>
        <row r="359">
          <cell r="E359" t="e">
            <v>#DIV/0!</v>
          </cell>
          <cell r="F359" t="e">
            <v>#DIV/0!</v>
          </cell>
          <cell r="G359" t="e">
            <v>#DIV/0!</v>
          </cell>
          <cell r="H359" t="e">
            <v>#DIV/0!</v>
          </cell>
          <cell r="I359" t="e">
            <v>#DIV/0!</v>
          </cell>
          <cell r="J359" t="e">
            <v>#DIV/0!</v>
          </cell>
          <cell r="K359" t="e">
            <v>#DIV/0!</v>
          </cell>
          <cell r="L359" t="e">
            <v>#DIV/0!</v>
          </cell>
          <cell r="M359" t="e">
            <v>#DIV/0!</v>
          </cell>
          <cell r="N359" t="e">
            <v>#DIV/0!</v>
          </cell>
          <cell r="O359" t="e">
            <v>#DIV/0!</v>
          </cell>
          <cell r="P359" t="e">
            <v>#DIV/0!</v>
          </cell>
          <cell r="Q359" t="e">
            <v>#DIV/0!</v>
          </cell>
          <cell r="R359" t="e">
            <v>#REF!</v>
          </cell>
          <cell r="S359" t="e">
            <v>#REF!</v>
          </cell>
          <cell r="T359" t="e">
            <v>#DIV/0!</v>
          </cell>
          <cell r="U359">
            <v>0</v>
          </cell>
          <cell r="V359">
            <v>0</v>
          </cell>
          <cell r="W359" t="e">
            <v>#DIV/0!</v>
          </cell>
          <cell r="X359">
            <v>0</v>
          </cell>
          <cell r="Y359">
            <v>0</v>
          </cell>
          <cell r="Z359" t="e">
            <v>#DIV/0!</v>
          </cell>
          <cell r="AA359">
            <v>-3.1091772151898737E-2</v>
          </cell>
          <cell r="AB359">
            <v>2.832198149951314</v>
          </cell>
          <cell r="AC359">
            <v>3.6302984752326659</v>
          </cell>
          <cell r="AD359">
            <v>4.4000764550268023</v>
          </cell>
          <cell r="AE359">
            <v>4.0132440916758876</v>
          </cell>
          <cell r="AF359">
            <v>5.2648029695457517</v>
          </cell>
          <cell r="AG359">
            <v>5.970817709030471</v>
          </cell>
          <cell r="AH359">
            <v>5.6487352971301039</v>
          </cell>
          <cell r="AI359">
            <v>5.2887413148943292</v>
          </cell>
          <cell r="AJ359">
            <v>4.6913513087175325</v>
          </cell>
          <cell r="AK359">
            <v>4.8966363548095631</v>
          </cell>
          <cell r="AL359">
            <v>2.8322855089798122</v>
          </cell>
          <cell r="AM359">
            <v>3.0617994407260953</v>
          </cell>
          <cell r="AN359">
            <v>2.9098257447858109</v>
          </cell>
          <cell r="AO359">
            <v>2.5328065315197472</v>
          </cell>
          <cell r="AP359">
            <v>3.2410299825259403</v>
          </cell>
          <cell r="AQ359">
            <v>2.9079254975186721</v>
          </cell>
          <cell r="AR359">
            <v>3.0486279174875461</v>
          </cell>
          <cell r="AS359">
            <v>3.2171229487960504</v>
          </cell>
          <cell r="AT359">
            <v>3.3025405077969365</v>
          </cell>
          <cell r="AU359">
            <v>2.7827407909211805</v>
          </cell>
          <cell r="AV359">
            <v>2.8942363699905385</v>
          </cell>
          <cell r="AW359">
            <v>2.9335177054431645</v>
          </cell>
          <cell r="AX359">
            <v>2.6742736347411835</v>
          </cell>
          <cell r="AY359">
            <v>2.5881083477511084</v>
          </cell>
          <cell r="AZ359">
            <v>2.6359380990976669</v>
          </cell>
          <cell r="BA359">
            <v>2.8252299414060658</v>
          </cell>
          <cell r="BB359">
            <v>3.0181469966773036</v>
          </cell>
          <cell r="BC359">
            <v>2.9288470790965637</v>
          </cell>
          <cell r="BD359">
            <v>2.9401446799895887</v>
          </cell>
          <cell r="BE359">
            <v>2.8563662788069677</v>
          </cell>
          <cell r="BF359">
            <v>2.8891035685363957</v>
          </cell>
          <cell r="BG359">
            <v>2.7781260807290287</v>
          </cell>
          <cell r="BH359">
            <v>2.6464054384641709</v>
          </cell>
          <cell r="BI359">
            <v>2.6984916333048985</v>
          </cell>
          <cell r="BJ359">
            <v>2.6099791608104521</v>
          </cell>
          <cell r="BK359">
            <v>2.465053970845922</v>
          </cell>
          <cell r="BL359">
            <v>2.5166982121819497</v>
          </cell>
          <cell r="BM359">
            <v>2.4015206803778568</v>
          </cell>
          <cell r="BN359">
            <v>2.2590044370488589</v>
          </cell>
          <cell r="BO359">
            <v>2.3090780195204301</v>
          </cell>
          <cell r="BP359" t="e">
            <v>#VALUE!</v>
          </cell>
          <cell r="BQ359" t="e">
            <v>#VALUE!</v>
          </cell>
          <cell r="BR359" t="e">
            <v>#VALUE!</v>
          </cell>
        </row>
        <row r="360">
          <cell r="B360" t="str">
            <v>CFPS</v>
          </cell>
          <cell r="D360" t="str">
            <v>c</v>
          </cell>
          <cell r="H360" t="e">
            <v>#DIV/0!</v>
          </cell>
          <cell r="I360" t="e">
            <v>#DIV/0!</v>
          </cell>
          <cell r="J360" t="e">
            <v>#DIV/0!</v>
          </cell>
          <cell r="K360" t="e">
            <v>#DIV/0!</v>
          </cell>
          <cell r="L360" t="e">
            <v>#DIV/0!</v>
          </cell>
          <cell r="M360" t="e">
            <v>#DIV/0!</v>
          </cell>
          <cell r="N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  <cell r="T360" t="e">
            <v>#REF!</v>
          </cell>
          <cell r="U360" t="e">
            <v>#REF!</v>
          </cell>
          <cell r="V360" t="e">
            <v>#REF!</v>
          </cell>
          <cell r="W360" t="e">
            <v>#REF!</v>
          </cell>
          <cell r="X360" t="e">
            <v>#REF!</v>
          </cell>
          <cell r="Y360" t="e">
            <v>#REF!</v>
          </cell>
          <cell r="Z360" t="e">
            <v>#REF!</v>
          </cell>
          <cell r="AA360" t="e">
            <v>#REF!</v>
          </cell>
          <cell r="AB360">
            <v>0</v>
          </cell>
          <cell r="AC360" t="e">
            <v>#REF!</v>
          </cell>
          <cell r="AD360" t="e">
            <v>#REF!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30.969653707867451</v>
          </cell>
          <cell r="AK360">
            <v>64.091543658425095</v>
          </cell>
          <cell r="AL360">
            <v>34.90821654599943</v>
          </cell>
          <cell r="AM360">
            <v>39.646587515947004</v>
          </cell>
          <cell r="AN360">
            <v>71.33258635812507</v>
          </cell>
          <cell r="AO360">
            <v>29.770858357945556</v>
          </cell>
          <cell r="AP360">
            <v>28.433430979796974</v>
          </cell>
          <cell r="AQ360">
            <v>57.81654106282901</v>
          </cell>
          <cell r="AR360">
            <v>33.461946953402929</v>
          </cell>
          <cell r="AS360">
            <v>24.398815301545412</v>
          </cell>
          <cell r="AT360">
            <v>57.848704973573085</v>
          </cell>
          <cell r="AU360">
            <v>32.922236467051036</v>
          </cell>
          <cell r="AV360">
            <v>22.029660534562158</v>
          </cell>
          <cell r="AW360">
            <v>54.968549292846014</v>
          </cell>
          <cell r="AX360">
            <v>31.037429188059821</v>
          </cell>
          <cell r="AY360">
            <v>27.3771298601777</v>
          </cell>
          <cell r="AZ360">
            <v>58.414559048237535</v>
          </cell>
          <cell r="BA360">
            <v>37.071373732253143</v>
          </cell>
          <cell r="BB360">
            <v>29.569329259835371</v>
          </cell>
          <cell r="BC360">
            <v>66.676032782115243</v>
          </cell>
          <cell r="BD360">
            <v>43.526580527549704</v>
          </cell>
          <cell r="BE360">
            <v>33.950978524197275</v>
          </cell>
          <cell r="BF360">
            <v>77.409022880617471</v>
          </cell>
          <cell r="BG360">
            <v>45.447185111409929</v>
          </cell>
          <cell r="BH360">
            <v>35.59238739723888</v>
          </cell>
          <cell r="BI360">
            <v>81.039572508648817</v>
          </cell>
          <cell r="BJ360">
            <v>48.092400366994845</v>
          </cell>
          <cell r="BK360">
            <v>35.074440901897347</v>
          </cell>
          <cell r="BL360">
            <v>83.166841268892185</v>
          </cell>
          <cell r="BM360">
            <v>50.186248050179827</v>
          </cell>
          <cell r="BN360">
            <v>35.690176001167586</v>
          </cell>
          <cell r="BO360">
            <v>85.876424051347428</v>
          </cell>
          <cell r="BP360" t="e">
            <v>#VALUE!</v>
          </cell>
          <cell r="BQ360" t="e">
            <v>#VALUE!</v>
          </cell>
          <cell r="BR360" t="e">
            <v>#VALUE!</v>
          </cell>
        </row>
        <row r="361">
          <cell r="H361" t="e">
            <v>#DIV/0!</v>
          </cell>
          <cell r="I361" t="e">
            <v>#DIV/0!</v>
          </cell>
          <cell r="J361" t="e">
            <v>#DIV/0!</v>
          </cell>
          <cell r="K361" t="e">
            <v>#DIV/0!</v>
          </cell>
          <cell r="L361" t="e">
            <v>#DIV/0!</v>
          </cell>
          <cell r="M361" t="e">
            <v>#DIV/0!</v>
          </cell>
          <cell r="N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  <cell r="T361" t="e">
            <v>#REF!</v>
          </cell>
          <cell r="U361" t="e">
            <v>#REF!</v>
          </cell>
          <cell r="V361" t="e">
            <v>#REF!</v>
          </cell>
          <cell r="W361" t="e">
            <v>#REF!</v>
          </cell>
          <cell r="X361" t="e">
            <v>#REF!</v>
          </cell>
          <cell r="Y361" t="e">
            <v>#REF!</v>
          </cell>
          <cell r="Z361" t="e">
            <v>#REF!</v>
          </cell>
          <cell r="AA361" t="e">
            <v>#REF!</v>
          </cell>
          <cell r="AB361" t="e">
            <v>#DIV/0!</v>
          </cell>
          <cell r="AC361" t="e">
            <v>#REF!</v>
          </cell>
          <cell r="AD361" t="e">
            <v>#REF!</v>
          </cell>
          <cell r="AE361" t="e">
            <v>#DIV/0!</v>
          </cell>
          <cell r="AF361" t="e">
            <v>#DIV/0!</v>
          </cell>
          <cell r="AG361" t="e">
            <v>#DIV/0!</v>
          </cell>
          <cell r="AH361" t="e">
            <v>#DIV/0!</v>
          </cell>
          <cell r="AI361" t="e">
            <v>#DIV/0!</v>
          </cell>
          <cell r="AJ361">
            <v>24.620875880387917</v>
          </cell>
          <cell r="AK361">
            <v>23.794090654571598</v>
          </cell>
          <cell r="AL361">
            <v>21.842995015091496</v>
          </cell>
          <cell r="AM361">
            <v>19.232424472681299</v>
          </cell>
          <cell r="AN361">
            <v>21.378728542713162</v>
          </cell>
          <cell r="AO361">
            <v>25.612294776058953</v>
          </cell>
          <cell r="AP361">
            <v>26.817023965267683</v>
          </cell>
          <cell r="AQ361">
            <v>26.376534672712232</v>
          </cell>
          <cell r="AR361">
            <v>22.787078141681686</v>
          </cell>
          <cell r="AS361">
            <v>31.251517361652535</v>
          </cell>
          <cell r="AT361">
            <v>26.361869305400404</v>
          </cell>
          <cell r="AU361">
            <v>23.160637970725926</v>
          </cell>
          <cell r="AV361">
            <v>34.612426224349662</v>
          </cell>
          <cell r="AW361">
            <v>0</v>
          </cell>
          <cell r="AX361">
            <v>24.567112030442768</v>
          </cell>
          <cell r="AY361">
            <v>27.851714328503054</v>
          </cell>
          <cell r="AZ361">
            <v>26.106505378919088</v>
          </cell>
          <cell r="BA361">
            <v>20.568431197266463</v>
          </cell>
          <cell r="BB361">
            <v>25.786854794698353</v>
          </cell>
          <cell r="BC361">
            <v>22.871786703078357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 t="e">
            <v>#VALUE!</v>
          </cell>
          <cell r="BQ361" t="e">
            <v>#VALUE!</v>
          </cell>
          <cell r="BR361" t="e">
            <v>#VALUE!</v>
          </cell>
        </row>
        <row r="362">
          <cell r="B362" t="str">
            <v>DPS</v>
          </cell>
          <cell r="D362" t="str">
            <v>c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6</v>
          </cell>
          <cell r="AM362">
            <v>8</v>
          </cell>
          <cell r="AN362">
            <v>14</v>
          </cell>
          <cell r="AO362">
            <v>8</v>
          </cell>
          <cell r="AP362">
            <v>9</v>
          </cell>
          <cell r="AQ362">
            <v>17</v>
          </cell>
          <cell r="AR362">
            <v>8.9140314150509781</v>
          </cell>
          <cell r="AS362">
            <v>11</v>
          </cell>
          <cell r="AT362">
            <v>20</v>
          </cell>
          <cell r="AU362">
            <v>13</v>
          </cell>
          <cell r="AV362">
            <v>15</v>
          </cell>
          <cell r="AW362">
            <v>28</v>
          </cell>
          <cell r="AX362">
            <v>13.5</v>
          </cell>
          <cell r="AY362">
            <v>13.5</v>
          </cell>
          <cell r="AZ362">
            <v>29</v>
          </cell>
          <cell r="BA362">
            <v>14</v>
          </cell>
          <cell r="BB362">
            <v>14</v>
          </cell>
          <cell r="BC362">
            <v>30</v>
          </cell>
          <cell r="BD362">
            <v>13</v>
          </cell>
          <cell r="BE362">
            <v>14</v>
          </cell>
          <cell r="BF362">
            <v>31</v>
          </cell>
          <cell r="BG362">
            <v>12</v>
          </cell>
          <cell r="BH362">
            <v>14</v>
          </cell>
          <cell r="BI362">
            <v>32</v>
          </cell>
          <cell r="BJ362">
            <v>12</v>
          </cell>
          <cell r="BK362">
            <v>14</v>
          </cell>
          <cell r="BL362">
            <v>33</v>
          </cell>
          <cell r="BM362">
            <v>12</v>
          </cell>
          <cell r="BN362">
            <v>14</v>
          </cell>
          <cell r="BO362">
            <v>34</v>
          </cell>
          <cell r="BP362">
            <v>12</v>
          </cell>
          <cell r="BQ362">
            <v>14</v>
          </cell>
          <cell r="BR362">
            <v>35</v>
          </cell>
        </row>
        <row r="363"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0.78688524590163933</v>
          </cell>
          <cell r="AM363">
            <v>1.0491803278688525</v>
          </cell>
          <cell r="AN363">
            <v>0.91803278688524592</v>
          </cell>
          <cell r="AO363">
            <v>1.0491803278688525</v>
          </cell>
          <cell r="AP363">
            <v>1.180327868852459</v>
          </cell>
          <cell r="AQ363">
            <v>1.1147540983606559</v>
          </cell>
          <cell r="AR363">
            <v>1.1690533003345545</v>
          </cell>
          <cell r="AS363">
            <v>1.4426229508196722</v>
          </cell>
          <cell r="AT363">
            <v>1.3114754098360655</v>
          </cell>
          <cell r="AU363">
            <v>1.7049180327868854</v>
          </cell>
          <cell r="AV363">
            <v>1.9672131147540985</v>
          </cell>
          <cell r="AW363">
            <v>1.8360655737704918</v>
          </cell>
          <cell r="AX363">
            <v>1.7704918032786885</v>
          </cell>
          <cell r="AY363">
            <v>1.7704918032786885</v>
          </cell>
          <cell r="AZ363">
            <v>1.9016393442622952</v>
          </cell>
          <cell r="BA363">
            <v>1.8360655737704918</v>
          </cell>
          <cell r="BB363">
            <v>1.8360655737704918</v>
          </cell>
          <cell r="BC363">
            <v>1.9672131147540985</v>
          </cell>
          <cell r="BD363" t="e">
            <v>#DIV/0!</v>
          </cell>
          <cell r="BE363" t="e">
            <v>#DIV/0!</v>
          </cell>
          <cell r="BF363" t="e">
            <v>#DIV/0!</v>
          </cell>
          <cell r="BG363" t="e">
            <v>#DIV/0!</v>
          </cell>
          <cell r="BH363" t="e">
            <v>#DIV/0!</v>
          </cell>
          <cell r="BI363" t="e">
            <v>#DIV/0!</v>
          </cell>
          <cell r="BJ363" t="e">
            <v>#DIV/0!</v>
          </cell>
          <cell r="BK363" t="e">
            <v>#DIV/0!</v>
          </cell>
          <cell r="BL363" t="e">
            <v>#DIV/0!</v>
          </cell>
          <cell r="BM363" t="e">
            <v>#DIV/0!</v>
          </cell>
          <cell r="BN363" t="e">
            <v>#DIV/0!</v>
          </cell>
          <cell r="BO363" t="e">
            <v>#DIV/0!</v>
          </cell>
          <cell r="BP363" t="e">
            <v>#DIV/0!</v>
          </cell>
          <cell r="BQ363" t="e">
            <v>#DIV/0!</v>
          </cell>
          <cell r="BR363" t="e">
            <v>#DIV/0!</v>
          </cell>
        </row>
        <row r="364">
          <cell r="B364" t="str">
            <v>Franking</v>
          </cell>
          <cell r="D364" t="str">
            <v>%</v>
          </cell>
          <cell r="E364">
            <v>0</v>
          </cell>
          <cell r="F364">
            <v>0</v>
          </cell>
          <cell r="G364" t="e">
            <v>#DIV/0!</v>
          </cell>
          <cell r="H364">
            <v>0</v>
          </cell>
          <cell r="I364">
            <v>0</v>
          </cell>
          <cell r="J364" t="e">
            <v>#DIV/0!</v>
          </cell>
          <cell r="K364">
            <v>0</v>
          </cell>
          <cell r="L364">
            <v>0</v>
          </cell>
          <cell r="M364" t="e">
            <v>#DIV/0!</v>
          </cell>
          <cell r="N364">
            <v>0</v>
          </cell>
          <cell r="O364">
            <v>0</v>
          </cell>
          <cell r="P364" t="e">
            <v>#DIV/0!</v>
          </cell>
          <cell r="Q364">
            <v>70</v>
          </cell>
          <cell r="R364">
            <v>0</v>
          </cell>
          <cell r="S364" t="e">
            <v>#DIV/0!</v>
          </cell>
          <cell r="T364">
            <v>0</v>
          </cell>
          <cell r="U364">
            <v>75</v>
          </cell>
          <cell r="V364" t="e">
            <v>#DIV/0!</v>
          </cell>
          <cell r="W364">
            <v>0</v>
          </cell>
          <cell r="X364">
            <v>0</v>
          </cell>
          <cell r="Y364" t="e">
            <v>#DIV/0!</v>
          </cell>
          <cell r="Z364">
            <v>100</v>
          </cell>
          <cell r="AA364">
            <v>100</v>
          </cell>
          <cell r="AB364" t="e">
            <v>#DIV/0!</v>
          </cell>
          <cell r="AC364">
            <v>100</v>
          </cell>
          <cell r="AD364">
            <v>100</v>
          </cell>
          <cell r="AE364">
            <v>100</v>
          </cell>
          <cell r="AF364">
            <v>100</v>
          </cell>
          <cell r="AG364">
            <v>100</v>
          </cell>
          <cell r="AH364" t="e">
            <v>#DIV/0!</v>
          </cell>
          <cell r="AI364">
            <v>100</v>
          </cell>
          <cell r="AJ364">
            <v>100</v>
          </cell>
          <cell r="AK364">
            <v>100</v>
          </cell>
          <cell r="AL364">
            <v>100</v>
          </cell>
          <cell r="AM364">
            <v>100</v>
          </cell>
          <cell r="AN364">
            <v>100</v>
          </cell>
          <cell r="AO364">
            <v>100</v>
          </cell>
          <cell r="AP364">
            <v>100</v>
          </cell>
          <cell r="AQ364">
            <v>100</v>
          </cell>
          <cell r="AR364">
            <v>100</v>
          </cell>
          <cell r="AS364">
            <v>100</v>
          </cell>
          <cell r="AT364">
            <v>100</v>
          </cell>
          <cell r="AU364">
            <v>100</v>
          </cell>
          <cell r="AV364">
            <v>100</v>
          </cell>
          <cell r="AW364">
            <v>100</v>
          </cell>
          <cell r="AX364">
            <v>100</v>
          </cell>
          <cell r="AY364">
            <v>100</v>
          </cell>
          <cell r="AZ364">
            <v>100</v>
          </cell>
          <cell r="BA364">
            <v>100</v>
          </cell>
          <cell r="BB364">
            <v>100</v>
          </cell>
          <cell r="BC364">
            <v>100</v>
          </cell>
          <cell r="BD364">
            <v>100</v>
          </cell>
          <cell r="BE364">
            <v>100</v>
          </cell>
          <cell r="BF364">
            <v>100</v>
          </cell>
          <cell r="BG364">
            <v>100</v>
          </cell>
          <cell r="BH364">
            <v>100</v>
          </cell>
          <cell r="BI364">
            <v>100</v>
          </cell>
          <cell r="BJ364">
            <v>100</v>
          </cell>
          <cell r="BK364">
            <v>100</v>
          </cell>
          <cell r="BL364">
            <v>100</v>
          </cell>
          <cell r="BM364">
            <v>100</v>
          </cell>
          <cell r="BN364">
            <v>100</v>
          </cell>
          <cell r="BO364">
            <v>100</v>
          </cell>
          <cell r="BP364">
            <v>100</v>
          </cell>
          <cell r="BQ364">
            <v>100</v>
          </cell>
          <cell r="BR364">
            <v>100</v>
          </cell>
        </row>
        <row r="365">
          <cell r="B365" t="str">
            <v>NTA per share</v>
          </cell>
          <cell r="D365" t="str">
            <v>$</v>
          </cell>
          <cell r="E365" t="e">
            <v>#DIV/0!</v>
          </cell>
          <cell r="F365" t="e">
            <v>#DIV/0!</v>
          </cell>
          <cell r="G365" t="e">
            <v>#DIV/0!</v>
          </cell>
          <cell r="H365" t="e">
            <v>#DIV/0!</v>
          </cell>
          <cell r="I365" t="e">
            <v>#DIV/0!</v>
          </cell>
          <cell r="J365" t="e">
            <v>#DIV/0!</v>
          </cell>
          <cell r="K365" t="e">
            <v>#DIV/0!</v>
          </cell>
          <cell r="L365" t="e">
            <v>#DIV/0!</v>
          </cell>
          <cell r="M365" t="e">
            <v>#DIV/0!</v>
          </cell>
          <cell r="N365" t="e">
            <v>#DIV/0!</v>
          </cell>
          <cell r="O365" t="e">
            <v>#DIV/0!</v>
          </cell>
          <cell r="P365" t="e">
            <v>#DIV/0!</v>
          </cell>
          <cell r="Q365" t="e">
            <v>#DIV/0!</v>
          </cell>
          <cell r="R365" t="e">
            <v>#DIV/0!</v>
          </cell>
          <cell r="S365" t="e">
            <v>#DIV/0!</v>
          </cell>
          <cell r="T365" t="e">
            <v>#DIV/0!</v>
          </cell>
          <cell r="U365" t="e">
            <v>#DIV/0!</v>
          </cell>
          <cell r="V365" t="e">
            <v>#DIV/0!</v>
          </cell>
          <cell r="W365" t="e">
            <v>#DIV/0!</v>
          </cell>
          <cell r="X365" t="e">
            <v>#DIV/0!</v>
          </cell>
          <cell r="Y365" t="e">
            <v>#DIV/0!</v>
          </cell>
          <cell r="Z365" t="e">
            <v>#DIV/0!</v>
          </cell>
          <cell r="AA365" t="e">
            <v>#DIV/0!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1.800992242421376</v>
          </cell>
          <cell r="AK365">
            <v>1.8013101514083576</v>
          </cell>
          <cell r="AL365">
            <v>2.3168822364828388</v>
          </cell>
          <cell r="AM365">
            <v>2.1835794386354324</v>
          </cell>
          <cell r="AN365">
            <v>2.1835794386354324</v>
          </cell>
          <cell r="AO365">
            <v>3.7615860152493754</v>
          </cell>
          <cell r="AP365">
            <v>3.8196236225591202</v>
          </cell>
          <cell r="AQ365">
            <v>3.8015510545819029</v>
          </cell>
          <cell r="AR365">
            <v>4.564238061436285</v>
          </cell>
          <cell r="AS365">
            <v>4.8020150647018474</v>
          </cell>
          <cell r="AT365">
            <v>4.8020150647018474</v>
          </cell>
          <cell r="AU365">
            <v>4.9642669963660397</v>
          </cell>
          <cell r="AV365">
            <v>5.22138351692064</v>
          </cell>
          <cell r="AW365">
            <v>5.22138351692064</v>
          </cell>
          <cell r="AX365">
            <v>7.1323009277539402</v>
          </cell>
          <cell r="AY365">
            <v>7.4524482009606965</v>
          </cell>
          <cell r="AZ365">
            <v>7.4524482009606965</v>
          </cell>
          <cell r="BA365">
            <v>7.7954466288036066</v>
          </cell>
          <cell r="BB365">
            <v>8.1288866494008669</v>
          </cell>
          <cell r="BC365">
            <v>8.1288866494008669</v>
          </cell>
          <cell r="BD365">
            <v>8.4284243384329276</v>
          </cell>
          <cell r="BE365">
            <v>8.8429359228542221</v>
          </cell>
          <cell r="BF365">
            <v>8.8429359228542221</v>
          </cell>
          <cell r="BG365">
            <v>9.3050594890310112</v>
          </cell>
          <cell r="BH365">
            <v>9.8450898597128607</v>
          </cell>
          <cell r="BI365">
            <v>9.8450898597128607</v>
          </cell>
          <cell r="BJ365">
            <v>9.9733912156121018</v>
          </cell>
          <cell r="BK365">
            <v>10.092612317551982</v>
          </cell>
          <cell r="BL365">
            <v>10.092612317551982</v>
          </cell>
          <cell r="BM365">
            <v>10.23869727791535</v>
          </cell>
          <cell r="BN365">
            <v>10.37579254910316</v>
          </cell>
          <cell r="BO365">
            <v>10.37579254910316</v>
          </cell>
          <cell r="BP365" t="e">
            <v>#VALUE!</v>
          </cell>
          <cell r="BQ365" t="e">
            <v>#VALUE!</v>
          </cell>
          <cell r="BR365" t="e">
            <v>#VALUE!</v>
          </cell>
        </row>
        <row r="366">
          <cell r="E366" t="e">
            <v>#DIV/0!</v>
          </cell>
          <cell r="F366" t="e">
            <v>#DIV/0!</v>
          </cell>
          <cell r="G366" t="e">
            <v>#DIV/0!</v>
          </cell>
          <cell r="H366" t="e">
            <v>#DIV/0!</v>
          </cell>
          <cell r="I366" t="e">
            <v>#DIV/0!</v>
          </cell>
          <cell r="J366" t="e">
            <v>#DIV/0!</v>
          </cell>
          <cell r="K366" t="e">
            <v>#DIV/0!</v>
          </cell>
          <cell r="L366" t="e">
            <v>#DIV/0!</v>
          </cell>
          <cell r="M366" t="e">
            <v>#DIV/0!</v>
          </cell>
          <cell r="N366" t="e">
            <v>#DIV/0!</v>
          </cell>
          <cell r="O366" t="e">
            <v>#DIV/0!</v>
          </cell>
          <cell r="P366" t="e">
            <v>#DIV/0!</v>
          </cell>
          <cell r="Q366" t="e">
            <v>#DIV/0!</v>
          </cell>
          <cell r="R366" t="e">
            <v>#DIV/0!</v>
          </cell>
          <cell r="S366" t="e">
            <v>#DIV/0!</v>
          </cell>
          <cell r="T366" t="e">
            <v>#DIV/0!</v>
          </cell>
          <cell r="U366" t="e">
            <v>#DIV/0!</v>
          </cell>
          <cell r="V366" t="e">
            <v>#DIV/0!</v>
          </cell>
          <cell r="W366" t="e">
            <v>#DIV/0!</v>
          </cell>
          <cell r="X366" t="e">
            <v>#DIV/0!</v>
          </cell>
          <cell r="Y366" t="e">
            <v>#DIV/0!</v>
          </cell>
          <cell r="Z366" t="e">
            <v>#DIV/0!</v>
          </cell>
          <cell r="AA366" t="e">
            <v>#DIV/0!</v>
          </cell>
          <cell r="AB366" t="e">
            <v>#DIV/0!</v>
          </cell>
          <cell r="AC366" t="e">
            <v>#DIV/0!</v>
          </cell>
          <cell r="AD366" t="e">
            <v>#DIV/0!</v>
          </cell>
          <cell r="AE366" t="e">
            <v>#DIV/0!</v>
          </cell>
          <cell r="AF366" t="e">
            <v>#DIV/0!</v>
          </cell>
          <cell r="AG366" t="e">
            <v>#DIV/0!</v>
          </cell>
          <cell r="AH366" t="e">
            <v>#DIV/0!</v>
          </cell>
          <cell r="AI366" t="e">
            <v>#DIV/0!</v>
          </cell>
          <cell r="AJ366">
            <v>8.4675545184452687</v>
          </cell>
          <cell r="AK366">
            <v>8.4660600996873079</v>
          </cell>
          <cell r="AL366">
            <v>6.5821213352433405</v>
          </cell>
          <cell r="AM366">
            <v>6.9839455941800157</v>
          </cell>
          <cell r="AN366">
            <v>6.9839455941800157</v>
          </cell>
          <cell r="AO366">
            <v>4.0541409762203715</v>
          </cell>
          <cell r="AP366">
            <v>3.9925399743398304</v>
          </cell>
          <cell r="AQ366">
            <v>4.0115205033533883</v>
          </cell>
          <cell r="AR366">
            <v>3.3411929427715026</v>
          </cell>
          <cell r="AS366">
            <v>3.1757501370826828</v>
          </cell>
          <cell r="AT366">
            <v>3.1757501370826828</v>
          </cell>
          <cell r="AU366">
            <v>3.0719540288955769</v>
          </cell>
          <cell r="AV366">
            <v>2.9206818366396941</v>
          </cell>
          <cell r="AW366">
            <v>2.9206818366396941</v>
          </cell>
          <cell r="AX366">
            <v>2.1381599226495949</v>
          </cell>
          <cell r="AY366">
            <v>2.0463074131845853</v>
          </cell>
          <cell r="AZ366">
            <v>2.0463074131845853</v>
          </cell>
          <cell r="BA366">
            <v>1.956270208258801</v>
          </cell>
          <cell r="BB366">
            <v>1.876025667195641</v>
          </cell>
          <cell r="BC366">
            <v>1.876025667195641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 t="e">
            <v>#VALUE!</v>
          </cell>
          <cell r="BQ366" t="e">
            <v>#VALUE!</v>
          </cell>
          <cell r="BR366" t="e">
            <v>#VALUE!</v>
          </cell>
        </row>
        <row r="367">
          <cell r="E367">
            <v>1679.4787443219177</v>
          </cell>
          <cell r="F367" t="str">
            <v>(nb.  this mkt cap is currently based on FY97 year end EFPO)</v>
          </cell>
        </row>
        <row r="369">
          <cell r="E369" t="str">
            <v>1H89(a)</v>
          </cell>
          <cell r="F369" t="str">
            <v>2H89(a)</v>
          </cell>
          <cell r="G369" t="str">
            <v>FY89(a)</v>
          </cell>
          <cell r="H369" t="str">
            <v>1H90(a)</v>
          </cell>
          <cell r="I369" t="str">
            <v>2H90(a)</v>
          </cell>
          <cell r="J369" t="str">
            <v>FY90(a)</v>
          </cell>
          <cell r="K369" t="str">
            <v>1H91(a)</v>
          </cell>
          <cell r="L369" t="str">
            <v>2H91(a)</v>
          </cell>
          <cell r="M369" t="str">
            <v>FY91(a)</v>
          </cell>
          <cell r="N369" t="str">
            <v>1H92(a)</v>
          </cell>
          <cell r="O369" t="str">
            <v>2H92(a)</v>
          </cell>
          <cell r="P369" t="str">
            <v>FY92(a)</v>
          </cell>
          <cell r="Q369" t="str">
            <v>1H93(a)</v>
          </cell>
          <cell r="R369" t="str">
            <v>2H93(a)</v>
          </cell>
          <cell r="S369" t="str">
            <v>FY93(a)</v>
          </cell>
          <cell r="T369" t="str">
            <v>1H94(a)</v>
          </cell>
          <cell r="U369" t="str">
            <v>2H94(a)</v>
          </cell>
          <cell r="V369" t="str">
            <v>FY94(a)</v>
          </cell>
          <cell r="W369" t="str">
            <v>1H95(a)</v>
          </cell>
          <cell r="X369" t="str">
            <v>2H95(a)</v>
          </cell>
          <cell r="Y369" t="str">
            <v>FY95(a)</v>
          </cell>
          <cell r="Z369" t="str">
            <v>1H96(a)</v>
          </cell>
          <cell r="AA369" t="str">
            <v>2H96(a)</v>
          </cell>
          <cell r="AB369" t="str">
            <v>FY96(a)</v>
          </cell>
          <cell r="AC369" t="str">
            <v>1H97(a)</v>
          </cell>
          <cell r="AD369" t="str">
            <v>2H97(a)</v>
          </cell>
          <cell r="AE369" t="str">
            <v>FY97(a)</v>
          </cell>
          <cell r="AF369" t="str">
            <v>1H98(a)</v>
          </cell>
          <cell r="AG369" t="str">
            <v>2H98(a)</v>
          </cell>
          <cell r="AH369" t="str">
            <v>FY98(a)</v>
          </cell>
          <cell r="AI369" t="str">
            <v>1H99(a)</v>
          </cell>
          <cell r="AJ369" t="str">
            <v>2H99(a)</v>
          </cell>
          <cell r="AK369" t="str">
            <v>FY99(a)</v>
          </cell>
          <cell r="AL369" t="str">
            <v>1H00(a)</v>
          </cell>
          <cell r="AM369" t="str">
            <v>2H00(a)</v>
          </cell>
          <cell r="AN369" t="str">
            <v>FY00(a)</v>
          </cell>
          <cell r="AO369" t="str">
            <v>1H01(a)</v>
          </cell>
          <cell r="AP369" t="str">
            <v>2H01(a)</v>
          </cell>
          <cell r="AQ369" t="str">
            <v>FY01(a)</v>
          </cell>
          <cell r="AR369" t="str">
            <v>1H02(a)</v>
          </cell>
          <cell r="AS369" t="str">
            <v>2H02(a)</v>
          </cell>
          <cell r="AT369" t="str">
            <v>FY02(a)</v>
          </cell>
          <cell r="AU369" t="str">
            <v>1H03(e)</v>
          </cell>
          <cell r="AV369" t="str">
            <v>2H03(e)</v>
          </cell>
          <cell r="AW369" t="str">
            <v>FY03(e)</v>
          </cell>
          <cell r="AX369" t="str">
            <v>1H04(e)</v>
          </cell>
          <cell r="AY369" t="str">
            <v>2H04(e)</v>
          </cell>
          <cell r="AZ369" t="str">
            <v>FY04(e)</v>
          </cell>
          <cell r="BA369" t="str">
            <v>1H05(e)</v>
          </cell>
          <cell r="BB369" t="str">
            <v>2H05(e)</v>
          </cell>
          <cell r="BC369" t="str">
            <v>FY05(e)</v>
          </cell>
          <cell r="BD369" t="str">
            <v>1H06(e)</v>
          </cell>
          <cell r="BE369" t="str">
            <v>2H06(e)</v>
          </cell>
          <cell r="BF369" t="str">
            <v>FY06(e)</v>
          </cell>
          <cell r="BG369" t="str">
            <v>1H07(e)</v>
          </cell>
          <cell r="BH369" t="str">
            <v>2H07(e)</v>
          </cell>
          <cell r="BI369" t="str">
            <v>FY07(e)</v>
          </cell>
          <cell r="BJ369" t="str">
            <v>1H08(e)</v>
          </cell>
          <cell r="BK369" t="str">
            <v>2H08(e)</v>
          </cell>
          <cell r="BL369" t="str">
            <v>FY08(e)</v>
          </cell>
          <cell r="BM369" t="str">
            <v>1H09(e)</v>
          </cell>
          <cell r="BN369" t="str">
            <v>2H09(e)</v>
          </cell>
          <cell r="BO369" t="str">
            <v>FY09(e)</v>
          </cell>
          <cell r="BP369" t="str">
            <v>1H10(e)</v>
          </cell>
          <cell r="BQ369" t="str">
            <v>2H10(e)</v>
          </cell>
          <cell r="BR369" t="str">
            <v>FY10(e)</v>
          </cell>
        </row>
        <row r="371">
          <cell r="B371" t="str">
            <v>DPS (nominal  -  pre dilution)</v>
          </cell>
          <cell r="D371" t="str">
            <v>c</v>
          </cell>
          <cell r="G371">
            <v>0</v>
          </cell>
          <cell r="J371">
            <v>0</v>
          </cell>
          <cell r="M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3</v>
          </cell>
          <cell r="AD371">
            <v>3</v>
          </cell>
          <cell r="AE371">
            <v>6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6</v>
          </cell>
          <cell r="AM371">
            <v>8</v>
          </cell>
          <cell r="AN371">
            <v>14</v>
          </cell>
          <cell r="AO371">
            <v>8</v>
          </cell>
          <cell r="AP371">
            <v>9</v>
          </cell>
          <cell r="AQ371">
            <v>17</v>
          </cell>
          <cell r="AR371">
            <v>9</v>
          </cell>
          <cell r="AS371">
            <v>11</v>
          </cell>
          <cell r="AT371">
            <v>20</v>
          </cell>
          <cell r="AU371">
            <v>13</v>
          </cell>
          <cell r="AV371">
            <v>15</v>
          </cell>
          <cell r="AW371">
            <v>28</v>
          </cell>
          <cell r="AX371">
            <v>12</v>
          </cell>
          <cell r="AY371">
            <v>13</v>
          </cell>
          <cell r="AZ371">
            <v>29</v>
          </cell>
          <cell r="BA371">
            <v>12</v>
          </cell>
          <cell r="BB371">
            <v>14</v>
          </cell>
          <cell r="BC371">
            <v>28</v>
          </cell>
          <cell r="BD371">
            <v>13</v>
          </cell>
          <cell r="BE371">
            <v>14</v>
          </cell>
          <cell r="BF371">
            <v>29</v>
          </cell>
          <cell r="BG371">
            <v>12</v>
          </cell>
          <cell r="BH371">
            <v>14</v>
          </cell>
          <cell r="BI371">
            <v>26</v>
          </cell>
          <cell r="BJ371">
            <v>12</v>
          </cell>
          <cell r="BK371">
            <v>14</v>
          </cell>
          <cell r="BL371">
            <v>26</v>
          </cell>
          <cell r="BM371">
            <v>12</v>
          </cell>
          <cell r="BN371">
            <v>14</v>
          </cell>
          <cell r="BO371">
            <v>26</v>
          </cell>
          <cell r="BP371">
            <v>12</v>
          </cell>
          <cell r="BQ371">
            <v>14</v>
          </cell>
          <cell r="BR371">
            <v>26</v>
          </cell>
        </row>
        <row r="372">
          <cell r="E372">
            <v>0</v>
          </cell>
          <cell r="F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Q372">
            <v>0</v>
          </cell>
          <cell r="R372">
            <v>0</v>
          </cell>
          <cell r="T372">
            <v>0</v>
          </cell>
          <cell r="U372">
            <v>0</v>
          </cell>
          <cell r="W372">
            <v>0</v>
          </cell>
          <cell r="X372">
            <v>0</v>
          </cell>
          <cell r="Z372">
            <v>0</v>
          </cell>
          <cell r="AB372">
            <v>0</v>
          </cell>
          <cell r="AC372">
            <v>3.3037385399999999</v>
          </cell>
          <cell r="AD372">
            <v>3.3157385400000003</v>
          </cell>
          <cell r="AE372">
            <v>6.6194770800000002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7.3487071200000003</v>
          </cell>
          <cell r="AM372">
            <v>9.9150410600000036</v>
          </cell>
          <cell r="AN372">
            <v>17.263748180000004</v>
          </cell>
          <cell r="AO372">
            <v>12.907852640000002</v>
          </cell>
          <cell r="AP372">
            <v>14.573288770000001</v>
          </cell>
          <cell r="AQ372">
            <v>27.481141410000003</v>
          </cell>
          <cell r="AR372">
            <v>16.11930942</v>
          </cell>
          <cell r="AS372">
            <v>20.440094780000003</v>
          </cell>
          <cell r="AT372">
            <v>36.559404200000003</v>
          </cell>
          <cell r="AU372">
            <v>23.788962730000001</v>
          </cell>
          <cell r="AV372">
            <v>27.489403150000001</v>
          </cell>
          <cell r="AW372">
            <v>51.278365880000003</v>
          </cell>
          <cell r="AX372">
            <v>21.976442519999999</v>
          </cell>
          <cell r="AY372">
            <v>31.133293569999999</v>
          </cell>
          <cell r="AZ372">
            <v>53.109736089999998</v>
          </cell>
          <cell r="BA372">
            <v>27.244191359999999</v>
          </cell>
          <cell r="BB372">
            <v>36.325588480000008</v>
          </cell>
          <cell r="BC372">
            <v>63.56977984000001</v>
          </cell>
          <cell r="BD372">
            <v>29.907790640000002</v>
          </cell>
          <cell r="BE372">
            <v>37.099588479999994</v>
          </cell>
          <cell r="BF372">
            <v>67.007379119999996</v>
          </cell>
          <cell r="BG372">
            <v>27.727191359999999</v>
          </cell>
          <cell r="BH372">
            <v>32.34838992000001</v>
          </cell>
          <cell r="BI372">
            <v>60.075581280000009</v>
          </cell>
          <cell r="BJ372">
            <v>27.727191359999999</v>
          </cell>
          <cell r="BK372">
            <v>32.34838992000001</v>
          </cell>
          <cell r="BL372">
            <v>60.075581280000009</v>
          </cell>
          <cell r="BM372">
            <v>27.727191359999999</v>
          </cell>
          <cell r="BN372">
            <v>32.34838992000001</v>
          </cell>
          <cell r="BO372">
            <v>60.075581280000009</v>
          </cell>
          <cell r="BP372">
            <v>27.727191359999999</v>
          </cell>
          <cell r="BQ372">
            <v>32.34838992000001</v>
          </cell>
          <cell r="BR372">
            <v>60.075581280000009</v>
          </cell>
        </row>
        <row r="373">
          <cell r="E373" t="e">
            <v>#DIV/0!</v>
          </cell>
          <cell r="F373" t="e">
            <v>#DIV/0!</v>
          </cell>
          <cell r="G373" t="e">
            <v>#DIV/0!</v>
          </cell>
          <cell r="H373" t="e">
            <v>#DIV/0!</v>
          </cell>
          <cell r="I373" t="e">
            <v>#DIV/0!</v>
          </cell>
          <cell r="J373" t="e">
            <v>#DIV/0!</v>
          </cell>
          <cell r="K373" t="e">
            <v>#DIV/0!</v>
          </cell>
          <cell r="L373" t="e">
            <v>#DIV/0!</v>
          </cell>
          <cell r="M373" t="e">
            <v>#DIV/0!</v>
          </cell>
          <cell r="N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  <cell r="T373" t="e">
            <v>#REF!</v>
          </cell>
          <cell r="U373" t="e">
            <v>#REF!</v>
          </cell>
          <cell r="V373" t="e">
            <v>#REF!</v>
          </cell>
          <cell r="W373" t="e">
            <v>#REF!</v>
          </cell>
          <cell r="X373" t="e">
            <v>#REF!</v>
          </cell>
          <cell r="Y373" t="e">
            <v>#REF!</v>
          </cell>
          <cell r="Z373" t="e">
            <v>#REF!</v>
          </cell>
          <cell r="AA373" t="e">
            <v>#REF!</v>
          </cell>
          <cell r="AB373" t="e">
            <v>#DIV/0!</v>
          </cell>
          <cell r="AC373" t="e">
            <v>#REF!</v>
          </cell>
          <cell r="AD373" t="e">
            <v>#REF!</v>
          </cell>
          <cell r="AE373" t="e">
            <v>#DIV/0!</v>
          </cell>
          <cell r="AF373" t="e">
            <v>#DIV/0!</v>
          </cell>
          <cell r="AG373" t="e">
            <v>#DIV/0!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33.622354920845794</v>
          </cell>
          <cell r="AM373">
            <v>31.24803749661255</v>
          </cell>
          <cell r="AN373">
            <v>31.931737583780063</v>
          </cell>
          <cell r="AO373">
            <v>34.164258933831427</v>
          </cell>
          <cell r="AP373">
            <v>44.406060410704953</v>
          </cell>
          <cell r="AQ373">
            <v>39.112830238010325</v>
          </cell>
          <cell r="AR373">
            <v>49.150337228228146</v>
          </cell>
          <cell r="AS373">
            <v>39.55658290420623</v>
          </cell>
          <cell r="AT373">
            <v>37.640434061542308</v>
          </cell>
          <cell r="AU373">
            <v>36.983779820472435</v>
          </cell>
          <cell r="AV373">
            <v>44.339053015598019</v>
          </cell>
          <cell r="AW373">
            <v>39.968383127981745</v>
          </cell>
          <cell r="AX373">
            <v>31.04841841416982</v>
          </cell>
          <cell r="AY373">
            <v>26.002861914489404</v>
          </cell>
          <cell r="AZ373">
            <v>30.399011827337624</v>
          </cell>
          <cell r="BA373">
            <v>26.188839532664549</v>
          </cell>
          <cell r="BB373">
            <v>25.244409016150954</v>
          </cell>
          <cell r="BC373">
            <v>27.543933748854897</v>
          </cell>
          <cell r="BD373">
            <v>22.264794639757469</v>
          </cell>
          <cell r="BE373">
            <v>20.989573731077577</v>
          </cell>
          <cell r="BF373">
            <v>25.031908786396421</v>
          </cell>
          <cell r="BG373">
            <v>19.200774393754291</v>
          </cell>
          <cell r="BH373">
            <v>19.378931552257672</v>
          </cell>
          <cell r="BI373">
            <v>23.749287513031824</v>
          </cell>
          <cell r="BJ373">
            <v>41.215502512340365</v>
          </cell>
          <cell r="BK373">
            <v>46.415284433553211</v>
          </cell>
          <cell r="BL373">
            <v>55.670141993727576</v>
          </cell>
          <cell r="BM373">
            <v>38.842973086721578</v>
          </cell>
          <cell r="BN373">
            <v>43.818610331361313</v>
          </cell>
          <cell r="BO373">
            <v>54.102640007749791</v>
          </cell>
          <cell r="BP373" t="e">
            <v>#VALUE!</v>
          </cell>
          <cell r="BQ373" t="e">
            <v>#VALUE!</v>
          </cell>
          <cell r="BR373" t="e">
            <v>#VALUE!</v>
          </cell>
        </row>
        <row r="374">
          <cell r="E374" t="e">
            <v>#DIV/0!</v>
          </cell>
          <cell r="F374" t="e">
            <v>#DIV/0!</v>
          </cell>
          <cell r="G374" t="e">
            <v>#DIV/0!</v>
          </cell>
          <cell r="H374" t="e">
            <v>#DIV/0!</v>
          </cell>
          <cell r="I374" t="e">
            <v>#DIV/0!</v>
          </cell>
          <cell r="J374" t="e">
            <v>#DIV/0!</v>
          </cell>
          <cell r="K374" t="e">
            <v>#DIV/0!</v>
          </cell>
          <cell r="L374" t="e">
            <v>#DIV/0!</v>
          </cell>
          <cell r="M374" t="e">
            <v>#DIV/0!</v>
          </cell>
          <cell r="N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  <cell r="T374" t="e">
            <v>#REF!</v>
          </cell>
          <cell r="U374" t="e">
            <v>#REF!</v>
          </cell>
          <cell r="V374" t="e">
            <v>#REF!</v>
          </cell>
          <cell r="W374" t="e">
            <v>#REF!</v>
          </cell>
          <cell r="X374" t="e">
            <v>#REF!</v>
          </cell>
          <cell r="Y374" t="e">
            <v>#REF!</v>
          </cell>
          <cell r="Z374" t="e">
            <v>#REF!</v>
          </cell>
          <cell r="AA374" t="e">
            <v>#REF!</v>
          </cell>
          <cell r="AB374" t="e">
            <v>#DIV/0!</v>
          </cell>
          <cell r="AC374" t="e">
            <v>#REF!</v>
          </cell>
          <cell r="AD374" t="e">
            <v>#REF!</v>
          </cell>
          <cell r="AE374" t="e">
            <v>#DIV/0!</v>
          </cell>
          <cell r="AF374" t="e">
            <v>#DIV/0!</v>
          </cell>
          <cell r="AG374" t="e">
            <v>#DIV/0!</v>
          </cell>
          <cell r="AH374" t="e">
            <v>#DIV/0!</v>
          </cell>
          <cell r="AI374" t="e">
            <v>#DIV/0!</v>
          </cell>
          <cell r="AJ374" t="e">
            <v>#DIV/0!</v>
          </cell>
          <cell r="AK374" t="e">
            <v>#DIV/0!</v>
          </cell>
          <cell r="AL374">
            <v>2.9742116587437546</v>
          </cell>
          <cell r="AM374">
            <v>3.2002009729679988</v>
          </cell>
          <cell r="AN374">
            <v>3.1316805024351591</v>
          </cell>
          <cell r="AO374">
            <v>2.9270355371582264</v>
          </cell>
          <cell r="AP374">
            <v>2.2519448713782553</v>
          </cell>
          <cell r="AQ374">
            <v>2.5567058019447231</v>
          </cell>
          <cell r="AR374">
            <v>2.0345740363011742</v>
          </cell>
          <cell r="AS374">
            <v>2.528024229043468</v>
          </cell>
          <cell r="AT374">
            <v>2.6567175032174033</v>
          </cell>
          <cell r="AU374">
            <v>2.7038880418773426</v>
          </cell>
          <cell r="AV374">
            <v>2.2553481231279577</v>
          </cell>
          <cell r="AW374">
            <v>2.5019776176532469</v>
          </cell>
          <cell r="AX374">
            <v>3.2207759720978952</v>
          </cell>
          <cell r="AY374">
            <v>3.8457305326179361</v>
          </cell>
          <cell r="AZ374">
            <v>3.2895806142642665</v>
          </cell>
          <cell r="BA374">
            <v>3.8184204334549849</v>
          </cell>
          <cell r="BB374">
            <v>3.9612731649222468</v>
          </cell>
          <cell r="BC374">
            <v>3.630563481302207</v>
          </cell>
          <cell r="BD374">
            <v>4.49139556946254</v>
          </cell>
          <cell r="BE374">
            <v>4.7642701696194063</v>
          </cell>
          <cell r="BF374">
            <v>3.9949011021622507</v>
          </cell>
          <cell r="BG374">
            <v>5.2081232740554677</v>
          </cell>
          <cell r="BH374">
            <v>5.1602432120851294</v>
          </cell>
          <cell r="BI374">
            <v>4.2106526330580447</v>
          </cell>
          <cell r="BJ374">
            <v>2.4262715217425512</v>
          </cell>
          <cell r="BK374">
            <v>2.1544627210710545</v>
          </cell>
          <cell r="BL374">
            <v>1.7962950410880421</v>
          </cell>
          <cell r="BM374">
            <v>2.5744682256102811</v>
          </cell>
          <cell r="BN374">
            <v>2.2821353585562991</v>
          </cell>
          <cell r="BO374">
            <v>1.8483386390326935</v>
          </cell>
          <cell r="BP374" t="e">
            <v>#VALUE!</v>
          </cell>
          <cell r="BQ374" t="e">
            <v>#VALUE!</v>
          </cell>
          <cell r="BR374" t="e">
            <v>#VALUE!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3.3037385399999999</v>
          </cell>
          <cell r="AD376">
            <v>3.3157385400000003</v>
          </cell>
          <cell r="AE376">
            <v>6.6194770800000002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7.3487071200000003</v>
          </cell>
          <cell r="AM376">
            <v>9.9150410600000036</v>
          </cell>
          <cell r="AN376">
            <v>17.263748180000004</v>
          </cell>
          <cell r="AO376">
            <v>12.907852640000002</v>
          </cell>
          <cell r="AP376">
            <v>14.573288770000001</v>
          </cell>
          <cell r="AQ376">
            <v>27.481141410000003</v>
          </cell>
          <cell r="AR376">
            <v>16.11930942</v>
          </cell>
          <cell r="AS376">
            <v>20.440094780000003</v>
          </cell>
          <cell r="AT376">
            <v>36.559404200000003</v>
          </cell>
          <cell r="AU376">
            <v>23.788962730000001</v>
          </cell>
          <cell r="AV376">
            <v>27.489403150000001</v>
          </cell>
          <cell r="AW376">
            <v>44.168999999999997</v>
          </cell>
          <cell r="AX376">
            <v>21.976442519999999</v>
          </cell>
          <cell r="AY376">
            <v>31.133293569999999</v>
          </cell>
          <cell r="AZ376">
            <v>53.109736089999998</v>
          </cell>
          <cell r="BA376">
            <v>27.244191359999999</v>
          </cell>
          <cell r="BB376">
            <v>36.325588480000008</v>
          </cell>
          <cell r="BC376">
            <v>63.56977984000001</v>
          </cell>
          <cell r="BD376">
            <v>29.907790640000002</v>
          </cell>
          <cell r="BE376">
            <v>37.099588479999994</v>
          </cell>
          <cell r="BF376">
            <v>67.007379119999996</v>
          </cell>
          <cell r="BG376">
            <v>27.727191359999999</v>
          </cell>
          <cell r="BH376">
            <v>32.34838992000001</v>
          </cell>
          <cell r="BI376">
            <v>60.075581280000009</v>
          </cell>
          <cell r="BJ376">
            <v>27.727191359999999</v>
          </cell>
          <cell r="BK376">
            <v>32.34838992000001</v>
          </cell>
          <cell r="BL376">
            <v>60.075581280000009</v>
          </cell>
          <cell r="BM376">
            <v>27.727191359999999</v>
          </cell>
          <cell r="BN376">
            <v>32.34838992000001</v>
          </cell>
          <cell r="BO376">
            <v>60.075581280000009</v>
          </cell>
          <cell r="BP376">
            <v>27.727191359999999</v>
          </cell>
          <cell r="BQ376">
            <v>32.34838992000001</v>
          </cell>
          <cell r="BR376">
            <v>60.075581280000009</v>
          </cell>
        </row>
        <row r="377">
          <cell r="B377" t="str">
            <v>Franking</v>
          </cell>
          <cell r="D377" t="str">
            <v>%</v>
          </cell>
          <cell r="G377" t="e">
            <v>#DIV/0!</v>
          </cell>
          <cell r="J377" t="e">
            <v>#DIV/0!</v>
          </cell>
          <cell r="M377" t="e">
            <v>#DIV/0!</v>
          </cell>
          <cell r="P377" t="e">
            <v>#DIV/0!</v>
          </cell>
          <cell r="Q377">
            <v>70</v>
          </cell>
          <cell r="R377">
            <v>0</v>
          </cell>
          <cell r="S377" t="e">
            <v>#DIV/0!</v>
          </cell>
          <cell r="T377">
            <v>0</v>
          </cell>
          <cell r="U377">
            <v>75</v>
          </cell>
          <cell r="V377" t="e">
            <v>#DIV/0!</v>
          </cell>
          <cell r="Y377" t="e">
            <v>#DIV/0!</v>
          </cell>
          <cell r="Z377">
            <v>100</v>
          </cell>
          <cell r="AA377">
            <v>100</v>
          </cell>
          <cell r="AB377" t="e">
            <v>#DIV/0!</v>
          </cell>
          <cell r="AC377">
            <v>100</v>
          </cell>
          <cell r="AD377">
            <v>100</v>
          </cell>
          <cell r="AE377">
            <v>100</v>
          </cell>
          <cell r="AF377">
            <v>100</v>
          </cell>
          <cell r="AG377">
            <v>100</v>
          </cell>
          <cell r="AH377" t="e">
            <v>#DIV/0!</v>
          </cell>
          <cell r="AI377">
            <v>100</v>
          </cell>
          <cell r="AJ377">
            <v>100</v>
          </cell>
          <cell r="AK377">
            <v>100</v>
          </cell>
          <cell r="AL377">
            <v>100</v>
          </cell>
          <cell r="AM377">
            <v>100</v>
          </cell>
          <cell r="AN377">
            <v>100</v>
          </cell>
          <cell r="AO377">
            <v>100</v>
          </cell>
          <cell r="AP377">
            <v>100</v>
          </cell>
          <cell r="AQ377">
            <v>100</v>
          </cell>
          <cell r="AR377">
            <v>100</v>
          </cell>
          <cell r="AS377">
            <v>100</v>
          </cell>
          <cell r="AT377">
            <v>100</v>
          </cell>
          <cell r="AU377">
            <v>100</v>
          </cell>
          <cell r="AV377">
            <v>100</v>
          </cell>
          <cell r="AW377">
            <v>100</v>
          </cell>
          <cell r="AX377">
            <v>100</v>
          </cell>
          <cell r="AY377">
            <v>100</v>
          </cell>
          <cell r="AZ377">
            <v>100</v>
          </cell>
          <cell r="BA377">
            <v>100</v>
          </cell>
          <cell r="BB377">
            <v>100</v>
          </cell>
          <cell r="BC377">
            <v>100</v>
          </cell>
          <cell r="BD377">
            <v>100</v>
          </cell>
          <cell r="BE377">
            <v>100</v>
          </cell>
          <cell r="BF377">
            <v>100</v>
          </cell>
          <cell r="BG377">
            <v>100</v>
          </cell>
          <cell r="BH377">
            <v>100</v>
          </cell>
          <cell r="BI377">
            <v>100</v>
          </cell>
          <cell r="BJ377">
            <v>100</v>
          </cell>
          <cell r="BK377">
            <v>100</v>
          </cell>
          <cell r="BL377">
            <v>100</v>
          </cell>
          <cell r="BM377">
            <v>100</v>
          </cell>
          <cell r="BN377">
            <v>100</v>
          </cell>
          <cell r="BO377">
            <v>100</v>
          </cell>
          <cell r="BP377">
            <v>100</v>
          </cell>
          <cell r="BQ377">
            <v>100</v>
          </cell>
          <cell r="BR377">
            <v>100</v>
          </cell>
        </row>
        <row r="378">
          <cell r="E378">
            <v>39</v>
          </cell>
          <cell r="F378">
            <v>39</v>
          </cell>
          <cell r="G378">
            <v>39</v>
          </cell>
          <cell r="H378">
            <v>39</v>
          </cell>
          <cell r="I378">
            <v>39</v>
          </cell>
          <cell r="J378">
            <v>39</v>
          </cell>
          <cell r="K378">
            <v>39</v>
          </cell>
          <cell r="L378">
            <v>39</v>
          </cell>
          <cell r="M378">
            <v>39</v>
          </cell>
          <cell r="N378">
            <v>36</v>
          </cell>
          <cell r="O378">
            <v>36</v>
          </cell>
          <cell r="P378">
            <v>36</v>
          </cell>
          <cell r="Q378">
            <v>36</v>
          </cell>
          <cell r="R378">
            <v>36</v>
          </cell>
          <cell r="S378">
            <v>36</v>
          </cell>
          <cell r="T378">
            <v>36</v>
          </cell>
          <cell r="U378">
            <v>36</v>
          </cell>
          <cell r="V378">
            <v>36</v>
          </cell>
          <cell r="W378">
            <v>36</v>
          </cell>
          <cell r="X378">
            <v>36</v>
          </cell>
          <cell r="Y378">
            <v>36</v>
          </cell>
          <cell r="Z378">
            <v>36</v>
          </cell>
          <cell r="AA378">
            <v>36</v>
          </cell>
          <cell r="AB378">
            <v>36</v>
          </cell>
          <cell r="AC378">
            <v>36</v>
          </cell>
          <cell r="AD378">
            <v>36</v>
          </cell>
          <cell r="AE378">
            <v>36</v>
          </cell>
          <cell r="AF378">
            <v>36</v>
          </cell>
          <cell r="AG378">
            <v>36</v>
          </cell>
          <cell r="AH378">
            <v>36</v>
          </cell>
          <cell r="AI378">
            <v>36</v>
          </cell>
          <cell r="AJ378">
            <v>36</v>
          </cell>
          <cell r="AK378">
            <v>36</v>
          </cell>
          <cell r="AL378">
            <v>34</v>
          </cell>
          <cell r="AM378">
            <v>34</v>
          </cell>
          <cell r="AN378">
            <v>34</v>
          </cell>
          <cell r="AO378">
            <v>30</v>
          </cell>
          <cell r="AP378">
            <v>30</v>
          </cell>
          <cell r="AQ378">
            <v>30</v>
          </cell>
          <cell r="AR378">
            <v>30</v>
          </cell>
          <cell r="AS378">
            <v>30</v>
          </cell>
          <cell r="AT378">
            <v>30</v>
          </cell>
          <cell r="AU378">
            <v>30</v>
          </cell>
          <cell r="AV378">
            <v>30</v>
          </cell>
          <cell r="AW378">
            <v>30</v>
          </cell>
          <cell r="AX378">
            <v>30</v>
          </cell>
          <cell r="AY378">
            <v>30</v>
          </cell>
          <cell r="AZ378">
            <v>30</v>
          </cell>
          <cell r="BA378">
            <v>30</v>
          </cell>
          <cell r="BB378">
            <v>30</v>
          </cell>
          <cell r="BC378">
            <v>30</v>
          </cell>
          <cell r="BD378">
            <v>30</v>
          </cell>
          <cell r="BE378">
            <v>30</v>
          </cell>
          <cell r="BF378">
            <v>30</v>
          </cell>
          <cell r="BG378">
            <v>30</v>
          </cell>
          <cell r="BH378">
            <v>30</v>
          </cell>
          <cell r="BI378">
            <v>30</v>
          </cell>
          <cell r="BJ378">
            <v>30</v>
          </cell>
          <cell r="BK378">
            <v>30</v>
          </cell>
          <cell r="BL378">
            <v>30</v>
          </cell>
          <cell r="BM378">
            <v>30</v>
          </cell>
          <cell r="BN378">
            <v>30</v>
          </cell>
          <cell r="BO378">
            <v>30</v>
          </cell>
          <cell r="BP378">
            <v>30</v>
          </cell>
          <cell r="BQ378">
            <v>30</v>
          </cell>
          <cell r="BR378">
            <v>30</v>
          </cell>
        </row>
        <row r="379">
          <cell r="AN379">
            <v>22</v>
          </cell>
        </row>
        <row r="380">
          <cell r="AC380">
            <v>35634</v>
          </cell>
          <cell r="AD380">
            <v>365</v>
          </cell>
          <cell r="AG380">
            <v>730</v>
          </cell>
          <cell r="AL380">
            <v>36703</v>
          </cell>
          <cell r="AM380">
            <v>36949</v>
          </cell>
          <cell r="AO380">
            <v>37068</v>
          </cell>
          <cell r="AP380">
            <v>37314</v>
          </cell>
          <cell r="AR380">
            <v>37433</v>
          </cell>
          <cell r="AS380">
            <v>37679</v>
          </cell>
          <cell r="AU380">
            <v>37798</v>
          </cell>
          <cell r="AV380">
            <v>38044</v>
          </cell>
          <cell r="AX380">
            <v>38163</v>
          </cell>
          <cell r="AY380">
            <v>38409</v>
          </cell>
          <cell r="BA380">
            <v>38528</v>
          </cell>
          <cell r="BB380">
            <v>38774</v>
          </cell>
          <cell r="BD380">
            <v>38893</v>
          </cell>
          <cell r="BE380">
            <v>39139</v>
          </cell>
          <cell r="BG380">
            <v>39258</v>
          </cell>
          <cell r="BH380">
            <v>39504</v>
          </cell>
          <cell r="BJ380">
            <v>39623</v>
          </cell>
          <cell r="BK380">
            <v>39869</v>
          </cell>
          <cell r="BM380">
            <v>39988</v>
          </cell>
          <cell r="BN380">
            <v>40234</v>
          </cell>
          <cell r="BP380">
            <v>40353</v>
          </cell>
          <cell r="BQ380">
            <v>40599</v>
          </cell>
        </row>
        <row r="381">
          <cell r="AC381">
            <v>35612</v>
          </cell>
          <cell r="AD381">
            <v>365</v>
          </cell>
          <cell r="AG381">
            <v>730</v>
          </cell>
          <cell r="AL381">
            <v>36682</v>
          </cell>
          <cell r="AM381">
            <v>36929</v>
          </cell>
          <cell r="AO381">
            <v>37047</v>
          </cell>
          <cell r="AP381">
            <v>37294</v>
          </cell>
          <cell r="AR381">
            <v>37412</v>
          </cell>
          <cell r="AS381">
            <v>37659</v>
          </cell>
          <cell r="AU381">
            <v>37777</v>
          </cell>
          <cell r="AV381">
            <v>38024</v>
          </cell>
          <cell r="AX381">
            <v>38142</v>
          </cell>
          <cell r="AY381">
            <v>38389</v>
          </cell>
          <cell r="BA381">
            <v>38507</v>
          </cell>
          <cell r="BB381">
            <v>38754</v>
          </cell>
          <cell r="BD381">
            <v>38872</v>
          </cell>
          <cell r="BE381">
            <v>39119</v>
          </cell>
          <cell r="BG381">
            <v>39237</v>
          </cell>
          <cell r="BH381">
            <v>39484</v>
          </cell>
          <cell r="BJ381">
            <v>39602</v>
          </cell>
          <cell r="BK381">
            <v>39849</v>
          </cell>
          <cell r="BM381">
            <v>39967</v>
          </cell>
          <cell r="BN381">
            <v>40214</v>
          </cell>
          <cell r="BP381">
            <v>40332</v>
          </cell>
          <cell r="BQ381">
            <v>40579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</row>
        <row r="385">
          <cell r="E385" t="str">
            <v>1H89(a)</v>
          </cell>
          <cell r="F385" t="str">
            <v>2H89(a)</v>
          </cell>
          <cell r="G385" t="str">
            <v>FY89(a)</v>
          </cell>
          <cell r="H385" t="str">
            <v>1H90(a)</v>
          </cell>
          <cell r="I385" t="str">
            <v>2H90(a)</v>
          </cell>
          <cell r="J385" t="str">
            <v>FY90(a)</v>
          </cell>
          <cell r="K385" t="str">
            <v>1H91(a)</v>
          </cell>
          <cell r="L385" t="str">
            <v>2H91(a)</v>
          </cell>
          <cell r="M385" t="str">
            <v>FY91(a)</v>
          </cell>
          <cell r="N385" t="str">
            <v>1H92(a)</v>
          </cell>
          <cell r="O385" t="str">
            <v>2H92(a)</v>
          </cell>
          <cell r="P385" t="str">
            <v>FY92(a)</v>
          </cell>
          <cell r="Q385" t="str">
            <v>1H93(a)</v>
          </cell>
          <cell r="R385" t="str">
            <v>2H93(a)</v>
          </cell>
          <cell r="S385" t="str">
            <v>FY93(a)</v>
          </cell>
          <cell r="T385" t="str">
            <v>1H94(a)</v>
          </cell>
          <cell r="U385" t="str">
            <v>2H94(a)</v>
          </cell>
          <cell r="V385" t="str">
            <v>FY94(a)</v>
          </cell>
          <cell r="W385" t="str">
            <v>1H95(a)</v>
          </cell>
          <cell r="X385" t="str">
            <v>2H95(a)</v>
          </cell>
          <cell r="Y385" t="str">
            <v>FY95(a)</v>
          </cell>
          <cell r="Z385" t="str">
            <v>1H96(a)</v>
          </cell>
          <cell r="AA385" t="str">
            <v>2H96(a)</v>
          </cell>
          <cell r="AB385" t="str">
            <v>FY96(a)</v>
          </cell>
          <cell r="AC385" t="str">
            <v>1H97(a)</v>
          </cell>
          <cell r="AD385" t="str">
            <v>2H97(a)</v>
          </cell>
          <cell r="AE385" t="str">
            <v>FY97(a)</v>
          </cell>
          <cell r="AF385" t="str">
            <v>1H98(a)</v>
          </cell>
          <cell r="AG385" t="str">
            <v>2H98(a)</v>
          </cell>
          <cell r="AH385" t="str">
            <v>FY98(a)</v>
          </cell>
          <cell r="AI385" t="str">
            <v>1H99(a)</v>
          </cell>
          <cell r="AJ385" t="str">
            <v>2H99(a)</v>
          </cell>
          <cell r="AK385" t="str">
            <v>FY99(a)</v>
          </cell>
          <cell r="AL385" t="str">
            <v>1H00(a)</v>
          </cell>
          <cell r="AM385" t="str">
            <v>2H00(a)</v>
          </cell>
          <cell r="AN385" t="str">
            <v>FY00(a)</v>
          </cell>
          <cell r="AO385" t="str">
            <v>1H01(a)</v>
          </cell>
          <cell r="AP385" t="str">
            <v>2H01(a)</v>
          </cell>
          <cell r="AQ385" t="str">
            <v>FY01(a)</v>
          </cell>
          <cell r="AR385" t="str">
            <v>1H02(a)</v>
          </cell>
          <cell r="AS385" t="str">
            <v>2H02(a)</v>
          </cell>
          <cell r="AT385" t="str">
            <v>FY02(a)</v>
          </cell>
          <cell r="AU385" t="str">
            <v>1H03(e)</v>
          </cell>
          <cell r="AV385" t="str">
            <v>2H03(e)</v>
          </cell>
          <cell r="AW385" t="str">
            <v>FY03(e)</v>
          </cell>
          <cell r="AX385" t="str">
            <v>1H04(e)</v>
          </cell>
          <cell r="AY385" t="str">
            <v>2H04(e)</v>
          </cell>
          <cell r="AZ385" t="str">
            <v>FY04(e)</v>
          </cell>
          <cell r="BA385" t="str">
            <v>1H05(e)</v>
          </cell>
          <cell r="BB385" t="str">
            <v>2H05(e)</v>
          </cell>
          <cell r="BC385" t="str">
            <v>FY05(e)</v>
          </cell>
          <cell r="BD385" t="str">
            <v>1H06(e)</v>
          </cell>
          <cell r="BE385" t="str">
            <v>2H06(e)</v>
          </cell>
          <cell r="BF385" t="str">
            <v>FY06(e)</v>
          </cell>
          <cell r="BG385" t="str">
            <v>1H07(e)</v>
          </cell>
          <cell r="BH385" t="str">
            <v>2H07(e)</v>
          </cell>
          <cell r="BI385" t="str">
            <v>FY07(e)</v>
          </cell>
          <cell r="BJ385" t="str">
            <v>1H08(e)</v>
          </cell>
          <cell r="BK385" t="str">
            <v>2H08(e)</v>
          </cell>
          <cell r="BL385" t="str">
            <v>FY08(e)</v>
          </cell>
          <cell r="BM385" t="str">
            <v>1H09(e)</v>
          </cell>
          <cell r="BN385" t="str">
            <v>2H09(e)</v>
          </cell>
          <cell r="BO385" t="str">
            <v>FY09(e)</v>
          </cell>
          <cell r="BP385" t="str">
            <v>1H10(e)</v>
          </cell>
          <cell r="BQ385" t="str">
            <v>2H10(e)</v>
          </cell>
          <cell r="BR385" t="str">
            <v>FY10(e)</v>
          </cell>
        </row>
        <row r="387">
          <cell r="B387" t="str">
            <v>Ordinary shares on issue  -  opening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77.968000000000004</v>
          </cell>
          <cell r="AC387">
            <v>77.873698000000005</v>
          </cell>
          <cell r="AD387">
            <v>110.124618</v>
          </cell>
          <cell r="AE387">
            <v>77.873698000000005</v>
          </cell>
          <cell r="AF387">
            <v>110.324618</v>
          </cell>
          <cell r="AG387">
            <v>110.324618</v>
          </cell>
          <cell r="AH387">
            <v>110.324618</v>
          </cell>
          <cell r="AI387">
            <v>120.354618</v>
          </cell>
          <cell r="AJ387">
            <v>120.354618</v>
          </cell>
          <cell r="AK387">
            <v>120.354618</v>
          </cell>
          <cell r="AL387">
            <v>122.478452</v>
          </cell>
          <cell r="AM387">
            <v>122.478452</v>
          </cell>
          <cell r="AN387">
            <v>122.478452</v>
          </cell>
          <cell r="AO387">
            <v>123.312487</v>
          </cell>
          <cell r="AP387">
            <v>161.34815800000001</v>
          </cell>
          <cell r="AQ387">
            <v>123.312487</v>
          </cell>
          <cell r="AR387">
            <v>161.653773</v>
          </cell>
          <cell r="AS387">
            <v>179.10343800000001</v>
          </cell>
          <cell r="AT387">
            <v>161.653773</v>
          </cell>
          <cell r="AU387">
            <v>182.797021</v>
          </cell>
          <cell r="AV387">
            <v>182.99202099999999</v>
          </cell>
          <cell r="AW387">
            <v>182.797021</v>
          </cell>
          <cell r="AX387">
            <v>183.137021</v>
          </cell>
          <cell r="AY387">
            <v>183.137021</v>
          </cell>
          <cell r="AZ387">
            <v>183.137021</v>
          </cell>
          <cell r="BA387">
            <v>183.137021</v>
          </cell>
          <cell r="BB387">
            <v>227.03492800000001</v>
          </cell>
          <cell r="BC387">
            <v>183.137021</v>
          </cell>
          <cell r="BD387">
            <v>227.03492800000001</v>
          </cell>
          <cell r="BE387">
            <v>230.05992800000001</v>
          </cell>
          <cell r="BF387">
            <v>227.03492800000001</v>
          </cell>
          <cell r="BG387">
            <v>231.05992800000001</v>
          </cell>
          <cell r="BH387">
            <v>231.05992800000001</v>
          </cell>
          <cell r="BI387">
            <v>231.05992800000001</v>
          </cell>
          <cell r="BJ387">
            <v>231.05992800000001</v>
          </cell>
          <cell r="BK387">
            <v>231.05992800000001</v>
          </cell>
          <cell r="BL387">
            <v>231.05992800000001</v>
          </cell>
          <cell r="BM387">
            <v>231.05992800000001</v>
          </cell>
          <cell r="BN387">
            <v>231.05992800000001</v>
          </cell>
          <cell r="BO387">
            <v>231.05992800000001</v>
          </cell>
          <cell r="BP387">
            <v>231.05992800000001</v>
          </cell>
          <cell r="BQ387">
            <v>231.05992800000001</v>
          </cell>
          <cell r="BR387">
            <v>231.05992800000001</v>
          </cell>
        </row>
        <row r="390">
          <cell r="G390">
            <v>0</v>
          </cell>
          <cell r="J390">
            <v>0</v>
          </cell>
          <cell r="M390">
            <v>0</v>
          </cell>
          <cell r="P390">
            <v>0</v>
          </cell>
          <cell r="S390">
            <v>0</v>
          </cell>
          <cell r="V390">
            <v>0</v>
          </cell>
          <cell r="Y390">
            <v>0</v>
          </cell>
          <cell r="AB390">
            <v>-9.4301999999998998E-2</v>
          </cell>
          <cell r="AC390">
            <v>27.238919999999997</v>
          </cell>
          <cell r="AE390">
            <v>27.238919999999997</v>
          </cell>
          <cell r="AG390">
            <v>10.029999999999999</v>
          </cell>
          <cell r="AH390">
            <v>10.029999999999999</v>
          </cell>
          <cell r="AK390">
            <v>0</v>
          </cell>
          <cell r="AN390">
            <v>0</v>
          </cell>
          <cell r="AO390">
            <v>16</v>
          </cell>
          <cell r="AQ390">
            <v>16</v>
          </cell>
          <cell r="AR390">
            <v>17.449665</v>
          </cell>
          <cell r="AT390">
            <v>17.449665</v>
          </cell>
          <cell r="AW390">
            <v>0</v>
          </cell>
          <cell r="AZ390">
            <v>0</v>
          </cell>
          <cell r="BC390">
            <v>0</v>
          </cell>
          <cell r="BF390">
            <v>0</v>
          </cell>
          <cell r="BI390">
            <v>0</v>
          </cell>
          <cell r="BL390">
            <v>0</v>
          </cell>
          <cell r="BO390">
            <v>0</v>
          </cell>
          <cell r="BR390">
            <v>0</v>
          </cell>
        </row>
        <row r="391">
          <cell r="G391">
            <v>0</v>
          </cell>
          <cell r="J391">
            <v>0</v>
          </cell>
          <cell r="M391">
            <v>0</v>
          </cell>
          <cell r="P391">
            <v>0</v>
          </cell>
          <cell r="S391">
            <v>0</v>
          </cell>
          <cell r="V391">
            <v>0</v>
          </cell>
          <cell r="Y391">
            <v>0</v>
          </cell>
          <cell r="AB391">
            <v>0</v>
          </cell>
          <cell r="AE391">
            <v>0</v>
          </cell>
          <cell r="AH391">
            <v>0</v>
          </cell>
          <cell r="AK391">
            <v>0</v>
          </cell>
          <cell r="AN391">
            <v>0</v>
          </cell>
          <cell r="AQ391">
            <v>0</v>
          </cell>
          <cell r="AS391">
            <v>3.6935829999999896</v>
          </cell>
          <cell r="AT391">
            <v>3.6935829999999896</v>
          </cell>
          <cell r="AW391">
            <v>0</v>
          </cell>
          <cell r="AZ391">
            <v>0</v>
          </cell>
          <cell r="BC391">
            <v>0</v>
          </cell>
          <cell r="BF391">
            <v>0</v>
          </cell>
          <cell r="BI391">
            <v>0</v>
          </cell>
          <cell r="BL391">
            <v>0</v>
          </cell>
          <cell r="BO391">
            <v>0</v>
          </cell>
          <cell r="BR391">
            <v>0</v>
          </cell>
        </row>
        <row r="392">
          <cell r="G392">
            <v>0</v>
          </cell>
          <cell r="J392">
            <v>0</v>
          </cell>
          <cell r="M392">
            <v>0</v>
          </cell>
          <cell r="P392">
            <v>0</v>
          </cell>
          <cell r="S392">
            <v>0</v>
          </cell>
          <cell r="V392">
            <v>0</v>
          </cell>
          <cell r="Y392">
            <v>0</v>
          </cell>
          <cell r="AB392">
            <v>0</v>
          </cell>
          <cell r="AE392">
            <v>0</v>
          </cell>
          <cell r="AH392">
            <v>0</v>
          </cell>
          <cell r="AK392">
            <v>0</v>
          </cell>
          <cell r="AN392">
            <v>0</v>
          </cell>
          <cell r="AO392">
            <v>20.547657999999998</v>
          </cell>
          <cell r="AQ392">
            <v>20.547657999999998</v>
          </cell>
          <cell r="AT392">
            <v>0</v>
          </cell>
          <cell r="AW392">
            <v>0</v>
          </cell>
          <cell r="AZ392">
            <v>0</v>
          </cell>
          <cell r="BC392">
            <v>0</v>
          </cell>
          <cell r="BF392">
            <v>0</v>
          </cell>
          <cell r="BI392">
            <v>0</v>
          </cell>
          <cell r="BL392">
            <v>0</v>
          </cell>
          <cell r="BO392">
            <v>0</v>
          </cell>
          <cell r="BR392">
            <v>0</v>
          </cell>
        </row>
        <row r="393">
          <cell r="G393">
            <v>0</v>
          </cell>
          <cell r="J393">
            <v>0</v>
          </cell>
          <cell r="M393">
            <v>0</v>
          </cell>
          <cell r="P393">
            <v>0</v>
          </cell>
          <cell r="S393">
            <v>0</v>
          </cell>
          <cell r="V393">
            <v>0</v>
          </cell>
          <cell r="Y393">
            <v>0</v>
          </cell>
          <cell r="AB393">
            <v>0</v>
          </cell>
          <cell r="AC393">
            <v>5.0119999999999996</v>
          </cell>
          <cell r="AD393">
            <v>0.2</v>
          </cell>
          <cell r="AE393">
            <v>5.2119999999999997</v>
          </cell>
          <cell r="AH393">
            <v>0</v>
          </cell>
          <cell r="AJ393">
            <v>2.1458339999999998</v>
          </cell>
          <cell r="AK393">
            <v>2.1458339999999998</v>
          </cell>
          <cell r="AM393">
            <v>0.83403500000000008</v>
          </cell>
          <cell r="AN393">
            <v>0.83403500000000008</v>
          </cell>
          <cell r="AO393">
            <v>1.488013</v>
          </cell>
          <cell r="AP393">
            <v>0.30561500000000003</v>
          </cell>
          <cell r="AQ393">
            <v>1.793628</v>
          </cell>
          <cell r="AT393">
            <v>0</v>
          </cell>
          <cell r="AU393">
            <v>0.19500000000000001</v>
          </cell>
          <cell r="AV393">
            <v>0.14499999999999999</v>
          </cell>
          <cell r="AW393">
            <v>0.33999999999999997</v>
          </cell>
          <cell r="AZ393">
            <v>0</v>
          </cell>
          <cell r="BA393">
            <v>16.397907</v>
          </cell>
          <cell r="BC393">
            <v>16.397907</v>
          </cell>
          <cell r="BD393">
            <v>3.0249999999999999</v>
          </cell>
          <cell r="BE393">
            <v>1</v>
          </cell>
          <cell r="BF393">
            <v>4.0250000000000004</v>
          </cell>
          <cell r="BI393">
            <v>0</v>
          </cell>
          <cell r="BL393">
            <v>0</v>
          </cell>
          <cell r="BO393">
            <v>0</v>
          </cell>
          <cell r="BR393">
            <v>0</v>
          </cell>
        </row>
        <row r="394">
          <cell r="G394">
            <v>0</v>
          </cell>
          <cell r="J394">
            <v>0</v>
          </cell>
          <cell r="M394">
            <v>0</v>
          </cell>
          <cell r="P394">
            <v>0</v>
          </cell>
          <cell r="S394">
            <v>0</v>
          </cell>
          <cell r="V394">
            <v>0</v>
          </cell>
          <cell r="Y394">
            <v>0</v>
          </cell>
          <cell r="AB394">
            <v>0</v>
          </cell>
          <cell r="AE394">
            <v>0</v>
          </cell>
          <cell r="AH394">
            <v>0</v>
          </cell>
          <cell r="AK394">
            <v>0</v>
          </cell>
          <cell r="AN394">
            <v>0</v>
          </cell>
          <cell r="AQ394">
            <v>0</v>
          </cell>
          <cell r="AT394">
            <v>0</v>
          </cell>
          <cell r="AW394">
            <v>0</v>
          </cell>
          <cell r="AZ394">
            <v>0</v>
          </cell>
          <cell r="BA394">
            <v>27.5</v>
          </cell>
          <cell r="BC394">
            <v>27.5</v>
          </cell>
          <cell r="BF394">
            <v>0</v>
          </cell>
          <cell r="BI394">
            <v>0</v>
          </cell>
          <cell r="BL394">
            <v>0</v>
          </cell>
          <cell r="BO394">
            <v>0</v>
          </cell>
          <cell r="BR394">
            <v>0</v>
          </cell>
        </row>
        <row r="395">
          <cell r="G395">
            <v>0</v>
          </cell>
          <cell r="J395">
            <v>0</v>
          </cell>
          <cell r="M395">
            <v>0</v>
          </cell>
          <cell r="P395">
            <v>0</v>
          </cell>
          <cell r="S395">
            <v>0</v>
          </cell>
          <cell r="V395">
            <v>0</v>
          </cell>
          <cell r="Y395">
            <v>0</v>
          </cell>
          <cell r="AB395">
            <v>0</v>
          </cell>
          <cell r="AE395">
            <v>0</v>
          </cell>
          <cell r="AH395">
            <v>0</v>
          </cell>
          <cell r="AK395">
            <v>0</v>
          </cell>
          <cell r="AN395">
            <v>0</v>
          </cell>
          <cell r="AQ395">
            <v>0</v>
          </cell>
          <cell r="AT395">
            <v>0</v>
          </cell>
          <cell r="AW395">
            <v>0</v>
          </cell>
          <cell r="AZ395">
            <v>0</v>
          </cell>
          <cell r="BC395">
            <v>0</v>
          </cell>
          <cell r="BF395">
            <v>0</v>
          </cell>
          <cell r="BI395">
            <v>0</v>
          </cell>
          <cell r="BL395">
            <v>0</v>
          </cell>
          <cell r="BO395">
            <v>0</v>
          </cell>
          <cell r="BR395">
            <v>0</v>
          </cell>
        </row>
        <row r="396">
          <cell r="G396">
            <v>0</v>
          </cell>
          <cell r="J396">
            <v>0</v>
          </cell>
          <cell r="M396">
            <v>0</v>
          </cell>
          <cell r="P396">
            <v>0</v>
          </cell>
          <cell r="S396">
            <v>0</v>
          </cell>
          <cell r="V396">
            <v>0</v>
          </cell>
          <cell r="Y396">
            <v>0</v>
          </cell>
          <cell r="AB396">
            <v>0</v>
          </cell>
          <cell r="AE396">
            <v>0</v>
          </cell>
          <cell r="AH396">
            <v>0</v>
          </cell>
          <cell r="AK396">
            <v>0</v>
          </cell>
          <cell r="AN396">
            <v>0</v>
          </cell>
          <cell r="AQ396">
            <v>0</v>
          </cell>
          <cell r="AT396">
            <v>0</v>
          </cell>
          <cell r="AW396">
            <v>0</v>
          </cell>
          <cell r="AZ396">
            <v>0</v>
          </cell>
          <cell r="BC396">
            <v>0</v>
          </cell>
          <cell r="BF396">
            <v>0</v>
          </cell>
          <cell r="BI396">
            <v>0</v>
          </cell>
          <cell r="BL396">
            <v>0</v>
          </cell>
          <cell r="BO396">
            <v>0</v>
          </cell>
          <cell r="BR396">
            <v>0</v>
          </cell>
        </row>
        <row r="398">
          <cell r="B398" t="str">
            <v>Ord. shares on issue (FPO)  -  closing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77.873698000000005</v>
          </cell>
          <cell r="AC398">
            <v>110.124618</v>
          </cell>
          <cell r="AD398">
            <v>110.324618</v>
          </cell>
          <cell r="AE398">
            <v>110.324618</v>
          </cell>
          <cell r="AF398">
            <v>110.324618</v>
          </cell>
          <cell r="AG398">
            <v>120.354618</v>
          </cell>
          <cell r="AH398">
            <v>120.354618</v>
          </cell>
          <cell r="AI398">
            <v>120.354618</v>
          </cell>
          <cell r="AJ398">
            <v>122.500452</v>
          </cell>
          <cell r="AK398">
            <v>122.478452</v>
          </cell>
          <cell r="AL398">
            <v>122.478452</v>
          </cell>
          <cell r="AM398">
            <v>123.312487</v>
          </cell>
          <cell r="AN398">
            <v>123.312487</v>
          </cell>
          <cell r="AO398">
            <v>161.34815800000001</v>
          </cell>
          <cell r="AP398">
            <v>161.653773</v>
          </cell>
          <cell r="AQ398">
            <v>161.653773</v>
          </cell>
          <cell r="AR398">
            <v>179.10343800000001</v>
          </cell>
          <cell r="AS398">
            <v>182.797021</v>
          </cell>
          <cell r="AT398">
            <v>182.797021</v>
          </cell>
          <cell r="AU398">
            <v>182.99202099999999</v>
          </cell>
          <cell r="AV398">
            <v>183.137021</v>
          </cell>
          <cell r="AW398">
            <v>183.137021</v>
          </cell>
          <cell r="AX398">
            <v>183.137021</v>
          </cell>
          <cell r="AY398">
            <v>183.137021</v>
          </cell>
          <cell r="AZ398">
            <v>183.137021</v>
          </cell>
          <cell r="BA398">
            <v>227.03492800000001</v>
          </cell>
          <cell r="BB398">
            <v>227.03492800000001</v>
          </cell>
          <cell r="BC398">
            <v>227.03492800000001</v>
          </cell>
          <cell r="BD398">
            <v>230.05992800000001</v>
          </cell>
          <cell r="BE398">
            <v>231.05992800000001</v>
          </cell>
          <cell r="BF398">
            <v>231.05992800000001</v>
          </cell>
          <cell r="BG398">
            <v>231.05992800000001</v>
          </cell>
          <cell r="BH398">
            <v>231.05992800000001</v>
          </cell>
          <cell r="BI398">
            <v>231.05992800000001</v>
          </cell>
          <cell r="BJ398">
            <v>231.05992800000001</v>
          </cell>
          <cell r="BK398">
            <v>231.05992800000001</v>
          </cell>
          <cell r="BL398">
            <v>231.05992800000001</v>
          </cell>
          <cell r="BM398">
            <v>231.05992800000001</v>
          </cell>
          <cell r="BN398">
            <v>231.05992800000001</v>
          </cell>
          <cell r="BO398">
            <v>231.05992800000001</v>
          </cell>
          <cell r="BP398">
            <v>231.05992800000001</v>
          </cell>
          <cell r="BQ398">
            <v>231.05992800000001</v>
          </cell>
          <cell r="BR398">
            <v>231.05992800000001</v>
          </cell>
        </row>
        <row r="399">
          <cell r="AB399">
            <v>77.873698000000005</v>
          </cell>
          <cell r="AC399">
            <v>110.124618</v>
          </cell>
          <cell r="AD399">
            <v>110.324618</v>
          </cell>
          <cell r="AE399">
            <v>110.324618</v>
          </cell>
          <cell r="AF399">
            <v>110.324618</v>
          </cell>
          <cell r="AG399">
            <v>120.354618</v>
          </cell>
          <cell r="AH399">
            <v>120.354618</v>
          </cell>
        </row>
        <row r="401">
          <cell r="AC401">
            <v>182</v>
          </cell>
          <cell r="AG401">
            <v>86</v>
          </cell>
          <cell r="AO401">
            <v>53</v>
          </cell>
          <cell r="AR401">
            <v>18</v>
          </cell>
        </row>
        <row r="403">
          <cell r="AO403">
            <v>53</v>
          </cell>
        </row>
        <row r="404">
          <cell r="AC404">
            <v>182</v>
          </cell>
          <cell r="AD404">
            <v>90</v>
          </cell>
          <cell r="AJ404">
            <v>180</v>
          </cell>
          <cell r="AM404">
            <v>180</v>
          </cell>
          <cell r="AO404">
            <v>35</v>
          </cell>
          <cell r="AP404">
            <v>35</v>
          </cell>
          <cell r="AU404">
            <v>77</v>
          </cell>
          <cell r="AV404">
            <v>69</v>
          </cell>
          <cell r="BA404">
            <v>79.5</v>
          </cell>
          <cell r="BD404">
            <v>11</v>
          </cell>
          <cell r="BE404">
            <v>93</v>
          </cell>
        </row>
        <row r="405">
          <cell r="BA405">
            <v>91</v>
          </cell>
        </row>
        <row r="409">
          <cell r="B409" t="str">
            <v>EFPOWA (pre potentials)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77.968000000000004</v>
          </cell>
          <cell r="AC409">
            <v>110.03625931506851</v>
          </cell>
          <cell r="AD409">
            <v>110.2232481369863</v>
          </cell>
          <cell r="AE409">
            <v>110.12975372602739</v>
          </cell>
          <cell r="AF409">
            <v>110.324618</v>
          </cell>
          <cell r="AG409">
            <v>115.05108375342466</v>
          </cell>
          <cell r="AH409">
            <v>112.68785087671233</v>
          </cell>
          <cell r="AI409">
            <v>120.354618</v>
          </cell>
          <cell r="AJ409">
            <v>122.47105701369863</v>
          </cell>
          <cell r="AK409">
            <v>121.41283750684931</v>
          </cell>
          <cell r="AL409">
            <v>122.478452</v>
          </cell>
          <cell r="AM409">
            <v>123.3010618630137</v>
          </cell>
          <cell r="AN409">
            <v>122.88975693150685</v>
          </cell>
          <cell r="AO409">
            <v>134.21169976164381</v>
          </cell>
          <cell r="AP409">
            <v>161.40676909589041</v>
          </cell>
          <cell r="AQ409">
            <v>147.8092344287671</v>
          </cell>
          <cell r="AR409">
            <v>163.37483584931508</v>
          </cell>
          <cell r="AS409">
            <v>179.10343800000001</v>
          </cell>
          <cell r="AT409">
            <v>171.23913692465754</v>
          </cell>
          <cell r="AU409">
            <v>182.87929497260274</v>
          </cell>
          <cell r="AV409">
            <v>183.04684291780822</v>
          </cell>
          <cell r="AW409">
            <v>182.96306894520549</v>
          </cell>
          <cell r="AX409">
            <v>183.137021</v>
          </cell>
          <cell r="AY409">
            <v>183.137021</v>
          </cell>
          <cell r="AZ409">
            <v>183.137021</v>
          </cell>
          <cell r="BA409">
            <v>203.99254761095892</v>
          </cell>
          <cell r="BB409">
            <v>227.03492800000001</v>
          </cell>
          <cell r="BC409">
            <v>215.51373780547945</v>
          </cell>
          <cell r="BD409">
            <v>227.2172567671233</v>
          </cell>
          <cell r="BE409">
            <v>230.56951704109591</v>
          </cell>
          <cell r="BF409">
            <v>228.89338690410958</v>
          </cell>
          <cell r="BG409">
            <v>231.05992800000001</v>
          </cell>
          <cell r="BH409">
            <v>231.05992800000001</v>
          </cell>
          <cell r="BI409">
            <v>231.05992800000001</v>
          </cell>
          <cell r="BJ409">
            <v>231.05992800000001</v>
          </cell>
          <cell r="BK409">
            <v>231.05992800000001</v>
          </cell>
          <cell r="BL409">
            <v>231.05992800000001</v>
          </cell>
          <cell r="BM409">
            <v>231.05992800000001</v>
          </cell>
          <cell r="BN409">
            <v>231.05992800000001</v>
          </cell>
          <cell r="BO409">
            <v>231.05992800000001</v>
          </cell>
          <cell r="BP409">
            <v>231.05992800000001</v>
          </cell>
          <cell r="BQ409">
            <v>231.05992800000001</v>
          </cell>
          <cell r="BR409">
            <v>231.05992800000001</v>
          </cell>
        </row>
        <row r="410">
          <cell r="B410" t="str">
            <v>Potentials</v>
          </cell>
          <cell r="AC410">
            <v>1.1000000000000001</v>
          </cell>
          <cell r="AD410">
            <v>1.03</v>
          </cell>
          <cell r="AE410">
            <v>1.03</v>
          </cell>
          <cell r="AF410">
            <v>3.3</v>
          </cell>
          <cell r="AG410">
            <v>4.3</v>
          </cell>
          <cell r="AH410">
            <v>4.3</v>
          </cell>
          <cell r="AI410">
            <v>2.154166</v>
          </cell>
          <cell r="AJ410">
            <v>2.154166</v>
          </cell>
          <cell r="AK410">
            <v>2.154166</v>
          </cell>
          <cell r="AL410">
            <v>29.376913999999999</v>
          </cell>
          <cell r="AM410">
            <v>44.922747999999999</v>
          </cell>
          <cell r="AN410">
            <v>44.922747999999999</v>
          </cell>
          <cell r="AO410">
            <v>46.993747999999997</v>
          </cell>
          <cell r="AP410">
            <v>46.993747999999997</v>
          </cell>
          <cell r="AQ410">
            <v>47.985658000000001</v>
          </cell>
          <cell r="AR410">
            <v>49.249522999999996</v>
          </cell>
          <cell r="AS410">
            <v>49.249522999999996</v>
          </cell>
          <cell r="AT410">
            <v>49.249522999999996</v>
          </cell>
          <cell r="AU410">
            <v>49.054523000000003</v>
          </cell>
          <cell r="AV410">
            <v>48.909523</v>
          </cell>
          <cell r="AW410">
            <v>48.909523</v>
          </cell>
          <cell r="AX410">
            <v>48.909523</v>
          </cell>
          <cell r="AY410">
            <v>48.909523</v>
          </cell>
          <cell r="AZ410">
            <v>48.909523</v>
          </cell>
          <cell r="BA410">
            <v>5.2888680000000008</v>
          </cell>
          <cell r="BB410">
            <v>5.2888680000000008</v>
          </cell>
          <cell r="BC410">
            <v>5.2888680000000008</v>
          </cell>
          <cell r="BD410">
            <v>5.2888680000000008</v>
          </cell>
          <cell r="BE410">
            <v>5.2888680000000008</v>
          </cell>
          <cell r="BF410">
            <v>5.2888680000000008</v>
          </cell>
          <cell r="BG410">
            <v>5.2888680000000008</v>
          </cell>
          <cell r="BH410">
            <v>5.2888680000000008</v>
          </cell>
          <cell r="BI410">
            <v>5.2888680000000008</v>
          </cell>
          <cell r="BJ410">
            <v>5.2888680000000008</v>
          </cell>
          <cell r="BK410">
            <v>5.2888680000000008</v>
          </cell>
          <cell r="BL410">
            <v>5.2888680000000008</v>
          </cell>
          <cell r="BM410">
            <v>5.2888680000000008</v>
          </cell>
          <cell r="BN410">
            <v>5.2888680000000008</v>
          </cell>
          <cell r="BO410">
            <v>5.2888680000000008</v>
          </cell>
          <cell r="BP410">
            <v>5.2888680000000008</v>
          </cell>
          <cell r="BQ410">
            <v>5.2888680000000008</v>
          </cell>
          <cell r="BR410">
            <v>5.2888680000000008</v>
          </cell>
        </row>
        <row r="411"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77.968000000000004</v>
          </cell>
          <cell r="AC411">
            <v>111.1362593150685</v>
          </cell>
          <cell r="AD411">
            <v>111.2532481369863</v>
          </cell>
          <cell r="AE411">
            <v>111.15975372602739</v>
          </cell>
          <cell r="AF411">
            <v>113.624618</v>
          </cell>
          <cell r="AG411">
            <v>119.35108375342466</v>
          </cell>
          <cell r="AH411">
            <v>116.98785087671233</v>
          </cell>
          <cell r="AI411">
            <v>122.50878400000001</v>
          </cell>
          <cell r="AJ411">
            <v>124.62522301369863</v>
          </cell>
          <cell r="AK411">
            <v>123.56700350684932</v>
          </cell>
          <cell r="AL411">
            <v>151.855366</v>
          </cell>
          <cell r="AM411">
            <v>168.22380986301368</v>
          </cell>
          <cell r="AN411">
            <v>167.81250493150685</v>
          </cell>
          <cell r="AO411">
            <v>181.20544776164382</v>
          </cell>
          <cell r="AP411">
            <v>208.40051709589039</v>
          </cell>
          <cell r="AQ411">
            <v>195.7948924287671</v>
          </cell>
          <cell r="AR411">
            <v>212.62435884931506</v>
          </cell>
          <cell r="AS411">
            <v>228.35296099999999</v>
          </cell>
          <cell r="AT411">
            <v>220.48865992465755</v>
          </cell>
          <cell r="AU411">
            <v>231.93381797260275</v>
          </cell>
          <cell r="AV411">
            <v>231.95636591780823</v>
          </cell>
          <cell r="AW411">
            <v>231.8725919452055</v>
          </cell>
          <cell r="AX411">
            <v>232.04654400000001</v>
          </cell>
          <cell r="AY411">
            <v>232.04654400000001</v>
          </cell>
          <cell r="AZ411">
            <v>232.04654400000001</v>
          </cell>
          <cell r="BA411">
            <v>232.04654400000001</v>
          </cell>
          <cell r="BB411">
            <v>232.32379600000002</v>
          </cell>
          <cell r="BC411">
            <v>232.04654400000001</v>
          </cell>
          <cell r="BD411">
            <v>232.50612476712331</v>
          </cell>
          <cell r="BE411">
            <v>235.85838504109591</v>
          </cell>
          <cell r="BF411">
            <v>234.18225490410958</v>
          </cell>
          <cell r="BG411">
            <v>236.34879600000002</v>
          </cell>
          <cell r="BH411">
            <v>236.34879600000002</v>
          </cell>
          <cell r="BI411">
            <v>236.34879600000002</v>
          </cell>
          <cell r="BJ411">
            <v>236.34879600000002</v>
          </cell>
          <cell r="BK411">
            <v>236.34879600000002</v>
          </cell>
          <cell r="BL411">
            <v>236.34879600000002</v>
          </cell>
          <cell r="BM411">
            <v>236.34879600000002</v>
          </cell>
          <cell r="BN411">
            <v>236.34879600000002</v>
          </cell>
          <cell r="BO411">
            <v>236.34879600000002</v>
          </cell>
          <cell r="BP411">
            <v>236.34879600000002</v>
          </cell>
          <cell r="BQ411">
            <v>236.34879600000002</v>
          </cell>
          <cell r="BR411">
            <v>236.34879600000002</v>
          </cell>
        </row>
        <row r="412">
          <cell r="B412" t="str">
            <v>Dilution factor (K Factor) (to be sourced from database)</v>
          </cell>
          <cell r="E412">
            <v>1</v>
          </cell>
          <cell r="F412">
            <v>1</v>
          </cell>
          <cell r="G412">
            <v>1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1</v>
          </cell>
          <cell r="S412">
            <v>1</v>
          </cell>
          <cell r="T412">
            <v>1</v>
          </cell>
          <cell r="U412">
            <v>1</v>
          </cell>
          <cell r="V412">
            <v>1</v>
          </cell>
          <cell r="W412">
            <v>1</v>
          </cell>
          <cell r="X412">
            <v>1</v>
          </cell>
          <cell r="Y412">
            <v>1</v>
          </cell>
          <cell r="Z412">
            <v>1</v>
          </cell>
          <cell r="AA412">
            <v>1</v>
          </cell>
          <cell r="AB412">
            <v>1</v>
          </cell>
          <cell r="AC412">
            <v>1</v>
          </cell>
          <cell r="AD412">
            <v>1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1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1</v>
          </cell>
          <cell r="AR412">
            <v>0.9904479350056643</v>
          </cell>
          <cell r="AS412">
            <v>1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1</v>
          </cell>
          <cell r="BB412">
            <v>1</v>
          </cell>
          <cell r="BC412">
            <v>1</v>
          </cell>
          <cell r="BD412">
            <v>1</v>
          </cell>
          <cell r="BE412">
            <v>1</v>
          </cell>
          <cell r="BF412">
            <v>1</v>
          </cell>
          <cell r="BG412">
            <v>1</v>
          </cell>
          <cell r="BH412">
            <v>1</v>
          </cell>
          <cell r="BI412">
            <v>1</v>
          </cell>
          <cell r="BJ412">
            <v>1</v>
          </cell>
          <cell r="BK412">
            <v>1</v>
          </cell>
          <cell r="BL412">
            <v>1</v>
          </cell>
          <cell r="BM412">
            <v>1</v>
          </cell>
          <cell r="BN412">
            <v>1</v>
          </cell>
          <cell r="BO412">
            <v>1</v>
          </cell>
          <cell r="BP412">
            <v>1</v>
          </cell>
          <cell r="BQ412">
            <v>1</v>
          </cell>
          <cell r="BR412">
            <v>1</v>
          </cell>
        </row>
        <row r="413"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77.944747452054798</v>
          </cell>
          <cell r="AC413">
            <v>111.1362593150685</v>
          </cell>
          <cell r="AD413">
            <v>111.2532481369863</v>
          </cell>
          <cell r="AE413">
            <v>111.1947537260274</v>
          </cell>
          <cell r="AF413">
            <v>113.624618</v>
          </cell>
          <cell r="AG413">
            <v>119.35108375342466</v>
          </cell>
          <cell r="AH413">
            <v>116.48785087671233</v>
          </cell>
          <cell r="AI413">
            <v>122.50878400000001</v>
          </cell>
          <cell r="AJ413">
            <v>124.62522301369863</v>
          </cell>
          <cell r="AK413">
            <v>123.56700350684932</v>
          </cell>
          <cell r="AL413">
            <v>151.855366</v>
          </cell>
          <cell r="AM413">
            <v>168.22380986301368</v>
          </cell>
          <cell r="AN413">
            <v>160.03958793150684</v>
          </cell>
          <cell r="AO413">
            <v>181.20544776164382</v>
          </cell>
          <cell r="AP413">
            <v>208.40051709589039</v>
          </cell>
          <cell r="AQ413">
            <v>194.80298242876711</v>
          </cell>
          <cell r="AR413">
            <v>214.67494790435308</v>
          </cell>
          <cell r="AS413">
            <v>228.35296099999999</v>
          </cell>
          <cell r="AT413">
            <v>221.51395445217653</v>
          </cell>
          <cell r="AU413">
            <v>231.93381797260275</v>
          </cell>
          <cell r="AV413">
            <v>231.95636591780823</v>
          </cell>
          <cell r="AW413">
            <v>231.94509194520549</v>
          </cell>
          <cell r="AX413">
            <v>232.04654400000001</v>
          </cell>
          <cell r="AY413">
            <v>232.04654400000001</v>
          </cell>
          <cell r="AZ413">
            <v>232.04654400000001</v>
          </cell>
          <cell r="BA413">
            <v>232.04654400000001</v>
          </cell>
          <cell r="BB413">
            <v>232.32379600000002</v>
          </cell>
          <cell r="BC413">
            <v>232.18517000000003</v>
          </cell>
          <cell r="BD413">
            <v>232.50612476712331</v>
          </cell>
          <cell r="BE413">
            <v>235.85838504109591</v>
          </cell>
          <cell r="BF413">
            <v>234.18225490410961</v>
          </cell>
          <cell r="BG413">
            <v>236.34879600000002</v>
          </cell>
          <cell r="BH413">
            <v>236.34879600000002</v>
          </cell>
          <cell r="BI413">
            <v>236.34879600000002</v>
          </cell>
          <cell r="BJ413">
            <v>236.34879600000002</v>
          </cell>
          <cell r="BK413">
            <v>236.34879600000002</v>
          </cell>
          <cell r="BL413">
            <v>236.34879600000002</v>
          </cell>
          <cell r="BM413">
            <v>236.34879600000002</v>
          </cell>
          <cell r="BN413">
            <v>236.34879600000002</v>
          </cell>
          <cell r="BO413">
            <v>236.34879600000002</v>
          </cell>
          <cell r="BP413">
            <v>236.34879600000002</v>
          </cell>
          <cell r="BQ413">
            <v>236.34879600000002</v>
          </cell>
          <cell r="BR413">
            <v>236.34879600000002</v>
          </cell>
        </row>
        <row r="415">
          <cell r="B415" t="str">
            <v>Notional int. adjustment (for potentials)</v>
          </cell>
        </row>
        <row r="418"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</row>
        <row r="419"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L419">
            <v>27.222747999999999</v>
          </cell>
          <cell r="AM419">
            <v>27.222747999999999</v>
          </cell>
          <cell r="AN419">
            <v>27.222747999999999</v>
          </cell>
          <cell r="AO419">
            <v>27.222747999999999</v>
          </cell>
          <cell r="AP419">
            <v>27.222747999999999</v>
          </cell>
          <cell r="AQ419">
            <v>27.222747999999999</v>
          </cell>
          <cell r="AR419">
            <v>27.222747999999999</v>
          </cell>
          <cell r="AS419">
            <v>27.222747999999999</v>
          </cell>
          <cell r="AT419">
            <v>27.222747999999999</v>
          </cell>
          <cell r="AU419">
            <v>27.222747999999999</v>
          </cell>
          <cell r="AV419">
            <v>27.222747999999999</v>
          </cell>
          <cell r="AW419">
            <v>27.222747999999999</v>
          </cell>
          <cell r="AX419">
            <v>27.222747999999999</v>
          </cell>
          <cell r="AY419">
            <v>27.222747999999999</v>
          </cell>
          <cell r="AZ419">
            <v>27.222747999999999</v>
          </cell>
        </row>
        <row r="420"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</row>
        <row r="421"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C421">
            <v>1.1000000000000001</v>
          </cell>
          <cell r="AD421">
            <v>1.03</v>
          </cell>
          <cell r="AE421">
            <v>1.03</v>
          </cell>
          <cell r="AF421">
            <v>3.3</v>
          </cell>
          <cell r="AG421">
            <v>4.3</v>
          </cell>
          <cell r="AH421">
            <v>4.3</v>
          </cell>
          <cell r="AI421">
            <v>2.154166</v>
          </cell>
          <cell r="AJ421">
            <v>2.154166</v>
          </cell>
          <cell r="AK421">
            <v>2.154166</v>
          </cell>
          <cell r="AL421">
            <v>2.154166</v>
          </cell>
          <cell r="AM421">
            <v>17.7</v>
          </cell>
          <cell r="AN421">
            <v>17.7</v>
          </cell>
          <cell r="AO421">
            <v>19.771000000000001</v>
          </cell>
          <cell r="AP421">
            <v>19.771000000000001</v>
          </cell>
          <cell r="AQ421">
            <v>20.762910000000002</v>
          </cell>
          <cell r="AR421">
            <v>22.026775000000001</v>
          </cell>
          <cell r="AS421">
            <v>22.026775000000001</v>
          </cell>
          <cell r="AT421">
            <v>22.026775000000001</v>
          </cell>
          <cell r="AU421">
            <v>21.831775</v>
          </cell>
          <cell r="AV421">
            <v>21.686775000000001</v>
          </cell>
          <cell r="AW421">
            <v>21.686775000000001</v>
          </cell>
          <cell r="AX421">
            <v>21.686775000000001</v>
          </cell>
          <cell r="AY421">
            <v>21.686775000000001</v>
          </cell>
          <cell r="AZ421">
            <v>21.686775000000001</v>
          </cell>
          <cell r="BA421">
            <v>5.2888680000000008</v>
          </cell>
          <cell r="BB421">
            <v>5.2888680000000008</v>
          </cell>
          <cell r="BC421">
            <v>5.2888680000000008</v>
          </cell>
          <cell r="BD421">
            <v>2.2638680000000009</v>
          </cell>
          <cell r="BE421">
            <v>1.2638680000000009</v>
          </cell>
          <cell r="BF421">
            <v>1.2638680000000009</v>
          </cell>
          <cell r="BG421">
            <v>1.2638680000000009</v>
          </cell>
          <cell r="BH421">
            <v>1.2638680000000009</v>
          </cell>
          <cell r="BI421">
            <v>1.2638680000000009</v>
          </cell>
          <cell r="BJ421">
            <v>1.2638680000000009</v>
          </cell>
          <cell r="BK421">
            <v>1.2638680000000009</v>
          </cell>
          <cell r="BL421">
            <v>1.2638680000000009</v>
          </cell>
          <cell r="BM421">
            <v>1.2638680000000009</v>
          </cell>
          <cell r="BN421">
            <v>1.2638680000000009</v>
          </cell>
          <cell r="BO421">
            <v>1.2638680000000009</v>
          </cell>
          <cell r="BP421">
            <v>1.2638680000000009</v>
          </cell>
          <cell r="BQ421">
            <v>1.2638680000000009</v>
          </cell>
          <cell r="BR421">
            <v>1.2638680000000009</v>
          </cell>
        </row>
        <row r="422"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</row>
        <row r="423"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1.1000000000000001</v>
          </cell>
          <cell r="AD423">
            <v>1.03</v>
          </cell>
          <cell r="AE423">
            <v>1.03</v>
          </cell>
          <cell r="AF423">
            <v>3.3</v>
          </cell>
          <cell r="AG423">
            <v>4.3</v>
          </cell>
          <cell r="AH423">
            <v>4.3</v>
          </cell>
          <cell r="AI423">
            <v>2.154166</v>
          </cell>
          <cell r="AJ423">
            <v>2.154166</v>
          </cell>
          <cell r="AK423">
            <v>2.154166</v>
          </cell>
          <cell r="AL423">
            <v>29.376913999999999</v>
          </cell>
          <cell r="AM423">
            <v>44.922747999999999</v>
          </cell>
          <cell r="AN423">
            <v>44.922747999999999</v>
          </cell>
          <cell r="AO423">
            <v>46.993747999999997</v>
          </cell>
          <cell r="AP423">
            <v>46.993747999999997</v>
          </cell>
          <cell r="AQ423">
            <v>47.985658000000001</v>
          </cell>
          <cell r="AR423">
            <v>49.249522999999996</v>
          </cell>
          <cell r="AS423">
            <v>49.249522999999996</v>
          </cell>
          <cell r="AT423">
            <v>49.249522999999996</v>
          </cell>
          <cell r="AU423">
            <v>49.054523000000003</v>
          </cell>
          <cell r="AV423">
            <v>48.909523</v>
          </cell>
          <cell r="AW423">
            <v>48.909523</v>
          </cell>
          <cell r="AX423">
            <v>48.909523</v>
          </cell>
          <cell r="AY423">
            <v>48.909523</v>
          </cell>
          <cell r="AZ423">
            <v>48.909523</v>
          </cell>
          <cell r="BA423">
            <v>5.2888680000000008</v>
          </cell>
          <cell r="BB423">
            <v>5.2888680000000008</v>
          </cell>
          <cell r="BC423">
            <v>5.2888680000000008</v>
          </cell>
          <cell r="BD423">
            <v>2.2638680000000009</v>
          </cell>
          <cell r="BE423">
            <v>1.2638680000000009</v>
          </cell>
          <cell r="BF423">
            <v>1.2638680000000009</v>
          </cell>
          <cell r="BG423">
            <v>1.2638680000000009</v>
          </cell>
          <cell r="BH423">
            <v>1.2638680000000009</v>
          </cell>
          <cell r="BI423">
            <v>1.2638680000000009</v>
          </cell>
          <cell r="BJ423">
            <v>1.2638680000000009</v>
          </cell>
          <cell r="BK423">
            <v>1.2638680000000009</v>
          </cell>
          <cell r="BL423">
            <v>1.2638680000000009</v>
          </cell>
          <cell r="BM423">
            <v>1.2638680000000009</v>
          </cell>
          <cell r="BN423">
            <v>1.2638680000000009</v>
          </cell>
          <cell r="BO423">
            <v>1.2638680000000009</v>
          </cell>
          <cell r="BP423">
            <v>1.2638680000000009</v>
          </cell>
          <cell r="BQ423">
            <v>1.2638680000000009</v>
          </cell>
          <cell r="BR423">
            <v>1.2638680000000009</v>
          </cell>
        </row>
        <row r="424"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6.1120000000000001</v>
          </cell>
          <cell r="AD424">
            <v>1.23</v>
          </cell>
          <cell r="AE424">
            <v>6.242</v>
          </cell>
          <cell r="AF424">
            <v>3.3</v>
          </cell>
          <cell r="AG424">
            <v>4.3</v>
          </cell>
          <cell r="AH424">
            <v>4.3</v>
          </cell>
          <cell r="AI424">
            <v>122.50878400000001</v>
          </cell>
          <cell r="AJ424">
            <v>124.654618</v>
          </cell>
          <cell r="AK424">
            <v>124.63261800000001</v>
          </cell>
          <cell r="AL424">
            <v>151.855366</v>
          </cell>
          <cell r="AM424">
            <v>168.23523499999999</v>
          </cell>
          <cell r="AN424">
            <v>168.23523499999999</v>
          </cell>
          <cell r="AO424">
            <v>208.34190599999999</v>
          </cell>
          <cell r="AP424">
            <v>208.64752099999998</v>
          </cell>
          <cell r="AQ424">
            <v>209.639431</v>
          </cell>
          <cell r="AR424">
            <v>228.35296099999999</v>
          </cell>
          <cell r="AS424">
            <v>232.04654399999998</v>
          </cell>
          <cell r="AT424">
            <v>232.04654399999998</v>
          </cell>
          <cell r="AU424">
            <v>232.04654399999998</v>
          </cell>
          <cell r="AV424">
            <v>232.04654400000001</v>
          </cell>
          <cell r="AW424">
            <v>232.04654400000001</v>
          </cell>
          <cell r="AX424">
            <v>232.04654400000001</v>
          </cell>
          <cell r="AY424">
            <v>232.04654400000001</v>
          </cell>
          <cell r="AZ424">
            <v>232.04654400000001</v>
          </cell>
          <cell r="BA424">
            <v>232.32379600000002</v>
          </cell>
          <cell r="BB424">
            <v>232.32379600000002</v>
          </cell>
          <cell r="BC424">
            <v>232.32379600000002</v>
          </cell>
          <cell r="BD424">
            <v>232.32379600000002</v>
          </cell>
          <cell r="BE424">
            <v>232.32379600000002</v>
          </cell>
          <cell r="BF424">
            <v>232.32379600000002</v>
          </cell>
          <cell r="BG424">
            <v>232.32379600000002</v>
          </cell>
          <cell r="BH424">
            <v>232.32379600000002</v>
          </cell>
          <cell r="BI424">
            <v>232.32379600000002</v>
          </cell>
          <cell r="BJ424">
            <v>232.32379600000002</v>
          </cell>
          <cell r="BK424">
            <v>232.32379600000002</v>
          </cell>
          <cell r="BL424">
            <v>232.32379600000002</v>
          </cell>
          <cell r="BM424">
            <v>232.32379600000002</v>
          </cell>
          <cell r="BN424">
            <v>232.32379600000002</v>
          </cell>
          <cell r="BO424">
            <v>232.32379600000002</v>
          </cell>
          <cell r="BP424">
            <v>232.32379600000002</v>
          </cell>
          <cell r="BQ424">
            <v>232.32379600000002</v>
          </cell>
          <cell r="BR424">
            <v>232.32379600000002</v>
          </cell>
        </row>
        <row r="562">
          <cell r="E562" t="str">
            <v>1H89(a)</v>
          </cell>
          <cell r="F562" t="str">
            <v>2H89(a)</v>
          </cell>
          <cell r="G562" t="str">
            <v>FY89(a)</v>
          </cell>
          <cell r="H562" t="str">
            <v>1H90(a)</v>
          </cell>
          <cell r="I562" t="str">
            <v>2H90(a)</v>
          </cell>
          <cell r="J562" t="str">
            <v>FY90(a)</v>
          </cell>
          <cell r="K562" t="str">
            <v>1H91(a)</v>
          </cell>
          <cell r="L562" t="str">
            <v>2H91(a)</v>
          </cell>
          <cell r="M562" t="str">
            <v>FY91(a)</v>
          </cell>
          <cell r="N562" t="str">
            <v>1H92(a)</v>
          </cell>
          <cell r="O562" t="str">
            <v>2H92(a)</v>
          </cell>
          <cell r="P562" t="str">
            <v>FY92(a)</v>
          </cell>
          <cell r="Q562" t="str">
            <v>1H93(a)</v>
          </cell>
          <cell r="R562" t="str">
            <v>2H93(a)</v>
          </cell>
          <cell r="S562" t="str">
            <v>FY93(a)</v>
          </cell>
          <cell r="T562" t="str">
            <v>1H94(a)</v>
          </cell>
          <cell r="U562" t="str">
            <v>2H94(a)</v>
          </cell>
          <cell r="V562" t="str">
            <v>FY94(a)</v>
          </cell>
          <cell r="W562" t="str">
            <v>1H95(a)</v>
          </cell>
          <cell r="X562" t="str">
            <v>2H95(a)</v>
          </cell>
          <cell r="Y562" t="str">
            <v>FY95(a)</v>
          </cell>
          <cell r="Z562" t="str">
            <v>1H96(a)</v>
          </cell>
          <cell r="AA562" t="str">
            <v>2H96(a)</v>
          </cell>
          <cell r="AB562" t="str">
            <v>FY96(a)</v>
          </cell>
          <cell r="AC562" t="str">
            <v>1H97(a)</v>
          </cell>
          <cell r="AD562" t="str">
            <v>2H97(a)</v>
          </cell>
          <cell r="AE562" t="str">
            <v>FY97(a)</v>
          </cell>
          <cell r="AF562" t="str">
            <v>1H98(a)</v>
          </cell>
          <cell r="AG562" t="str">
            <v>2H98(a)</v>
          </cell>
          <cell r="AH562" t="str">
            <v>FY98(a)</v>
          </cell>
          <cell r="AI562" t="str">
            <v>1H99(a)</v>
          </cell>
          <cell r="AJ562" t="str">
            <v>2H99(a)</v>
          </cell>
          <cell r="AK562" t="str">
            <v>FY99(a)</v>
          </cell>
          <cell r="AL562" t="str">
            <v>1H00(a)</v>
          </cell>
          <cell r="AM562" t="str">
            <v>2H00(a)</v>
          </cell>
          <cell r="AN562" t="str">
            <v>FY00(a)</v>
          </cell>
          <cell r="AO562" t="str">
            <v>1H01(a)</v>
          </cell>
          <cell r="AP562" t="str">
            <v>2H01(a)</v>
          </cell>
          <cell r="AQ562" t="str">
            <v>FY01(a)</v>
          </cell>
          <cell r="AR562" t="str">
            <v>1H02(a)</v>
          </cell>
          <cell r="AS562" t="str">
            <v>2H02(a)</v>
          </cell>
          <cell r="AT562" t="str">
            <v>FY02(a)</v>
          </cell>
          <cell r="AU562" t="str">
            <v>1H03(e)</v>
          </cell>
          <cell r="AV562" t="str">
            <v>2H03(e)</v>
          </cell>
          <cell r="AW562" t="str">
            <v>FY03(e)</v>
          </cell>
          <cell r="AX562" t="str">
            <v>1H04(e)</v>
          </cell>
          <cell r="AY562" t="str">
            <v>2H04(e)</v>
          </cell>
          <cell r="AZ562" t="str">
            <v>FY04(e)</v>
          </cell>
          <cell r="BA562" t="str">
            <v>1H05(e)</v>
          </cell>
          <cell r="BB562" t="str">
            <v>2H05(e)</v>
          </cell>
          <cell r="BC562" t="str">
            <v>FY05(e)</v>
          </cell>
          <cell r="BD562" t="str">
            <v>1H06(e)</v>
          </cell>
          <cell r="BE562" t="str">
            <v>2H06(e)</v>
          </cell>
          <cell r="BF562" t="str">
            <v>FY06(e)</v>
          </cell>
          <cell r="BG562" t="str">
            <v>1H07(e)</v>
          </cell>
          <cell r="BH562" t="str">
            <v>2H07(e)</v>
          </cell>
          <cell r="BI562" t="str">
            <v>FY07(e)</v>
          </cell>
          <cell r="BJ562" t="str">
            <v>1H08(e)</v>
          </cell>
          <cell r="BK562" t="str">
            <v>2H08(e)</v>
          </cell>
          <cell r="BL562" t="str">
            <v>FY08(e)</v>
          </cell>
          <cell r="BM562" t="str">
            <v>1H09(e)</v>
          </cell>
          <cell r="BN562" t="str">
            <v>2H09(e)</v>
          </cell>
          <cell r="BO562" t="str">
            <v>FY09(e)</v>
          </cell>
          <cell r="BP562" t="str">
            <v>1H10(e)</v>
          </cell>
          <cell r="BQ562" t="str">
            <v>2H10(e)</v>
          </cell>
          <cell r="BR562" t="str">
            <v>FY10(e)</v>
          </cell>
        </row>
        <row r="564">
          <cell r="B564" t="str">
            <v>OCA</v>
          </cell>
          <cell r="C564" t="str">
            <v>Current investments; Other current assets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1.8579999999999999</v>
          </cell>
          <cell r="AB564">
            <v>1.8579999999999999</v>
          </cell>
          <cell r="AC564">
            <v>26.286999999999999</v>
          </cell>
          <cell r="AD564">
            <v>15.055</v>
          </cell>
          <cell r="AE564">
            <v>15.055</v>
          </cell>
          <cell r="AF564">
            <v>26.93</v>
          </cell>
          <cell r="AG564">
            <v>19.871000000000002</v>
          </cell>
          <cell r="AH564">
            <v>19.871000000000002</v>
          </cell>
          <cell r="AI564">
            <v>11.396999999999998</v>
          </cell>
          <cell r="AJ564">
            <v>16.181000000000001</v>
          </cell>
          <cell r="AK564">
            <v>16.181000000000001</v>
          </cell>
          <cell r="AL564">
            <v>13.484000000000002</v>
          </cell>
          <cell r="AM564">
            <v>23.905999999999999</v>
          </cell>
          <cell r="AN564">
            <v>23.905999999999999</v>
          </cell>
          <cell r="AO564">
            <v>24.788</v>
          </cell>
          <cell r="AP564">
            <v>34.550000000000004</v>
          </cell>
          <cell r="AQ564">
            <v>34.550000000000004</v>
          </cell>
          <cell r="AR564">
            <v>36.156999999999996</v>
          </cell>
          <cell r="AS564">
            <v>31.738999999999997</v>
          </cell>
          <cell r="AT564">
            <v>31.738999999999997</v>
          </cell>
          <cell r="AU564">
            <v>36.877000000000002</v>
          </cell>
          <cell r="AV564">
            <v>38.1</v>
          </cell>
          <cell r="AW564">
            <v>38.1</v>
          </cell>
          <cell r="AX564">
            <v>38.1</v>
          </cell>
          <cell r="AY564">
            <v>38.1</v>
          </cell>
          <cell r="AZ564">
            <v>38.1</v>
          </cell>
          <cell r="BA564">
            <v>38.1</v>
          </cell>
          <cell r="BB564">
            <v>38.1</v>
          </cell>
          <cell r="BC564">
            <v>38.1</v>
          </cell>
          <cell r="BD564">
            <v>38.1</v>
          </cell>
          <cell r="BE564">
            <v>38.1</v>
          </cell>
          <cell r="BF564">
            <v>38.1</v>
          </cell>
          <cell r="BG564">
            <v>38.1</v>
          </cell>
          <cell r="BH564">
            <v>38.1</v>
          </cell>
          <cell r="BI564">
            <v>38.1</v>
          </cell>
          <cell r="BJ564">
            <v>38.1</v>
          </cell>
          <cell r="BK564">
            <v>38.1</v>
          </cell>
          <cell r="BL564">
            <v>38.1</v>
          </cell>
          <cell r="BM564">
            <v>38.1</v>
          </cell>
          <cell r="BN564">
            <v>38.1</v>
          </cell>
          <cell r="BO564">
            <v>38.1</v>
          </cell>
          <cell r="BP564">
            <v>38.1</v>
          </cell>
          <cell r="BQ564">
            <v>38.1</v>
          </cell>
          <cell r="BR564">
            <v>38.1</v>
          </cell>
        </row>
        <row r="565">
          <cell r="B565" t="str">
            <v>ONCA</v>
          </cell>
          <cell r="C565" t="str">
            <v>Non-current receivables; Non-current inventories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3.8259999999999996</v>
          </cell>
          <cell r="AB565">
            <v>3.8259999999999996</v>
          </cell>
          <cell r="AC565">
            <v>60.180999999999997</v>
          </cell>
          <cell r="AD565">
            <v>21.831999999999997</v>
          </cell>
          <cell r="AE565">
            <v>21.831999999999997</v>
          </cell>
          <cell r="AF565">
            <v>19.72</v>
          </cell>
          <cell r="AG565">
            <v>5.9620000000000024</v>
          </cell>
          <cell r="AH565">
            <v>5.9620000000000024</v>
          </cell>
          <cell r="AI565">
            <v>17.869999999999997</v>
          </cell>
          <cell r="AJ565">
            <v>42.178999999999995</v>
          </cell>
          <cell r="AK565">
            <v>42.178999999999995</v>
          </cell>
          <cell r="AL565">
            <v>46.608999999999995</v>
          </cell>
          <cell r="AM565">
            <v>34.095999999999997</v>
          </cell>
          <cell r="AN565">
            <v>34.095999999999997</v>
          </cell>
          <cell r="AO565">
            <v>38.249000000000002</v>
          </cell>
          <cell r="AP565">
            <v>42.847999999999999</v>
          </cell>
          <cell r="AQ565">
            <v>42.847999999999999</v>
          </cell>
          <cell r="AR565">
            <v>46.090999999999994</v>
          </cell>
          <cell r="AS565">
            <v>47.952999999999996</v>
          </cell>
          <cell r="AT565">
            <v>47.952999999999996</v>
          </cell>
          <cell r="AU565">
            <v>54.3</v>
          </cell>
          <cell r="AV565">
            <v>46.397999999999996</v>
          </cell>
          <cell r="AW565">
            <v>46.397999999999996</v>
          </cell>
          <cell r="AX565">
            <v>46.397999999999996</v>
          </cell>
          <cell r="AY565">
            <v>46.397999999999996</v>
          </cell>
          <cell r="AZ565">
            <v>46.397999999999996</v>
          </cell>
          <cell r="BA565">
            <v>46.397999999999996</v>
          </cell>
          <cell r="BB565">
            <v>46.397999999999996</v>
          </cell>
          <cell r="BC565">
            <v>46.397999999999996</v>
          </cell>
          <cell r="BD565">
            <v>46.397999999999996</v>
          </cell>
          <cell r="BE565">
            <v>46.397999999999996</v>
          </cell>
          <cell r="BF565">
            <v>46.397999999999996</v>
          </cell>
          <cell r="BG565">
            <v>46.397999999999996</v>
          </cell>
          <cell r="BH565">
            <v>46.397999999999996</v>
          </cell>
          <cell r="BI565">
            <v>46.397999999999996</v>
          </cell>
          <cell r="BJ565">
            <v>46.397999999999996</v>
          </cell>
          <cell r="BK565">
            <v>46.397999999999996</v>
          </cell>
          <cell r="BL565">
            <v>46.397999999999996</v>
          </cell>
          <cell r="BM565">
            <v>46.397999999999996</v>
          </cell>
          <cell r="BN565">
            <v>46.397999999999996</v>
          </cell>
          <cell r="BO565">
            <v>46.397999999999996</v>
          </cell>
          <cell r="BP565">
            <v>46.397999999999996</v>
          </cell>
          <cell r="BQ565">
            <v>46.397999999999996</v>
          </cell>
          <cell r="BR565">
            <v>46.397999999999996</v>
          </cell>
        </row>
        <row r="566">
          <cell r="B566" t="str">
            <v>ONCL</v>
          </cell>
          <cell r="C566" t="str">
            <v>Non-current acc. payable; Other non-curr. liab's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1.4379999999999999</v>
          </cell>
          <cell r="AD566">
            <v>1.1519999999999999</v>
          </cell>
          <cell r="AE566">
            <v>1.1519999999999999</v>
          </cell>
          <cell r="AF566">
            <v>0.76400000000000001</v>
          </cell>
          <cell r="AG566">
            <v>0.54300000000000004</v>
          </cell>
          <cell r="AH566">
            <v>0.54300000000000004</v>
          </cell>
          <cell r="AI566">
            <v>0</v>
          </cell>
          <cell r="AJ566">
            <v>0.08</v>
          </cell>
          <cell r="AK566">
            <v>0.08</v>
          </cell>
          <cell r="AL566">
            <v>0</v>
          </cell>
          <cell r="AM566">
            <v>6.6000000000000003E-2</v>
          </cell>
          <cell r="AN566">
            <v>6.6000000000000003E-2</v>
          </cell>
          <cell r="AO566">
            <v>51.564</v>
          </cell>
          <cell r="AP566">
            <v>14.276</v>
          </cell>
          <cell r="AQ566">
            <v>14.276</v>
          </cell>
          <cell r="AR566">
            <v>0</v>
          </cell>
          <cell r="AS566">
            <v>44.341999999999999</v>
          </cell>
          <cell r="AT566">
            <v>44.341999999999999</v>
          </cell>
          <cell r="AU566">
            <v>47.483000000000004</v>
          </cell>
          <cell r="AV566">
            <v>43.161000000000001</v>
          </cell>
          <cell r="AW566">
            <v>43.161000000000001</v>
          </cell>
          <cell r="AX566">
            <v>43.161000000000001</v>
          </cell>
          <cell r="AY566">
            <v>43.161000000000001</v>
          </cell>
          <cell r="AZ566">
            <v>43.161000000000001</v>
          </cell>
          <cell r="BA566">
            <v>43.161000000000001</v>
          </cell>
          <cell r="BB566">
            <v>43.161000000000001</v>
          </cell>
          <cell r="BC566">
            <v>43.161000000000001</v>
          </cell>
          <cell r="BD566">
            <v>43.161000000000001</v>
          </cell>
          <cell r="BE566">
            <v>43.161000000000001</v>
          </cell>
          <cell r="BF566">
            <v>43.161000000000001</v>
          </cell>
          <cell r="BG566">
            <v>43.161000000000001</v>
          </cell>
          <cell r="BH566">
            <v>43.161000000000001</v>
          </cell>
          <cell r="BI566">
            <v>43.161000000000001</v>
          </cell>
          <cell r="BJ566">
            <v>43.161000000000001</v>
          </cell>
          <cell r="BK566">
            <v>43.161000000000001</v>
          </cell>
          <cell r="BL566">
            <v>43.161000000000001</v>
          </cell>
          <cell r="BM566">
            <v>43.161000000000001</v>
          </cell>
          <cell r="BN566">
            <v>43.161000000000001</v>
          </cell>
          <cell r="BO566">
            <v>43.161000000000001</v>
          </cell>
          <cell r="BP566">
            <v>43.161000000000001</v>
          </cell>
          <cell r="BQ566">
            <v>43.161000000000001</v>
          </cell>
          <cell r="BR566">
            <v>43.161000000000001</v>
          </cell>
        </row>
        <row r="567">
          <cell r="B567" t="str">
            <v>EPSDilAnn</v>
          </cell>
          <cell r="C567" t="str">
            <v>EPS</v>
          </cell>
          <cell r="F567" t="e">
            <v>#DIV/0!</v>
          </cell>
          <cell r="G567" t="e">
            <v>#DIV/0!</v>
          </cell>
          <cell r="I567" t="e">
            <v>#DIV/0!</v>
          </cell>
          <cell r="J567" t="e">
            <v>#DIV/0!</v>
          </cell>
          <cell r="L567" t="e">
            <v>#DIV/0!</v>
          </cell>
          <cell r="M567" t="e">
            <v>#DIV/0!</v>
          </cell>
          <cell r="O567" t="e">
            <v>#REF!</v>
          </cell>
          <cell r="P567" t="e">
            <v>#REF!</v>
          </cell>
          <cell r="R567" t="e">
            <v>#REF!</v>
          </cell>
          <cell r="S567" t="e">
            <v>#REF!</v>
          </cell>
          <cell r="U567" t="e">
            <v>#REF!</v>
          </cell>
          <cell r="V567" t="e">
            <v>#REF!</v>
          </cell>
          <cell r="X567" t="e">
            <v>#REF!</v>
          </cell>
          <cell r="Y567" t="e">
            <v>#REF!</v>
          </cell>
          <cell r="AA567" t="e">
            <v>#DIV/0!</v>
          </cell>
          <cell r="AB567" t="e">
            <v>#DIV/0!</v>
          </cell>
          <cell r="AD567" t="e">
            <v>#DIV/0!</v>
          </cell>
          <cell r="AE567" t="e">
            <v>#DIV/0!</v>
          </cell>
          <cell r="AG567">
            <v>-2.9462299923726278</v>
          </cell>
          <cell r="AH567">
            <v>-2.9462299923726278</v>
          </cell>
          <cell r="AJ567">
            <v>29.049826394803109</v>
          </cell>
          <cell r="AK567">
            <v>29.049826394803109</v>
          </cell>
          <cell r="AM567">
            <v>43.843527034092226</v>
          </cell>
          <cell r="AN567">
            <v>43.843527034092226</v>
          </cell>
          <cell r="AP567">
            <v>43.463998633060292</v>
          </cell>
          <cell r="AQ567">
            <v>43.463998633060292</v>
          </cell>
          <cell r="AS567">
            <v>53.13435006434807</v>
          </cell>
          <cell r="AT567">
            <v>53.13435006434807</v>
          </cell>
          <cell r="AV567">
            <v>70.055373294290916</v>
          </cell>
          <cell r="AW567">
            <v>70.055373294290916</v>
          </cell>
          <cell r="AY567">
            <v>95.397837813663728</v>
          </cell>
          <cell r="AZ567">
            <v>95.397837813663728</v>
          </cell>
          <cell r="BB567">
            <v>108.91690443906622</v>
          </cell>
          <cell r="BC567">
            <v>108.91690443906622</v>
          </cell>
          <cell r="BE567">
            <v>123.84193416702978</v>
          </cell>
          <cell r="BF567">
            <v>123.84193416702978</v>
          </cell>
          <cell r="BH567">
            <v>134.74088425785743</v>
          </cell>
          <cell r="BI567">
            <v>134.74088425785743</v>
          </cell>
          <cell r="BK567">
            <v>59.27773635590539</v>
          </cell>
          <cell r="BL567">
            <v>59.27773635590539</v>
          </cell>
          <cell r="BN567">
            <v>62.843513727111578</v>
          </cell>
          <cell r="BO567">
            <v>62.843513727111578</v>
          </cell>
          <cell r="BQ567" t="e">
            <v>#VALUE!</v>
          </cell>
          <cell r="BR567" t="e">
            <v>#VALUE!</v>
          </cell>
        </row>
        <row r="568">
          <cell r="B568" t="str">
            <v>DPSDilAnn</v>
          </cell>
          <cell r="C568" t="str">
            <v>DPS</v>
          </cell>
          <cell r="F568">
            <v>0</v>
          </cell>
          <cell r="G568">
            <v>0</v>
          </cell>
          <cell r="I568">
            <v>0</v>
          </cell>
          <cell r="J568">
            <v>0</v>
          </cell>
          <cell r="L568">
            <v>0</v>
          </cell>
          <cell r="M568">
            <v>0</v>
          </cell>
          <cell r="O568">
            <v>0</v>
          </cell>
          <cell r="P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X568">
            <v>0</v>
          </cell>
          <cell r="Y568">
            <v>0</v>
          </cell>
          <cell r="AA568">
            <v>0</v>
          </cell>
          <cell r="AB568">
            <v>0</v>
          </cell>
          <cell r="AD568">
            <v>0</v>
          </cell>
          <cell r="AE568">
            <v>0</v>
          </cell>
          <cell r="AG568">
            <v>0</v>
          </cell>
          <cell r="AH568">
            <v>0</v>
          </cell>
          <cell r="AJ568">
            <v>0</v>
          </cell>
          <cell r="AK568">
            <v>0</v>
          </cell>
          <cell r="AM568">
            <v>14</v>
          </cell>
          <cell r="AN568">
            <v>14</v>
          </cell>
          <cell r="AP568">
            <v>17</v>
          </cell>
          <cell r="AQ568">
            <v>17</v>
          </cell>
          <cell r="AS568">
            <v>20</v>
          </cell>
          <cell r="AT568">
            <v>20</v>
          </cell>
          <cell r="AV568">
            <v>28</v>
          </cell>
          <cell r="AW568">
            <v>28</v>
          </cell>
          <cell r="AY568">
            <v>29</v>
          </cell>
          <cell r="AZ568">
            <v>29</v>
          </cell>
          <cell r="BB568">
            <v>30</v>
          </cell>
          <cell r="BC568">
            <v>30</v>
          </cell>
          <cell r="BE568">
            <v>31</v>
          </cell>
          <cell r="BF568">
            <v>31</v>
          </cell>
          <cell r="BH568">
            <v>32</v>
          </cell>
          <cell r="BI568">
            <v>32</v>
          </cell>
          <cell r="BK568">
            <v>33</v>
          </cell>
          <cell r="BL568">
            <v>33</v>
          </cell>
          <cell r="BN568">
            <v>34</v>
          </cell>
          <cell r="BO568">
            <v>34</v>
          </cell>
          <cell r="BQ568">
            <v>35</v>
          </cell>
          <cell r="BR568">
            <v>35</v>
          </cell>
        </row>
        <row r="569">
          <cell r="B569" t="str">
            <v>DPSBasicAnn</v>
          </cell>
          <cell r="C569" t="str">
            <v>DPS (nominal  -  pre dilution)</v>
          </cell>
          <cell r="F569">
            <v>0</v>
          </cell>
          <cell r="G569">
            <v>0</v>
          </cell>
          <cell r="I569">
            <v>0</v>
          </cell>
          <cell r="J569">
            <v>0</v>
          </cell>
          <cell r="L569">
            <v>0</v>
          </cell>
          <cell r="M569">
            <v>0</v>
          </cell>
          <cell r="O569">
            <v>0</v>
          </cell>
          <cell r="P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X569">
            <v>0</v>
          </cell>
          <cell r="Y569">
            <v>0</v>
          </cell>
          <cell r="AA569">
            <v>0</v>
          </cell>
          <cell r="AB569">
            <v>0</v>
          </cell>
          <cell r="AD569">
            <v>6</v>
          </cell>
          <cell r="AE569">
            <v>6</v>
          </cell>
          <cell r="AG569">
            <v>0</v>
          </cell>
          <cell r="AH569">
            <v>0</v>
          </cell>
          <cell r="AJ569">
            <v>0</v>
          </cell>
          <cell r="AK569">
            <v>0</v>
          </cell>
          <cell r="AM569">
            <v>14</v>
          </cell>
          <cell r="AN569">
            <v>14</v>
          </cell>
          <cell r="AP569">
            <v>17</v>
          </cell>
          <cell r="AQ569">
            <v>17</v>
          </cell>
          <cell r="AS569">
            <v>20</v>
          </cell>
          <cell r="AT569">
            <v>20</v>
          </cell>
          <cell r="AV569">
            <v>28</v>
          </cell>
          <cell r="AW569">
            <v>28</v>
          </cell>
          <cell r="AY569">
            <v>29</v>
          </cell>
          <cell r="AZ569">
            <v>29</v>
          </cell>
          <cell r="BB569">
            <v>28</v>
          </cell>
          <cell r="BC569">
            <v>28</v>
          </cell>
          <cell r="BE569">
            <v>29</v>
          </cell>
          <cell r="BF569">
            <v>29</v>
          </cell>
          <cell r="BH569">
            <v>26</v>
          </cell>
          <cell r="BI569">
            <v>26</v>
          </cell>
          <cell r="BK569">
            <v>26</v>
          </cell>
          <cell r="BL569">
            <v>26</v>
          </cell>
          <cell r="BN569">
            <v>26</v>
          </cell>
          <cell r="BO569">
            <v>26</v>
          </cell>
          <cell r="BQ569">
            <v>26</v>
          </cell>
          <cell r="BR569">
            <v>26</v>
          </cell>
        </row>
        <row r="572">
          <cell r="B572" t="str">
            <v>DValPref</v>
          </cell>
        </row>
        <row r="573">
          <cell r="B573" t="str">
            <v>NPBM</v>
          </cell>
          <cell r="C573" t="str">
            <v>Pre-tax profit; Income tax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  <cell r="T573" t="e">
            <v>#REF!</v>
          </cell>
          <cell r="U573" t="e">
            <v>#REF!</v>
          </cell>
          <cell r="V573" t="e">
            <v>#REF!</v>
          </cell>
          <cell r="W573" t="e">
            <v>#REF!</v>
          </cell>
          <cell r="X573" t="e">
            <v>#REF!</v>
          </cell>
          <cell r="Y573" t="e">
            <v>#REF!</v>
          </cell>
          <cell r="Z573" t="e">
            <v>#REF!</v>
          </cell>
          <cell r="AA573" t="e">
            <v>#REF!</v>
          </cell>
          <cell r="AB573">
            <v>4.0970000000000004</v>
          </cell>
          <cell r="AC573" t="e">
            <v>#REF!</v>
          </cell>
          <cell r="AD573" t="e">
            <v>#REF!</v>
          </cell>
          <cell r="AE573">
            <v>0.41100000000000003</v>
          </cell>
          <cell r="AF573">
            <v>-1.091</v>
          </cell>
          <cell r="AG573">
            <v>-3.5540000000000003</v>
          </cell>
          <cell r="AH573">
            <v>-4.6450000000000005</v>
          </cell>
          <cell r="AI573">
            <v>18.201000000000001</v>
          </cell>
          <cell r="AJ573">
            <v>17.341999999999992</v>
          </cell>
          <cell r="AK573">
            <v>35.542999999999992</v>
          </cell>
          <cell r="AL573">
            <v>25.753</v>
          </cell>
          <cell r="AM573">
            <v>38.628000000000007</v>
          </cell>
          <cell r="AN573">
            <v>64.381</v>
          </cell>
          <cell r="AO573">
            <v>34.348999999999997</v>
          </cell>
          <cell r="AP573">
            <v>32.237000000000016</v>
          </cell>
          <cell r="AQ573">
            <v>66.586000000000013</v>
          </cell>
          <cell r="AR573">
            <v>40.966000000000008</v>
          </cell>
          <cell r="AS573">
            <v>27.280999999999995</v>
          </cell>
          <cell r="AT573">
            <v>68.247</v>
          </cell>
          <cell r="AU573">
            <v>35.027000000000001</v>
          </cell>
          <cell r="AV573">
            <v>31.031353178046583</v>
          </cell>
          <cell r="AW573">
            <v>68.550999999999988</v>
          </cell>
          <cell r="AX573">
            <v>36.795804113948918</v>
          </cell>
          <cell r="AY573">
            <v>41.033857222326631</v>
          </cell>
          <cell r="AZ573">
            <v>77.829661336275535</v>
          </cell>
          <cell r="BA573">
            <v>47.366315062155827</v>
          </cell>
          <cell r="BB573">
            <v>47.980900895308807</v>
          </cell>
          <cell r="BC573">
            <v>95.347215957464641</v>
          </cell>
          <cell r="BD573">
            <v>56.323621814742268</v>
          </cell>
          <cell r="BE573">
            <v>58.788789603460501</v>
          </cell>
          <cell r="BF573">
            <v>112.05520860783477</v>
          </cell>
          <cell r="BG573">
            <v>61.119400659964342</v>
          </cell>
          <cell r="BH573">
            <v>63.045841255469895</v>
          </cell>
          <cell r="BI573">
            <v>124.16524191543425</v>
          </cell>
          <cell r="BJ573">
            <v>66.019462351952782</v>
          </cell>
          <cell r="BK573">
            <v>68.494553821283858</v>
          </cell>
          <cell r="BL573">
            <v>134.51401617323666</v>
          </cell>
          <cell r="BM573">
            <v>70.22259585558956</v>
          </cell>
          <cell r="BN573">
            <v>72.719092202533346</v>
          </cell>
          <cell r="BO573">
            <v>142.94168805812296</v>
          </cell>
          <cell r="BP573" t="e">
            <v>#VALUE!</v>
          </cell>
          <cell r="BQ573" t="e">
            <v>#VALUE!</v>
          </cell>
          <cell r="BR573" t="e">
            <v>#VALUE!</v>
          </cell>
        </row>
        <row r="574">
          <cell r="B574" t="str">
            <v>PLRetEarn</v>
          </cell>
          <cell r="C574" t="str">
            <v>Retained profits  -  closing; Retained profits  -  opening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 t="e">
            <v>#REF!</v>
          </cell>
          <cell r="O574" t="e">
            <v>#REF!</v>
          </cell>
          <cell r="P574">
            <v>15.619</v>
          </cell>
          <cell r="Q574" t="e">
            <v>#REF!</v>
          </cell>
          <cell r="R574" t="e">
            <v>#REF!</v>
          </cell>
          <cell r="S574" t="e">
            <v>#REF!</v>
          </cell>
          <cell r="T574" t="e">
            <v>#REF!</v>
          </cell>
          <cell r="U574" t="e">
            <v>#REF!</v>
          </cell>
          <cell r="V574" t="e">
            <v>#REF!</v>
          </cell>
          <cell r="W574" t="e">
            <v>#REF!</v>
          </cell>
          <cell r="X574" t="e">
            <v>#REF!</v>
          </cell>
          <cell r="Y574" t="e">
            <v>#REF!</v>
          </cell>
          <cell r="Z574">
            <v>0</v>
          </cell>
          <cell r="AA574" t="e">
            <v>#REF!</v>
          </cell>
          <cell r="AB574">
            <v>9.5540000000000003</v>
          </cell>
          <cell r="AC574" t="e">
            <v>#REF!</v>
          </cell>
          <cell r="AD574" t="e">
            <v>#REF!</v>
          </cell>
          <cell r="AE574">
            <v>-5.6114770799999993</v>
          </cell>
          <cell r="AF574">
            <v>-24.776</v>
          </cell>
          <cell r="AG574">
            <v>-37.864000000000004</v>
          </cell>
          <cell r="AH574">
            <v>-62.64</v>
          </cell>
          <cell r="AI574">
            <v>18.338999999999999</v>
          </cell>
          <cell r="AJ574">
            <v>17.650999999999996</v>
          </cell>
          <cell r="AK574">
            <v>35.989999999999995</v>
          </cell>
          <cell r="AL574">
            <v>17.193292880000001</v>
          </cell>
          <cell r="AM574">
            <v>24.837958939999996</v>
          </cell>
          <cell r="AN574">
            <v>42.031251819999994</v>
          </cell>
          <cell r="AO574">
            <v>22.502147359999991</v>
          </cell>
          <cell r="AP574">
            <v>19.821711230000005</v>
          </cell>
          <cell r="AQ574">
            <v>42.32385859</v>
          </cell>
          <cell r="AR574">
            <v>22.814690580000018</v>
          </cell>
          <cell r="AS574">
            <v>43.060905219999967</v>
          </cell>
          <cell r="AT574">
            <v>65.875595800000013</v>
          </cell>
          <cell r="AU574">
            <v>52.595037270000006</v>
          </cell>
          <cell r="AV574">
            <v>45.43395002804661</v>
          </cell>
          <cell r="AW574">
            <v>100.52163411999996</v>
          </cell>
          <cell r="AX574">
            <v>74.376433478680241</v>
          </cell>
          <cell r="AY574">
            <v>83.597216128651667</v>
          </cell>
          <cell r="AZ574">
            <v>157.97364960733185</v>
          </cell>
          <cell r="BA574">
            <v>92.260920757109602</v>
          </cell>
          <cell r="BB574">
            <v>86.774199133473928</v>
          </cell>
          <cell r="BC574">
            <v>179.03511989058342</v>
          </cell>
          <cell r="BD574">
            <v>103.05411658475509</v>
          </cell>
          <cell r="BE574">
            <v>112.72754105482625</v>
          </cell>
          <cell r="BF574">
            <v>212.7244548292133</v>
          </cell>
          <cell r="BG574">
            <v>117.19074846911053</v>
          </cell>
          <cell r="BH574">
            <v>131.38287791408891</v>
          </cell>
          <cell r="BI574">
            <v>248.57362638319944</v>
          </cell>
          <cell r="BJ574">
            <v>38.292270991952819</v>
          </cell>
          <cell r="BK574">
            <v>36.146163901283899</v>
          </cell>
          <cell r="BL574">
            <v>74.438434893236717</v>
          </cell>
          <cell r="BM574">
            <v>42.495404495589582</v>
          </cell>
          <cell r="BN574">
            <v>40.37070228253333</v>
          </cell>
          <cell r="BO574">
            <v>82.866106778122912</v>
          </cell>
          <cell r="BP574" t="e">
            <v>#VALUE!</v>
          </cell>
          <cell r="BQ574" t="e">
            <v>#VALUE!</v>
          </cell>
          <cell r="BR574" t="e">
            <v>#VALUE!</v>
          </cell>
        </row>
        <row r="575">
          <cell r="B575" t="str">
            <v>CashRaisedTot</v>
          </cell>
        </row>
        <row r="576"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0.4</v>
          </cell>
          <cell r="AB576">
            <v>0.4</v>
          </cell>
          <cell r="AC576">
            <v>-361.173</v>
          </cell>
          <cell r="AD576">
            <v>-32.063999999999993</v>
          </cell>
          <cell r="AE576">
            <v>-393.23699999999997</v>
          </cell>
          <cell r="AF576">
            <v>49.647999999999982</v>
          </cell>
          <cell r="AG576">
            <v>11.272000000000013</v>
          </cell>
          <cell r="AH576">
            <v>60.92</v>
          </cell>
          <cell r="AI576">
            <v>20.588999999999967</v>
          </cell>
          <cell r="AJ576">
            <v>21.562000000000044</v>
          </cell>
          <cell r="AK576">
            <v>42.15100000000001</v>
          </cell>
          <cell r="AL576">
            <v>-64.941000000000003</v>
          </cell>
          <cell r="AM576">
            <v>13.193000000000005</v>
          </cell>
          <cell r="AN576">
            <v>-51.74799999999999</v>
          </cell>
          <cell r="AO576">
            <v>-53.937000000000083</v>
          </cell>
          <cell r="AP576">
            <v>-50.750999999999998</v>
          </cell>
          <cell r="AQ576">
            <v>-104.68800000000007</v>
          </cell>
          <cell r="AR576">
            <v>-34.603999999999914</v>
          </cell>
          <cell r="AS576">
            <v>-13.075000000000053</v>
          </cell>
          <cell r="AT576">
            <v>-47.678999999999967</v>
          </cell>
          <cell r="AU576">
            <v>19.375999999999998</v>
          </cell>
          <cell r="AV576">
            <v>33.946999999999967</v>
          </cell>
          <cell r="AW576">
            <v>53.322999999999965</v>
          </cell>
          <cell r="AX576">
            <v>36.688085222738188</v>
          </cell>
          <cell r="AY576">
            <v>1.1695566443641283</v>
          </cell>
          <cell r="AZ576">
            <v>37.857641867102316</v>
          </cell>
          <cell r="BA576">
            <v>43.500189075236491</v>
          </cell>
          <cell r="BB576">
            <v>-0.13847707391690278</v>
          </cell>
          <cell r="BC576">
            <v>43.361712001319589</v>
          </cell>
          <cell r="BD576">
            <v>46.189905949938918</v>
          </cell>
          <cell r="BE576">
            <v>20.416930839067675</v>
          </cell>
          <cell r="BF576">
            <v>66.606836789006593</v>
          </cell>
          <cell r="BG576">
            <v>47.775726386290877</v>
          </cell>
          <cell r="BH576">
            <v>20.017369048946641</v>
          </cell>
          <cell r="BI576">
            <v>67.793095435237518</v>
          </cell>
          <cell r="BJ576">
            <v>48.355424649707409</v>
          </cell>
          <cell r="BK576">
            <v>38.747421089075679</v>
          </cell>
          <cell r="BL576">
            <v>87.102845738783088</v>
          </cell>
          <cell r="BM576">
            <v>48.018114947788902</v>
          </cell>
          <cell r="BN576">
            <v>36.684178763919377</v>
          </cell>
          <cell r="BO576">
            <v>84.702293711708279</v>
          </cell>
          <cell r="BP576">
            <v>46.845018468570039</v>
          </cell>
          <cell r="BQ576">
            <v>44.783625253883436</v>
          </cell>
          <cell r="BR576">
            <v>91.628643722453475</v>
          </cell>
        </row>
        <row r="579">
          <cell r="B579" t="str">
            <v>TrfRes</v>
          </cell>
        </row>
        <row r="580">
          <cell r="B580" t="str">
            <v>ActualEstimateFlag</v>
          </cell>
          <cell r="C580" t="str">
            <v>Actual / Estimate Flag (MUST ENTER)</v>
          </cell>
          <cell r="E580">
            <v>1</v>
          </cell>
          <cell r="F580">
            <v>1</v>
          </cell>
          <cell r="G580">
            <v>1</v>
          </cell>
          <cell r="H580">
            <v>1</v>
          </cell>
          <cell r="I580">
            <v>1</v>
          </cell>
          <cell r="J580">
            <v>1</v>
          </cell>
          <cell r="K580">
            <v>1</v>
          </cell>
          <cell r="L580">
            <v>1</v>
          </cell>
          <cell r="M580">
            <v>1</v>
          </cell>
          <cell r="N580">
            <v>1</v>
          </cell>
          <cell r="O580">
            <v>1</v>
          </cell>
          <cell r="P580">
            <v>1</v>
          </cell>
          <cell r="Q580">
            <v>1</v>
          </cell>
          <cell r="R580">
            <v>1</v>
          </cell>
          <cell r="S580">
            <v>1</v>
          </cell>
          <cell r="T580">
            <v>1</v>
          </cell>
          <cell r="U580">
            <v>1</v>
          </cell>
          <cell r="V580">
            <v>1</v>
          </cell>
          <cell r="W580">
            <v>1</v>
          </cell>
          <cell r="X580">
            <v>1</v>
          </cell>
          <cell r="Y580">
            <v>1</v>
          </cell>
          <cell r="Z580">
            <v>1</v>
          </cell>
          <cell r="AA580">
            <v>1</v>
          </cell>
          <cell r="AB580">
            <v>1</v>
          </cell>
          <cell r="AC580">
            <v>1</v>
          </cell>
          <cell r="AD580">
            <v>1</v>
          </cell>
          <cell r="AE580">
            <v>1</v>
          </cell>
          <cell r="AF580">
            <v>1</v>
          </cell>
          <cell r="AG580">
            <v>1</v>
          </cell>
          <cell r="AH580">
            <v>1</v>
          </cell>
          <cell r="AI580">
            <v>1</v>
          </cell>
          <cell r="AJ580">
            <v>1</v>
          </cell>
          <cell r="AK580">
            <v>1</v>
          </cell>
          <cell r="AL580">
            <v>1</v>
          </cell>
          <cell r="AM580">
            <v>1</v>
          </cell>
          <cell r="AN580">
            <v>1</v>
          </cell>
          <cell r="AO580">
            <v>1</v>
          </cell>
          <cell r="AP580">
            <v>1</v>
          </cell>
          <cell r="AQ580">
            <v>1</v>
          </cell>
          <cell r="AR580">
            <v>1</v>
          </cell>
          <cell r="AS580">
            <v>1</v>
          </cell>
          <cell r="AT580">
            <v>1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</row>
        <row r="581">
          <cell r="B581" t="str">
            <v>ChgInvest</v>
          </cell>
          <cell r="C581" t="str">
            <v>Non-current investments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-142.91800000000001</v>
          </cell>
          <cell r="AB581">
            <v>-142.91800000000001</v>
          </cell>
          <cell r="AC581">
            <v>130.101</v>
          </cell>
          <cell r="AD581">
            <v>3.4969999999999999</v>
          </cell>
          <cell r="AE581">
            <v>133.59800000000001</v>
          </cell>
          <cell r="AF581">
            <v>-0.72199999999999953</v>
          </cell>
          <cell r="AG581">
            <v>1.3469999999999995</v>
          </cell>
          <cell r="AH581">
            <v>0.625</v>
          </cell>
          <cell r="AI581">
            <v>-0.1850000000000005</v>
          </cell>
          <cell r="AJ581">
            <v>-2.254999999999999</v>
          </cell>
          <cell r="AK581">
            <v>-2.4399999999999995</v>
          </cell>
          <cell r="AL581">
            <v>-12.797000000000002</v>
          </cell>
          <cell r="AM581">
            <v>1.0440000000000005</v>
          </cell>
          <cell r="AN581">
            <v>-11.753000000000002</v>
          </cell>
          <cell r="AO581">
            <v>0.97600000000000264</v>
          </cell>
          <cell r="AP581">
            <v>-4.5690000000000026</v>
          </cell>
          <cell r="AQ581">
            <v>-3.593</v>
          </cell>
          <cell r="AR581">
            <v>-589.39499999999998</v>
          </cell>
          <cell r="AS581">
            <v>-47.793999999999983</v>
          </cell>
          <cell r="AT581">
            <v>-637.18899999999996</v>
          </cell>
          <cell r="AU581">
            <v>-28.552000000000021</v>
          </cell>
          <cell r="AV581">
            <v>-281.38599999999997</v>
          </cell>
          <cell r="AW581">
            <v>-309.93799999999999</v>
          </cell>
          <cell r="AX581">
            <v>-159.55707188473139</v>
          </cell>
          <cell r="AY581">
            <v>-73.696652476324971</v>
          </cell>
          <cell r="AZ581">
            <v>-233.25372436105636</v>
          </cell>
          <cell r="BA581">
            <v>-72.138797054953784</v>
          </cell>
          <cell r="BB581">
            <v>-75.118886718164958</v>
          </cell>
          <cell r="BC581">
            <v>-147.25768377311874</v>
          </cell>
          <cell r="BD581">
            <v>-76.638285410012941</v>
          </cell>
          <cell r="BE581">
            <v>-91.038339931365499</v>
          </cell>
          <cell r="BF581">
            <v>-167.67662534137844</v>
          </cell>
          <cell r="BG581">
            <v>-83.798539169146125</v>
          </cell>
          <cell r="BH581">
            <v>-100.68542657861917</v>
          </cell>
          <cell r="BI581">
            <v>-184.4839657477653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</row>
        <row r="592">
          <cell r="B592" t="str">
            <v>DivdsRec</v>
          </cell>
        </row>
        <row r="613">
          <cell r="E613" t="str">
            <v>1H89(a)</v>
          </cell>
          <cell r="F613" t="str">
            <v>2H89(a)</v>
          </cell>
          <cell r="G613" t="str">
            <v>FY89(a)</v>
          </cell>
          <cell r="H613" t="str">
            <v>1H90(a)</v>
          </cell>
          <cell r="I613" t="str">
            <v>2H90(a)</v>
          </cell>
          <cell r="J613" t="str">
            <v>FY90(a)</v>
          </cell>
          <cell r="K613" t="str">
            <v>1H91(a)</v>
          </cell>
          <cell r="L613" t="str">
            <v>2H91(a)</v>
          </cell>
          <cell r="M613" t="str">
            <v>FY91(a)</v>
          </cell>
          <cell r="N613" t="str">
            <v>1H92(a)</v>
          </cell>
          <cell r="O613" t="str">
            <v>2H92(a)</v>
          </cell>
          <cell r="P613" t="str">
            <v>FY92(a)</v>
          </cell>
          <cell r="Q613" t="str">
            <v>1H93(a)</v>
          </cell>
          <cell r="R613" t="str">
            <v>2H93(a)</v>
          </cell>
          <cell r="S613" t="str">
            <v>FY93(a)</v>
          </cell>
          <cell r="T613" t="str">
            <v>1H94(a)</v>
          </cell>
          <cell r="U613" t="str">
            <v>2H94(a)</v>
          </cell>
          <cell r="V613" t="str">
            <v>FY94(a)</v>
          </cell>
          <cell r="W613" t="str">
            <v>1H95(a)</v>
          </cell>
          <cell r="X613" t="str">
            <v>2H95(a)</v>
          </cell>
          <cell r="Y613" t="str">
            <v>FY95(a)</v>
          </cell>
          <cell r="Z613" t="str">
            <v>1H96(a)</v>
          </cell>
          <cell r="AA613" t="str">
            <v>2H96(a)</v>
          </cell>
          <cell r="AB613" t="str">
            <v>FY96(a)</v>
          </cell>
          <cell r="AC613" t="str">
            <v>1H97(a)</v>
          </cell>
          <cell r="AD613" t="str">
            <v>2H97(a)</v>
          </cell>
          <cell r="AE613" t="str">
            <v>FY97(a)</v>
          </cell>
          <cell r="AF613" t="str">
            <v>1H98(a)</v>
          </cell>
          <cell r="AG613" t="str">
            <v>2H98(a)</v>
          </cell>
          <cell r="AH613" t="str">
            <v>FY98(a)</v>
          </cell>
          <cell r="AI613" t="str">
            <v>1H99(a)</v>
          </cell>
          <cell r="AJ613" t="str">
            <v>2H99(a)</v>
          </cell>
          <cell r="AK613" t="str">
            <v>FY99(a)</v>
          </cell>
          <cell r="AL613" t="str">
            <v>1H00(a)</v>
          </cell>
          <cell r="AM613" t="str">
            <v>2H00(a)</v>
          </cell>
          <cell r="AN613" t="str">
            <v>FY00(a)</v>
          </cell>
          <cell r="AO613" t="str">
            <v>1H01(a)</v>
          </cell>
          <cell r="AP613" t="str">
            <v>2H01(a)</v>
          </cell>
          <cell r="AQ613" t="str">
            <v>FY01(a)</v>
          </cell>
          <cell r="AR613" t="str">
            <v>1H02(a)</v>
          </cell>
          <cell r="AS613" t="str">
            <v>2H02(a)</v>
          </cell>
          <cell r="AT613" t="str">
            <v>FY02(a)</v>
          </cell>
          <cell r="AU613" t="str">
            <v>1H03(e)</v>
          </cell>
          <cell r="AV613" t="str">
            <v>2H03(e)</v>
          </cell>
          <cell r="AW613" t="str">
            <v>FY03(e)</v>
          </cell>
          <cell r="AX613" t="str">
            <v>1H04(e)</v>
          </cell>
          <cell r="AY613" t="str">
            <v>2H04(e)</v>
          </cell>
          <cell r="AZ613" t="str">
            <v>FY04(e)</v>
          </cell>
          <cell r="BA613" t="str">
            <v>1H05(e)</v>
          </cell>
          <cell r="BB613" t="str">
            <v>2H05(e)</v>
          </cell>
          <cell r="BC613" t="str">
            <v>FY05(e)</v>
          </cell>
          <cell r="BD613" t="str">
            <v>1H06(e)</v>
          </cell>
          <cell r="BE613" t="str">
            <v>2H06(e)</v>
          </cell>
          <cell r="BF613" t="str">
            <v>FY06(e)</v>
          </cell>
          <cell r="BG613" t="str">
            <v>1H07(e)</v>
          </cell>
          <cell r="BH613" t="str">
            <v>2H07(e)</v>
          </cell>
          <cell r="BI613" t="str">
            <v>FY07(e)</v>
          </cell>
          <cell r="BJ613" t="str">
            <v>1H08(e)</v>
          </cell>
          <cell r="BK613" t="str">
            <v>2H08(e)</v>
          </cell>
          <cell r="BL613" t="str">
            <v>FY08(e)</v>
          </cell>
          <cell r="BM613" t="str">
            <v>1H09(e)</v>
          </cell>
          <cell r="BN613" t="str">
            <v>2H09(e)</v>
          </cell>
          <cell r="BO613" t="str">
            <v>FY09(e)</v>
          </cell>
          <cell r="BP613" t="str">
            <v>1H10(e)</v>
          </cell>
          <cell r="BQ613" t="str">
            <v>2H10(e)</v>
          </cell>
          <cell r="BR613" t="str">
            <v>FY10(e)</v>
          </cell>
        </row>
        <row r="614">
          <cell r="B614" t="str">
            <v>Divisional Information</v>
          </cell>
        </row>
        <row r="615">
          <cell r="B615" t="str">
            <v>FreeformRow1Title</v>
          </cell>
          <cell r="C615" t="str">
            <v>Segmental info</v>
          </cell>
        </row>
        <row r="616">
          <cell r="B616" t="str">
            <v>FreeformRow2Title</v>
          </cell>
          <cell r="C616" t="str">
            <v>Segmental info</v>
          </cell>
        </row>
        <row r="617">
          <cell r="B617" t="str">
            <v>FreeformRow3Title</v>
          </cell>
          <cell r="C617" t="str">
            <v>Segmental info</v>
          </cell>
        </row>
        <row r="618">
          <cell r="B618" t="str">
            <v>FreeformRow4Title</v>
          </cell>
          <cell r="C618" t="str">
            <v>Segmental info</v>
          </cell>
        </row>
        <row r="619">
          <cell r="B619" t="str">
            <v>FreeformRow5Title</v>
          </cell>
          <cell r="C619" t="str">
            <v>Segmental info</v>
          </cell>
        </row>
        <row r="620">
          <cell r="B620" t="str">
            <v>Total sales</v>
          </cell>
          <cell r="C620" t="str">
            <v>Segmental info</v>
          </cell>
        </row>
        <row r="621">
          <cell r="B621" t="str">
            <v>FreeformRow7Title</v>
          </cell>
          <cell r="C621" t="str">
            <v>Segmental info</v>
          </cell>
        </row>
        <row r="622">
          <cell r="B622" t="str">
            <v>FreeformRow8Title</v>
          </cell>
          <cell r="C622" t="str">
            <v>Segmental info</v>
          </cell>
        </row>
        <row r="623">
          <cell r="B623" t="str">
            <v>FreeformRow9Title</v>
          </cell>
          <cell r="C623" t="str">
            <v>Segmental info</v>
          </cell>
        </row>
        <row r="624">
          <cell r="B624" t="str">
            <v>FreeformRow10Title</v>
          </cell>
          <cell r="C624" t="str">
            <v>Segmental info</v>
          </cell>
        </row>
        <row r="625">
          <cell r="B625" t="str">
            <v>FreeformRow11Title</v>
          </cell>
          <cell r="C625" t="str">
            <v>Segmental info</v>
          </cell>
        </row>
        <row r="626">
          <cell r="B626" t="str">
            <v>FreeformRow12Title</v>
          </cell>
          <cell r="C626" t="str">
            <v>Segmental info</v>
          </cell>
        </row>
        <row r="627">
          <cell r="B627" t="str">
            <v>FreeformRow13Title</v>
          </cell>
          <cell r="C627" t="str">
            <v>Segmental info</v>
          </cell>
        </row>
        <row r="628">
          <cell r="B628" t="str">
            <v>Total EBIT</v>
          </cell>
          <cell r="C628" t="str">
            <v>Segmental info</v>
          </cell>
        </row>
        <row r="629">
          <cell r="B629" t="str">
            <v>FreeformRow15Title</v>
          </cell>
          <cell r="C629" t="str">
            <v>Other info</v>
          </cell>
        </row>
        <row r="630">
          <cell r="B630" t="str">
            <v>FreeformRow16Title</v>
          </cell>
          <cell r="C630" t="str">
            <v>Other info</v>
          </cell>
        </row>
        <row r="631">
          <cell r="B631" t="str">
            <v>FreeformRow17Title</v>
          </cell>
          <cell r="C631" t="str">
            <v>Other info</v>
          </cell>
        </row>
        <row r="632">
          <cell r="B632" t="str">
            <v>FreeformRow18Title</v>
          </cell>
          <cell r="C632" t="str">
            <v>Other info</v>
          </cell>
        </row>
        <row r="633">
          <cell r="B633" t="str">
            <v>FreeformRow19Title</v>
          </cell>
          <cell r="C633" t="str">
            <v>Other info</v>
          </cell>
        </row>
        <row r="634">
          <cell r="B634" t="str">
            <v>FreeformRow20Title</v>
          </cell>
          <cell r="C634" t="str">
            <v>Other info</v>
          </cell>
        </row>
        <row r="635">
          <cell r="B635" t="str">
            <v>FreeformRow21Title</v>
          </cell>
          <cell r="C635" t="str">
            <v>Other info</v>
          </cell>
        </row>
        <row r="636">
          <cell r="B636" t="str">
            <v>FreeformRow22Title</v>
          </cell>
          <cell r="C636" t="str">
            <v>Other info</v>
          </cell>
        </row>
        <row r="637">
          <cell r="B637" t="str">
            <v>FreeformRow23Title</v>
          </cell>
          <cell r="C637" t="str">
            <v>Other info</v>
          </cell>
        </row>
        <row r="638">
          <cell r="B638" t="str">
            <v>FreeformRow24Title</v>
          </cell>
          <cell r="C638" t="str">
            <v>Other info</v>
          </cell>
        </row>
        <row r="639">
          <cell r="B639" t="str">
            <v>FreeformRow25Title</v>
          </cell>
          <cell r="C639" t="str">
            <v>Other info</v>
          </cell>
        </row>
        <row r="640">
          <cell r="B640" t="str">
            <v>FreeformRow26Title</v>
          </cell>
          <cell r="C640" t="str">
            <v>Other info</v>
          </cell>
        </row>
        <row r="641">
          <cell r="B641" t="str">
            <v>FreeformRow27Title</v>
          </cell>
          <cell r="C641" t="str">
            <v>Other info</v>
          </cell>
        </row>
        <row r="642">
          <cell r="B642" t="str">
            <v>FreeformRow28Title</v>
          </cell>
          <cell r="C642" t="str">
            <v>Other info</v>
          </cell>
        </row>
        <row r="643">
          <cell r="B643" t="str">
            <v>FreeformRow29Title</v>
          </cell>
          <cell r="C643" t="str">
            <v>Other info</v>
          </cell>
        </row>
        <row r="652">
          <cell r="E652" t="str">
            <v>1H89(a)</v>
          </cell>
          <cell r="F652" t="str">
            <v>2H89(a)</v>
          </cell>
          <cell r="G652" t="str">
            <v>FY89(a)</v>
          </cell>
          <cell r="H652" t="str">
            <v>1H90(a)</v>
          </cell>
          <cell r="I652" t="str">
            <v>2H90(a)</v>
          </cell>
          <cell r="J652" t="str">
            <v>FY90(a)</v>
          </cell>
          <cell r="K652" t="str">
            <v>1H91(a)</v>
          </cell>
          <cell r="L652" t="str">
            <v>2H91(a)</v>
          </cell>
          <cell r="M652" t="str">
            <v>FY91(a)</v>
          </cell>
          <cell r="N652" t="str">
            <v>1H92(a)</v>
          </cell>
          <cell r="O652" t="str">
            <v>2H92(a)</v>
          </cell>
          <cell r="P652" t="str">
            <v>FY92(a)</v>
          </cell>
          <cell r="Q652" t="str">
            <v>1H93(a)</v>
          </cell>
          <cell r="R652" t="str">
            <v>2H93(a)</v>
          </cell>
          <cell r="S652" t="str">
            <v>FY93(a)</v>
          </cell>
          <cell r="T652" t="str">
            <v>1H94(a)</v>
          </cell>
          <cell r="U652" t="str">
            <v>2H94(a)</v>
          </cell>
          <cell r="V652" t="str">
            <v>FY94(a)</v>
          </cell>
          <cell r="W652" t="str">
            <v>1H95(a)</v>
          </cell>
          <cell r="X652" t="str">
            <v>2H95(a)</v>
          </cell>
          <cell r="Y652" t="str">
            <v>FY95(a)</v>
          </cell>
          <cell r="Z652" t="str">
            <v>1H96(a)</v>
          </cell>
          <cell r="AA652" t="str">
            <v>2H96(a)</v>
          </cell>
          <cell r="AB652" t="str">
            <v>FY96(a)</v>
          </cell>
          <cell r="AC652" t="str">
            <v>1H97(a)</v>
          </cell>
          <cell r="AD652" t="str">
            <v>2H97(a)</v>
          </cell>
          <cell r="AE652" t="str">
            <v>FY97(a)</v>
          </cell>
          <cell r="AF652" t="str">
            <v>1H98(a)</v>
          </cell>
          <cell r="AG652" t="str">
            <v>2H98(a)</v>
          </cell>
          <cell r="AH652" t="str">
            <v>FY98(a)</v>
          </cell>
          <cell r="AI652" t="str">
            <v>1H99(a)</v>
          </cell>
          <cell r="AJ652" t="str">
            <v>2H99(a)</v>
          </cell>
          <cell r="AK652" t="str">
            <v>FY99(a)</v>
          </cell>
          <cell r="AL652" t="str">
            <v>1H00(a)</v>
          </cell>
          <cell r="AM652" t="str">
            <v>2H00(a)</v>
          </cell>
          <cell r="AN652" t="str">
            <v>FY00(a)</v>
          </cell>
          <cell r="AO652" t="str">
            <v>1H01(a)</v>
          </cell>
          <cell r="AP652" t="str">
            <v>2H01(a)</v>
          </cell>
          <cell r="AQ652" t="str">
            <v>FY01(a)</v>
          </cell>
          <cell r="AR652" t="str">
            <v>1H02(a)</v>
          </cell>
          <cell r="AS652" t="str">
            <v>2H02(a)</v>
          </cell>
          <cell r="AT652" t="str">
            <v>FY02(a)</v>
          </cell>
          <cell r="AU652" t="str">
            <v>1H03(e)</v>
          </cell>
          <cell r="AV652" t="str">
            <v>2H03(e)</v>
          </cell>
          <cell r="AW652" t="str">
            <v>FY03(e)</v>
          </cell>
          <cell r="AX652" t="str">
            <v>1H04(e)</v>
          </cell>
          <cell r="AY652" t="str">
            <v>2H04(e)</v>
          </cell>
          <cell r="AZ652" t="str">
            <v>FY04(e)</v>
          </cell>
          <cell r="BA652" t="str">
            <v>1H05(e)</v>
          </cell>
          <cell r="BB652" t="str">
            <v>2H05(e)</v>
          </cell>
          <cell r="BC652" t="str">
            <v>FY05(e)</v>
          </cell>
          <cell r="BD652" t="str">
            <v>1H06(e)</v>
          </cell>
          <cell r="BE652" t="str">
            <v>2H06(e)</v>
          </cell>
          <cell r="BF652" t="str">
            <v>FY06(e)</v>
          </cell>
          <cell r="BG652" t="str">
            <v>1H07(e)</v>
          </cell>
          <cell r="BH652" t="str">
            <v>2H07(e)</v>
          </cell>
          <cell r="BI652" t="str">
            <v>FY07(e)</v>
          </cell>
          <cell r="BJ652" t="str">
            <v>1H08(e)</v>
          </cell>
          <cell r="BK652" t="str">
            <v>2H08(e)</v>
          </cell>
          <cell r="BL652" t="str">
            <v>FY08(e)</v>
          </cell>
          <cell r="BM652" t="str">
            <v>1H09(e)</v>
          </cell>
          <cell r="BN652" t="str">
            <v>2H09(e)</v>
          </cell>
          <cell r="BO652" t="str">
            <v>FY09(e)</v>
          </cell>
          <cell r="BP652" t="str">
            <v>1H10(e)</v>
          </cell>
          <cell r="BQ652" t="str">
            <v>2H10(e)</v>
          </cell>
          <cell r="BR652" t="str">
            <v>FY10(e)</v>
          </cell>
        </row>
        <row r="653">
          <cell r="B653" t="e">
            <v>#REF!</v>
          </cell>
          <cell r="F653">
            <v>0</v>
          </cell>
          <cell r="I653">
            <v>0</v>
          </cell>
          <cell r="L653">
            <v>0</v>
          </cell>
          <cell r="O653">
            <v>0</v>
          </cell>
          <cell r="R653">
            <v>0</v>
          </cell>
          <cell r="U653" t="e">
            <v>#REF!</v>
          </cell>
          <cell r="V653" t="e">
            <v>#REF!</v>
          </cell>
          <cell r="W653" t="e">
            <v>#REF!</v>
          </cell>
          <cell r="X653" t="e">
            <v>#REF!</v>
          </cell>
          <cell r="Y653" t="e">
            <v>#REF!</v>
          </cell>
          <cell r="Z653" t="e">
            <v>#REF!</v>
          </cell>
          <cell r="AA653" t="e">
            <v>#REF!</v>
          </cell>
          <cell r="AB653" t="e">
            <v>#REF!</v>
          </cell>
          <cell r="AC653" t="e">
            <v>#REF!</v>
          </cell>
          <cell r="AD653" t="e">
            <v>#REF!</v>
          </cell>
          <cell r="AE653" t="e">
            <v>#REF!</v>
          </cell>
          <cell r="AF653" t="e">
            <v>#REF!</v>
          </cell>
          <cell r="AG653" t="e">
            <v>#REF!</v>
          </cell>
          <cell r="AH653" t="e">
            <v>#REF!</v>
          </cell>
          <cell r="AI653" t="e">
            <v>#REF!</v>
          </cell>
          <cell r="AJ653" t="e">
            <v>#REF!</v>
          </cell>
          <cell r="AK653" t="e">
            <v>#REF!</v>
          </cell>
          <cell r="AL653" t="e">
            <v>#REF!</v>
          </cell>
          <cell r="AM653" t="e">
            <v>#REF!</v>
          </cell>
          <cell r="AN653" t="e">
            <v>#REF!</v>
          </cell>
          <cell r="AO653" t="e">
            <v>#REF!</v>
          </cell>
          <cell r="AP653" t="e">
            <v>#REF!</v>
          </cell>
          <cell r="AQ653" t="e">
            <v>#REF!</v>
          </cell>
          <cell r="AR653" t="e">
            <v>#REF!</v>
          </cell>
          <cell r="AS653" t="e">
            <v>#REF!</v>
          </cell>
          <cell r="AT653" t="e">
            <v>#REF!</v>
          </cell>
          <cell r="AU653" t="e">
            <v>#REF!</v>
          </cell>
          <cell r="AV653" t="e">
            <v>#REF!</v>
          </cell>
          <cell r="AW653" t="e">
            <v>#REF!</v>
          </cell>
          <cell r="AX653" t="e">
            <v>#REF!</v>
          </cell>
          <cell r="AY653" t="e">
            <v>#REF!</v>
          </cell>
          <cell r="AZ653" t="e">
            <v>#REF!</v>
          </cell>
          <cell r="BA653" t="e">
            <v>#REF!</v>
          </cell>
          <cell r="BB653" t="e">
            <v>#REF!</v>
          </cell>
          <cell r="BC653" t="e">
            <v>#REF!</v>
          </cell>
          <cell r="BD653" t="e">
            <v>#REF!</v>
          </cell>
          <cell r="BE653" t="e">
            <v>#REF!</v>
          </cell>
          <cell r="BF653" t="e">
            <v>#REF!</v>
          </cell>
          <cell r="BG653" t="e">
            <v>#REF!</v>
          </cell>
          <cell r="BH653" t="e">
            <v>#REF!</v>
          </cell>
          <cell r="BI653" t="e">
            <v>#REF!</v>
          </cell>
          <cell r="BJ653" t="e">
            <v>#REF!</v>
          </cell>
          <cell r="BK653" t="e">
            <v>#REF!</v>
          </cell>
          <cell r="BL653" t="e">
            <v>#REF!</v>
          </cell>
          <cell r="BM653" t="e">
            <v>#REF!</v>
          </cell>
          <cell r="BN653" t="e">
            <v>#REF!</v>
          </cell>
          <cell r="BO653" t="e">
            <v>#REF!</v>
          </cell>
          <cell r="BP653" t="e">
            <v>#REF!</v>
          </cell>
          <cell r="BQ653" t="e">
            <v>#REF!</v>
          </cell>
          <cell r="BR653" t="e">
            <v>#REF!</v>
          </cell>
        </row>
        <row r="654">
          <cell r="B654" t="e">
            <v>#REF!</v>
          </cell>
          <cell r="F654">
            <v>0</v>
          </cell>
          <cell r="I654">
            <v>0</v>
          </cell>
          <cell r="L654">
            <v>0</v>
          </cell>
          <cell r="O654">
            <v>0</v>
          </cell>
          <cell r="R654">
            <v>0</v>
          </cell>
          <cell r="U654" t="e">
            <v>#REF!</v>
          </cell>
          <cell r="V654" t="e">
            <v>#REF!</v>
          </cell>
          <cell r="W654" t="e">
            <v>#REF!</v>
          </cell>
          <cell r="X654" t="e">
            <v>#REF!</v>
          </cell>
          <cell r="Y654" t="e">
            <v>#REF!</v>
          </cell>
          <cell r="Z654" t="e">
            <v>#REF!</v>
          </cell>
          <cell r="AA654" t="e">
            <v>#REF!</v>
          </cell>
          <cell r="AB654" t="e">
            <v>#REF!</v>
          </cell>
          <cell r="AC654" t="e">
            <v>#REF!</v>
          </cell>
          <cell r="AD654" t="e">
            <v>#REF!</v>
          </cell>
          <cell r="AE654" t="e">
            <v>#REF!</v>
          </cell>
          <cell r="AF654" t="e">
            <v>#REF!</v>
          </cell>
          <cell r="AG654" t="e">
            <v>#REF!</v>
          </cell>
          <cell r="AH654" t="e">
            <v>#REF!</v>
          </cell>
          <cell r="AI654" t="e">
            <v>#REF!</v>
          </cell>
          <cell r="AJ654" t="e">
            <v>#REF!</v>
          </cell>
          <cell r="AK654" t="e">
            <v>#REF!</v>
          </cell>
          <cell r="AL654" t="e">
            <v>#REF!</v>
          </cell>
          <cell r="AM654" t="e">
            <v>#REF!</v>
          </cell>
          <cell r="AN654" t="e">
            <v>#REF!</v>
          </cell>
          <cell r="AO654" t="e">
            <v>#REF!</v>
          </cell>
          <cell r="AP654" t="e">
            <v>#REF!</v>
          </cell>
          <cell r="AQ654" t="e">
            <v>#REF!</v>
          </cell>
          <cell r="AR654" t="e">
            <v>#REF!</v>
          </cell>
          <cell r="AS654" t="e">
            <v>#REF!</v>
          </cell>
          <cell r="AT654" t="e">
            <v>#REF!</v>
          </cell>
          <cell r="AU654" t="e">
            <v>#REF!</v>
          </cell>
          <cell r="AV654" t="e">
            <v>#REF!</v>
          </cell>
          <cell r="AW654" t="e">
            <v>#REF!</v>
          </cell>
          <cell r="AX654" t="e">
            <v>#REF!</v>
          </cell>
          <cell r="AY654" t="e">
            <v>#REF!</v>
          </cell>
          <cell r="AZ654" t="e">
            <v>#REF!</v>
          </cell>
          <cell r="BA654" t="e">
            <v>#REF!</v>
          </cell>
          <cell r="BB654" t="e">
            <v>#REF!</v>
          </cell>
          <cell r="BC654" t="e">
            <v>#REF!</v>
          </cell>
          <cell r="BD654" t="e">
            <v>#REF!</v>
          </cell>
          <cell r="BE654" t="e">
            <v>#REF!</v>
          </cell>
          <cell r="BF654" t="e">
            <v>#REF!</v>
          </cell>
          <cell r="BG654" t="e">
            <v>#REF!</v>
          </cell>
          <cell r="BH654" t="e">
            <v>#REF!</v>
          </cell>
          <cell r="BI654" t="e">
            <v>#REF!</v>
          </cell>
          <cell r="BJ654" t="e">
            <v>#REF!</v>
          </cell>
          <cell r="BK654" t="e">
            <v>#REF!</v>
          </cell>
          <cell r="BL654" t="e">
            <v>#REF!</v>
          </cell>
          <cell r="BM654" t="e">
            <v>#REF!</v>
          </cell>
          <cell r="BN654" t="e">
            <v>#REF!</v>
          </cell>
          <cell r="BO654" t="e">
            <v>#REF!</v>
          </cell>
          <cell r="BP654" t="e">
            <v>#REF!</v>
          </cell>
          <cell r="BQ654" t="e">
            <v>#REF!</v>
          </cell>
          <cell r="BR654" t="e">
            <v>#REF!</v>
          </cell>
        </row>
        <row r="655">
          <cell r="B655" t="e">
            <v>#REF!</v>
          </cell>
          <cell r="F655">
            <v>0</v>
          </cell>
          <cell r="I655">
            <v>0</v>
          </cell>
          <cell r="L655">
            <v>0</v>
          </cell>
          <cell r="O655">
            <v>0</v>
          </cell>
          <cell r="R655">
            <v>0</v>
          </cell>
          <cell r="U655" t="e">
            <v>#REF!</v>
          </cell>
          <cell r="V655" t="e">
            <v>#REF!</v>
          </cell>
          <cell r="W655" t="e">
            <v>#REF!</v>
          </cell>
          <cell r="X655" t="e">
            <v>#REF!</v>
          </cell>
          <cell r="Y655" t="e">
            <v>#REF!</v>
          </cell>
          <cell r="Z655" t="e">
            <v>#REF!</v>
          </cell>
          <cell r="AA655" t="e">
            <v>#REF!</v>
          </cell>
          <cell r="AB655" t="e">
            <v>#REF!</v>
          </cell>
          <cell r="AC655" t="e">
            <v>#REF!</v>
          </cell>
          <cell r="AD655" t="e">
            <v>#REF!</v>
          </cell>
          <cell r="AE655" t="e">
            <v>#REF!</v>
          </cell>
          <cell r="AF655" t="e">
            <v>#REF!</v>
          </cell>
          <cell r="AG655" t="e">
            <v>#REF!</v>
          </cell>
          <cell r="AH655" t="e">
            <v>#REF!</v>
          </cell>
          <cell r="AI655" t="e">
            <v>#REF!</v>
          </cell>
          <cell r="AJ655" t="e">
            <v>#REF!</v>
          </cell>
          <cell r="AK655" t="e">
            <v>#REF!</v>
          </cell>
          <cell r="AL655" t="e">
            <v>#REF!</v>
          </cell>
          <cell r="AM655" t="e">
            <v>#REF!</v>
          </cell>
          <cell r="AN655" t="e">
            <v>#REF!</v>
          </cell>
          <cell r="AO655" t="e">
            <v>#REF!</v>
          </cell>
          <cell r="AP655" t="e">
            <v>#REF!</v>
          </cell>
          <cell r="AQ655" t="e">
            <v>#REF!</v>
          </cell>
          <cell r="AR655" t="e">
            <v>#REF!</v>
          </cell>
          <cell r="AS655" t="e">
            <v>#REF!</v>
          </cell>
          <cell r="AT655" t="e">
            <v>#REF!</v>
          </cell>
          <cell r="AU655" t="e">
            <v>#REF!</v>
          </cell>
          <cell r="AV655" t="e">
            <v>#REF!</v>
          </cell>
          <cell r="AW655" t="e">
            <v>#REF!</v>
          </cell>
          <cell r="AX655" t="e">
            <v>#REF!</v>
          </cell>
          <cell r="AY655" t="e">
            <v>#REF!</v>
          </cell>
          <cell r="AZ655" t="e">
            <v>#REF!</v>
          </cell>
          <cell r="BA655" t="e">
            <v>#REF!</v>
          </cell>
          <cell r="BB655" t="e">
            <v>#REF!</v>
          </cell>
          <cell r="BC655" t="e">
            <v>#REF!</v>
          </cell>
          <cell r="BD655" t="e">
            <v>#REF!</v>
          </cell>
          <cell r="BE655" t="e">
            <v>#REF!</v>
          </cell>
          <cell r="BF655" t="e">
            <v>#REF!</v>
          </cell>
          <cell r="BG655" t="e">
            <v>#REF!</v>
          </cell>
          <cell r="BH655" t="e">
            <v>#REF!</v>
          </cell>
          <cell r="BI655" t="e">
            <v>#REF!</v>
          </cell>
          <cell r="BJ655" t="e">
            <v>#REF!</v>
          </cell>
          <cell r="BK655" t="e">
            <v>#REF!</v>
          </cell>
          <cell r="BL655" t="e">
            <v>#REF!</v>
          </cell>
          <cell r="BM655" t="e">
            <v>#REF!</v>
          </cell>
          <cell r="BN655" t="e">
            <v>#REF!</v>
          </cell>
          <cell r="BO655" t="e">
            <v>#REF!</v>
          </cell>
          <cell r="BP655" t="e">
            <v>#REF!</v>
          </cell>
          <cell r="BQ655" t="e">
            <v>#REF!</v>
          </cell>
          <cell r="BR655" t="e">
            <v>#REF!</v>
          </cell>
        </row>
        <row r="656">
          <cell r="B656" t="e">
            <v>#REF!</v>
          </cell>
          <cell r="F656">
            <v>0</v>
          </cell>
          <cell r="I656">
            <v>0</v>
          </cell>
          <cell r="L656">
            <v>0</v>
          </cell>
          <cell r="O656">
            <v>0</v>
          </cell>
          <cell r="R656">
            <v>0</v>
          </cell>
          <cell r="U656" t="e">
            <v>#REF!</v>
          </cell>
          <cell r="V656" t="e">
            <v>#REF!</v>
          </cell>
          <cell r="W656" t="e">
            <v>#REF!</v>
          </cell>
          <cell r="X656" t="e">
            <v>#REF!</v>
          </cell>
          <cell r="Y656" t="e">
            <v>#REF!</v>
          </cell>
          <cell r="Z656" t="e">
            <v>#REF!</v>
          </cell>
          <cell r="AA656" t="e">
            <v>#REF!</v>
          </cell>
          <cell r="AB656" t="e">
            <v>#REF!</v>
          </cell>
          <cell r="AC656" t="e">
            <v>#REF!</v>
          </cell>
          <cell r="AD656" t="e">
            <v>#REF!</v>
          </cell>
          <cell r="AE656" t="e">
            <v>#REF!</v>
          </cell>
          <cell r="AF656" t="e">
            <v>#REF!</v>
          </cell>
          <cell r="AG656" t="e">
            <v>#REF!</v>
          </cell>
          <cell r="AH656" t="e">
            <v>#REF!</v>
          </cell>
          <cell r="AI656" t="e">
            <v>#REF!</v>
          </cell>
          <cell r="AJ656" t="e">
            <v>#REF!</v>
          </cell>
          <cell r="AK656" t="e">
            <v>#REF!</v>
          </cell>
          <cell r="AL656" t="e">
            <v>#REF!</v>
          </cell>
          <cell r="AM656" t="e">
            <v>#REF!</v>
          </cell>
          <cell r="AN656" t="e">
            <v>#REF!</v>
          </cell>
          <cell r="AO656" t="e">
            <v>#REF!</v>
          </cell>
          <cell r="AP656" t="e">
            <v>#REF!</v>
          </cell>
          <cell r="AQ656" t="e">
            <v>#REF!</v>
          </cell>
          <cell r="AR656" t="e">
            <v>#REF!</v>
          </cell>
          <cell r="AS656" t="e">
            <v>#REF!</v>
          </cell>
          <cell r="AT656" t="e">
            <v>#REF!</v>
          </cell>
          <cell r="AU656" t="e">
            <v>#REF!</v>
          </cell>
          <cell r="AV656" t="e">
            <v>#REF!</v>
          </cell>
          <cell r="AW656" t="e">
            <v>#REF!</v>
          </cell>
          <cell r="AX656" t="e">
            <v>#REF!</v>
          </cell>
          <cell r="AY656" t="e">
            <v>#REF!</v>
          </cell>
          <cell r="AZ656" t="e">
            <v>#REF!</v>
          </cell>
          <cell r="BA656" t="e">
            <v>#REF!</v>
          </cell>
          <cell r="BB656" t="e">
            <v>#REF!</v>
          </cell>
          <cell r="BC656" t="e">
            <v>#REF!</v>
          </cell>
          <cell r="BD656" t="e">
            <v>#REF!</v>
          </cell>
          <cell r="BE656" t="e">
            <v>#REF!</v>
          </cell>
          <cell r="BF656" t="e">
            <v>#REF!</v>
          </cell>
          <cell r="BG656" t="e">
            <v>#REF!</v>
          </cell>
          <cell r="BH656" t="e">
            <v>#REF!</v>
          </cell>
          <cell r="BI656" t="e">
            <v>#REF!</v>
          </cell>
          <cell r="BJ656" t="e">
            <v>#REF!</v>
          </cell>
          <cell r="BK656" t="e">
            <v>#REF!</v>
          </cell>
          <cell r="BL656" t="e">
            <v>#REF!</v>
          </cell>
          <cell r="BM656" t="e">
            <v>#REF!</v>
          </cell>
          <cell r="BN656" t="e">
            <v>#REF!</v>
          </cell>
          <cell r="BO656" t="e">
            <v>#REF!</v>
          </cell>
          <cell r="BP656" t="e">
            <v>#REF!</v>
          </cell>
          <cell r="BQ656" t="e">
            <v>#REF!</v>
          </cell>
          <cell r="BR656" t="e">
            <v>#REF!</v>
          </cell>
        </row>
        <row r="657">
          <cell r="B657" t="e">
            <v>#REF!</v>
          </cell>
          <cell r="F657">
            <v>0</v>
          </cell>
          <cell r="I657">
            <v>0</v>
          </cell>
          <cell r="L657">
            <v>0</v>
          </cell>
          <cell r="O657">
            <v>0</v>
          </cell>
          <cell r="R657">
            <v>0</v>
          </cell>
          <cell r="U657" t="e">
            <v>#REF!</v>
          </cell>
          <cell r="V657" t="e">
            <v>#REF!</v>
          </cell>
          <cell r="W657" t="e">
            <v>#REF!</v>
          </cell>
          <cell r="X657" t="e">
            <v>#REF!</v>
          </cell>
          <cell r="Y657" t="e">
            <v>#REF!</v>
          </cell>
          <cell r="Z657" t="e">
            <v>#REF!</v>
          </cell>
          <cell r="AA657" t="e">
            <v>#REF!</v>
          </cell>
          <cell r="AB657" t="e">
            <v>#REF!</v>
          </cell>
          <cell r="AC657" t="e">
            <v>#REF!</v>
          </cell>
          <cell r="AD657" t="e">
            <v>#REF!</v>
          </cell>
          <cell r="AE657" t="e">
            <v>#REF!</v>
          </cell>
          <cell r="AF657" t="e">
            <v>#REF!</v>
          </cell>
          <cell r="AG657" t="e">
            <v>#REF!</v>
          </cell>
          <cell r="AH657" t="e">
            <v>#REF!</v>
          </cell>
          <cell r="AI657" t="e">
            <v>#REF!</v>
          </cell>
          <cell r="AJ657" t="e">
            <v>#REF!</v>
          </cell>
          <cell r="AK657" t="e">
            <v>#REF!</v>
          </cell>
          <cell r="AL657" t="e">
            <v>#REF!</v>
          </cell>
          <cell r="AM657" t="e">
            <v>#REF!</v>
          </cell>
          <cell r="AN657" t="e">
            <v>#REF!</v>
          </cell>
          <cell r="AO657" t="e">
            <v>#REF!</v>
          </cell>
          <cell r="AP657" t="e">
            <v>#REF!</v>
          </cell>
          <cell r="AQ657" t="e">
            <v>#REF!</v>
          </cell>
          <cell r="AR657" t="e">
            <v>#REF!</v>
          </cell>
          <cell r="AS657" t="e">
            <v>#REF!</v>
          </cell>
          <cell r="AT657" t="e">
            <v>#REF!</v>
          </cell>
          <cell r="AU657" t="e">
            <v>#REF!</v>
          </cell>
          <cell r="AV657" t="e">
            <v>#REF!</v>
          </cell>
          <cell r="AW657" t="e">
            <v>#REF!</v>
          </cell>
          <cell r="AX657" t="e">
            <v>#REF!</v>
          </cell>
          <cell r="AY657" t="e">
            <v>#REF!</v>
          </cell>
          <cell r="AZ657" t="e">
            <v>#REF!</v>
          </cell>
          <cell r="BA657" t="e">
            <v>#REF!</v>
          </cell>
          <cell r="BB657" t="e">
            <v>#REF!</v>
          </cell>
          <cell r="BC657" t="e">
            <v>#REF!</v>
          </cell>
          <cell r="BD657" t="e">
            <v>#REF!</v>
          </cell>
          <cell r="BE657" t="e">
            <v>#REF!</v>
          </cell>
          <cell r="BF657" t="e">
            <v>#REF!</v>
          </cell>
          <cell r="BG657" t="e">
            <v>#REF!</v>
          </cell>
          <cell r="BH657" t="e">
            <v>#REF!</v>
          </cell>
          <cell r="BI657" t="e">
            <v>#REF!</v>
          </cell>
          <cell r="BJ657" t="e">
            <v>#REF!</v>
          </cell>
          <cell r="BK657" t="e">
            <v>#REF!</v>
          </cell>
          <cell r="BL657" t="e">
            <v>#REF!</v>
          </cell>
          <cell r="BM657" t="e">
            <v>#REF!</v>
          </cell>
          <cell r="BN657" t="e">
            <v>#REF!</v>
          </cell>
          <cell r="BO657" t="e">
            <v>#REF!</v>
          </cell>
          <cell r="BP657" t="e">
            <v>#REF!</v>
          </cell>
          <cell r="BQ657" t="e">
            <v>#REF!</v>
          </cell>
          <cell r="BR657" t="e">
            <v>#REF!</v>
          </cell>
        </row>
        <row r="658">
          <cell r="B658" t="str">
            <v>BusSeg6</v>
          </cell>
          <cell r="F658">
            <v>0</v>
          </cell>
          <cell r="I658">
            <v>0</v>
          </cell>
          <cell r="L658">
            <v>0</v>
          </cell>
          <cell r="O658">
            <v>0</v>
          </cell>
          <cell r="R658">
            <v>0</v>
          </cell>
          <cell r="U658">
            <v>0</v>
          </cell>
          <cell r="X658">
            <v>0</v>
          </cell>
          <cell r="AA658">
            <v>0</v>
          </cell>
          <cell r="AD658">
            <v>0</v>
          </cell>
          <cell r="AG658">
            <v>0</v>
          </cell>
          <cell r="AJ658">
            <v>0</v>
          </cell>
          <cell r="AM658">
            <v>0</v>
          </cell>
          <cell r="AP658">
            <v>0</v>
          </cell>
          <cell r="AS658">
            <v>0</v>
          </cell>
          <cell r="AV658">
            <v>0</v>
          </cell>
          <cell r="AY658">
            <v>0</v>
          </cell>
          <cell r="BB658">
            <v>0</v>
          </cell>
          <cell r="BE658">
            <v>0</v>
          </cell>
          <cell r="BH658">
            <v>0</v>
          </cell>
          <cell r="BK658">
            <v>0</v>
          </cell>
          <cell r="BN658">
            <v>0</v>
          </cell>
          <cell r="BQ658">
            <v>0</v>
          </cell>
        </row>
        <row r="659">
          <cell r="B659" t="str">
            <v>BusSeg7</v>
          </cell>
          <cell r="F659">
            <v>0</v>
          </cell>
          <cell r="I659">
            <v>0</v>
          </cell>
          <cell r="L659">
            <v>0</v>
          </cell>
          <cell r="O659">
            <v>0</v>
          </cell>
          <cell r="R659">
            <v>0</v>
          </cell>
          <cell r="U659">
            <v>0</v>
          </cell>
          <cell r="X659">
            <v>0</v>
          </cell>
          <cell r="AA659">
            <v>0</v>
          </cell>
          <cell r="AD659">
            <v>0</v>
          </cell>
          <cell r="AG659">
            <v>0</v>
          </cell>
          <cell r="AJ659">
            <v>0</v>
          </cell>
          <cell r="AM659">
            <v>0</v>
          </cell>
          <cell r="AP659">
            <v>0</v>
          </cell>
          <cell r="AS659">
            <v>0</v>
          </cell>
          <cell r="AV659">
            <v>0</v>
          </cell>
          <cell r="AY659">
            <v>0</v>
          </cell>
          <cell r="BB659">
            <v>0</v>
          </cell>
          <cell r="BE659">
            <v>0</v>
          </cell>
          <cell r="BH659">
            <v>0</v>
          </cell>
          <cell r="BK659">
            <v>0</v>
          </cell>
          <cell r="BN659">
            <v>0</v>
          </cell>
          <cell r="BQ659">
            <v>0</v>
          </cell>
        </row>
        <row r="660">
          <cell r="B660" t="str">
            <v>BusSeg8</v>
          </cell>
          <cell r="F660">
            <v>0</v>
          </cell>
          <cell r="I660">
            <v>0</v>
          </cell>
          <cell r="L660">
            <v>0</v>
          </cell>
          <cell r="O660">
            <v>0</v>
          </cell>
          <cell r="R660">
            <v>0</v>
          </cell>
          <cell r="U660">
            <v>0</v>
          </cell>
          <cell r="X660">
            <v>0</v>
          </cell>
          <cell r="AA660">
            <v>0</v>
          </cell>
          <cell r="AD660">
            <v>0</v>
          </cell>
          <cell r="AG660">
            <v>0</v>
          </cell>
          <cell r="AJ660">
            <v>0</v>
          </cell>
          <cell r="AM660">
            <v>0</v>
          </cell>
          <cell r="AP660">
            <v>0</v>
          </cell>
          <cell r="AS660">
            <v>0</v>
          </cell>
          <cell r="AV660">
            <v>0</v>
          </cell>
          <cell r="AY660">
            <v>0</v>
          </cell>
          <cell r="BB660">
            <v>0</v>
          </cell>
          <cell r="BE660">
            <v>0</v>
          </cell>
          <cell r="BH660">
            <v>0</v>
          </cell>
          <cell r="BK660">
            <v>0</v>
          </cell>
          <cell r="BN660">
            <v>0</v>
          </cell>
          <cell r="BQ660">
            <v>0</v>
          </cell>
        </row>
        <row r="661">
          <cell r="B661" t="str">
            <v>BusSeg9</v>
          </cell>
          <cell r="F661">
            <v>0</v>
          </cell>
          <cell r="I661">
            <v>0</v>
          </cell>
          <cell r="L661">
            <v>0</v>
          </cell>
          <cell r="O661">
            <v>0</v>
          </cell>
          <cell r="R661">
            <v>0</v>
          </cell>
          <cell r="U661">
            <v>0</v>
          </cell>
          <cell r="X661">
            <v>0</v>
          </cell>
          <cell r="AA661">
            <v>0</v>
          </cell>
          <cell r="AD661">
            <v>0</v>
          </cell>
          <cell r="AG661">
            <v>0</v>
          </cell>
          <cell r="AJ661">
            <v>0</v>
          </cell>
          <cell r="AM661">
            <v>0</v>
          </cell>
          <cell r="AP661">
            <v>0</v>
          </cell>
          <cell r="AS661">
            <v>0</v>
          </cell>
          <cell r="AV661">
            <v>0</v>
          </cell>
          <cell r="AY661">
            <v>0</v>
          </cell>
          <cell r="BB661">
            <v>0</v>
          </cell>
          <cell r="BE661">
            <v>0</v>
          </cell>
          <cell r="BH661">
            <v>0</v>
          </cell>
          <cell r="BK661">
            <v>0</v>
          </cell>
          <cell r="BN661">
            <v>0</v>
          </cell>
          <cell r="BQ661">
            <v>0</v>
          </cell>
        </row>
        <row r="662">
          <cell r="B662" t="str">
            <v>BusSeg10</v>
          </cell>
          <cell r="F662">
            <v>0</v>
          </cell>
          <cell r="I662">
            <v>0</v>
          </cell>
          <cell r="L662">
            <v>0</v>
          </cell>
          <cell r="O662">
            <v>0</v>
          </cell>
          <cell r="R662">
            <v>0</v>
          </cell>
          <cell r="U662">
            <v>0</v>
          </cell>
          <cell r="X662">
            <v>0</v>
          </cell>
          <cell r="AA662">
            <v>0</v>
          </cell>
          <cell r="AD662">
            <v>0</v>
          </cell>
          <cell r="AG662">
            <v>0</v>
          </cell>
          <cell r="AJ662">
            <v>0</v>
          </cell>
          <cell r="AM662">
            <v>0</v>
          </cell>
          <cell r="AP662">
            <v>0</v>
          </cell>
          <cell r="AS662">
            <v>0</v>
          </cell>
          <cell r="AV662">
            <v>0</v>
          </cell>
          <cell r="AY662">
            <v>0</v>
          </cell>
          <cell r="BB662">
            <v>0</v>
          </cell>
          <cell r="BE662">
            <v>0</v>
          </cell>
          <cell r="BH662">
            <v>0</v>
          </cell>
          <cell r="BK662">
            <v>0</v>
          </cell>
          <cell r="BN662">
            <v>0</v>
          </cell>
          <cell r="BQ662">
            <v>0</v>
          </cell>
        </row>
        <row r="663">
          <cell r="B663" t="str">
            <v>Intersegment eliminations (entered as a negative)</v>
          </cell>
          <cell r="F663">
            <v>0</v>
          </cell>
          <cell r="I663">
            <v>0</v>
          </cell>
          <cell r="L663">
            <v>0</v>
          </cell>
          <cell r="O663">
            <v>0</v>
          </cell>
          <cell r="R663">
            <v>0</v>
          </cell>
          <cell r="U663">
            <v>0</v>
          </cell>
          <cell r="X663">
            <v>0</v>
          </cell>
          <cell r="AA663">
            <v>0</v>
          </cell>
          <cell r="AD663">
            <v>0</v>
          </cell>
          <cell r="AG663">
            <v>0</v>
          </cell>
          <cell r="AJ663">
            <v>0</v>
          </cell>
          <cell r="AM663">
            <v>0</v>
          </cell>
          <cell r="AP663">
            <v>0</v>
          </cell>
          <cell r="AS663">
            <v>0</v>
          </cell>
          <cell r="AV663">
            <v>0</v>
          </cell>
          <cell r="AY663">
            <v>0</v>
          </cell>
          <cell r="BB663">
            <v>0</v>
          </cell>
          <cell r="BE663">
            <v>0</v>
          </cell>
          <cell r="BH663">
            <v>0</v>
          </cell>
          <cell r="BK663">
            <v>0</v>
          </cell>
          <cell r="BN663">
            <v>0</v>
          </cell>
          <cell r="BQ663">
            <v>0</v>
          </cell>
        </row>
        <row r="664">
          <cell r="B664" t="str">
            <v>Unallocated sales</v>
          </cell>
          <cell r="F664">
            <v>0</v>
          </cell>
          <cell r="I664">
            <v>0</v>
          </cell>
          <cell r="L664">
            <v>0</v>
          </cell>
          <cell r="O664">
            <v>0</v>
          </cell>
          <cell r="R664">
            <v>0</v>
          </cell>
          <cell r="U664">
            <v>0</v>
          </cell>
          <cell r="X664">
            <v>0</v>
          </cell>
          <cell r="AA664">
            <v>0</v>
          </cell>
          <cell r="AD664">
            <v>0</v>
          </cell>
          <cell r="AG664">
            <v>0</v>
          </cell>
          <cell r="AJ664">
            <v>0</v>
          </cell>
          <cell r="AM664">
            <v>0</v>
          </cell>
          <cell r="AP664">
            <v>0</v>
          </cell>
          <cell r="AS664">
            <v>0</v>
          </cell>
          <cell r="AV664">
            <v>0</v>
          </cell>
          <cell r="AY664">
            <v>0</v>
          </cell>
          <cell r="BB664">
            <v>0</v>
          </cell>
          <cell r="BE664">
            <v>0</v>
          </cell>
          <cell r="BH664">
            <v>0</v>
          </cell>
          <cell r="BK664">
            <v>0</v>
          </cell>
          <cell r="BN664">
            <v>0</v>
          </cell>
          <cell r="BQ664">
            <v>0</v>
          </cell>
        </row>
        <row r="665"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 t="e">
            <v>#REF!</v>
          </cell>
          <cell r="V665" t="e">
            <v>#REF!</v>
          </cell>
          <cell r="W665" t="e">
            <v>#REF!</v>
          </cell>
          <cell r="X665" t="e">
            <v>#REF!</v>
          </cell>
          <cell r="Y665" t="e">
            <v>#REF!</v>
          </cell>
          <cell r="Z665" t="e">
            <v>#REF!</v>
          </cell>
          <cell r="AA665" t="e">
            <v>#REF!</v>
          </cell>
          <cell r="AB665" t="e">
            <v>#REF!</v>
          </cell>
          <cell r="AC665" t="e">
            <v>#REF!</v>
          </cell>
          <cell r="AD665" t="e">
            <v>#REF!</v>
          </cell>
          <cell r="AE665" t="e">
            <v>#REF!</v>
          </cell>
          <cell r="AF665" t="e">
            <v>#REF!</v>
          </cell>
          <cell r="AG665" t="e">
            <v>#REF!</v>
          </cell>
          <cell r="AH665" t="e">
            <v>#REF!</v>
          </cell>
          <cell r="AI665" t="e">
            <v>#REF!</v>
          </cell>
          <cell r="AJ665" t="e">
            <v>#REF!</v>
          </cell>
          <cell r="AK665" t="e">
            <v>#REF!</v>
          </cell>
          <cell r="AL665" t="e">
            <v>#REF!</v>
          </cell>
          <cell r="AM665" t="e">
            <v>#REF!</v>
          </cell>
          <cell r="AN665" t="e">
            <v>#REF!</v>
          </cell>
          <cell r="AO665" t="e">
            <v>#REF!</v>
          </cell>
          <cell r="AP665" t="e">
            <v>#REF!</v>
          </cell>
          <cell r="AQ665" t="e">
            <v>#REF!</v>
          </cell>
          <cell r="AR665" t="e">
            <v>#REF!</v>
          </cell>
          <cell r="AS665" t="e">
            <v>#REF!</v>
          </cell>
          <cell r="AT665" t="e">
            <v>#REF!</v>
          </cell>
          <cell r="AU665" t="e">
            <v>#REF!</v>
          </cell>
          <cell r="AV665" t="e">
            <v>#REF!</v>
          </cell>
          <cell r="AW665" t="e">
            <v>#REF!</v>
          </cell>
          <cell r="AX665" t="e">
            <v>#REF!</v>
          </cell>
          <cell r="AY665" t="e">
            <v>#REF!</v>
          </cell>
          <cell r="AZ665" t="e">
            <v>#REF!</v>
          </cell>
          <cell r="BA665" t="e">
            <v>#REF!</v>
          </cell>
          <cell r="BB665" t="e">
            <v>#REF!</v>
          </cell>
          <cell r="BC665" t="e">
            <v>#REF!</v>
          </cell>
          <cell r="BD665" t="e">
            <v>#REF!</v>
          </cell>
          <cell r="BE665" t="e">
            <v>#REF!</v>
          </cell>
          <cell r="BF665" t="e">
            <v>#REF!</v>
          </cell>
          <cell r="BG665" t="e">
            <v>#REF!</v>
          </cell>
          <cell r="BH665" t="e">
            <v>#REF!</v>
          </cell>
          <cell r="BI665" t="e">
            <v>#REF!</v>
          </cell>
          <cell r="BJ665" t="e">
            <v>#REF!</v>
          </cell>
          <cell r="BK665" t="e">
            <v>#REF!</v>
          </cell>
          <cell r="BL665" t="e">
            <v>#REF!</v>
          </cell>
          <cell r="BM665" t="e">
            <v>#REF!</v>
          </cell>
          <cell r="BN665" t="e">
            <v>#REF!</v>
          </cell>
          <cell r="BO665" t="e">
            <v>#REF!</v>
          </cell>
          <cell r="BP665" t="e">
            <v>#REF!</v>
          </cell>
          <cell r="BQ665" t="e">
            <v>#REF!</v>
          </cell>
          <cell r="BR665" t="e">
            <v>#REF!</v>
          </cell>
        </row>
        <row r="666">
          <cell r="B666" t="str">
            <v>Other revenue</v>
          </cell>
          <cell r="F666">
            <v>0</v>
          </cell>
          <cell r="I666">
            <v>0</v>
          </cell>
          <cell r="L666">
            <v>0</v>
          </cell>
          <cell r="O666">
            <v>0</v>
          </cell>
          <cell r="R666">
            <v>0</v>
          </cell>
          <cell r="U666">
            <v>0</v>
          </cell>
          <cell r="X666">
            <v>0</v>
          </cell>
          <cell r="AA666">
            <v>0</v>
          </cell>
          <cell r="AD666">
            <v>0</v>
          </cell>
          <cell r="AG666">
            <v>0</v>
          </cell>
          <cell r="AJ666">
            <v>0</v>
          </cell>
          <cell r="AM666">
            <v>0</v>
          </cell>
          <cell r="AP666">
            <v>0</v>
          </cell>
          <cell r="AS666">
            <v>0</v>
          </cell>
          <cell r="AV666">
            <v>0</v>
          </cell>
          <cell r="AY666">
            <v>0</v>
          </cell>
          <cell r="BB666">
            <v>0</v>
          </cell>
          <cell r="BE666">
            <v>0</v>
          </cell>
          <cell r="BH666">
            <v>0</v>
          </cell>
          <cell r="BK666">
            <v>0</v>
          </cell>
          <cell r="BN666">
            <v>0</v>
          </cell>
          <cell r="BQ666">
            <v>0</v>
          </cell>
        </row>
        <row r="667"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 t="e">
            <v>#REF!</v>
          </cell>
          <cell r="V667" t="e">
            <v>#REF!</v>
          </cell>
          <cell r="W667" t="e">
            <v>#REF!</v>
          </cell>
          <cell r="X667" t="e">
            <v>#REF!</v>
          </cell>
          <cell r="Y667" t="e">
            <v>#REF!</v>
          </cell>
          <cell r="Z667" t="e">
            <v>#REF!</v>
          </cell>
          <cell r="AA667" t="e">
            <v>#REF!</v>
          </cell>
          <cell r="AB667" t="e">
            <v>#REF!</v>
          </cell>
          <cell r="AC667" t="e">
            <v>#REF!</v>
          </cell>
          <cell r="AD667" t="e">
            <v>#REF!</v>
          </cell>
          <cell r="AE667" t="e">
            <v>#REF!</v>
          </cell>
          <cell r="AF667" t="e">
            <v>#REF!</v>
          </cell>
          <cell r="AG667" t="e">
            <v>#REF!</v>
          </cell>
          <cell r="AH667" t="e">
            <v>#REF!</v>
          </cell>
          <cell r="AI667" t="e">
            <v>#REF!</v>
          </cell>
          <cell r="AJ667" t="e">
            <v>#REF!</v>
          </cell>
          <cell r="AK667" t="e">
            <v>#REF!</v>
          </cell>
          <cell r="AL667" t="e">
            <v>#REF!</v>
          </cell>
          <cell r="AM667" t="e">
            <v>#REF!</v>
          </cell>
          <cell r="AN667" t="e">
            <v>#REF!</v>
          </cell>
          <cell r="AO667" t="e">
            <v>#REF!</v>
          </cell>
          <cell r="AP667" t="e">
            <v>#REF!</v>
          </cell>
          <cell r="AQ667" t="e">
            <v>#REF!</v>
          </cell>
          <cell r="AR667" t="e">
            <v>#REF!</v>
          </cell>
          <cell r="AS667" t="e">
            <v>#REF!</v>
          </cell>
          <cell r="AT667" t="e">
            <v>#REF!</v>
          </cell>
          <cell r="AU667" t="e">
            <v>#REF!</v>
          </cell>
          <cell r="AV667" t="e">
            <v>#REF!</v>
          </cell>
          <cell r="AW667" t="e">
            <v>#REF!</v>
          </cell>
          <cell r="AX667" t="e">
            <v>#REF!</v>
          </cell>
          <cell r="AY667" t="e">
            <v>#REF!</v>
          </cell>
          <cell r="AZ667" t="e">
            <v>#REF!</v>
          </cell>
          <cell r="BA667" t="e">
            <v>#REF!</v>
          </cell>
          <cell r="BB667" t="e">
            <v>#REF!</v>
          </cell>
          <cell r="BC667" t="e">
            <v>#REF!</v>
          </cell>
          <cell r="BD667" t="e">
            <v>#REF!</v>
          </cell>
          <cell r="BE667" t="e">
            <v>#REF!</v>
          </cell>
          <cell r="BF667" t="e">
            <v>#REF!</v>
          </cell>
          <cell r="BG667" t="e">
            <v>#REF!</v>
          </cell>
          <cell r="BH667" t="e">
            <v>#REF!</v>
          </cell>
          <cell r="BI667" t="e">
            <v>#REF!</v>
          </cell>
          <cell r="BJ667" t="e">
            <v>#REF!</v>
          </cell>
          <cell r="BK667" t="e">
            <v>#REF!</v>
          </cell>
          <cell r="BL667" t="e">
            <v>#REF!</v>
          </cell>
          <cell r="BM667" t="e">
            <v>#REF!</v>
          </cell>
          <cell r="BN667" t="e">
            <v>#REF!</v>
          </cell>
          <cell r="BO667" t="e">
            <v>#REF!</v>
          </cell>
          <cell r="BP667" t="e">
            <v>#REF!</v>
          </cell>
          <cell r="BQ667" t="e">
            <v>#REF!</v>
          </cell>
          <cell r="BR667" t="e">
            <v>#REF!</v>
          </cell>
        </row>
        <row r="669">
          <cell r="E669" t="str">
            <v>1H89(a)</v>
          </cell>
          <cell r="F669" t="str">
            <v>2H89(a)</v>
          </cell>
          <cell r="G669" t="str">
            <v>FY89(a)</v>
          </cell>
          <cell r="H669" t="str">
            <v>1H90(a)</v>
          </cell>
          <cell r="I669" t="str">
            <v>2H90(a)</v>
          </cell>
          <cell r="J669" t="str">
            <v>FY90(a)</v>
          </cell>
          <cell r="K669" t="str">
            <v>1H91(a)</v>
          </cell>
          <cell r="L669" t="str">
            <v>2H91(a)</v>
          </cell>
          <cell r="M669" t="str">
            <v>FY91(a)</v>
          </cell>
          <cell r="N669" t="str">
            <v>1H92(a)</v>
          </cell>
          <cell r="O669" t="str">
            <v>2H92(a)</v>
          </cell>
          <cell r="P669" t="str">
            <v>FY92(a)</v>
          </cell>
          <cell r="Q669" t="str">
            <v>1H93(a)</v>
          </cell>
          <cell r="R669" t="str">
            <v>2H93(a)</v>
          </cell>
          <cell r="S669" t="str">
            <v>FY93(a)</v>
          </cell>
          <cell r="T669" t="str">
            <v>1H94(a)</v>
          </cell>
          <cell r="U669" t="str">
            <v>2H94(a)</v>
          </cell>
          <cell r="V669" t="str">
            <v>FY94(a)</v>
          </cell>
          <cell r="W669" t="str">
            <v>1H95(a)</v>
          </cell>
          <cell r="X669" t="str">
            <v>2H95(a)</v>
          </cell>
          <cell r="Y669" t="str">
            <v>FY95(a)</v>
          </cell>
          <cell r="Z669" t="str">
            <v>1H96(a)</v>
          </cell>
          <cell r="AA669" t="str">
            <v>2H96(a)</v>
          </cell>
          <cell r="AB669" t="str">
            <v>FY96(a)</v>
          </cell>
          <cell r="AC669" t="str">
            <v>1H97(a)</v>
          </cell>
          <cell r="AD669" t="str">
            <v>2H97(a)</v>
          </cell>
          <cell r="AE669" t="str">
            <v>FY97(a)</v>
          </cell>
          <cell r="AF669" t="str">
            <v>1H98(a)</v>
          </cell>
          <cell r="AG669" t="str">
            <v>2H98(a)</v>
          </cell>
          <cell r="AH669" t="str">
            <v>FY98(a)</v>
          </cell>
          <cell r="AI669" t="str">
            <v>1H99(a)</v>
          </cell>
          <cell r="AJ669" t="str">
            <v>2H99(a)</v>
          </cell>
          <cell r="AK669" t="str">
            <v>FY99(a)</v>
          </cell>
          <cell r="AL669" t="str">
            <v>1H00(a)</v>
          </cell>
          <cell r="AM669" t="str">
            <v>2H00(a)</v>
          </cell>
          <cell r="AN669" t="str">
            <v>FY00(a)</v>
          </cell>
          <cell r="AO669" t="str">
            <v>1H01(a)</v>
          </cell>
          <cell r="AP669" t="str">
            <v>2H01(a)</v>
          </cell>
          <cell r="AQ669" t="str">
            <v>FY01(a)</v>
          </cell>
          <cell r="AR669" t="str">
            <v>1H02(a)</v>
          </cell>
          <cell r="AS669" t="str">
            <v>2H02(a)</v>
          </cell>
          <cell r="AT669" t="str">
            <v>FY02(a)</v>
          </cell>
          <cell r="AU669" t="str">
            <v>1H03(e)</v>
          </cell>
          <cell r="AV669" t="str">
            <v>2H03(e)</v>
          </cell>
          <cell r="AW669" t="str">
            <v>FY03(e)</v>
          </cell>
          <cell r="AX669" t="str">
            <v>1H04(e)</v>
          </cell>
          <cell r="AY669" t="str">
            <v>2H04(e)</v>
          </cell>
          <cell r="AZ669" t="str">
            <v>FY04(e)</v>
          </cell>
          <cell r="BA669" t="str">
            <v>1H05(e)</v>
          </cell>
          <cell r="BB669" t="str">
            <v>2H05(e)</v>
          </cell>
          <cell r="BC669" t="str">
            <v>FY05(e)</v>
          </cell>
          <cell r="BD669" t="str">
            <v>1H06(e)</v>
          </cell>
          <cell r="BE669" t="str">
            <v>2H06(e)</v>
          </cell>
          <cell r="BF669" t="str">
            <v>FY06(e)</v>
          </cell>
          <cell r="BG669" t="str">
            <v>1H07(e)</v>
          </cell>
          <cell r="BH669" t="str">
            <v>2H07(e)</v>
          </cell>
          <cell r="BI669" t="str">
            <v>FY07(e)</v>
          </cell>
          <cell r="BJ669" t="str">
            <v>1H08(e)</v>
          </cell>
          <cell r="BK669" t="str">
            <v>2H08(e)</v>
          </cell>
          <cell r="BL669" t="str">
            <v>FY08(e)</v>
          </cell>
          <cell r="BM669" t="str">
            <v>1H09(e)</v>
          </cell>
          <cell r="BN669" t="str">
            <v>2H09(e)</v>
          </cell>
          <cell r="BO669" t="str">
            <v>FY09(e)</v>
          </cell>
          <cell r="BP669" t="str">
            <v>1H10(e)</v>
          </cell>
          <cell r="BQ669" t="str">
            <v>2H10(e)</v>
          </cell>
          <cell r="BR669" t="str">
            <v>FY10(e)</v>
          </cell>
        </row>
        <row r="670">
          <cell r="B670" t="e">
            <v>#REF!</v>
          </cell>
          <cell r="F670">
            <v>0</v>
          </cell>
          <cell r="I670">
            <v>0</v>
          </cell>
          <cell r="L670">
            <v>0</v>
          </cell>
          <cell r="O670">
            <v>0</v>
          </cell>
          <cell r="R670">
            <v>0</v>
          </cell>
          <cell r="U670">
            <v>0</v>
          </cell>
          <cell r="X670">
            <v>0</v>
          </cell>
          <cell r="AA670" t="e">
            <v>#REF!</v>
          </cell>
          <cell r="AB670" t="e">
            <v>#REF!</v>
          </cell>
          <cell r="AC670" t="e">
            <v>#REF!</v>
          </cell>
          <cell r="AD670" t="e">
            <v>#REF!</v>
          </cell>
          <cell r="AE670" t="e">
            <v>#REF!</v>
          </cell>
          <cell r="AF670" t="e">
            <v>#REF!</v>
          </cell>
          <cell r="AG670" t="e">
            <v>#REF!</v>
          </cell>
          <cell r="AH670" t="e">
            <v>#REF!</v>
          </cell>
          <cell r="AI670" t="e">
            <v>#REF!</v>
          </cell>
          <cell r="AJ670" t="e">
            <v>#REF!</v>
          </cell>
          <cell r="AK670" t="e">
            <v>#REF!</v>
          </cell>
          <cell r="AL670" t="e">
            <v>#REF!</v>
          </cell>
          <cell r="AM670" t="e">
            <v>#REF!</v>
          </cell>
          <cell r="AN670" t="e">
            <v>#REF!</v>
          </cell>
          <cell r="AO670" t="e">
            <v>#REF!</v>
          </cell>
          <cell r="AP670" t="e">
            <v>#REF!</v>
          </cell>
          <cell r="AQ670" t="e">
            <v>#REF!</v>
          </cell>
          <cell r="AR670" t="e">
            <v>#REF!</v>
          </cell>
          <cell r="AS670" t="e">
            <v>#REF!</v>
          </cell>
          <cell r="AT670" t="e">
            <v>#REF!</v>
          </cell>
          <cell r="AU670" t="e">
            <v>#REF!</v>
          </cell>
          <cell r="AV670" t="e">
            <v>#REF!</v>
          </cell>
          <cell r="AW670" t="e">
            <v>#REF!</v>
          </cell>
          <cell r="AX670" t="e">
            <v>#REF!</v>
          </cell>
          <cell r="AY670" t="e">
            <v>#REF!</v>
          </cell>
          <cell r="AZ670" t="e">
            <v>#REF!</v>
          </cell>
          <cell r="BA670" t="e">
            <v>#REF!</v>
          </cell>
          <cell r="BB670" t="e">
            <v>#REF!</v>
          </cell>
          <cell r="BC670" t="e">
            <v>#REF!</v>
          </cell>
          <cell r="BD670" t="e">
            <v>#REF!</v>
          </cell>
          <cell r="BE670" t="e">
            <v>#REF!</v>
          </cell>
          <cell r="BF670" t="e">
            <v>#REF!</v>
          </cell>
          <cell r="BG670" t="e">
            <v>#REF!</v>
          </cell>
          <cell r="BH670" t="e">
            <v>#REF!</v>
          </cell>
          <cell r="BI670" t="e">
            <v>#REF!</v>
          </cell>
          <cell r="BJ670" t="e">
            <v>#REF!</v>
          </cell>
          <cell r="BK670" t="e">
            <v>#REF!</v>
          </cell>
          <cell r="BL670" t="e">
            <v>#REF!</v>
          </cell>
          <cell r="BM670" t="e">
            <v>#REF!</v>
          </cell>
          <cell r="BN670" t="e">
            <v>#REF!</v>
          </cell>
          <cell r="BO670" t="e">
            <v>#REF!</v>
          </cell>
          <cell r="BP670" t="e">
            <v>#REF!</v>
          </cell>
          <cell r="BQ670" t="e">
            <v>#REF!</v>
          </cell>
          <cell r="BR670" t="e">
            <v>#REF!</v>
          </cell>
        </row>
        <row r="671">
          <cell r="B671" t="e">
            <v>#REF!</v>
          </cell>
          <cell r="F671">
            <v>0</v>
          </cell>
          <cell r="I671">
            <v>0</v>
          </cell>
          <cell r="L671">
            <v>0</v>
          </cell>
          <cell r="O671">
            <v>0</v>
          </cell>
          <cell r="R671">
            <v>0</v>
          </cell>
          <cell r="U671">
            <v>0</v>
          </cell>
          <cell r="X671">
            <v>0</v>
          </cell>
          <cell r="AA671" t="e">
            <v>#REF!</v>
          </cell>
          <cell r="AB671" t="e">
            <v>#REF!</v>
          </cell>
          <cell r="AC671" t="e">
            <v>#REF!</v>
          </cell>
          <cell r="AD671" t="e">
            <v>#REF!</v>
          </cell>
          <cell r="AE671" t="e">
            <v>#REF!</v>
          </cell>
          <cell r="AF671" t="e">
            <v>#REF!</v>
          </cell>
          <cell r="AG671" t="e">
            <v>#REF!</v>
          </cell>
          <cell r="AH671" t="e">
            <v>#REF!</v>
          </cell>
          <cell r="AI671" t="e">
            <v>#REF!</v>
          </cell>
          <cell r="AJ671" t="e">
            <v>#REF!</v>
          </cell>
          <cell r="AK671" t="e">
            <v>#REF!</v>
          </cell>
          <cell r="AL671" t="e">
            <v>#REF!</v>
          </cell>
          <cell r="AM671" t="e">
            <v>#REF!</v>
          </cell>
          <cell r="AN671" t="e">
            <v>#REF!</v>
          </cell>
          <cell r="AO671" t="e">
            <v>#REF!</v>
          </cell>
          <cell r="AP671" t="e">
            <v>#REF!</v>
          </cell>
          <cell r="AQ671" t="e">
            <v>#REF!</v>
          </cell>
          <cell r="AR671" t="e">
            <v>#REF!</v>
          </cell>
          <cell r="AS671" t="e">
            <v>#REF!</v>
          </cell>
          <cell r="AT671" t="e">
            <v>#REF!</v>
          </cell>
          <cell r="AU671" t="e">
            <v>#REF!</v>
          </cell>
          <cell r="AV671" t="e">
            <v>#REF!</v>
          </cell>
          <cell r="AW671" t="e">
            <v>#REF!</v>
          </cell>
          <cell r="AX671" t="e">
            <v>#REF!</v>
          </cell>
          <cell r="AY671" t="e">
            <v>#REF!</v>
          </cell>
          <cell r="AZ671" t="e">
            <v>#REF!</v>
          </cell>
          <cell r="BA671" t="e">
            <v>#REF!</v>
          </cell>
          <cell r="BB671" t="e">
            <v>#REF!</v>
          </cell>
          <cell r="BC671" t="e">
            <v>#REF!</v>
          </cell>
          <cell r="BD671" t="e">
            <v>#REF!</v>
          </cell>
          <cell r="BE671" t="e">
            <v>#REF!</v>
          </cell>
          <cell r="BF671" t="e">
            <v>#REF!</v>
          </cell>
          <cell r="BG671" t="e">
            <v>#REF!</v>
          </cell>
          <cell r="BH671" t="e">
            <v>#REF!</v>
          </cell>
          <cell r="BI671" t="e">
            <v>#REF!</v>
          </cell>
          <cell r="BJ671" t="e">
            <v>#REF!</v>
          </cell>
          <cell r="BK671" t="e">
            <v>#REF!</v>
          </cell>
          <cell r="BL671" t="e">
            <v>#REF!</v>
          </cell>
          <cell r="BM671" t="e">
            <v>#REF!</v>
          </cell>
          <cell r="BN671" t="e">
            <v>#REF!</v>
          </cell>
          <cell r="BO671" t="e">
            <v>#REF!</v>
          </cell>
          <cell r="BP671" t="e">
            <v>#REF!</v>
          </cell>
          <cell r="BQ671" t="e">
            <v>#REF!</v>
          </cell>
          <cell r="BR671" t="e">
            <v>#REF!</v>
          </cell>
        </row>
        <row r="672">
          <cell r="B672" t="e">
            <v>#REF!</v>
          </cell>
          <cell r="F672">
            <v>0</v>
          </cell>
          <cell r="I672">
            <v>0</v>
          </cell>
          <cell r="L672">
            <v>0</v>
          </cell>
          <cell r="O672">
            <v>0</v>
          </cell>
          <cell r="R672">
            <v>0</v>
          </cell>
          <cell r="U672">
            <v>0</v>
          </cell>
          <cell r="X672">
            <v>0</v>
          </cell>
          <cell r="AA672" t="e">
            <v>#REF!</v>
          </cell>
          <cell r="AB672" t="e">
            <v>#REF!</v>
          </cell>
          <cell r="AC672" t="e">
            <v>#REF!</v>
          </cell>
          <cell r="AD672" t="e">
            <v>#REF!</v>
          </cell>
          <cell r="AE672" t="e">
            <v>#REF!</v>
          </cell>
          <cell r="AF672" t="e">
            <v>#REF!</v>
          </cell>
          <cell r="AG672" t="e">
            <v>#REF!</v>
          </cell>
          <cell r="AH672" t="e">
            <v>#REF!</v>
          </cell>
          <cell r="AI672" t="e">
            <v>#REF!</v>
          </cell>
          <cell r="AJ672" t="e">
            <v>#REF!</v>
          </cell>
          <cell r="AK672" t="e">
            <v>#REF!</v>
          </cell>
          <cell r="AL672" t="e">
            <v>#REF!</v>
          </cell>
          <cell r="AM672" t="e">
            <v>#REF!</v>
          </cell>
          <cell r="AN672" t="e">
            <v>#REF!</v>
          </cell>
          <cell r="AO672" t="e">
            <v>#REF!</v>
          </cell>
          <cell r="AP672" t="e">
            <v>#REF!</v>
          </cell>
          <cell r="AQ672" t="e">
            <v>#REF!</v>
          </cell>
          <cell r="AR672" t="e">
            <v>#REF!</v>
          </cell>
          <cell r="AS672" t="e">
            <v>#REF!</v>
          </cell>
          <cell r="AT672" t="e">
            <v>#REF!</v>
          </cell>
          <cell r="AU672" t="e">
            <v>#REF!</v>
          </cell>
          <cell r="AV672" t="e">
            <v>#REF!</v>
          </cell>
          <cell r="AW672" t="e">
            <v>#REF!</v>
          </cell>
          <cell r="AX672" t="e">
            <v>#REF!</v>
          </cell>
          <cell r="AY672" t="e">
            <v>#REF!</v>
          </cell>
          <cell r="AZ672" t="e">
            <v>#REF!</v>
          </cell>
          <cell r="BA672" t="e">
            <v>#REF!</v>
          </cell>
          <cell r="BB672" t="e">
            <v>#REF!</v>
          </cell>
          <cell r="BC672" t="e">
            <v>#REF!</v>
          </cell>
          <cell r="BD672" t="e">
            <v>#REF!</v>
          </cell>
          <cell r="BE672" t="e">
            <v>#REF!</v>
          </cell>
          <cell r="BF672" t="e">
            <v>#REF!</v>
          </cell>
          <cell r="BG672" t="e">
            <v>#REF!</v>
          </cell>
          <cell r="BH672" t="e">
            <v>#REF!</v>
          </cell>
          <cell r="BI672" t="e">
            <v>#REF!</v>
          </cell>
          <cell r="BJ672" t="e">
            <v>#REF!</v>
          </cell>
          <cell r="BK672" t="e">
            <v>#REF!</v>
          </cell>
          <cell r="BL672" t="e">
            <v>#REF!</v>
          </cell>
          <cell r="BM672" t="e">
            <v>#REF!</v>
          </cell>
          <cell r="BN672" t="e">
            <v>#REF!</v>
          </cell>
          <cell r="BO672" t="e">
            <v>#REF!</v>
          </cell>
          <cell r="BP672" t="e">
            <v>#REF!</v>
          </cell>
          <cell r="BQ672" t="e">
            <v>#REF!</v>
          </cell>
          <cell r="BR672" t="e">
            <v>#REF!</v>
          </cell>
        </row>
        <row r="673">
          <cell r="B673" t="e">
            <v>#REF!</v>
          </cell>
          <cell r="F673">
            <v>0</v>
          </cell>
          <cell r="I673">
            <v>0</v>
          </cell>
          <cell r="L673">
            <v>0</v>
          </cell>
          <cell r="O673">
            <v>0</v>
          </cell>
          <cell r="R673">
            <v>0</v>
          </cell>
          <cell r="U673">
            <v>0</v>
          </cell>
          <cell r="X673">
            <v>0</v>
          </cell>
          <cell r="AA673" t="e">
            <v>#REF!</v>
          </cell>
          <cell r="AB673" t="e">
            <v>#REF!</v>
          </cell>
          <cell r="AC673" t="e">
            <v>#REF!</v>
          </cell>
          <cell r="AD673" t="e">
            <v>#REF!</v>
          </cell>
          <cell r="AE673" t="e">
            <v>#REF!</v>
          </cell>
          <cell r="AF673" t="e">
            <v>#REF!</v>
          </cell>
          <cell r="AG673" t="e">
            <v>#REF!</v>
          </cell>
          <cell r="AH673" t="e">
            <v>#REF!</v>
          </cell>
          <cell r="AI673" t="e">
            <v>#REF!</v>
          </cell>
          <cell r="AJ673" t="e">
            <v>#REF!</v>
          </cell>
          <cell r="AK673" t="e">
            <v>#REF!</v>
          </cell>
          <cell r="AL673" t="e">
            <v>#REF!</v>
          </cell>
          <cell r="AM673" t="e">
            <v>#REF!</v>
          </cell>
          <cell r="AN673" t="e">
            <v>#REF!</v>
          </cell>
          <cell r="AO673" t="e">
            <v>#REF!</v>
          </cell>
          <cell r="AP673" t="e">
            <v>#REF!</v>
          </cell>
          <cell r="AQ673" t="e">
            <v>#REF!</v>
          </cell>
          <cell r="AR673" t="e">
            <v>#REF!</v>
          </cell>
          <cell r="AS673" t="e">
            <v>#REF!</v>
          </cell>
          <cell r="AT673" t="e">
            <v>#REF!</v>
          </cell>
          <cell r="AU673" t="e">
            <v>#REF!</v>
          </cell>
          <cell r="AV673" t="e">
            <v>#REF!</v>
          </cell>
          <cell r="AW673" t="e">
            <v>#REF!</v>
          </cell>
          <cell r="AX673" t="e">
            <v>#REF!</v>
          </cell>
          <cell r="AY673" t="e">
            <v>#REF!</v>
          </cell>
          <cell r="AZ673" t="e">
            <v>#REF!</v>
          </cell>
          <cell r="BA673" t="e">
            <v>#REF!</v>
          </cell>
          <cell r="BB673" t="e">
            <v>#REF!</v>
          </cell>
          <cell r="BC673" t="e">
            <v>#REF!</v>
          </cell>
          <cell r="BD673" t="e">
            <v>#REF!</v>
          </cell>
          <cell r="BE673" t="e">
            <v>#REF!</v>
          </cell>
          <cell r="BF673" t="e">
            <v>#REF!</v>
          </cell>
          <cell r="BG673" t="e">
            <v>#REF!</v>
          </cell>
          <cell r="BH673" t="e">
            <v>#REF!</v>
          </cell>
          <cell r="BI673" t="e">
            <v>#REF!</v>
          </cell>
          <cell r="BJ673" t="e">
            <v>#REF!</v>
          </cell>
          <cell r="BK673" t="e">
            <v>#REF!</v>
          </cell>
          <cell r="BL673" t="e">
            <v>#REF!</v>
          </cell>
          <cell r="BM673" t="e">
            <v>#REF!</v>
          </cell>
          <cell r="BN673" t="e">
            <v>#REF!</v>
          </cell>
          <cell r="BO673" t="e">
            <v>#REF!</v>
          </cell>
          <cell r="BP673" t="e">
            <v>#REF!</v>
          </cell>
          <cell r="BQ673" t="e">
            <v>#REF!</v>
          </cell>
          <cell r="BR673" t="e">
            <v>#REF!</v>
          </cell>
        </row>
        <row r="674">
          <cell r="B674" t="e">
            <v>#REF!</v>
          </cell>
          <cell r="F674">
            <v>0</v>
          </cell>
          <cell r="I674">
            <v>0</v>
          </cell>
          <cell r="L674">
            <v>0</v>
          </cell>
          <cell r="O674">
            <v>0</v>
          </cell>
          <cell r="R674">
            <v>0</v>
          </cell>
          <cell r="U674">
            <v>0</v>
          </cell>
          <cell r="X674">
            <v>0</v>
          </cell>
          <cell r="AA674" t="e">
            <v>#REF!</v>
          </cell>
          <cell r="AB674" t="e">
            <v>#REF!</v>
          </cell>
          <cell r="AC674" t="e">
            <v>#REF!</v>
          </cell>
          <cell r="AD674" t="e">
            <v>#REF!</v>
          </cell>
          <cell r="AE674" t="e">
            <v>#REF!</v>
          </cell>
          <cell r="AF674" t="e">
            <v>#REF!</v>
          </cell>
          <cell r="AG674" t="e">
            <v>#REF!</v>
          </cell>
          <cell r="AH674" t="e">
            <v>#REF!</v>
          </cell>
          <cell r="AI674" t="e">
            <v>#REF!</v>
          </cell>
          <cell r="AJ674" t="e">
            <v>#REF!</v>
          </cell>
          <cell r="AK674" t="e">
            <v>#REF!</v>
          </cell>
          <cell r="AL674" t="e">
            <v>#REF!</v>
          </cell>
          <cell r="AM674" t="e">
            <v>#REF!</v>
          </cell>
          <cell r="AN674" t="e">
            <v>#REF!</v>
          </cell>
          <cell r="AO674" t="e">
            <v>#REF!</v>
          </cell>
          <cell r="AP674" t="e">
            <v>#REF!</v>
          </cell>
          <cell r="AQ674" t="e">
            <v>#REF!</v>
          </cell>
          <cell r="AR674" t="e">
            <v>#REF!</v>
          </cell>
          <cell r="AS674" t="e">
            <v>#REF!</v>
          </cell>
          <cell r="AT674" t="e">
            <v>#REF!</v>
          </cell>
          <cell r="AU674" t="e">
            <v>#REF!</v>
          </cell>
          <cell r="AV674" t="e">
            <v>#REF!</v>
          </cell>
          <cell r="AW674" t="e">
            <v>#REF!</v>
          </cell>
          <cell r="AX674" t="e">
            <v>#REF!</v>
          </cell>
          <cell r="AY674" t="e">
            <v>#REF!</v>
          </cell>
          <cell r="AZ674" t="e">
            <v>#REF!</v>
          </cell>
          <cell r="BA674" t="e">
            <v>#REF!</v>
          </cell>
          <cell r="BB674" t="e">
            <v>#REF!</v>
          </cell>
          <cell r="BC674" t="e">
            <v>#REF!</v>
          </cell>
          <cell r="BD674" t="e">
            <v>#REF!</v>
          </cell>
          <cell r="BE674" t="e">
            <v>#REF!</v>
          </cell>
          <cell r="BF674" t="e">
            <v>#REF!</v>
          </cell>
          <cell r="BG674" t="e">
            <v>#REF!</v>
          </cell>
          <cell r="BH674" t="e">
            <v>#REF!</v>
          </cell>
          <cell r="BI674" t="e">
            <v>#REF!</v>
          </cell>
          <cell r="BJ674" t="e">
            <v>#REF!</v>
          </cell>
          <cell r="BK674" t="e">
            <v>#REF!</v>
          </cell>
          <cell r="BL674" t="e">
            <v>#REF!</v>
          </cell>
          <cell r="BM674" t="e">
            <v>#REF!</v>
          </cell>
          <cell r="BN674" t="e">
            <v>#REF!</v>
          </cell>
          <cell r="BO674" t="e">
            <v>#REF!</v>
          </cell>
          <cell r="BP674" t="e">
            <v>#REF!</v>
          </cell>
          <cell r="BQ674" t="e">
            <v>#REF!</v>
          </cell>
          <cell r="BR674" t="e">
            <v>#REF!</v>
          </cell>
        </row>
        <row r="675">
          <cell r="B675" t="str">
            <v>BusSeg6</v>
          </cell>
          <cell r="F675">
            <v>0</v>
          </cell>
          <cell r="I675">
            <v>0</v>
          </cell>
          <cell r="L675">
            <v>0</v>
          </cell>
          <cell r="O675">
            <v>0</v>
          </cell>
          <cell r="R675">
            <v>0</v>
          </cell>
          <cell r="U675">
            <v>0</v>
          </cell>
          <cell r="X675">
            <v>0</v>
          </cell>
          <cell r="AA675">
            <v>0</v>
          </cell>
          <cell r="AD675">
            <v>0</v>
          </cell>
          <cell r="AG675">
            <v>0</v>
          </cell>
          <cell r="AJ675">
            <v>0</v>
          </cell>
          <cell r="AM675">
            <v>0</v>
          </cell>
          <cell r="AP675">
            <v>0</v>
          </cell>
          <cell r="AS675">
            <v>0</v>
          </cell>
          <cell r="AV675">
            <v>0</v>
          </cell>
          <cell r="AY675">
            <v>0</v>
          </cell>
          <cell r="BB675">
            <v>0</v>
          </cell>
          <cell r="BE675">
            <v>0</v>
          </cell>
          <cell r="BH675">
            <v>0</v>
          </cell>
          <cell r="BK675">
            <v>0</v>
          </cell>
          <cell r="BN675">
            <v>0</v>
          </cell>
          <cell r="BQ675">
            <v>0</v>
          </cell>
        </row>
        <row r="676">
          <cell r="B676" t="str">
            <v>BusSeg7</v>
          </cell>
          <cell r="F676">
            <v>0</v>
          </cell>
          <cell r="I676">
            <v>0</v>
          </cell>
          <cell r="L676">
            <v>0</v>
          </cell>
          <cell r="O676">
            <v>0</v>
          </cell>
          <cell r="R676">
            <v>0</v>
          </cell>
          <cell r="U676">
            <v>0</v>
          </cell>
          <cell r="X676">
            <v>0</v>
          </cell>
          <cell r="AA676">
            <v>0</v>
          </cell>
          <cell r="AD676">
            <v>0</v>
          </cell>
          <cell r="AG676">
            <v>0</v>
          </cell>
          <cell r="AJ676">
            <v>0</v>
          </cell>
          <cell r="AM676">
            <v>0</v>
          </cell>
          <cell r="AP676">
            <v>0</v>
          </cell>
          <cell r="AS676">
            <v>0</v>
          </cell>
          <cell r="AV676">
            <v>0</v>
          </cell>
          <cell r="AY676">
            <v>0</v>
          </cell>
          <cell r="BB676">
            <v>0</v>
          </cell>
          <cell r="BE676">
            <v>0</v>
          </cell>
          <cell r="BH676">
            <v>0</v>
          </cell>
          <cell r="BK676">
            <v>0</v>
          </cell>
          <cell r="BN676">
            <v>0</v>
          </cell>
          <cell r="BQ676">
            <v>0</v>
          </cell>
        </row>
        <row r="677">
          <cell r="B677" t="str">
            <v>BusSeg8</v>
          </cell>
          <cell r="F677">
            <v>0</v>
          </cell>
          <cell r="I677">
            <v>0</v>
          </cell>
          <cell r="L677">
            <v>0</v>
          </cell>
          <cell r="O677">
            <v>0</v>
          </cell>
          <cell r="R677">
            <v>0</v>
          </cell>
          <cell r="U677">
            <v>0</v>
          </cell>
          <cell r="X677">
            <v>0</v>
          </cell>
          <cell r="AA677">
            <v>0</v>
          </cell>
          <cell r="AD677">
            <v>0</v>
          </cell>
          <cell r="AG677">
            <v>0</v>
          </cell>
          <cell r="AJ677">
            <v>0</v>
          </cell>
          <cell r="AM677">
            <v>0</v>
          </cell>
          <cell r="AP677">
            <v>0</v>
          </cell>
          <cell r="AS677">
            <v>0</v>
          </cell>
          <cell r="AV677">
            <v>0</v>
          </cell>
          <cell r="AY677">
            <v>0</v>
          </cell>
          <cell r="BB677">
            <v>0</v>
          </cell>
          <cell r="BE677">
            <v>0</v>
          </cell>
          <cell r="BH677">
            <v>0</v>
          </cell>
          <cell r="BK677">
            <v>0</v>
          </cell>
          <cell r="BN677">
            <v>0</v>
          </cell>
          <cell r="BQ677">
            <v>0</v>
          </cell>
        </row>
        <row r="678">
          <cell r="B678" t="str">
            <v>BusSeg9</v>
          </cell>
          <cell r="F678">
            <v>0</v>
          </cell>
          <cell r="I678">
            <v>0</v>
          </cell>
          <cell r="L678">
            <v>0</v>
          </cell>
          <cell r="O678">
            <v>0</v>
          </cell>
          <cell r="R678">
            <v>0</v>
          </cell>
          <cell r="U678">
            <v>0</v>
          </cell>
          <cell r="X678">
            <v>0</v>
          </cell>
          <cell r="AA678">
            <v>0</v>
          </cell>
          <cell r="AD678">
            <v>0</v>
          </cell>
          <cell r="AG678">
            <v>0</v>
          </cell>
          <cell r="AJ678">
            <v>0</v>
          </cell>
          <cell r="AM678">
            <v>0</v>
          </cell>
          <cell r="AP678">
            <v>0</v>
          </cell>
          <cell r="AS678">
            <v>0</v>
          </cell>
          <cell r="AV678">
            <v>0</v>
          </cell>
          <cell r="AY678">
            <v>0</v>
          </cell>
          <cell r="BB678">
            <v>0</v>
          </cell>
          <cell r="BE678">
            <v>0</v>
          </cell>
          <cell r="BH678">
            <v>0</v>
          </cell>
          <cell r="BK678">
            <v>0</v>
          </cell>
          <cell r="BN678">
            <v>0</v>
          </cell>
          <cell r="BQ678">
            <v>0</v>
          </cell>
        </row>
        <row r="679">
          <cell r="B679" t="str">
            <v>BusSeg10</v>
          </cell>
          <cell r="F679">
            <v>0</v>
          </cell>
          <cell r="I679">
            <v>0</v>
          </cell>
          <cell r="L679">
            <v>0</v>
          </cell>
          <cell r="O679">
            <v>0</v>
          </cell>
          <cell r="R679">
            <v>0</v>
          </cell>
          <cell r="U679">
            <v>0</v>
          </cell>
          <cell r="X679">
            <v>0</v>
          </cell>
          <cell r="AA679">
            <v>0</v>
          </cell>
          <cell r="AD679">
            <v>0</v>
          </cell>
          <cell r="AG679">
            <v>0</v>
          </cell>
          <cell r="AJ679">
            <v>0</v>
          </cell>
          <cell r="AM679">
            <v>0</v>
          </cell>
          <cell r="AP679">
            <v>0</v>
          </cell>
          <cell r="AS679">
            <v>0</v>
          </cell>
          <cell r="AV679">
            <v>0</v>
          </cell>
          <cell r="AY679">
            <v>0</v>
          </cell>
          <cell r="BB679">
            <v>0</v>
          </cell>
          <cell r="BE679">
            <v>0</v>
          </cell>
          <cell r="BH679">
            <v>0</v>
          </cell>
          <cell r="BK679">
            <v>0</v>
          </cell>
          <cell r="BN679">
            <v>0</v>
          </cell>
          <cell r="BQ679">
            <v>0</v>
          </cell>
        </row>
        <row r="680">
          <cell r="B680" t="str">
            <v>Intersegment eliminations (entered as a negative)</v>
          </cell>
          <cell r="F680">
            <v>0</v>
          </cell>
          <cell r="I680">
            <v>0</v>
          </cell>
          <cell r="L680">
            <v>0</v>
          </cell>
          <cell r="O680">
            <v>0</v>
          </cell>
          <cell r="R680">
            <v>0</v>
          </cell>
          <cell r="U680">
            <v>0</v>
          </cell>
          <cell r="X680">
            <v>0</v>
          </cell>
          <cell r="AA680">
            <v>0</v>
          </cell>
          <cell r="AD680">
            <v>0</v>
          </cell>
          <cell r="AG680">
            <v>0</v>
          </cell>
          <cell r="AJ680">
            <v>0</v>
          </cell>
          <cell r="AM680">
            <v>0</v>
          </cell>
          <cell r="AP680">
            <v>0</v>
          </cell>
          <cell r="AS680">
            <v>0</v>
          </cell>
          <cell r="AV680">
            <v>0</v>
          </cell>
          <cell r="AY680">
            <v>0</v>
          </cell>
          <cell r="BB680">
            <v>0</v>
          </cell>
          <cell r="BE680">
            <v>0</v>
          </cell>
          <cell r="BH680">
            <v>0</v>
          </cell>
          <cell r="BK680">
            <v>0</v>
          </cell>
          <cell r="BN680">
            <v>0</v>
          </cell>
          <cell r="BQ680">
            <v>0</v>
          </cell>
        </row>
        <row r="681">
          <cell r="B681" t="str">
            <v>Unallocated income / (expenses)</v>
          </cell>
          <cell r="F681">
            <v>0</v>
          </cell>
          <cell r="I681">
            <v>0</v>
          </cell>
          <cell r="L681">
            <v>0</v>
          </cell>
          <cell r="O681">
            <v>0</v>
          </cell>
          <cell r="R681">
            <v>0</v>
          </cell>
          <cell r="U681">
            <v>0</v>
          </cell>
          <cell r="X681">
            <v>0</v>
          </cell>
          <cell r="AA681">
            <v>0</v>
          </cell>
          <cell r="AD681">
            <v>0</v>
          </cell>
          <cell r="AG681">
            <v>0</v>
          </cell>
          <cell r="AJ681">
            <v>0</v>
          </cell>
          <cell r="AM681">
            <v>0</v>
          </cell>
          <cell r="AP681">
            <v>0</v>
          </cell>
          <cell r="AS681">
            <v>0</v>
          </cell>
          <cell r="AV681">
            <v>0</v>
          </cell>
          <cell r="AY681">
            <v>0</v>
          </cell>
          <cell r="BB681">
            <v>0</v>
          </cell>
          <cell r="BE681">
            <v>0</v>
          </cell>
          <cell r="BH681">
            <v>0</v>
          </cell>
          <cell r="BK681">
            <v>0</v>
          </cell>
          <cell r="BN681">
            <v>0</v>
          </cell>
          <cell r="BQ681">
            <v>0</v>
          </cell>
        </row>
        <row r="682"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e">
            <v>#REF!</v>
          </cell>
          <cell r="AB682" t="e">
            <v>#REF!</v>
          </cell>
          <cell r="AC682" t="e">
            <v>#REF!</v>
          </cell>
          <cell r="AD682" t="e">
            <v>#REF!</v>
          </cell>
          <cell r="AE682" t="e">
            <v>#REF!</v>
          </cell>
          <cell r="AF682" t="e">
            <v>#REF!</v>
          </cell>
          <cell r="AG682" t="e">
            <v>#REF!</v>
          </cell>
          <cell r="AH682" t="e">
            <v>#REF!</v>
          </cell>
          <cell r="AI682" t="e">
            <v>#REF!</v>
          </cell>
          <cell r="AJ682" t="e">
            <v>#REF!</v>
          </cell>
          <cell r="AK682" t="e">
            <v>#REF!</v>
          </cell>
          <cell r="AL682" t="e">
            <v>#REF!</v>
          </cell>
          <cell r="AM682" t="e">
            <v>#REF!</v>
          </cell>
          <cell r="AN682" t="e">
            <v>#REF!</v>
          </cell>
          <cell r="AO682" t="e">
            <v>#REF!</v>
          </cell>
          <cell r="AP682" t="e">
            <v>#REF!</v>
          </cell>
          <cell r="AQ682" t="e">
            <v>#REF!</v>
          </cell>
          <cell r="AR682" t="e">
            <v>#REF!</v>
          </cell>
          <cell r="AS682" t="e">
            <v>#REF!</v>
          </cell>
          <cell r="AT682" t="e">
            <v>#REF!</v>
          </cell>
          <cell r="AU682" t="e">
            <v>#REF!</v>
          </cell>
          <cell r="AV682" t="e">
            <v>#REF!</v>
          </cell>
          <cell r="AW682" t="e">
            <v>#REF!</v>
          </cell>
          <cell r="AX682" t="e">
            <v>#REF!</v>
          </cell>
          <cell r="AY682" t="e">
            <v>#REF!</v>
          </cell>
          <cell r="AZ682" t="e">
            <v>#REF!</v>
          </cell>
          <cell r="BA682" t="e">
            <v>#REF!</v>
          </cell>
          <cell r="BB682" t="e">
            <v>#REF!</v>
          </cell>
          <cell r="BC682" t="e">
            <v>#REF!</v>
          </cell>
          <cell r="BD682" t="e">
            <v>#REF!</v>
          </cell>
          <cell r="BE682" t="e">
            <v>#REF!</v>
          </cell>
          <cell r="BF682" t="e">
            <v>#REF!</v>
          </cell>
          <cell r="BG682" t="e">
            <v>#REF!</v>
          </cell>
          <cell r="BH682" t="e">
            <v>#REF!</v>
          </cell>
          <cell r="BI682" t="e">
            <v>#REF!</v>
          </cell>
          <cell r="BJ682" t="e">
            <v>#REF!</v>
          </cell>
          <cell r="BK682" t="e">
            <v>#REF!</v>
          </cell>
          <cell r="BL682" t="e">
            <v>#REF!</v>
          </cell>
          <cell r="BM682" t="e">
            <v>#REF!</v>
          </cell>
          <cell r="BN682" t="e">
            <v>#REF!</v>
          </cell>
          <cell r="BO682" t="e">
            <v>#REF!</v>
          </cell>
          <cell r="BP682" t="e">
            <v>#REF!</v>
          </cell>
          <cell r="BQ682" t="e">
            <v>#REF!</v>
          </cell>
          <cell r="BR682" t="e">
            <v>#REF!</v>
          </cell>
        </row>
      </sheetData>
      <sheetData sheetId="9" refreshError="1"/>
      <sheetData sheetId="10" refreshError="1"/>
      <sheetData sheetId="11" refreshError="1">
        <row r="1">
          <cell r="A1" t="str">
            <v>PRK</v>
          </cell>
          <cell r="B1" t="str">
            <v>AU</v>
          </cell>
          <cell r="J1">
            <v>14</v>
          </cell>
          <cell r="K1">
            <v>16</v>
          </cell>
          <cell r="L1">
            <v>17</v>
          </cell>
          <cell r="M1">
            <v>19</v>
          </cell>
          <cell r="N1">
            <v>20</v>
          </cell>
          <cell r="O1">
            <v>22</v>
          </cell>
          <cell r="P1">
            <v>23</v>
          </cell>
          <cell r="Q1">
            <v>25</v>
          </cell>
          <cell r="R1">
            <v>26</v>
          </cell>
          <cell r="S1">
            <v>28</v>
          </cell>
          <cell r="T1">
            <v>29</v>
          </cell>
          <cell r="U1">
            <v>31</v>
          </cell>
          <cell r="V1">
            <v>32</v>
          </cell>
          <cell r="W1">
            <v>34</v>
          </cell>
          <cell r="X1">
            <v>35</v>
          </cell>
        </row>
        <row r="2">
          <cell r="A2" t="str">
            <v>Year ending</v>
          </cell>
          <cell r="B2">
            <v>36799</v>
          </cell>
          <cell r="C2" t="str">
            <v>1H/95A</v>
          </cell>
          <cell r="D2" t="str">
            <v>2H/95A</v>
          </cell>
          <cell r="E2" t="str">
            <v>1H/96A</v>
          </cell>
          <cell r="F2" t="str">
            <v>2H/96A</v>
          </cell>
          <cell r="G2" t="str">
            <v>1H/97A</v>
          </cell>
          <cell r="H2" t="str">
            <v>2H/97A</v>
          </cell>
          <cell r="I2" t="str">
            <v>1H/98A</v>
          </cell>
          <cell r="J2" t="str">
            <v>2H/98A</v>
          </cell>
          <cell r="K2" t="str">
            <v>1H/99A</v>
          </cell>
          <cell r="L2" t="str">
            <v>2H/99A</v>
          </cell>
          <cell r="M2" t="str">
            <v>1H/00A</v>
          </cell>
          <cell r="N2" t="str">
            <v>2H/00A</v>
          </cell>
          <cell r="O2" t="str">
            <v>1H/01A</v>
          </cell>
          <cell r="P2" t="str">
            <v>2H/01A</v>
          </cell>
          <cell r="Q2" t="str">
            <v>1H/02A</v>
          </cell>
          <cell r="R2" t="str">
            <v>2H/02A</v>
          </cell>
          <cell r="S2" t="str">
            <v>1H/03E</v>
          </cell>
          <cell r="T2" t="str">
            <v>2H/03E</v>
          </cell>
          <cell r="U2" t="str">
            <v>1H/04E</v>
          </cell>
          <cell r="V2" t="str">
            <v>2H/04E</v>
          </cell>
          <cell r="W2" t="str">
            <v>1H/05E</v>
          </cell>
          <cell r="X2" t="str">
            <v>2H/05E</v>
          </cell>
        </row>
        <row r="3">
          <cell r="A3" t="str">
            <v>Profit &amp; Loss</v>
          </cell>
        </row>
        <row r="4">
          <cell r="A4" t="str">
            <v>Sales</v>
          </cell>
        </row>
        <row r="5">
          <cell r="A5" t="str">
            <v xml:space="preserve"> + Consolidated Sales Revenue</v>
          </cell>
          <cell r="B5" t="str">
            <v>$m</v>
          </cell>
          <cell r="C5">
            <v>0</v>
          </cell>
          <cell r="D5">
            <v>406.2</v>
          </cell>
          <cell r="E5">
            <v>0</v>
          </cell>
          <cell r="F5">
            <v>410.8</v>
          </cell>
          <cell r="G5">
            <v>260.44799999999998</v>
          </cell>
          <cell r="H5">
            <v>218.65200000000004</v>
          </cell>
          <cell r="I5">
            <v>185.16299999999998</v>
          </cell>
          <cell r="J5">
            <v>171.93600000000001</v>
          </cell>
          <cell r="K5">
            <v>197.26299999999998</v>
          </cell>
          <cell r="L5">
            <v>218.91407020000008</v>
          </cell>
          <cell r="M5">
            <v>357.96327498960011</v>
          </cell>
          <cell r="N5">
            <v>326.06008853039987</v>
          </cell>
          <cell r="O5">
            <v>354.50900000000001</v>
          </cell>
          <cell r="P5">
            <v>346.447</v>
          </cell>
          <cell r="Q5">
            <v>407.32</v>
          </cell>
          <cell r="R5">
            <v>467.83499999999998</v>
          </cell>
          <cell r="S5">
            <v>558.34400000000005</v>
          </cell>
          <cell r="T5">
            <v>574.15599999999995</v>
          </cell>
          <cell r="U5">
            <v>565.91665559420255</v>
          </cell>
          <cell r="V5">
            <v>587.22743068655461</v>
          </cell>
          <cell r="W5">
            <v>595.6115921536574</v>
          </cell>
          <cell r="X5">
            <v>617.91994373625573</v>
          </cell>
        </row>
        <row r="6">
          <cell r="A6" t="str">
            <v>+ Share of Associates Net Profit Attributable to Member</v>
          </cell>
          <cell r="B6" t="str">
            <v>$m</v>
          </cell>
          <cell r="C6">
            <v>0</v>
          </cell>
          <cell r="D6">
            <v>0</v>
          </cell>
          <cell r="E6">
            <v>0</v>
          </cell>
          <cell r="F6">
            <v>8.9269999999999996</v>
          </cell>
          <cell r="G6">
            <v>65.24799999999999</v>
          </cell>
          <cell r="H6">
            <v>8.6219999999999999</v>
          </cell>
          <cell r="I6">
            <v>0</v>
          </cell>
          <cell r="J6">
            <v>11.484000000000002</v>
          </cell>
          <cell r="K6">
            <v>0</v>
          </cell>
          <cell r="L6">
            <v>26.256999999999998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 xml:space="preserve"> + Other Revenue</v>
          </cell>
          <cell r="B7" t="str">
            <v>$m</v>
          </cell>
          <cell r="C7">
            <v>0</v>
          </cell>
          <cell r="D7">
            <v>0</v>
          </cell>
          <cell r="E7">
            <v>0</v>
          </cell>
          <cell r="F7">
            <v>8.9269999999999996</v>
          </cell>
          <cell r="G7">
            <v>65.24799999999999</v>
          </cell>
          <cell r="H7">
            <v>8.6219999999999999</v>
          </cell>
          <cell r="I7">
            <v>0</v>
          </cell>
          <cell r="J7">
            <v>11.484000000000002</v>
          </cell>
          <cell r="K7">
            <v>0</v>
          </cell>
          <cell r="L7">
            <v>26.256999999999998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A8" t="str">
            <v>Total Revenue</v>
          </cell>
          <cell r="B8" t="str">
            <v>$m</v>
          </cell>
          <cell r="C8">
            <v>0</v>
          </cell>
          <cell r="D8">
            <v>406.2</v>
          </cell>
          <cell r="E8">
            <v>0</v>
          </cell>
          <cell r="F8">
            <v>428.65400000000005</v>
          </cell>
          <cell r="G8">
            <v>390.94399999999996</v>
          </cell>
          <cell r="H8">
            <v>235.89600000000007</v>
          </cell>
          <cell r="I8">
            <v>185.16299999999998</v>
          </cell>
          <cell r="J8">
            <v>194.90400000000002</v>
          </cell>
          <cell r="K8">
            <v>197.26299999999998</v>
          </cell>
          <cell r="L8">
            <v>271.42807020000009</v>
          </cell>
          <cell r="M8">
            <v>357.96327498960011</v>
          </cell>
          <cell r="N8">
            <v>326.06008853039987</v>
          </cell>
          <cell r="O8">
            <v>354.50900000000001</v>
          </cell>
          <cell r="P8">
            <v>346.447</v>
          </cell>
          <cell r="Q8">
            <v>407.32</v>
          </cell>
          <cell r="R8">
            <v>467.83499999999998</v>
          </cell>
          <cell r="S8">
            <v>558.34400000000005</v>
          </cell>
          <cell r="T8">
            <v>574.15599999999995</v>
          </cell>
          <cell r="U8">
            <v>565.91665559420255</v>
          </cell>
          <cell r="V8">
            <v>587.22743068655461</v>
          </cell>
          <cell r="W8">
            <v>595.6115921536574</v>
          </cell>
          <cell r="X8">
            <v>617.91994373625573</v>
          </cell>
        </row>
        <row r="10">
          <cell r="A10" t="str">
            <v>- Operating Lease Rentals</v>
          </cell>
          <cell r="B10" t="str">
            <v>$m</v>
          </cell>
        </row>
        <row r="11">
          <cell r="A11" t="str">
            <v xml:space="preserve"> + Profit on Asset sale</v>
          </cell>
          <cell r="B11" t="str">
            <v>$m</v>
          </cell>
        </row>
        <row r="12">
          <cell r="A12" t="str">
            <v xml:space="preserve"> + Non Associated Dividends Received</v>
          </cell>
          <cell r="B12" t="str">
            <v>$m</v>
          </cell>
        </row>
        <row r="13">
          <cell r="A13" t="str">
            <v xml:space="preserve"> + Other Non-Trading Profit</v>
          </cell>
          <cell r="B13" t="str">
            <v>$m</v>
          </cell>
        </row>
        <row r="14">
          <cell r="A14" t="str">
            <v xml:space="preserve"> - Research and Development Expensed</v>
          </cell>
          <cell r="B14" t="str">
            <v>$m</v>
          </cell>
        </row>
        <row r="15">
          <cell r="A15" t="str">
            <v>Research and Development Capitalised</v>
          </cell>
          <cell r="B15" t="str">
            <v>$m</v>
          </cell>
        </row>
        <row r="16">
          <cell r="A16" t="str">
            <v>Asset Revaluation</v>
          </cell>
          <cell r="B16" t="str">
            <v>$m</v>
          </cell>
        </row>
        <row r="17">
          <cell r="A17" t="str">
            <v>EBITDA</v>
          </cell>
          <cell r="B17" t="str">
            <v>$m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>
            <v>19.666</v>
          </cell>
          <cell r="J17">
            <v>15.595000000000002</v>
          </cell>
          <cell r="K17">
            <v>49.763999999999996</v>
          </cell>
          <cell r="L17">
            <v>45.849000000000004</v>
          </cell>
          <cell r="M17">
            <v>65.36699999999999</v>
          </cell>
          <cell r="N17">
            <v>78.432000000000002</v>
          </cell>
          <cell r="O17">
            <v>74.521000000000001</v>
          </cell>
          <cell r="P17">
            <v>66.615000000000009</v>
          </cell>
          <cell r="Q17">
            <v>81.013999999999996</v>
          </cell>
          <cell r="R17">
            <v>82.8</v>
          </cell>
          <cell r="S17">
            <v>100.99600000000001</v>
          </cell>
          <cell r="T17">
            <v>97.291353178046592</v>
          </cell>
          <cell r="U17">
            <v>106.31333142642656</v>
          </cell>
          <cell r="V17">
            <v>110.81650877985204</v>
          </cell>
          <cell r="W17">
            <v>117.68883459656162</v>
          </cell>
          <cell r="X17">
            <v>123.40482706512896</v>
          </cell>
        </row>
        <row r="18">
          <cell r="A18" t="str">
            <v xml:space="preserve"> - Depreciation</v>
          </cell>
          <cell r="B18" t="str">
            <v>$m</v>
          </cell>
          <cell r="C18">
            <v>0</v>
          </cell>
          <cell r="D18">
            <v>0</v>
          </cell>
          <cell r="E18">
            <v>0</v>
          </cell>
          <cell r="F18">
            <v>0.4</v>
          </cell>
          <cell r="G18">
            <v>15.776999999999999</v>
          </cell>
          <cell r="H18">
            <v>8.3400000000000016</v>
          </cell>
          <cell r="I18">
            <v>13.782</v>
          </cell>
          <cell r="J18">
            <v>10.335000000000001</v>
          </cell>
          <cell r="K18">
            <v>16.702999999999999</v>
          </cell>
          <cell r="L18">
            <v>14.941000000000006</v>
          </cell>
          <cell r="M18">
            <v>20.265999999999998</v>
          </cell>
          <cell r="N18">
            <v>18.573</v>
          </cell>
          <cell r="O18">
            <v>21.045000000000002</v>
          </cell>
          <cell r="P18">
            <v>22.806999999999995</v>
          </cell>
          <cell r="Q18">
            <v>27.116</v>
          </cell>
          <cell r="R18">
            <v>30.317</v>
          </cell>
          <cell r="S18">
            <v>33.423999999999999</v>
          </cell>
          <cell r="T18">
            <v>33.839999999999996</v>
          </cell>
          <cell r="U18">
            <v>33.344042611369083</v>
          </cell>
          <cell r="V18">
            <v>35.584778322182082</v>
          </cell>
          <cell r="W18">
            <v>34.250094537618267</v>
          </cell>
          <cell r="X18">
            <v>37.430761463041534</v>
          </cell>
        </row>
        <row r="19">
          <cell r="A19" t="str">
            <v xml:space="preserve"> - Amortisation of Goodwill</v>
          </cell>
          <cell r="B19" t="str">
            <v>$m</v>
          </cell>
          <cell r="C19">
            <v>0</v>
          </cell>
          <cell r="D19">
            <v>0</v>
          </cell>
          <cell r="E19">
            <v>0</v>
          </cell>
          <cell r="F19">
            <v>0.17100000000000001</v>
          </cell>
          <cell r="G19">
            <v>0.28199999999999997</v>
          </cell>
          <cell r="H19">
            <v>0.27700000000000008</v>
          </cell>
          <cell r="I19">
            <v>0.28000000000000003</v>
          </cell>
          <cell r="J19">
            <v>0.27900000000000003</v>
          </cell>
          <cell r="K19">
            <v>0.28000000000000003</v>
          </cell>
          <cell r="L19">
            <v>0.245</v>
          </cell>
          <cell r="M19">
            <v>1.4470000000000001</v>
          </cell>
          <cell r="N19">
            <v>2.907</v>
          </cell>
          <cell r="O19">
            <v>2.734</v>
          </cell>
          <cell r="P19">
            <v>3.5549999999999997</v>
          </cell>
          <cell r="Q19">
            <v>3.8119999999999998</v>
          </cell>
          <cell r="R19">
            <v>4.375</v>
          </cell>
          <cell r="S19">
            <v>5.1420000000000003</v>
          </cell>
          <cell r="T19">
            <v>5.5479999999999992</v>
          </cell>
          <cell r="U19">
            <v>4.542065</v>
          </cell>
          <cell r="V19">
            <v>5.7419350000000007</v>
          </cell>
          <cell r="W19">
            <v>4.542065</v>
          </cell>
          <cell r="X19">
            <v>5.7419350000000007</v>
          </cell>
        </row>
        <row r="20">
          <cell r="A20" t="str">
            <v xml:space="preserve"> - Other Amortisation - Ex Goodwill</v>
          </cell>
          <cell r="B20" t="str">
            <v>$m</v>
          </cell>
        </row>
        <row r="21">
          <cell r="A21" t="str">
            <v>EBIT</v>
          </cell>
        </row>
        <row r="22">
          <cell r="A22" t="str">
            <v xml:space="preserve"> + EBIT Consolidated</v>
          </cell>
          <cell r="B22" t="str">
            <v>$m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>
            <v>5.6039999999999992</v>
          </cell>
          <cell r="J22">
            <v>4.9810000000000016</v>
          </cell>
          <cell r="K22">
            <v>32.780999999999999</v>
          </cell>
          <cell r="L22">
            <v>30.662999999999997</v>
          </cell>
          <cell r="M22">
            <v>43.653999999999996</v>
          </cell>
          <cell r="N22">
            <v>56.952000000000012</v>
          </cell>
          <cell r="O22">
            <v>50.741999999999997</v>
          </cell>
          <cell r="P22">
            <v>40.253000000000021</v>
          </cell>
          <cell r="Q22">
            <v>57.416000000000004</v>
          </cell>
          <cell r="R22">
            <v>48.107999999999997</v>
          </cell>
          <cell r="S22">
            <v>62.430000000000007</v>
          </cell>
          <cell r="T22">
            <v>57.903353178046586</v>
          </cell>
          <cell r="U22">
            <v>68.427223815057488</v>
          </cell>
          <cell r="V22">
            <v>69.48979545766997</v>
          </cell>
          <cell r="W22">
            <v>78.896675058943359</v>
          </cell>
          <cell r="X22">
            <v>80.232130602087423</v>
          </cell>
        </row>
        <row r="23">
          <cell r="A23" t="str">
            <v xml:space="preserve"> + EBIT Non Recurring</v>
          </cell>
          <cell r="B23" t="str">
            <v>$m</v>
          </cell>
          <cell r="Q23">
            <v>-7.33</v>
          </cell>
        </row>
        <row r="24">
          <cell r="A24" t="str">
            <v xml:space="preserve"> + Share of Associates Net Profits</v>
          </cell>
          <cell r="B24" t="str">
            <v>$m</v>
          </cell>
          <cell r="N24">
            <v>1.532</v>
          </cell>
          <cell r="O24">
            <v>1.0609999999999999</v>
          </cell>
          <cell r="P24">
            <v>2.1579999999999999</v>
          </cell>
          <cell r="Q24">
            <v>5.298</v>
          </cell>
          <cell r="R24">
            <v>36.22</v>
          </cell>
          <cell r="S24">
            <v>41.356999999999999</v>
          </cell>
          <cell r="T24">
            <v>42.412999999999997</v>
          </cell>
          <cell r="U24">
            <v>59.5570718847313</v>
          </cell>
          <cell r="V24">
            <v>73.696652476325028</v>
          </cell>
          <cell r="W24">
            <v>72.138797054953756</v>
          </cell>
          <cell r="X24">
            <v>75.118886718165044</v>
          </cell>
        </row>
        <row r="25">
          <cell r="A25" t="str">
            <v>Total EBIT</v>
          </cell>
          <cell r="B25" t="str">
            <v>$m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>
            <v>5.6039999999999992</v>
          </cell>
          <cell r="J25">
            <v>4.9810000000000016</v>
          </cell>
          <cell r="K25">
            <v>32.780999999999999</v>
          </cell>
          <cell r="L25">
            <v>30.662999999999997</v>
          </cell>
          <cell r="M25">
            <v>43.653999999999996</v>
          </cell>
          <cell r="N25">
            <v>58.484000000000009</v>
          </cell>
          <cell r="O25">
            <v>51.802999999999997</v>
          </cell>
          <cell r="P25">
            <v>42.411000000000023</v>
          </cell>
          <cell r="Q25">
            <v>55.384000000000007</v>
          </cell>
          <cell r="R25">
            <v>84.328000000000003</v>
          </cell>
          <cell r="S25">
            <v>103.78700000000001</v>
          </cell>
          <cell r="T25">
            <v>100.31635317804658</v>
          </cell>
          <cell r="U25">
            <v>127.98429569978879</v>
          </cell>
          <cell r="V25">
            <v>143.186447933995</v>
          </cell>
          <cell r="W25">
            <v>151.03547211389713</v>
          </cell>
          <cell r="X25">
            <v>155.35101732025248</v>
          </cell>
        </row>
        <row r="26">
          <cell r="A26" t="str">
            <v xml:space="preserve"> - Gross Interest Expense</v>
          </cell>
          <cell r="B26" t="str">
            <v>$m</v>
          </cell>
          <cell r="C26">
            <v>0</v>
          </cell>
          <cell r="D26">
            <v>0</v>
          </cell>
          <cell r="E26">
            <v>0</v>
          </cell>
          <cell r="F26">
            <v>1.7999999999999999E-2</v>
          </cell>
          <cell r="G26">
            <v>7.9710000000000001</v>
          </cell>
          <cell r="H26">
            <v>10.155000000000001</v>
          </cell>
          <cell r="I26">
            <v>8.3059999999999992</v>
          </cell>
          <cell r="J26">
            <v>9.8200000000000021</v>
          </cell>
          <cell r="K26">
            <v>9.7140000000000004</v>
          </cell>
          <cell r="L26">
            <v>7.8430000000000017</v>
          </cell>
          <cell r="M26">
            <v>10.519</v>
          </cell>
          <cell r="N26">
            <v>7.7060000000000013</v>
          </cell>
          <cell r="O26">
            <v>5.415</v>
          </cell>
          <cell r="P26">
            <v>3.0290000000000008</v>
          </cell>
          <cell r="Q26">
            <v>4.6020000000000003</v>
          </cell>
          <cell r="R26">
            <v>8.6180000000000003</v>
          </cell>
          <cell r="S26">
            <v>10.606999999999999</v>
          </cell>
          <cell r="T26">
            <v>12.498000000000001</v>
          </cell>
          <cell r="U26">
            <v>14.503132223701888</v>
          </cell>
          <cell r="V26">
            <v>9.5113422829176475</v>
          </cell>
          <cell r="W26">
            <v>9.8718535415778863</v>
          </cell>
          <cell r="X26">
            <v>10.329329323074829</v>
          </cell>
        </row>
        <row r="27">
          <cell r="A27" t="str">
            <v xml:space="preserve"> + Gross Interest Income</v>
          </cell>
          <cell r="B27" t="str">
            <v>$m</v>
          </cell>
          <cell r="C27">
            <v>0</v>
          </cell>
          <cell r="D27">
            <v>0</v>
          </cell>
          <cell r="E27">
            <v>0</v>
          </cell>
          <cell r="F27">
            <v>2.2719999999999998</v>
          </cell>
          <cell r="G27">
            <v>1.714</v>
          </cell>
          <cell r="H27">
            <v>1.0000000000001119E-3</v>
          </cell>
          <cell r="I27">
            <v>1.085</v>
          </cell>
          <cell r="J27">
            <v>0.63000000000000012</v>
          </cell>
          <cell r="K27">
            <v>0.55000000000000004</v>
          </cell>
          <cell r="L27">
            <v>0.72399999999999998</v>
          </cell>
          <cell r="M27">
            <v>1.39</v>
          </cell>
          <cell r="N27">
            <v>1.5280000000000002</v>
          </cell>
          <cell r="O27">
            <v>1.413</v>
          </cell>
          <cell r="P27">
            <v>8.347999999999999</v>
          </cell>
          <cell r="Q27">
            <v>4.8920000000000003</v>
          </cell>
          <cell r="R27">
            <v>1.7649999999999997</v>
          </cell>
          <cell r="S27">
            <v>1.3240000000000001</v>
          </cell>
          <cell r="T27">
            <v>1.0940000000000001</v>
          </cell>
          <cell r="U27">
            <v>0.78420000000000001</v>
          </cell>
          <cell r="V27">
            <v>0.78420000000000001</v>
          </cell>
          <cell r="W27">
            <v>0.78420000000000001</v>
          </cell>
          <cell r="X27">
            <v>0.78420000000000001</v>
          </cell>
        </row>
        <row r="28">
          <cell r="A28" t="str">
            <v>Pretax Profit</v>
          </cell>
          <cell r="B28" t="str">
            <v>$m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>
            <v>-1.617</v>
          </cell>
          <cell r="J28">
            <v>-4.2090000000000005</v>
          </cell>
          <cell r="K28">
            <v>23.617000000000001</v>
          </cell>
          <cell r="L28">
            <v>23.543999999999993</v>
          </cell>
          <cell r="M28">
            <v>34.524999999999999</v>
          </cell>
          <cell r="N28">
            <v>52.306000000000004</v>
          </cell>
          <cell r="O28">
            <v>47.800999999999995</v>
          </cell>
          <cell r="P28">
            <v>47.730000000000018</v>
          </cell>
          <cell r="Q28">
            <v>55.674000000000014</v>
          </cell>
          <cell r="R28">
            <v>77.475000000000009</v>
          </cell>
          <cell r="S28">
            <v>94.504000000000005</v>
          </cell>
          <cell r="T28">
            <v>88.912353178046573</v>
          </cell>
          <cell r="U28">
            <v>114.2653634760869</v>
          </cell>
          <cell r="V28">
            <v>134.45930565107736</v>
          </cell>
          <cell r="W28">
            <v>141.94781857231925</v>
          </cell>
          <cell r="X28">
            <v>145.80588799717765</v>
          </cell>
        </row>
        <row r="29">
          <cell r="A29" t="str">
            <v>Tax Consolidated</v>
          </cell>
          <cell r="B29" t="str">
            <v>$m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0.68899999999999995</v>
          </cell>
          <cell r="H29">
            <v>-2.2509999999999994</v>
          </cell>
          <cell r="I29">
            <v>-0.5259999999999998</v>
          </cell>
          <cell r="J29">
            <v>-0.65500000000000025</v>
          </cell>
          <cell r="K29">
            <v>5.4160000000000004</v>
          </cell>
          <cell r="L29">
            <v>6.202</v>
          </cell>
          <cell r="M29">
            <v>8.7720000000000002</v>
          </cell>
          <cell r="N29">
            <v>12.145999999999999</v>
          </cell>
          <cell r="O29">
            <v>12.391</v>
          </cell>
          <cell r="P29">
            <v>13.334999999999999</v>
          </cell>
          <cell r="Q29">
            <v>16.739999999999998</v>
          </cell>
          <cell r="R29">
            <v>13.974</v>
          </cell>
          <cell r="S29">
            <v>18.12</v>
          </cell>
          <cell r="T29">
            <v>15.468</v>
          </cell>
          <cell r="U29">
            <v>17.912487477406682</v>
          </cell>
          <cell r="V29">
            <v>19.728795952425696</v>
          </cell>
          <cell r="W29">
            <v>22.442706455209638</v>
          </cell>
          <cell r="X29">
            <v>22.706100383703784</v>
          </cell>
        </row>
        <row r="30">
          <cell r="A30" t="str">
            <v>Tax Non Recurring</v>
          </cell>
          <cell r="B30" t="str">
            <v>$m</v>
          </cell>
        </row>
        <row r="31">
          <cell r="A31" t="str">
            <v>Total Tax Expense</v>
          </cell>
          <cell r="B31" t="str">
            <v>$m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0.68899999999999995</v>
          </cell>
          <cell r="H31">
            <v>-2.2509999999999994</v>
          </cell>
          <cell r="I31">
            <v>-0.5259999999999998</v>
          </cell>
          <cell r="J31">
            <v>-0.65500000000000025</v>
          </cell>
          <cell r="K31">
            <v>5.4160000000000004</v>
          </cell>
          <cell r="L31">
            <v>6.202</v>
          </cell>
          <cell r="M31">
            <v>8.7720000000000002</v>
          </cell>
          <cell r="N31">
            <v>12.145999999999999</v>
          </cell>
          <cell r="O31">
            <v>12.391</v>
          </cell>
          <cell r="P31">
            <v>13.334999999999999</v>
          </cell>
          <cell r="Q31">
            <v>16.739999999999998</v>
          </cell>
          <cell r="R31">
            <v>13.974</v>
          </cell>
          <cell r="S31">
            <v>18.12</v>
          </cell>
          <cell r="T31">
            <v>15.468</v>
          </cell>
          <cell r="U31">
            <v>17.912487477406682</v>
          </cell>
          <cell r="V31">
            <v>19.728795952425696</v>
          </cell>
          <cell r="W31">
            <v>22.442706455209638</v>
          </cell>
          <cell r="X31">
            <v>22.706100383703784</v>
          </cell>
        </row>
        <row r="32">
          <cell r="A32" t="str">
            <v>Net Profit</v>
          </cell>
          <cell r="B32" t="str">
            <v>$m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>
            <v>-1.0910000000000002</v>
          </cell>
          <cell r="J32">
            <v>-3.5540000000000003</v>
          </cell>
          <cell r="K32">
            <v>18.201000000000001</v>
          </cell>
          <cell r="L32">
            <v>17.341999999999992</v>
          </cell>
          <cell r="M32">
            <v>25.753</v>
          </cell>
          <cell r="N32">
            <v>40.160000000000004</v>
          </cell>
          <cell r="O32">
            <v>35.409999999999997</v>
          </cell>
          <cell r="P32">
            <v>34.395000000000017</v>
          </cell>
          <cell r="Q32">
            <v>38.934000000000012</v>
          </cell>
          <cell r="R32">
            <v>63.501000000000005</v>
          </cell>
          <cell r="S32">
            <v>76.384</v>
          </cell>
          <cell r="T32">
            <v>73.444353178046569</v>
          </cell>
          <cell r="U32">
            <v>96.352875998680219</v>
          </cell>
          <cell r="V32">
            <v>114.73050969865166</v>
          </cell>
          <cell r="W32">
            <v>119.5051121171096</v>
          </cell>
          <cell r="X32">
            <v>123.09978761347386</v>
          </cell>
        </row>
        <row r="33">
          <cell r="A33" t="str">
            <v xml:space="preserve"> + Net Abnormals</v>
          </cell>
          <cell r="B33" t="str">
            <v>$m</v>
          </cell>
          <cell r="C33">
            <v>0</v>
          </cell>
          <cell r="D33">
            <v>0</v>
          </cell>
          <cell r="E33">
            <v>0</v>
          </cell>
          <cell r="F33">
            <v>0.55700000000000005</v>
          </cell>
          <cell r="G33">
            <v>1.141</v>
          </cell>
          <cell r="H33">
            <v>-0.3610000000000001</v>
          </cell>
          <cell r="I33">
            <v>-24.989000000000001</v>
          </cell>
          <cell r="J33">
            <v>-33.659999999999997</v>
          </cell>
          <cell r="K33">
            <v>0</v>
          </cell>
          <cell r="L33">
            <v>0.61899999999999977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 xml:space="preserve"> + Net Extraordinaries</v>
          </cell>
          <cell r="B34" t="str">
            <v>$m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 t="str">
            <v xml:space="preserve"> - Minority Interests</v>
          </cell>
          <cell r="B35" t="str">
            <v>$m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0.183</v>
          </cell>
          <cell r="I35">
            <v>2.1999999999999999E-2</v>
          </cell>
          <cell r="J35">
            <v>5.3999999999999999E-2</v>
          </cell>
          <cell r="K35">
            <v>4.7E-2</v>
          </cell>
          <cell r="L35">
            <v>0.12499999999999999</v>
          </cell>
          <cell r="M35">
            <v>0.10100000000000001</v>
          </cell>
          <cell r="N35">
            <v>-1.0000000000000009E-3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0.52100000000000002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 t="str">
            <v xml:space="preserve"> - Preference Dividends - Debt</v>
          </cell>
          <cell r="B36" t="str">
            <v>$m</v>
          </cell>
        </row>
        <row r="37">
          <cell r="A37" t="str">
            <v xml:space="preserve"> - Preference Dividends - Equity</v>
          </cell>
          <cell r="B37" t="str">
            <v>$m</v>
          </cell>
        </row>
        <row r="38">
          <cell r="A38" t="str">
            <v>Total Preference Dividends</v>
          </cell>
          <cell r="B38" t="str">
            <v>$m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40">
          <cell r="A40" t="str">
            <v>Reported Profit</v>
          </cell>
          <cell r="B40" t="str">
            <v>$m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>
            <v>-24.776</v>
          </cell>
          <cell r="J40">
            <v>-37.864000000000004</v>
          </cell>
          <cell r="K40">
            <v>18.338999999999999</v>
          </cell>
          <cell r="L40">
            <v>17.650999999999996</v>
          </cell>
          <cell r="M40">
            <v>24.542000000000002</v>
          </cell>
          <cell r="N40">
            <v>34.753</v>
          </cell>
          <cell r="O40">
            <v>35.409999999999997</v>
          </cell>
          <cell r="P40">
            <v>34.395000000000017</v>
          </cell>
          <cell r="Q40">
            <v>38.934000000000012</v>
          </cell>
          <cell r="R40">
            <v>63.500999999999991</v>
          </cell>
          <cell r="S40">
            <v>76.384</v>
          </cell>
          <cell r="T40">
            <v>72.923353178046582</v>
          </cell>
          <cell r="U40">
            <v>96.352875998680219</v>
          </cell>
          <cell r="V40">
            <v>114.73050969865166</v>
          </cell>
          <cell r="W40">
            <v>119.50511211710958</v>
          </cell>
          <cell r="X40">
            <v>123.09978761347385</v>
          </cell>
        </row>
        <row r="41">
          <cell r="A41" t="str">
            <v>Cons. Adj. Profit</v>
          </cell>
          <cell r="B41" t="str">
            <v>$m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>
            <v>-0.83300000000000018</v>
          </cell>
          <cell r="J41">
            <v>-3.3290000000000002</v>
          </cell>
          <cell r="K41">
            <v>18.434000000000001</v>
          </cell>
          <cell r="L41">
            <v>17.461999999999993</v>
          </cell>
          <cell r="M41">
            <v>27.099</v>
          </cell>
          <cell r="N41">
            <v>43.067999999999998</v>
          </cell>
          <cell r="O41">
            <v>38.143999999999998</v>
          </cell>
          <cell r="P41">
            <v>37.950000000000017</v>
          </cell>
          <cell r="Q41">
            <v>50.076000000000008</v>
          </cell>
          <cell r="R41">
            <v>67.876000000000005</v>
          </cell>
          <cell r="S41">
            <v>81.525999999999996</v>
          </cell>
          <cell r="T41">
            <v>78.47135317804657</v>
          </cell>
          <cell r="U41">
            <v>100.89494099868021</v>
          </cell>
          <cell r="V41">
            <v>120.47244469865166</v>
          </cell>
          <cell r="W41">
            <v>124.0471771171096</v>
          </cell>
          <cell r="X41">
            <v>128.84172261347388</v>
          </cell>
        </row>
        <row r="42">
          <cell r="A42" t="str">
            <v>Equity Profit Contribution (before abnormals)</v>
          </cell>
          <cell r="B42" t="str">
            <v>$m</v>
          </cell>
          <cell r="C42">
            <v>0</v>
          </cell>
          <cell r="D42">
            <v>0</v>
          </cell>
          <cell r="E42">
            <v>0</v>
          </cell>
          <cell r="F42">
            <v>4.9000000000000004</v>
          </cell>
          <cell r="G42">
            <v>0</v>
          </cell>
          <cell r="H42">
            <v>0</v>
          </cell>
          <cell r="I42">
            <v>1.3260000000000001</v>
          </cell>
          <cell r="J42">
            <v>-0.59600000000000009</v>
          </cell>
          <cell r="K42">
            <v>0.18500000000000003</v>
          </cell>
          <cell r="L42">
            <v>-0.18500000000000003</v>
          </cell>
          <cell r="M42">
            <v>0</v>
          </cell>
          <cell r="N42">
            <v>1.532</v>
          </cell>
          <cell r="O42">
            <v>1.0609999999999999</v>
          </cell>
          <cell r="P42">
            <v>2.1579999999999999</v>
          </cell>
          <cell r="Q42">
            <v>5.298</v>
          </cell>
          <cell r="R42">
            <v>36.22</v>
          </cell>
          <cell r="S42">
            <v>41.356999999999999</v>
          </cell>
          <cell r="T42">
            <v>42.412999999999997</v>
          </cell>
          <cell r="U42">
            <v>59.5570718847313</v>
          </cell>
          <cell r="V42">
            <v>73.696652476325028</v>
          </cell>
          <cell r="W42">
            <v>72.138797054953756</v>
          </cell>
          <cell r="X42">
            <v>75.118886718165044</v>
          </cell>
        </row>
        <row r="43">
          <cell r="A43" t="str">
            <v>Equity Abnormals</v>
          </cell>
          <cell r="B43" t="str">
            <v>$m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 t="str">
            <v>Equity Adj. Profit</v>
          </cell>
          <cell r="B44" t="str">
            <v>$m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 t="str">
            <v>Gross Cashflow</v>
          </cell>
          <cell r="B45" t="str">
            <v>$m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>
            <v>11.645</v>
          </cell>
          <cell r="J45">
            <v>7.6560000000000006</v>
          </cell>
          <cell r="K45">
            <v>34.998999999999995</v>
          </cell>
          <cell r="L45">
            <v>32.713000000000001</v>
          </cell>
          <cell r="M45">
            <v>47.465999999999994</v>
          </cell>
          <cell r="N45">
            <v>60.108000000000004</v>
          </cell>
          <cell r="O45">
            <v>58.128</v>
          </cell>
          <cell r="P45">
            <v>58.599000000000011</v>
          </cell>
          <cell r="Q45">
            <v>64.564000000000007</v>
          </cell>
          <cell r="R45">
            <v>61.973000000000013</v>
          </cell>
          <cell r="S45">
            <v>73.592999999999989</v>
          </cell>
          <cell r="T45">
            <v>70.419353178046563</v>
          </cell>
          <cell r="U45">
            <v>74.681911725318002</v>
          </cell>
          <cell r="V45">
            <v>82.360570544508704</v>
          </cell>
          <cell r="W45">
            <v>86.158474599774109</v>
          </cell>
          <cell r="X45">
            <v>91.153597358350368</v>
          </cell>
        </row>
        <row r="47">
          <cell r="A47" t="str">
            <v>Notional Interest Adjustment</v>
          </cell>
          <cell r="B47" t="str">
            <v>$m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 t="str">
            <v>NTA Adjustment</v>
          </cell>
          <cell r="B48" t="str">
            <v>$m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50">
          <cell r="A50" t="str">
            <v>EPS (adj)</v>
          </cell>
          <cell r="B50" t="str">
            <v>¢</v>
          </cell>
          <cell r="C50">
            <v>3.1935871951562946</v>
          </cell>
          <cell r="D50">
            <v>2.4319349924720806</v>
          </cell>
          <cell r="E50">
            <v>3.6296942335317048</v>
          </cell>
          <cell r="F50">
            <v>1.8454471410868174</v>
          </cell>
          <cell r="G50">
            <v>12.809176849872481</v>
          </cell>
          <cell r="H50" t="e">
            <v>#REF!</v>
          </cell>
          <cell r="I50">
            <v>-0.73311577601959488</v>
          </cell>
          <cell r="J50">
            <v>-2.7892499132036392</v>
          </cell>
          <cell r="K50">
            <v>15.047084297237005</v>
          </cell>
          <cell r="L50">
            <v>14.011609831246275</v>
          </cell>
          <cell r="M50">
            <v>17.845269952462527</v>
          </cell>
          <cell r="N50">
            <v>25.60160778374399</v>
          </cell>
          <cell r="O50">
            <v>21.050139756379899</v>
          </cell>
          <cell r="P50">
            <v>18.210127560546432</v>
          </cell>
          <cell r="Q50">
            <v>23.551393768335082</v>
          </cell>
          <cell r="R50">
            <v>29.724160222297275</v>
          </cell>
          <cell r="S50">
            <v>35.150544544405456</v>
          </cell>
          <cell r="T50">
            <v>33.830221846919365</v>
          </cell>
          <cell r="U50">
            <v>43.480475623321588</v>
          </cell>
          <cell r="V50">
            <v>51.917362190342139</v>
          </cell>
          <cell r="W50">
            <v>53.457886068369795</v>
          </cell>
          <cell r="X50">
            <v>55.457824308911462</v>
          </cell>
        </row>
        <row r="51">
          <cell r="A51" t="str">
            <v>CFPS</v>
          </cell>
          <cell r="B51" t="str">
            <v>¢</v>
          </cell>
          <cell r="C51">
            <v>3.5768176585750493</v>
          </cell>
          <cell r="D51">
            <v>2.5599315710232431</v>
          </cell>
          <cell r="E51">
            <v>3.8862097270675147</v>
          </cell>
          <cell r="F51">
            <v>2.1021157281642604</v>
          </cell>
          <cell r="G51">
            <v>27.005263795063428</v>
          </cell>
          <cell r="H51" t="e">
            <v>#REF!</v>
          </cell>
          <cell r="I51">
            <v>10.248659317824945</v>
          </cell>
          <cell r="J51">
            <v>6.414688295430178</v>
          </cell>
          <cell r="K51">
            <v>28.568563703970806</v>
          </cell>
          <cell r="L51">
            <v>26.249100470138565</v>
          </cell>
          <cell r="M51">
            <v>31.257374204346519</v>
          </cell>
          <cell r="N51">
            <v>35.730970573634337</v>
          </cell>
          <cell r="O51">
            <v>32.078505761295375</v>
          </cell>
          <cell r="P51">
            <v>28.118452303569438</v>
          </cell>
          <cell r="Q51">
            <v>30.365288506645619</v>
          </cell>
          <cell r="R51">
            <v>27.139126958813559</v>
          </cell>
          <cell r="S51">
            <v>31.730172272114793</v>
          </cell>
          <cell r="T51">
            <v>30.358879308791668</v>
          </cell>
          <cell r="U51">
            <v>32.184022411175405</v>
          </cell>
          <cell r="V51">
            <v>35.493125269087692</v>
          </cell>
          <cell r="W51">
            <v>37.12982452338273</v>
          </cell>
          <cell r="X51">
            <v>39.235583667180762</v>
          </cell>
        </row>
        <row r="52">
          <cell r="A52" t="str">
            <v>DPS</v>
          </cell>
          <cell r="B52" t="str">
            <v>¢</v>
          </cell>
          <cell r="C52">
            <v>3</v>
          </cell>
          <cell r="D52">
            <v>3</v>
          </cell>
          <cell r="E52">
            <v>3</v>
          </cell>
          <cell r="F52">
            <v>3</v>
          </cell>
          <cell r="G52">
            <v>3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6</v>
          </cell>
          <cell r="N52">
            <v>8</v>
          </cell>
          <cell r="O52">
            <v>8</v>
          </cell>
          <cell r="P52">
            <v>9</v>
          </cell>
          <cell r="Q52">
            <v>9</v>
          </cell>
          <cell r="R52">
            <v>11</v>
          </cell>
          <cell r="S52">
            <v>13</v>
          </cell>
          <cell r="T52">
            <v>15</v>
          </cell>
          <cell r="U52">
            <v>12</v>
          </cell>
          <cell r="V52">
            <v>13</v>
          </cell>
          <cell r="W52">
            <v>12</v>
          </cell>
          <cell r="X52">
            <v>14</v>
          </cell>
        </row>
        <row r="53">
          <cell r="A53" t="str">
            <v>Special DPS</v>
          </cell>
          <cell r="B53" t="str">
            <v>¢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Franking</v>
          </cell>
          <cell r="B54" t="str">
            <v>%</v>
          </cell>
          <cell r="C54">
            <v>100</v>
          </cell>
          <cell r="D54">
            <v>100</v>
          </cell>
          <cell r="E54">
            <v>100</v>
          </cell>
          <cell r="F54">
            <v>100</v>
          </cell>
          <cell r="G54">
            <v>100</v>
          </cell>
          <cell r="H54">
            <v>100</v>
          </cell>
          <cell r="I54">
            <v>100</v>
          </cell>
          <cell r="J54">
            <v>100</v>
          </cell>
          <cell r="K54">
            <v>100</v>
          </cell>
          <cell r="L54">
            <v>100</v>
          </cell>
          <cell r="M54">
            <v>100</v>
          </cell>
          <cell r="N54">
            <v>100</v>
          </cell>
          <cell r="O54">
            <v>100</v>
          </cell>
          <cell r="P54">
            <v>100</v>
          </cell>
          <cell r="Q54">
            <v>100</v>
          </cell>
          <cell r="R54">
            <v>100</v>
          </cell>
          <cell r="S54">
            <v>100</v>
          </cell>
          <cell r="T54">
            <v>100</v>
          </cell>
          <cell r="U54">
            <v>100</v>
          </cell>
          <cell r="V54">
            <v>100</v>
          </cell>
          <cell r="W54">
            <v>100</v>
          </cell>
          <cell r="X54">
            <v>100</v>
          </cell>
        </row>
        <row r="55">
          <cell r="A55" t="str">
            <v>Franking Amount</v>
          </cell>
          <cell r="B55" t="str">
            <v>%</v>
          </cell>
          <cell r="C55">
            <v>36</v>
          </cell>
          <cell r="D55">
            <v>36</v>
          </cell>
          <cell r="E55">
            <v>36</v>
          </cell>
          <cell r="F55">
            <v>36</v>
          </cell>
          <cell r="G55">
            <v>36</v>
          </cell>
          <cell r="H55">
            <v>36</v>
          </cell>
          <cell r="I55">
            <v>36</v>
          </cell>
          <cell r="J55">
            <v>36</v>
          </cell>
          <cell r="K55">
            <v>36</v>
          </cell>
          <cell r="L55">
            <v>36</v>
          </cell>
          <cell r="M55">
            <v>34</v>
          </cell>
          <cell r="N55">
            <v>34</v>
          </cell>
          <cell r="O55">
            <v>30</v>
          </cell>
          <cell r="P55">
            <v>30</v>
          </cell>
          <cell r="Q55">
            <v>30</v>
          </cell>
          <cell r="R55">
            <v>30</v>
          </cell>
          <cell r="S55">
            <v>30</v>
          </cell>
          <cell r="T55">
            <v>30</v>
          </cell>
          <cell r="U55">
            <v>30</v>
          </cell>
          <cell r="V55">
            <v>30</v>
          </cell>
          <cell r="W55">
            <v>30</v>
          </cell>
          <cell r="X55">
            <v>30</v>
          </cell>
        </row>
        <row r="56">
          <cell r="A56" t="str">
            <v>Franking Account Value</v>
          </cell>
          <cell r="B56" t="str">
            <v>$m</v>
          </cell>
        </row>
        <row r="58">
          <cell r="A58" t="str">
            <v>Ordinary</v>
          </cell>
          <cell r="B58" t="str">
            <v>m</v>
          </cell>
          <cell r="C58">
            <v>78.281876999999994</v>
          </cell>
          <cell r="D58">
            <v>77.968000000000004</v>
          </cell>
          <cell r="E58">
            <v>77.968000000000004</v>
          </cell>
          <cell r="F58">
            <v>77.873698000000005</v>
          </cell>
          <cell r="G58">
            <v>110.124618</v>
          </cell>
          <cell r="H58">
            <v>110.324618</v>
          </cell>
          <cell r="I58">
            <v>110.324618</v>
          </cell>
          <cell r="J58">
            <v>120.354618</v>
          </cell>
          <cell r="K58">
            <v>120.354618</v>
          </cell>
          <cell r="L58">
            <v>122.500452</v>
          </cell>
          <cell r="M58">
            <v>122.478452</v>
          </cell>
          <cell r="N58">
            <v>123.312487</v>
          </cell>
          <cell r="O58">
            <v>161.34815800000001</v>
          </cell>
          <cell r="P58">
            <v>161.653773</v>
          </cell>
          <cell r="Q58">
            <v>179.10343800000001</v>
          </cell>
          <cell r="R58">
            <v>182.797021</v>
          </cell>
          <cell r="S58">
            <v>182.99202099999999</v>
          </cell>
          <cell r="T58">
            <v>183.137021</v>
          </cell>
          <cell r="U58">
            <v>183.137021</v>
          </cell>
          <cell r="V58">
            <v>183.137021</v>
          </cell>
          <cell r="W58">
            <v>227.03492800000001</v>
          </cell>
          <cell r="X58">
            <v>227.03492800000001</v>
          </cell>
        </row>
        <row r="59">
          <cell r="A59" t="str">
            <v>Convertible Notes</v>
          </cell>
          <cell r="B59" t="str">
            <v>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6.7</v>
          </cell>
          <cell r="L59">
            <v>6.7</v>
          </cell>
          <cell r="M59">
            <v>6.7</v>
          </cell>
          <cell r="N59">
            <v>6.7</v>
          </cell>
          <cell r="O59">
            <v>6.7</v>
          </cell>
          <cell r="P59">
            <v>6.7</v>
          </cell>
          <cell r="Q59">
            <v>6.7</v>
          </cell>
          <cell r="R59">
            <v>6.7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 t="str">
            <v>Preference Shares</v>
          </cell>
          <cell r="B60" t="str">
            <v>m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A61" t="str">
            <v>Partly Paid Shares</v>
          </cell>
          <cell r="B61" t="str">
            <v>m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A62" t="str">
            <v>Options</v>
          </cell>
          <cell r="B62" t="str">
            <v>m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0.9286301369862997</v>
          </cell>
          <cell r="I62">
            <v>3.2999999999999972</v>
          </cell>
          <cell r="J62">
            <v>-1.0035342465753416</v>
          </cell>
          <cell r="K62">
            <v>-4.5458339999999966</v>
          </cell>
          <cell r="L62">
            <v>-4.575228986301366</v>
          </cell>
          <cell r="M62">
            <v>2.154166</v>
          </cell>
          <cell r="N62">
            <v>17.7</v>
          </cell>
          <cell r="O62">
            <v>19.771000000000001</v>
          </cell>
          <cell r="P62">
            <v>19.771000000000001</v>
          </cell>
          <cell r="Q62">
            <v>22.026775000000001</v>
          </cell>
          <cell r="R62">
            <v>22.026775000000001</v>
          </cell>
          <cell r="S62">
            <v>21.831775</v>
          </cell>
          <cell r="T62">
            <v>21.686775000000001</v>
          </cell>
          <cell r="U62">
            <v>21.686775000000001</v>
          </cell>
          <cell r="V62">
            <v>21.686775000000001</v>
          </cell>
          <cell r="W62">
            <v>5.2888680000000008</v>
          </cell>
          <cell r="X62">
            <v>5.2888680000000008</v>
          </cell>
        </row>
        <row r="63">
          <cell r="A63" t="str">
            <v>Convertible Preference Shares</v>
          </cell>
          <cell r="B63" t="str">
            <v>m</v>
          </cell>
        </row>
        <row r="64">
          <cell r="A64" t="str">
            <v>Warrants</v>
          </cell>
          <cell r="B64" t="str">
            <v>m</v>
          </cell>
        </row>
        <row r="65">
          <cell r="A65" t="str">
            <v>Other</v>
          </cell>
          <cell r="B65" t="str">
            <v>m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20.522748000000007</v>
          </cell>
          <cell r="N65">
            <v>20.522748000000007</v>
          </cell>
          <cell r="O65">
            <v>20.522747999999979</v>
          </cell>
          <cell r="P65">
            <v>20.522747999999979</v>
          </cell>
          <cell r="Q65">
            <v>20.522748000000007</v>
          </cell>
          <cell r="R65">
            <v>20.522748000000007</v>
          </cell>
          <cell r="S65">
            <v>27.222747999999996</v>
          </cell>
          <cell r="T65">
            <v>27.222747999999996</v>
          </cell>
          <cell r="U65">
            <v>27.222747999999996</v>
          </cell>
          <cell r="V65">
            <v>27.222747999999996</v>
          </cell>
          <cell r="W65">
            <v>0</v>
          </cell>
          <cell r="X65">
            <v>0</v>
          </cell>
        </row>
        <row r="66">
          <cell r="A66" t="str">
            <v>EFPO</v>
          </cell>
          <cell r="B66" t="str">
            <v>m</v>
          </cell>
          <cell r="C66">
            <v>78.281876999999994</v>
          </cell>
          <cell r="D66">
            <v>77.968000000000004</v>
          </cell>
          <cell r="E66">
            <v>77.968000000000004</v>
          </cell>
          <cell r="F66">
            <v>77.873698000000005</v>
          </cell>
          <cell r="G66">
            <v>110.124618</v>
          </cell>
          <cell r="H66">
            <v>111.2532481369863</v>
          </cell>
          <cell r="I66">
            <v>113.624618</v>
          </cell>
          <cell r="J66">
            <v>119.35108375342466</v>
          </cell>
          <cell r="K66">
            <v>122.50878400000001</v>
          </cell>
          <cell r="L66">
            <v>124.62522301369863</v>
          </cell>
          <cell r="M66">
            <v>151.855366</v>
          </cell>
          <cell r="N66">
            <v>168.23523499999999</v>
          </cell>
          <cell r="O66">
            <v>208.34190599999999</v>
          </cell>
          <cell r="P66">
            <v>208.64752099999998</v>
          </cell>
          <cell r="Q66">
            <v>228.35296099999999</v>
          </cell>
          <cell r="R66">
            <v>232.04654399999998</v>
          </cell>
          <cell r="S66">
            <v>232.04654399999998</v>
          </cell>
          <cell r="T66">
            <v>232.04654400000001</v>
          </cell>
          <cell r="U66">
            <v>232.04654400000001</v>
          </cell>
          <cell r="V66">
            <v>232.04654400000001</v>
          </cell>
          <cell r="W66">
            <v>232.32379600000002</v>
          </cell>
          <cell r="X66">
            <v>232.32379600000002</v>
          </cell>
        </row>
        <row r="67">
          <cell r="A67" t="str">
            <v>EFPWOA</v>
          </cell>
          <cell r="B67" t="str">
            <v>m</v>
          </cell>
          <cell r="C67">
            <v>78.281876999999994</v>
          </cell>
          <cell r="D67">
            <v>78.127088342465754</v>
          </cell>
          <cell r="E67">
            <v>77.968000000000004</v>
          </cell>
          <cell r="F67">
            <v>77.921494904109593</v>
          </cell>
          <cell r="G67">
            <v>111.1362593150685</v>
          </cell>
          <cell r="H67">
            <v>111.2532481369863</v>
          </cell>
          <cell r="I67">
            <v>113.624618</v>
          </cell>
          <cell r="J67">
            <v>119.35108375342466</v>
          </cell>
          <cell r="K67">
            <v>122.50878400000001</v>
          </cell>
          <cell r="L67">
            <v>124.62522301369863</v>
          </cell>
          <cell r="M67">
            <v>151.855366</v>
          </cell>
          <cell r="N67">
            <v>168.22380986301368</v>
          </cell>
          <cell r="O67">
            <v>181.20544776164382</v>
          </cell>
          <cell r="P67">
            <v>208.40051709589039</v>
          </cell>
          <cell r="Q67">
            <v>212.62435884931506</v>
          </cell>
          <cell r="R67">
            <v>228.35296099999999</v>
          </cell>
          <cell r="S67">
            <v>231.93381797260275</v>
          </cell>
          <cell r="T67">
            <v>231.95636591780823</v>
          </cell>
          <cell r="U67">
            <v>232.04654400000001</v>
          </cell>
          <cell r="V67">
            <v>232.04654400000001</v>
          </cell>
          <cell r="W67">
            <v>232.04654400000001</v>
          </cell>
          <cell r="X67">
            <v>232.32379600000002</v>
          </cell>
        </row>
        <row r="69">
          <cell r="A69" t="str">
            <v>Cashflow Analysis</v>
          </cell>
        </row>
        <row r="70">
          <cell r="A70" t="str">
            <v>EBDITA</v>
          </cell>
          <cell r="B70" t="str">
            <v>$m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>
            <v>19.666</v>
          </cell>
          <cell r="J70">
            <v>15.595000000000002</v>
          </cell>
          <cell r="K70">
            <v>49.763999999999996</v>
          </cell>
          <cell r="L70">
            <v>45.849000000000004</v>
          </cell>
          <cell r="M70">
            <v>65.36699999999999</v>
          </cell>
          <cell r="N70">
            <v>78.432000000000002</v>
          </cell>
          <cell r="O70">
            <v>74.521000000000001</v>
          </cell>
          <cell r="P70">
            <v>66.615000000000009</v>
          </cell>
          <cell r="Q70">
            <v>81.013999999999996</v>
          </cell>
          <cell r="R70">
            <v>82.8</v>
          </cell>
          <cell r="S70">
            <v>100.99600000000001</v>
          </cell>
          <cell r="T70">
            <v>97.291353178046592</v>
          </cell>
          <cell r="U70">
            <v>106.31333142642656</v>
          </cell>
          <cell r="V70">
            <v>110.81650877985204</v>
          </cell>
          <cell r="W70">
            <v>117.68883459656162</v>
          </cell>
          <cell r="X70">
            <v>123.40482706512896</v>
          </cell>
        </row>
        <row r="71">
          <cell r="A71" t="str">
            <v xml:space="preserve"> - Inc. in Working capital</v>
          </cell>
          <cell r="B71" t="str">
            <v>$m</v>
          </cell>
          <cell r="C71">
            <v>0</v>
          </cell>
          <cell r="D71">
            <v>0</v>
          </cell>
          <cell r="E71">
            <v>0</v>
          </cell>
          <cell r="F71">
            <v>0.375</v>
          </cell>
          <cell r="G71">
            <v>25.652999999999995</v>
          </cell>
          <cell r="H71">
            <v>-11.672999999999991</v>
          </cell>
          <cell r="I71">
            <v>9.3969999999999985</v>
          </cell>
          <cell r="J71">
            <v>-24.604999999999997</v>
          </cell>
          <cell r="K71">
            <v>15.738</v>
          </cell>
          <cell r="L71">
            <v>-3.84</v>
          </cell>
          <cell r="M71">
            <v>49.557000000000002</v>
          </cell>
          <cell r="N71">
            <v>-37.536999999999999</v>
          </cell>
          <cell r="O71">
            <v>31.326999999999991</v>
          </cell>
          <cell r="P71">
            <v>-18.097999999999992</v>
          </cell>
          <cell r="Q71">
            <v>-248.125</v>
          </cell>
          <cell r="R71">
            <v>247.87299999999999</v>
          </cell>
          <cell r="S71">
            <v>33.899000000000001</v>
          </cell>
          <cell r="T71">
            <v>7.5740000000000123</v>
          </cell>
          <cell r="U71">
            <v>30.009164562898476</v>
          </cell>
          <cell r="V71">
            <v>-21.038358091841708</v>
          </cell>
          <cell r="W71">
            <v>26.680396038138145</v>
          </cell>
          <cell r="X71">
            <v>-22.151337317451425</v>
          </cell>
        </row>
        <row r="72">
          <cell r="A72" t="str">
            <v xml:space="preserve"> - Net Interest Paid</v>
          </cell>
          <cell r="B72" t="str">
            <v>$m</v>
          </cell>
          <cell r="C72">
            <v>0</v>
          </cell>
          <cell r="D72">
            <v>0</v>
          </cell>
          <cell r="E72">
            <v>0</v>
          </cell>
          <cell r="F72">
            <v>-2.254</v>
          </cell>
          <cell r="G72">
            <v>6.2569999999999997</v>
          </cell>
          <cell r="H72">
            <v>10.154000000000002</v>
          </cell>
          <cell r="I72">
            <v>7.2209999999999992</v>
          </cell>
          <cell r="J72">
            <v>9.1900000000000013</v>
          </cell>
          <cell r="K72">
            <v>9.1639999999999997</v>
          </cell>
          <cell r="L72">
            <v>7.1190000000000015</v>
          </cell>
          <cell r="M72">
            <v>9.1289999999999996</v>
          </cell>
          <cell r="N72">
            <v>6.1780000000000008</v>
          </cell>
          <cell r="O72">
            <v>4.0019999999999998</v>
          </cell>
          <cell r="P72">
            <v>-5.3189999999999982</v>
          </cell>
          <cell r="Q72">
            <v>-0.29000000000000004</v>
          </cell>
          <cell r="R72">
            <v>6.8530000000000006</v>
          </cell>
          <cell r="S72">
            <v>9.2829999999999995</v>
          </cell>
          <cell r="T72">
            <v>11.404000000000002</v>
          </cell>
          <cell r="U72">
            <v>13.718932223701888</v>
          </cell>
          <cell r="V72">
            <v>8.7271422829176473</v>
          </cell>
          <cell r="W72">
            <v>9.0876535415778861</v>
          </cell>
          <cell r="X72">
            <v>9.5451293230748284</v>
          </cell>
        </row>
        <row r="73">
          <cell r="A73" t="str">
            <v xml:space="preserve"> - Tax Paid</v>
          </cell>
          <cell r="B73" t="str">
            <v>$m</v>
          </cell>
          <cell r="C73">
            <v>0</v>
          </cell>
          <cell r="D73">
            <v>0.752</v>
          </cell>
          <cell r="E73">
            <v>0</v>
          </cell>
          <cell r="F73">
            <v>0.13200000000000001</v>
          </cell>
          <cell r="G73">
            <v>1.4359999999999999</v>
          </cell>
          <cell r="H73">
            <v>0.1160000000000001</v>
          </cell>
          <cell r="I73">
            <v>0.42099999999999999</v>
          </cell>
          <cell r="J73">
            <v>5.8999999999999997E-2</v>
          </cell>
          <cell r="K73">
            <v>0</v>
          </cell>
          <cell r="L73">
            <v>0.13400000000000001</v>
          </cell>
          <cell r="M73">
            <v>2.1179999999999999</v>
          </cell>
          <cell r="N73">
            <v>0.15100000000000025</v>
          </cell>
          <cell r="O73">
            <v>12.285</v>
          </cell>
          <cell r="P73">
            <v>8.3909999999999982</v>
          </cell>
          <cell r="Q73">
            <v>12.512</v>
          </cell>
          <cell r="R73">
            <v>15.943999999999999</v>
          </cell>
          <cell r="S73">
            <v>9.2141999999999999</v>
          </cell>
          <cell r="T73">
            <v>31.207799999999999</v>
          </cell>
          <cell r="U73">
            <v>10.0764</v>
          </cell>
          <cell r="V73">
            <v>23.511600000000001</v>
          </cell>
          <cell r="W73">
            <v>7.5282566859664755</v>
          </cell>
          <cell r="X73">
            <v>30.113026743865902</v>
          </cell>
        </row>
        <row r="74">
          <cell r="A74" t="str">
            <v xml:space="preserve"> + Other</v>
          </cell>
          <cell r="B74" t="str">
            <v>$m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>
            <v>-5.6870000000000029</v>
          </cell>
          <cell r="J74">
            <v>-59.451999999999998</v>
          </cell>
          <cell r="K74">
            <v>-1.6009999999999955</v>
          </cell>
          <cell r="L74">
            <v>-5.1159999999999997</v>
          </cell>
          <cell r="M74">
            <v>45.87700000000001</v>
          </cell>
          <cell r="N74">
            <v>-48.808999999999997</v>
          </cell>
          <cell r="O74">
            <v>19.967999999999993</v>
          </cell>
          <cell r="P74">
            <v>-29.237999999999985</v>
          </cell>
          <cell r="Q74">
            <v>-240.38400000000001</v>
          </cell>
          <cell r="R74">
            <v>161.892</v>
          </cell>
          <cell r="S74">
            <v>-8.9058000000000064</v>
          </cell>
          <cell r="T74">
            <v>18.232446821953395</v>
          </cell>
          <cell r="U74">
            <v>32.993912522593341</v>
          </cell>
          <cell r="V74">
            <v>3.7828040475742739</v>
          </cell>
          <cell r="W74">
            <v>-14.914449769243177</v>
          </cell>
          <cell r="X74">
            <v>7.4069263601621316</v>
          </cell>
        </row>
        <row r="75">
          <cell r="A75" t="str">
            <v>Net Cash in Op Activities</v>
          </cell>
          <cell r="B75" t="str">
            <v>$m</v>
          </cell>
          <cell r="C75">
            <v>0</v>
          </cell>
          <cell r="D75">
            <v>0</v>
          </cell>
          <cell r="E75">
            <v>0</v>
          </cell>
          <cell r="F75">
            <v>6.0060000000000002</v>
          </cell>
          <cell r="G75">
            <v>-5.2779999999999996</v>
          </cell>
          <cell r="H75">
            <v>21.692</v>
          </cell>
          <cell r="I75">
            <v>-3.06</v>
          </cell>
          <cell r="J75">
            <v>-28.501000000000001</v>
          </cell>
          <cell r="K75">
            <v>23.260999999999999</v>
          </cell>
          <cell r="L75">
            <v>37.320000000000007</v>
          </cell>
          <cell r="M75">
            <v>50.44</v>
          </cell>
          <cell r="N75">
            <v>60.831000000000003</v>
          </cell>
          <cell r="O75">
            <v>46.875</v>
          </cell>
          <cell r="P75">
            <v>52.403000000000006</v>
          </cell>
          <cell r="Q75">
            <v>76.533000000000001</v>
          </cell>
          <cell r="R75">
            <v>-25.977999999999966</v>
          </cell>
          <cell r="S75">
            <v>39.694000000000003</v>
          </cell>
          <cell r="T75">
            <v>65.33799999999998</v>
          </cell>
          <cell r="U75">
            <v>85.502747162419539</v>
          </cell>
          <cell r="V75">
            <v>103.39892863635039</v>
          </cell>
          <cell r="W75">
            <v>59.47807856163594</v>
          </cell>
          <cell r="X75">
            <v>113.30493467580179</v>
          </cell>
        </row>
        <row r="77">
          <cell r="A77" t="str">
            <v xml:space="preserve"> + Proc. of P,P&amp;E</v>
          </cell>
          <cell r="B77" t="str">
            <v>$m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1.264</v>
          </cell>
          <cell r="H77">
            <v>6.4859999999999998</v>
          </cell>
          <cell r="I77">
            <v>0.14299999999999999</v>
          </cell>
          <cell r="J77">
            <v>0.35099999999999998</v>
          </cell>
          <cell r="K77">
            <v>0</v>
          </cell>
          <cell r="L77">
            <v>2.2080000000000002</v>
          </cell>
          <cell r="M77">
            <v>62.088999999999999</v>
          </cell>
          <cell r="N77">
            <v>25.521000000000001</v>
          </cell>
          <cell r="O77">
            <v>7.6999999999999999E-2</v>
          </cell>
          <cell r="P77">
            <v>1.1100000000000001</v>
          </cell>
          <cell r="Q77">
            <v>-51.564</v>
          </cell>
          <cell r="R77">
            <v>58.238999999999997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 t="str">
            <v xml:space="preserve"> + Proc. of Businesses &amp; Inv</v>
          </cell>
          <cell r="B78" t="str">
            <v>$m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37.081000000000003</v>
          </cell>
          <cell r="I78">
            <v>1.891</v>
          </cell>
          <cell r="J78">
            <v>9.6999999999999975E-2</v>
          </cell>
          <cell r="K78">
            <v>0</v>
          </cell>
          <cell r="L78">
            <v>9.0549999999999997</v>
          </cell>
          <cell r="M78">
            <v>0</v>
          </cell>
          <cell r="N78">
            <v>0.36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A79" t="str">
            <v xml:space="preserve"> - Capex</v>
          </cell>
          <cell r="B79" t="str">
            <v>$m</v>
          </cell>
          <cell r="C79">
            <v>0</v>
          </cell>
          <cell r="D79">
            <v>0</v>
          </cell>
          <cell r="E79">
            <v>0</v>
          </cell>
          <cell r="F79">
            <v>4.9000000000000002E-2</v>
          </cell>
          <cell r="G79">
            <v>48.889000000000003</v>
          </cell>
          <cell r="H79">
            <v>57.291000000000004</v>
          </cell>
          <cell r="I79">
            <v>30.827000000000002</v>
          </cell>
          <cell r="J79">
            <v>8.2689999999999948</v>
          </cell>
          <cell r="K79">
            <v>14.048999999999999</v>
          </cell>
          <cell r="L79">
            <v>15.350999999999999</v>
          </cell>
          <cell r="M79">
            <v>15.9</v>
          </cell>
          <cell r="N79">
            <v>26.024999999999999</v>
          </cell>
          <cell r="O79">
            <v>37.213999999999999</v>
          </cell>
          <cell r="P79">
            <v>25.82</v>
          </cell>
          <cell r="Q79">
            <v>29.259</v>
          </cell>
          <cell r="R79">
            <v>85.251999999999995</v>
          </cell>
          <cell r="S79">
            <v>24.384</v>
          </cell>
          <cell r="T79">
            <v>79.14</v>
          </cell>
          <cell r="U79">
            <v>30</v>
          </cell>
          <cell r="V79">
            <v>70</v>
          </cell>
          <cell r="W79">
            <v>25</v>
          </cell>
          <cell r="X79">
            <v>75</v>
          </cell>
        </row>
        <row r="80">
          <cell r="A80" t="str">
            <v xml:space="preserve"> - Acquisitions &amp; Inv</v>
          </cell>
          <cell r="B80" t="str">
            <v>$m</v>
          </cell>
          <cell r="C80">
            <v>0</v>
          </cell>
          <cell r="D80">
            <v>0</v>
          </cell>
          <cell r="E80">
            <v>0</v>
          </cell>
          <cell r="F80">
            <v>-4.649</v>
          </cell>
          <cell r="G80">
            <v>-0.58200000000000074</v>
          </cell>
          <cell r="H80">
            <v>-36.582000000000001</v>
          </cell>
          <cell r="I80">
            <v>-0.73299999999999998</v>
          </cell>
          <cell r="J80">
            <v>-3.32</v>
          </cell>
          <cell r="K80">
            <v>1.5669999999999999</v>
          </cell>
          <cell r="L80">
            <v>-1.5669999999999999</v>
          </cell>
          <cell r="M80">
            <v>-136.286</v>
          </cell>
          <cell r="N80">
            <v>-1.5010000000000048</v>
          </cell>
          <cell r="O80">
            <v>-18.321999999999999</v>
          </cell>
          <cell r="P80">
            <v>-15.370000000000001</v>
          </cell>
          <cell r="Q80">
            <v>-404.07499999999999</v>
          </cell>
          <cell r="R80">
            <v>-152.44600000000003</v>
          </cell>
          <cell r="S80">
            <v>0</v>
          </cell>
          <cell r="T80">
            <v>-240</v>
          </cell>
          <cell r="U80">
            <v>-100</v>
          </cell>
          <cell r="V80">
            <v>0</v>
          </cell>
          <cell r="W80">
            <v>0</v>
          </cell>
          <cell r="X80">
            <v>0</v>
          </cell>
        </row>
        <row r="81">
          <cell r="A81" t="str">
            <v xml:space="preserve"> + Other</v>
          </cell>
          <cell r="B81" t="str">
            <v>$m</v>
          </cell>
          <cell r="C81">
            <v>0</v>
          </cell>
          <cell r="D81">
            <v>0</v>
          </cell>
          <cell r="E81">
            <v>0</v>
          </cell>
          <cell r="F81">
            <v>-4.5579999999999981</v>
          </cell>
          <cell r="G81">
            <v>108.02100000000002</v>
          </cell>
          <cell r="H81">
            <v>27.336999999999989</v>
          </cell>
          <cell r="I81">
            <v>11.035000000000004</v>
          </cell>
          <cell r="J81">
            <v>12.336999999999986</v>
          </cell>
          <cell r="K81">
            <v>27.68</v>
          </cell>
          <cell r="L81">
            <v>8.6259999999999994</v>
          </cell>
          <cell r="M81">
            <v>-92.377999999999986</v>
          </cell>
          <cell r="N81">
            <v>1.2439999999999927</v>
          </cell>
          <cell r="O81">
            <v>76.584000000000003</v>
          </cell>
          <cell r="P81">
            <v>51.265999999999991</v>
          </cell>
          <cell r="Q81">
            <v>197.80599999999987</v>
          </cell>
          <cell r="R81">
            <v>54.02600000000001</v>
          </cell>
          <cell r="S81">
            <v>48.768000000000001</v>
          </cell>
          <cell r="T81">
            <v>158.27999999999997</v>
          </cell>
          <cell r="U81">
            <v>60</v>
          </cell>
          <cell r="V81">
            <v>140</v>
          </cell>
          <cell r="W81">
            <v>50</v>
          </cell>
          <cell r="X81">
            <v>150</v>
          </cell>
        </row>
        <row r="82">
          <cell r="A82" t="str">
            <v>Net cash in investing</v>
          </cell>
          <cell r="B82" t="str">
            <v>$m</v>
          </cell>
          <cell r="C82">
            <v>0</v>
          </cell>
          <cell r="D82">
            <v>0</v>
          </cell>
          <cell r="E82">
            <v>0</v>
          </cell>
          <cell r="F82">
            <v>4.2000000000001592E-2</v>
          </cell>
          <cell r="G82">
            <v>60.978000000000002</v>
          </cell>
          <cell r="H82">
            <v>50.194999999999986</v>
          </cell>
          <cell r="I82">
            <v>-17.024999999999999</v>
          </cell>
          <cell r="J82">
            <v>7.8359999999999914</v>
          </cell>
          <cell r="K82">
            <v>12.064</v>
          </cell>
          <cell r="L82">
            <v>6.1050000000000004</v>
          </cell>
          <cell r="M82">
            <v>90.097000000000008</v>
          </cell>
          <cell r="N82">
            <v>2.6009999999999991</v>
          </cell>
          <cell r="O82">
            <v>57.769000000000005</v>
          </cell>
          <cell r="P82">
            <v>41.926000000000002</v>
          </cell>
          <cell r="Q82">
            <v>521.05799999999988</v>
          </cell>
          <cell r="R82">
            <v>179.45900000000006</v>
          </cell>
          <cell r="S82">
            <v>24.384</v>
          </cell>
          <cell r="T82">
            <v>319.14</v>
          </cell>
          <cell r="U82">
            <v>130</v>
          </cell>
          <cell r="V82">
            <v>70</v>
          </cell>
          <cell r="W82">
            <v>25</v>
          </cell>
          <cell r="X82">
            <v>75</v>
          </cell>
        </row>
        <row r="83">
          <cell r="P83">
            <v>0</v>
          </cell>
          <cell r="Q83">
            <v>521.05799999999977</v>
          </cell>
        </row>
        <row r="84">
          <cell r="A84" t="str">
            <v xml:space="preserve"> - Dividends Paid (before DRP)</v>
          </cell>
          <cell r="B84" t="str">
            <v>$m</v>
          </cell>
          <cell r="C84">
            <v>0</v>
          </cell>
          <cell r="D84">
            <v>0</v>
          </cell>
          <cell r="E84">
            <v>0</v>
          </cell>
          <cell r="F84">
            <v>-4.6749999999999998</v>
          </cell>
          <cell r="G84">
            <v>-3.3039999999999998</v>
          </cell>
          <cell r="H84">
            <v>-3.3069999999999999</v>
          </cell>
          <cell r="I84">
            <v>-3.4090000000000003</v>
          </cell>
          <cell r="J84">
            <v>0.10000000000000009</v>
          </cell>
          <cell r="K84">
            <v>0</v>
          </cell>
          <cell r="L84">
            <v>-0.17499999999999999</v>
          </cell>
          <cell r="M84">
            <v>-1.1100000000000001</v>
          </cell>
          <cell r="N84">
            <v>-12.782</v>
          </cell>
          <cell r="O84">
            <v>-16.146999999999998</v>
          </cell>
          <cell r="P84">
            <v>-19.004000000000005</v>
          </cell>
          <cell r="Q84">
            <v>-20.40689223</v>
          </cell>
          <cell r="R84">
            <v>-24.727677590000003</v>
          </cell>
          <cell r="S84">
            <v>-29.92996273</v>
          </cell>
          <cell r="T84">
            <v>-26.453037269999996</v>
          </cell>
          <cell r="U84">
            <v>-32.473159945384616</v>
          </cell>
          <cell r="V84">
            <v>-46.183376380000006</v>
          </cell>
          <cell r="W84">
            <v>-42.294274169999994</v>
          </cell>
          <cell r="X84">
            <v>-51.375671290000014</v>
          </cell>
        </row>
        <row r="85">
          <cell r="A85" t="str">
            <v xml:space="preserve"> + Equity Movements (inc. DRP)</v>
          </cell>
          <cell r="B85" t="str">
            <v>$m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5.8390000000000004</v>
          </cell>
          <cell r="H85">
            <v>9.1999999999999638E-2</v>
          </cell>
          <cell r="I85">
            <v>0</v>
          </cell>
          <cell r="J85">
            <v>20.039000000000001</v>
          </cell>
          <cell r="K85">
            <v>3.605</v>
          </cell>
          <cell r="L85">
            <v>0.92899999999999983</v>
          </cell>
          <cell r="M85">
            <v>201.72900000000001</v>
          </cell>
          <cell r="N85">
            <v>0.90599999999997749</v>
          </cell>
          <cell r="O85">
            <v>395.79300000000001</v>
          </cell>
          <cell r="P85">
            <v>8.0400000000000205</v>
          </cell>
          <cell r="Q85">
            <v>257.98899999999998</v>
          </cell>
          <cell r="R85">
            <v>0</v>
          </cell>
          <cell r="S85">
            <v>0</v>
          </cell>
          <cell r="T85">
            <v>10.571</v>
          </cell>
          <cell r="U85">
            <v>375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 xml:space="preserve"> + Debt Movements</v>
          </cell>
          <cell r="B86" t="str">
            <v>$m</v>
          </cell>
          <cell r="C86">
            <v>0</v>
          </cell>
          <cell r="D86">
            <v>0</v>
          </cell>
          <cell r="E86">
            <v>0</v>
          </cell>
          <cell r="F86">
            <v>-0.22800000000000001</v>
          </cell>
          <cell r="G86">
            <v>51.812999999999988</v>
          </cell>
          <cell r="H86">
            <v>36.346000000000004</v>
          </cell>
          <cell r="I86">
            <v>-17.03</v>
          </cell>
          <cell r="J86">
            <v>15.792</v>
          </cell>
          <cell r="K86">
            <v>-18.939999999999998</v>
          </cell>
          <cell r="L86">
            <v>-24.993000000000002</v>
          </cell>
          <cell r="M86">
            <v>-164.874</v>
          </cell>
          <cell r="N86">
            <v>-59.021000000000015</v>
          </cell>
          <cell r="O86">
            <v>-63.123000000000005</v>
          </cell>
          <cell r="P86">
            <v>-7.9579999999999984</v>
          </cell>
          <cell r="Q86">
            <v>-9.07</v>
          </cell>
          <cell r="R86">
            <v>196.17756981999989</v>
          </cell>
          <cell r="S86">
            <v>14.619962729999997</v>
          </cell>
          <cell r="T86">
            <v>269.68403727000003</v>
          </cell>
          <cell r="U86">
            <v>-298.02958721703493</v>
          </cell>
          <cell r="V86">
            <v>12.78444774364965</v>
          </cell>
          <cell r="W86">
            <v>7.8161956083640547</v>
          </cell>
          <cell r="X86">
            <v>13.070736614198225</v>
          </cell>
        </row>
        <row r="87">
          <cell r="A87" t="str">
            <v xml:space="preserve">         Funds from Borrowing</v>
          </cell>
          <cell r="B87" t="str">
            <v>$m</v>
          </cell>
        </row>
        <row r="88">
          <cell r="A88" t="str">
            <v xml:space="preserve">         Repayment from Borrowings</v>
          </cell>
          <cell r="B88" t="str">
            <v>$m</v>
          </cell>
        </row>
        <row r="89">
          <cell r="A89" t="str">
            <v xml:space="preserve"> + Other</v>
          </cell>
          <cell r="B89" t="str">
            <v>$m</v>
          </cell>
          <cell r="C89">
            <v>0</v>
          </cell>
          <cell r="D89">
            <v>0</v>
          </cell>
          <cell r="E89">
            <v>0</v>
          </cell>
          <cell r="F89">
            <v>-9.1219999999999999</v>
          </cell>
          <cell r="G89">
            <v>-64.259999999999991</v>
          </cell>
          <cell r="H89">
            <v>-43.052000000000007</v>
          </cell>
          <cell r="I89">
            <v>10.212</v>
          </cell>
          <cell r="J89">
            <v>-35.631</v>
          </cell>
          <cell r="K89">
            <v>15.334999999999997</v>
          </cell>
          <cell r="L89">
            <v>23.714000000000002</v>
          </cell>
          <cell r="M89">
            <v>-39.075000000000017</v>
          </cell>
          <cell r="N89">
            <v>32.551000000000037</v>
          </cell>
          <cell r="O89">
            <v>-364.964</v>
          </cell>
          <cell r="P89">
            <v>-38.090000000000032</v>
          </cell>
          <cell r="Q89">
            <v>-289.73278446</v>
          </cell>
          <cell r="R89">
            <v>-245.63292499999989</v>
          </cell>
          <cell r="S89">
            <v>-74.479888189999997</v>
          </cell>
          <cell r="T89">
            <v>-333.16111181000002</v>
          </cell>
          <cell r="U89">
            <v>-141.91673267373432</v>
          </cell>
          <cell r="V89">
            <v>-105.15120050364966</v>
          </cell>
          <cell r="W89">
            <v>-92.404743948364043</v>
          </cell>
          <cell r="X89">
            <v>-115.82207919419825</v>
          </cell>
        </row>
        <row r="90">
          <cell r="A90" t="str">
            <v>Net cash in financing</v>
          </cell>
          <cell r="B90" t="str">
            <v>$m</v>
          </cell>
          <cell r="C90">
            <v>0</v>
          </cell>
          <cell r="D90">
            <v>0</v>
          </cell>
          <cell r="E90">
            <v>0</v>
          </cell>
          <cell r="F90">
            <v>-4.6749999999999998</v>
          </cell>
          <cell r="G90">
            <v>-3.3039999999999998</v>
          </cell>
          <cell r="H90">
            <v>-3.3069999999999999</v>
          </cell>
          <cell r="I90">
            <v>-3.4090000000000003</v>
          </cell>
          <cell r="J90">
            <v>0.10000000000000009</v>
          </cell>
          <cell r="K90">
            <v>0</v>
          </cell>
          <cell r="L90">
            <v>-0.17499999999999999</v>
          </cell>
          <cell r="M90">
            <v>-1.1100000000000001</v>
          </cell>
          <cell r="N90">
            <v>-12.782</v>
          </cell>
          <cell r="O90">
            <v>-16.146999999999998</v>
          </cell>
          <cell r="P90">
            <v>-19.004000000000005</v>
          </cell>
          <cell r="Q90">
            <v>-20.40689223</v>
          </cell>
          <cell r="R90">
            <v>-24.727677590000003</v>
          </cell>
          <cell r="S90">
            <v>-29.92996273</v>
          </cell>
          <cell r="T90">
            <v>-26.453037269999996</v>
          </cell>
          <cell r="U90">
            <v>-32.473159945384616</v>
          </cell>
          <cell r="V90">
            <v>-46.183376380000006</v>
          </cell>
          <cell r="W90">
            <v>-42.294274169999994</v>
          </cell>
          <cell r="X90">
            <v>-51.375671290000014</v>
          </cell>
        </row>
        <row r="92">
          <cell r="A92" t="str">
            <v>Net Increase in Cash</v>
          </cell>
          <cell r="B92" t="str">
            <v>$m</v>
          </cell>
          <cell r="C92">
            <v>0</v>
          </cell>
          <cell r="D92">
            <v>0</v>
          </cell>
          <cell r="E92">
            <v>0</v>
          </cell>
          <cell r="F92">
            <v>1.373000000000002</v>
          </cell>
          <cell r="G92">
            <v>52.396000000000001</v>
          </cell>
          <cell r="H92">
            <v>68.579999999999984</v>
          </cell>
          <cell r="I92">
            <v>-23.493999999999996</v>
          </cell>
          <cell r="J92">
            <v>-20.565000000000008</v>
          </cell>
          <cell r="K92">
            <v>35.325000000000003</v>
          </cell>
          <cell r="L92">
            <v>43.250000000000014</v>
          </cell>
          <cell r="M92">
            <v>139.42699999999999</v>
          </cell>
          <cell r="N92">
            <v>50.650000000000006</v>
          </cell>
          <cell r="O92">
            <v>88.497000000000014</v>
          </cell>
          <cell r="P92">
            <v>75.325000000000003</v>
          </cell>
          <cell r="Q92">
            <v>577.18410776999986</v>
          </cell>
          <cell r="R92">
            <v>128.7533224100001</v>
          </cell>
          <cell r="S92">
            <v>34.148037270000003</v>
          </cell>
          <cell r="T92">
            <v>358.02496272999997</v>
          </cell>
          <cell r="U92">
            <v>183.02958721703493</v>
          </cell>
          <cell r="V92">
            <v>127.21555225635038</v>
          </cell>
          <cell r="W92">
            <v>42.183804391635945</v>
          </cell>
          <cell r="X92">
            <v>136.92926338580179</v>
          </cell>
        </row>
        <row r="93">
          <cell r="A93" t="str">
            <v xml:space="preserve"> + Net Exchange Differences</v>
          </cell>
          <cell r="B93" t="str">
            <v>$m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 xml:space="preserve"> + Adjusting Figure</v>
          </cell>
          <cell r="B94" t="str">
            <v>$m</v>
          </cell>
        </row>
        <row r="95">
          <cell r="A95" t="str">
            <v>Net Cash/Borrowing movement</v>
          </cell>
          <cell r="B95" t="str">
            <v>$m</v>
          </cell>
          <cell r="C95">
            <v>0</v>
          </cell>
          <cell r="D95">
            <v>0</v>
          </cell>
          <cell r="E95">
            <v>0</v>
          </cell>
          <cell r="F95">
            <v>1.373000000000002</v>
          </cell>
          <cell r="G95">
            <v>52.396000000000001</v>
          </cell>
          <cell r="H95">
            <v>68.579999999999984</v>
          </cell>
          <cell r="I95">
            <v>-23.493999999999996</v>
          </cell>
          <cell r="J95">
            <v>-20.565000000000008</v>
          </cell>
          <cell r="K95">
            <v>35.325000000000003</v>
          </cell>
          <cell r="L95">
            <v>43.250000000000014</v>
          </cell>
          <cell r="M95">
            <v>139.42699999999999</v>
          </cell>
          <cell r="N95">
            <v>50.650000000000006</v>
          </cell>
          <cell r="O95">
            <v>88.497000000000014</v>
          </cell>
          <cell r="P95">
            <v>75.325000000000003</v>
          </cell>
          <cell r="Q95">
            <v>577.18410776999986</v>
          </cell>
          <cell r="R95">
            <v>128.7533224100001</v>
          </cell>
          <cell r="S95">
            <v>34.148037270000003</v>
          </cell>
          <cell r="T95">
            <v>358.02496272999997</v>
          </cell>
          <cell r="U95">
            <v>183.02958721703493</v>
          </cell>
          <cell r="V95">
            <v>127.21555225635038</v>
          </cell>
          <cell r="W95">
            <v>42.183804391635945</v>
          </cell>
          <cell r="X95">
            <v>136.92926338580179</v>
          </cell>
        </row>
        <row r="96">
          <cell r="A96" t="str">
            <v>Balance Sheet</v>
          </cell>
        </row>
        <row r="98">
          <cell r="A98" t="str">
            <v>Cash &amp; Liquid</v>
          </cell>
          <cell r="B98" t="str">
            <v>$m</v>
          </cell>
          <cell r="C98">
            <v>0</v>
          </cell>
          <cell r="D98">
            <v>24.66</v>
          </cell>
          <cell r="E98">
            <v>7.3860000000000001</v>
          </cell>
          <cell r="F98">
            <v>25.721</v>
          </cell>
          <cell r="G98">
            <v>20.370999999999999</v>
          </cell>
          <cell r="H98">
            <v>25.780999999999999</v>
          </cell>
          <cell r="I98">
            <v>21.33</v>
          </cell>
          <cell r="J98">
            <v>11.561</v>
          </cell>
          <cell r="K98">
            <v>13.491</v>
          </cell>
          <cell r="L98">
            <v>14.398999999999999</v>
          </cell>
          <cell r="M98">
            <v>16.079000000000001</v>
          </cell>
          <cell r="N98">
            <v>1.1850000000000001</v>
          </cell>
          <cell r="O98">
            <v>303.33300000000003</v>
          </cell>
          <cell r="P98">
            <v>295.59800000000001</v>
          </cell>
          <cell r="Q98">
            <v>79.27200000000002</v>
          </cell>
          <cell r="R98">
            <v>46.323999999999998</v>
          </cell>
          <cell r="S98">
            <v>9.73</v>
          </cell>
          <cell r="T98">
            <v>31.367999999999999</v>
          </cell>
          <cell r="U98">
            <v>31.367999999999999</v>
          </cell>
          <cell r="V98">
            <v>31.367999999999999</v>
          </cell>
          <cell r="W98">
            <v>31.367999999999999</v>
          </cell>
          <cell r="X98">
            <v>31.367999999999999</v>
          </cell>
        </row>
        <row r="99">
          <cell r="A99" t="str">
            <v>Trade Debtors - Current</v>
          </cell>
          <cell r="B99" t="str">
            <v>$m</v>
          </cell>
          <cell r="C99">
            <v>0</v>
          </cell>
          <cell r="D99">
            <v>8.7059999999999995</v>
          </cell>
          <cell r="E99">
            <v>8.1780000000000008</v>
          </cell>
          <cell r="F99">
            <v>1.3959999999999999</v>
          </cell>
          <cell r="G99">
            <v>53.744999999999997</v>
          </cell>
          <cell r="H99">
            <v>55.747</v>
          </cell>
          <cell r="I99">
            <v>49.65</v>
          </cell>
          <cell r="J99">
            <v>40.347000000000001</v>
          </cell>
          <cell r="K99">
            <v>43.494</v>
          </cell>
          <cell r="L99">
            <v>43.957000000000001</v>
          </cell>
          <cell r="M99">
            <v>111.697</v>
          </cell>
          <cell r="N99">
            <v>104.405</v>
          </cell>
          <cell r="O99">
            <v>127.316</v>
          </cell>
          <cell r="P99">
            <v>149.29300000000001</v>
          </cell>
          <cell r="Q99">
            <v>129.68199999999999</v>
          </cell>
          <cell r="R99">
            <v>156.565</v>
          </cell>
          <cell r="S99">
            <v>191.99100000000001</v>
          </cell>
          <cell r="T99">
            <v>179.44300000000001</v>
          </cell>
          <cell r="U99">
            <v>226.36666223768103</v>
          </cell>
          <cell r="V99">
            <v>207.56593553053628</v>
          </cell>
          <cell r="W99">
            <v>238.24463686146296</v>
          </cell>
          <cell r="X99">
            <v>218.43567646018437</v>
          </cell>
        </row>
        <row r="100">
          <cell r="A100" t="str">
            <v>Inventory</v>
          </cell>
          <cell r="B100" t="str">
            <v>$m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4.077</v>
          </cell>
          <cell r="H100">
            <v>4.1050000000000004</v>
          </cell>
          <cell r="I100">
            <v>4.2439999999999998</v>
          </cell>
          <cell r="J100">
            <v>5.218</v>
          </cell>
          <cell r="K100">
            <v>4.9649999999999999</v>
          </cell>
          <cell r="L100">
            <v>5.2809999999999997</v>
          </cell>
          <cell r="M100">
            <v>5.8780000000000001</v>
          </cell>
          <cell r="N100">
            <v>6.492</v>
          </cell>
          <cell r="O100">
            <v>6.1479999999999997</v>
          </cell>
          <cell r="P100">
            <v>7.1950000000000003</v>
          </cell>
          <cell r="Q100">
            <v>7.1719999999999997</v>
          </cell>
          <cell r="R100">
            <v>8.1790000000000003</v>
          </cell>
          <cell r="S100">
            <v>9.4700000000000006</v>
          </cell>
          <cell r="T100">
            <v>8.3930000000000007</v>
          </cell>
          <cell r="U100">
            <v>16.977499667826077</v>
          </cell>
          <cell r="V100">
            <v>17.297161294211357</v>
          </cell>
          <cell r="W100">
            <v>17.86834776460972</v>
          </cell>
          <cell r="X100">
            <v>18.202973038348695</v>
          </cell>
        </row>
        <row r="101">
          <cell r="A101" t="str">
            <v>Investments -  Current</v>
          </cell>
          <cell r="B101" t="str">
            <v>$m</v>
          </cell>
        </row>
        <row r="102">
          <cell r="A102" t="str">
            <v>Other Current Assets</v>
          </cell>
          <cell r="B102" t="str">
            <v>$m</v>
          </cell>
          <cell r="C102">
            <v>0</v>
          </cell>
          <cell r="D102">
            <v>1.144999999999996</v>
          </cell>
          <cell r="E102">
            <v>16.361000000000001</v>
          </cell>
          <cell r="F102">
            <v>1.8580000000000005</v>
          </cell>
          <cell r="G102">
            <v>26.286999999999995</v>
          </cell>
          <cell r="H102">
            <v>15.055</v>
          </cell>
          <cell r="I102">
            <v>26.93</v>
          </cell>
          <cell r="J102">
            <v>19.870999999999995</v>
          </cell>
          <cell r="K102">
            <v>11.397000000000006</v>
          </cell>
          <cell r="L102">
            <v>16.181000000000004</v>
          </cell>
          <cell r="M102">
            <v>13.484000000000044</v>
          </cell>
          <cell r="N102">
            <v>23.906000000000009</v>
          </cell>
          <cell r="O102">
            <v>24.787999999999954</v>
          </cell>
          <cell r="P102">
            <v>34.550000000000011</v>
          </cell>
          <cell r="Q102">
            <v>36.156999999999982</v>
          </cell>
          <cell r="R102">
            <v>31.739000000000019</v>
          </cell>
          <cell r="S102">
            <v>36.876999999999967</v>
          </cell>
          <cell r="T102">
            <v>38.099999999999966</v>
          </cell>
          <cell r="U102">
            <v>38.099999999999994</v>
          </cell>
          <cell r="V102">
            <v>38.099999999999994</v>
          </cell>
          <cell r="W102">
            <v>38.099999999999994</v>
          </cell>
          <cell r="X102">
            <v>38.099999999999966</v>
          </cell>
        </row>
        <row r="103">
          <cell r="A103" t="str">
            <v>Total Current Assets</v>
          </cell>
          <cell r="B103" t="str">
            <v>$m</v>
          </cell>
          <cell r="C103">
            <v>0</v>
          </cell>
          <cell r="D103">
            <v>34.510999999999996</v>
          </cell>
          <cell r="E103">
            <v>31.925000000000001</v>
          </cell>
          <cell r="F103">
            <v>28.975000000000001</v>
          </cell>
          <cell r="G103">
            <v>104.47999999999999</v>
          </cell>
          <cell r="H103">
            <v>100.688</v>
          </cell>
          <cell r="I103">
            <v>102.154</v>
          </cell>
          <cell r="J103">
            <v>76.997</v>
          </cell>
          <cell r="K103">
            <v>73.347000000000008</v>
          </cell>
          <cell r="L103">
            <v>79.818000000000012</v>
          </cell>
          <cell r="M103">
            <v>147.13800000000003</v>
          </cell>
          <cell r="N103">
            <v>135.988</v>
          </cell>
          <cell r="O103">
            <v>461.58500000000004</v>
          </cell>
          <cell r="P103">
            <v>486.63600000000002</v>
          </cell>
          <cell r="Q103">
            <v>252.28299999999999</v>
          </cell>
          <cell r="R103">
            <v>242.80700000000002</v>
          </cell>
          <cell r="S103">
            <v>248.06799999999998</v>
          </cell>
          <cell r="T103">
            <v>257.30399999999997</v>
          </cell>
          <cell r="U103">
            <v>312.81216190550708</v>
          </cell>
          <cell r="V103">
            <v>294.33109682474765</v>
          </cell>
          <cell r="W103">
            <v>325.58098462607268</v>
          </cell>
          <cell r="X103">
            <v>306.10664949853305</v>
          </cell>
        </row>
        <row r="104">
          <cell r="A104" t="str">
            <v>Trade Debtors - Non Current</v>
          </cell>
          <cell r="B104" t="str">
            <v>$m</v>
          </cell>
          <cell r="C104">
            <v>0</v>
          </cell>
          <cell r="D104">
            <v>0</v>
          </cell>
          <cell r="E104">
            <v>0</v>
          </cell>
          <cell r="F104">
            <v>2.6179999999999999</v>
          </cell>
          <cell r="G104">
            <v>10.25</v>
          </cell>
          <cell r="H104">
            <v>14.192</v>
          </cell>
          <cell r="I104">
            <v>10.762</v>
          </cell>
          <cell r="J104">
            <v>3.149</v>
          </cell>
          <cell r="K104">
            <v>12.77</v>
          </cell>
          <cell r="L104">
            <v>6.3940000000000001</v>
          </cell>
          <cell r="M104">
            <v>6.48</v>
          </cell>
          <cell r="N104">
            <v>8.9139999999999997</v>
          </cell>
          <cell r="O104">
            <v>12.723000000000001</v>
          </cell>
          <cell r="P104">
            <v>15.79</v>
          </cell>
          <cell r="Q104">
            <v>16.991</v>
          </cell>
          <cell r="R104">
            <v>15.311</v>
          </cell>
          <cell r="S104">
            <v>16.495000000000001</v>
          </cell>
          <cell r="T104">
            <v>16.459</v>
          </cell>
          <cell r="U104">
            <v>16.459</v>
          </cell>
          <cell r="V104">
            <v>16.459</v>
          </cell>
          <cell r="W104">
            <v>16.459</v>
          </cell>
          <cell r="X104">
            <v>16.459</v>
          </cell>
        </row>
        <row r="105">
          <cell r="A105" t="str">
            <v>Equity in Associated Companies</v>
          </cell>
          <cell r="B105" t="str">
            <v>$m</v>
          </cell>
        </row>
        <row r="106">
          <cell r="A106" t="str">
            <v>Other Investments (non associated)</v>
          </cell>
          <cell r="B106" t="str">
            <v>$m</v>
          </cell>
          <cell r="C106">
            <v>0</v>
          </cell>
          <cell r="D106">
            <v>145.44</v>
          </cell>
          <cell r="E106">
            <v>147.50200000000001</v>
          </cell>
          <cell r="F106">
            <v>142.91800000000001</v>
          </cell>
          <cell r="G106">
            <v>12.817</v>
          </cell>
          <cell r="H106">
            <v>9.32</v>
          </cell>
          <cell r="I106">
            <v>10.042</v>
          </cell>
          <cell r="J106">
            <v>8.6950000000000003</v>
          </cell>
          <cell r="K106">
            <v>8.8800000000000008</v>
          </cell>
          <cell r="L106">
            <v>11.135</v>
          </cell>
          <cell r="M106">
            <v>23.932000000000002</v>
          </cell>
          <cell r="N106">
            <v>22.888000000000002</v>
          </cell>
          <cell r="O106">
            <v>21.911999999999999</v>
          </cell>
          <cell r="P106">
            <v>26.481000000000002</v>
          </cell>
          <cell r="Q106">
            <v>615.87599999999998</v>
          </cell>
          <cell r="R106">
            <v>663.67</v>
          </cell>
          <cell r="S106">
            <v>692.22199999999998</v>
          </cell>
          <cell r="T106">
            <v>973.60799999999995</v>
          </cell>
          <cell r="U106">
            <v>1133.1650718847313</v>
          </cell>
          <cell r="V106">
            <v>1206.8617243610563</v>
          </cell>
          <cell r="W106">
            <v>1279.0005214160101</v>
          </cell>
          <cell r="X106">
            <v>1354.119408134175</v>
          </cell>
        </row>
        <row r="107">
          <cell r="A107" t="str">
            <v>Fixed Assets</v>
          </cell>
          <cell r="B107" t="str">
            <v>$m</v>
          </cell>
          <cell r="C107">
            <v>0</v>
          </cell>
          <cell r="D107">
            <v>0.58099999999999996</v>
          </cell>
          <cell r="E107">
            <v>0</v>
          </cell>
          <cell r="F107">
            <v>0</v>
          </cell>
          <cell r="G107">
            <v>376.95</v>
          </cell>
          <cell r="H107">
            <v>417.35399999999998</v>
          </cell>
          <cell r="I107">
            <v>381.488</v>
          </cell>
          <cell r="J107">
            <v>380.55099999999999</v>
          </cell>
          <cell r="K107">
            <v>376.66500000000002</v>
          </cell>
          <cell r="L107">
            <v>370.04399999999998</v>
          </cell>
          <cell r="M107">
            <v>455.25099999999998</v>
          </cell>
          <cell r="N107">
            <v>460.63099999999997</v>
          </cell>
          <cell r="O107">
            <v>535.61300000000006</v>
          </cell>
          <cell r="P107">
            <v>609.17100000000005</v>
          </cell>
          <cell r="Q107">
            <v>670.89099999999996</v>
          </cell>
          <cell r="R107">
            <v>714.28300000000002</v>
          </cell>
          <cell r="S107">
            <v>728.33100000000002</v>
          </cell>
          <cell r="T107">
            <v>728.22400000000005</v>
          </cell>
          <cell r="U107">
            <v>724.87995738863094</v>
          </cell>
          <cell r="V107">
            <v>759.2951790664489</v>
          </cell>
          <cell r="W107">
            <v>750.04508452883067</v>
          </cell>
          <cell r="X107">
            <v>787.61432306578911</v>
          </cell>
        </row>
        <row r="108">
          <cell r="A108" t="str">
            <v>Goodwill</v>
          </cell>
          <cell r="B108" t="str">
            <v>$m</v>
          </cell>
          <cell r="C108">
            <v>0</v>
          </cell>
          <cell r="D108">
            <v>0.81699999999999995</v>
          </cell>
          <cell r="E108">
            <v>0.76900000000000002</v>
          </cell>
          <cell r="F108">
            <v>0</v>
          </cell>
          <cell r="G108">
            <v>8.1720000000000006</v>
          </cell>
          <cell r="H108">
            <v>7.8929999999999998</v>
          </cell>
          <cell r="I108">
            <v>7.6130000000000004</v>
          </cell>
          <cell r="J108">
            <v>7.3339999999999996</v>
          </cell>
          <cell r="K108">
            <v>7.0540000000000003</v>
          </cell>
          <cell r="L108">
            <v>6.8090000000000002</v>
          </cell>
          <cell r="M108">
            <v>97.771000000000001</v>
          </cell>
          <cell r="N108">
            <v>100.527</v>
          </cell>
          <cell r="O108">
            <v>110.872</v>
          </cell>
          <cell r="P108">
            <v>111.764</v>
          </cell>
          <cell r="Q108">
            <v>130.84299999999999</v>
          </cell>
          <cell r="R108">
            <v>165.166</v>
          </cell>
          <cell r="S108">
            <v>178.35</v>
          </cell>
          <cell r="T108">
            <v>172.75299999999999</v>
          </cell>
          <cell r="U108">
            <v>168.21093499999998</v>
          </cell>
          <cell r="V108">
            <v>162.46899999999999</v>
          </cell>
          <cell r="W108">
            <v>157.92693499999999</v>
          </cell>
          <cell r="X108">
            <v>152.185</v>
          </cell>
        </row>
        <row r="109">
          <cell r="A109" t="str">
            <v>Brandnames</v>
          </cell>
          <cell r="B109" t="str">
            <v>$m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Other Non Current Assets</v>
          </cell>
          <cell r="B110" t="str">
            <v>$m</v>
          </cell>
          <cell r="C110">
            <v>0</v>
          </cell>
          <cell r="G110">
            <v>60.18099999999999</v>
          </cell>
          <cell r="H110">
            <v>49.070999999999962</v>
          </cell>
          <cell r="I110">
            <v>19.72</v>
          </cell>
          <cell r="J110">
            <v>45.288000000000004</v>
          </cell>
          <cell r="K110">
            <v>38.960000000000008</v>
          </cell>
          <cell r="L110">
            <v>35.785000000000025</v>
          </cell>
          <cell r="M110">
            <v>40.129000000000048</v>
          </cell>
          <cell r="N110">
            <v>25.181999999999917</v>
          </cell>
          <cell r="O110">
            <v>25.525999999999947</v>
          </cell>
          <cell r="P110">
            <v>27.05799999999995</v>
          </cell>
          <cell r="Q110">
            <v>29.099999999999781</v>
          </cell>
          <cell r="R110">
            <v>33.170000000000222</v>
          </cell>
          <cell r="S110">
            <v>37.805000000000064</v>
          </cell>
          <cell r="T110">
            <v>30.467000000000045</v>
          </cell>
          <cell r="U110">
            <v>29.939000000000139</v>
          </cell>
          <cell r="V110">
            <v>29.938999999999911</v>
          </cell>
          <cell r="W110">
            <v>29.939000000000139</v>
          </cell>
          <cell r="X110">
            <v>29.939000000000139</v>
          </cell>
        </row>
        <row r="111">
          <cell r="A111" t="str">
            <v>Total Long Term Assets</v>
          </cell>
          <cell r="B111" t="str">
            <v>$m</v>
          </cell>
          <cell r="C111">
            <v>0</v>
          </cell>
          <cell r="G111">
            <v>458.12</v>
          </cell>
          <cell r="H111">
            <v>483.63799999999992</v>
          </cell>
          <cell r="I111">
            <v>418.863</v>
          </cell>
          <cell r="J111">
            <v>441.86799999999999</v>
          </cell>
          <cell r="K111">
            <v>444.32900000000001</v>
          </cell>
          <cell r="L111">
            <v>430.16700000000003</v>
          </cell>
          <cell r="M111">
            <v>623.56299999999999</v>
          </cell>
          <cell r="N111">
            <v>618.14199999999994</v>
          </cell>
          <cell r="O111">
            <v>706.64599999999996</v>
          </cell>
          <cell r="P111">
            <v>790.26400000000001</v>
          </cell>
          <cell r="Q111">
            <v>1463.7009999999998</v>
          </cell>
          <cell r="R111">
            <v>1591.6000000000001</v>
          </cell>
          <cell r="S111">
            <v>1653.203</v>
          </cell>
          <cell r="T111">
            <v>1921.511</v>
          </cell>
          <cell r="U111">
            <v>2072.6539642733624</v>
          </cell>
          <cell r="V111">
            <v>2175.023903427505</v>
          </cell>
          <cell r="W111">
            <v>2233.3705409448407</v>
          </cell>
          <cell r="X111">
            <v>2340.3167311999641</v>
          </cell>
        </row>
        <row r="112">
          <cell r="A112" t="str">
            <v>Total Assets</v>
          </cell>
          <cell r="B112" t="str">
            <v>$m</v>
          </cell>
          <cell r="C112">
            <v>0</v>
          </cell>
          <cell r="D112">
            <v>181.34899999999999</v>
          </cell>
          <cell r="E112">
            <v>180.71700000000001</v>
          </cell>
          <cell r="F112">
            <v>175.71899999999999</v>
          </cell>
          <cell r="G112">
            <v>562.6</v>
          </cell>
          <cell r="H112">
            <v>584.32599999999991</v>
          </cell>
          <cell r="I112">
            <v>521.01700000000005</v>
          </cell>
          <cell r="J112">
            <v>518.86500000000001</v>
          </cell>
          <cell r="K112">
            <v>517.67600000000004</v>
          </cell>
          <cell r="L112">
            <v>509.98500000000001</v>
          </cell>
          <cell r="M112">
            <v>770.70100000000002</v>
          </cell>
          <cell r="N112">
            <v>754.12999999999988</v>
          </cell>
          <cell r="O112">
            <v>1168.231</v>
          </cell>
          <cell r="P112">
            <v>1276.9000000000001</v>
          </cell>
          <cell r="Q112">
            <v>1715.9839999999997</v>
          </cell>
          <cell r="R112">
            <v>1834.4070000000002</v>
          </cell>
          <cell r="S112">
            <v>1901.271</v>
          </cell>
          <cell r="T112">
            <v>2178.8150000000001</v>
          </cell>
          <cell r="U112">
            <v>2385.4661261788697</v>
          </cell>
          <cell r="V112">
            <v>2469.3550002522525</v>
          </cell>
          <cell r="W112">
            <v>2558.9515255709134</v>
          </cell>
          <cell r="X112">
            <v>2646.4233806984971</v>
          </cell>
        </row>
        <row r="114">
          <cell r="A114" t="str">
            <v>Trade Creditors - Current</v>
          </cell>
          <cell r="B114" t="str">
            <v>$m</v>
          </cell>
          <cell r="C114">
            <v>0</v>
          </cell>
          <cell r="D114">
            <v>1.141</v>
          </cell>
          <cell r="E114">
            <v>0.21</v>
          </cell>
          <cell r="F114">
            <v>1.0209999999999999</v>
          </cell>
          <cell r="G114">
            <v>31.794</v>
          </cell>
          <cell r="H114">
            <v>45.497</v>
          </cell>
          <cell r="I114">
            <v>30.141999999999999</v>
          </cell>
          <cell r="J114">
            <v>46.417999999999999</v>
          </cell>
          <cell r="K114">
            <v>33.573999999999998</v>
          </cell>
          <cell r="L114">
            <v>38.192999999999998</v>
          </cell>
          <cell r="M114">
            <v>56.972999999999999</v>
          </cell>
          <cell r="N114">
            <v>87.831999999999994</v>
          </cell>
          <cell r="O114">
            <v>79.072000000000003</v>
          </cell>
          <cell r="P114">
            <v>120.194</v>
          </cell>
          <cell r="Q114">
            <v>348.685</v>
          </cell>
          <cell r="R114">
            <v>128.702</v>
          </cell>
          <cell r="S114">
            <v>131.52000000000001</v>
          </cell>
          <cell r="T114">
            <v>110.321</v>
          </cell>
          <cell r="U114">
            <v>135.81999734260862</v>
          </cell>
          <cell r="V114">
            <v>138.37729035369085</v>
          </cell>
          <cell r="W114">
            <v>142.94678211687776</v>
          </cell>
          <cell r="X114">
            <v>145.62378430678956</v>
          </cell>
        </row>
        <row r="115">
          <cell r="A115" t="str">
            <v>Short Term Debt</v>
          </cell>
          <cell r="B115" t="str">
            <v>$m</v>
          </cell>
          <cell r="C115">
            <v>0</v>
          </cell>
          <cell r="D115">
            <v>0.115</v>
          </cell>
          <cell r="E115">
            <v>4.2000000000000003E-2</v>
          </cell>
          <cell r="F115">
            <v>7.2999999999999995E-2</v>
          </cell>
          <cell r="G115">
            <v>8.7739999999999991</v>
          </cell>
          <cell r="H115">
            <v>9.7170000000000005</v>
          </cell>
          <cell r="I115">
            <v>11.885</v>
          </cell>
          <cell r="J115">
            <v>19.684000000000001</v>
          </cell>
          <cell r="K115">
            <v>8.9290000000000003</v>
          </cell>
          <cell r="L115">
            <v>3.0720000000000001</v>
          </cell>
          <cell r="M115">
            <v>17.321000000000002</v>
          </cell>
          <cell r="N115">
            <v>15.359</v>
          </cell>
          <cell r="O115">
            <v>14.696999999999999</v>
          </cell>
          <cell r="P115">
            <v>14.739000000000001</v>
          </cell>
          <cell r="Q115">
            <v>16.292999999999999</v>
          </cell>
          <cell r="R115">
            <v>36.319000000000003</v>
          </cell>
          <cell r="S115">
            <v>32.133000000000003</v>
          </cell>
          <cell r="T115">
            <v>32.972999999999999</v>
          </cell>
          <cell r="U115">
            <v>32.972999999999999</v>
          </cell>
          <cell r="V115">
            <v>32.972999999999999</v>
          </cell>
          <cell r="W115">
            <v>32.972999999999999</v>
          </cell>
          <cell r="X115">
            <v>32.972999999999999</v>
          </cell>
        </row>
        <row r="116">
          <cell r="A116" t="str">
            <v>Provisions</v>
          </cell>
          <cell r="B116" t="str">
            <v>$m</v>
          </cell>
        </row>
        <row r="117">
          <cell r="A117" t="str">
            <v>Other Current Liabilities</v>
          </cell>
          <cell r="B117" t="str">
            <v>$m</v>
          </cell>
          <cell r="C117">
            <v>0</v>
          </cell>
          <cell r="D117">
            <v>3.0659999999999998</v>
          </cell>
          <cell r="E117">
            <v>5.0350000000000001</v>
          </cell>
          <cell r="F117">
            <v>3.3489999999999993</v>
          </cell>
          <cell r="G117">
            <v>35.817999999999998</v>
          </cell>
          <cell r="H117">
            <v>33.871000000000009</v>
          </cell>
          <cell r="I117">
            <v>24.819000000000006</v>
          </cell>
          <cell r="J117">
            <v>15.139000000000003</v>
          </cell>
          <cell r="K117">
            <v>13.401999999999994</v>
          </cell>
          <cell r="L117">
            <v>14.126000000000005</v>
          </cell>
          <cell r="M117">
            <v>59.33799999999998</v>
          </cell>
          <cell r="N117">
            <v>48.697999999999979</v>
          </cell>
          <cell r="O117">
            <v>47.245999999999981</v>
          </cell>
          <cell r="P117">
            <v>117.33499999999999</v>
          </cell>
          <cell r="Q117">
            <v>71.978999999999985</v>
          </cell>
          <cell r="R117">
            <v>56.596000000000004</v>
          </cell>
          <cell r="S117">
            <v>54.679000000000002</v>
          </cell>
          <cell r="T117">
            <v>67.828000000000003</v>
          </cell>
          <cell r="U117">
            <v>67.828000000000003</v>
          </cell>
          <cell r="V117">
            <v>67.828000000000031</v>
          </cell>
          <cell r="W117">
            <v>67.828000000000003</v>
          </cell>
          <cell r="X117">
            <v>67.828000000000031</v>
          </cell>
        </row>
        <row r="118">
          <cell r="A118" t="str">
            <v>Total Current Liabilities</v>
          </cell>
          <cell r="B118" t="str">
            <v>$m</v>
          </cell>
          <cell r="C118">
            <v>0</v>
          </cell>
          <cell r="D118">
            <v>4.3220000000000001</v>
          </cell>
          <cell r="E118">
            <v>5.2869999999999999</v>
          </cell>
          <cell r="F118">
            <v>4.4429999999999996</v>
          </cell>
          <cell r="G118">
            <v>76.385999999999996</v>
          </cell>
          <cell r="H118">
            <v>89.085000000000008</v>
          </cell>
          <cell r="I118">
            <v>66.846000000000004</v>
          </cell>
          <cell r="J118">
            <v>81.241</v>
          </cell>
          <cell r="K118">
            <v>55.904999999999994</v>
          </cell>
          <cell r="L118">
            <v>55.391000000000005</v>
          </cell>
          <cell r="M118">
            <v>133.63199999999998</v>
          </cell>
          <cell r="N118">
            <v>151.88899999999998</v>
          </cell>
          <cell r="O118">
            <v>141.01499999999999</v>
          </cell>
          <cell r="P118">
            <v>252.268</v>
          </cell>
          <cell r="Q118">
            <v>436.95699999999999</v>
          </cell>
          <cell r="R118">
            <v>221.61700000000002</v>
          </cell>
          <cell r="S118">
            <v>218.33200000000002</v>
          </cell>
          <cell r="T118">
            <v>211.12199999999999</v>
          </cell>
          <cell r="U118">
            <v>236.6209973426086</v>
          </cell>
          <cell r="V118">
            <v>239.17829035369087</v>
          </cell>
          <cell r="W118">
            <v>243.74778211687774</v>
          </cell>
          <cell r="X118">
            <v>246.42478430678958</v>
          </cell>
        </row>
        <row r="119">
          <cell r="A119" t="str">
            <v>Trade Creditors - Non Current</v>
          </cell>
          <cell r="B119" t="str">
            <v>$m</v>
          </cell>
        </row>
        <row r="120">
          <cell r="A120" t="str">
            <v>Long Term Debt</v>
          </cell>
          <cell r="B120" t="str">
            <v>$m</v>
          </cell>
          <cell r="C120">
            <v>0</v>
          </cell>
          <cell r="D120">
            <v>0.11</v>
          </cell>
          <cell r="E120">
            <v>8.8999999999999996E-2</v>
          </cell>
          <cell r="F120">
            <v>0.10299999999999999</v>
          </cell>
          <cell r="G120">
            <v>207.77699999999999</v>
          </cell>
          <cell r="H120">
            <v>243.62299999999999</v>
          </cell>
          <cell r="I120">
            <v>226.363</v>
          </cell>
          <cell r="J120">
            <v>224.97</v>
          </cell>
          <cell r="K120">
            <v>222.84899999999999</v>
          </cell>
          <cell r="L120">
            <v>197.649</v>
          </cell>
          <cell r="M120">
            <v>158.66999999999999</v>
          </cell>
          <cell r="N120">
            <v>102.146</v>
          </cell>
          <cell r="O120">
            <v>37.713000000000001</v>
          </cell>
          <cell r="P120">
            <v>65.096000000000004</v>
          </cell>
          <cell r="Q120">
            <v>55.046999999999997</v>
          </cell>
          <cell r="R120">
            <v>288.84300000000002</v>
          </cell>
          <cell r="S120">
            <v>296.14100000000002</v>
          </cell>
          <cell r="T120">
            <v>530.41700000000003</v>
          </cell>
          <cell r="U120">
            <v>232.3874127829651</v>
          </cell>
          <cell r="V120">
            <v>245.17186052661475</v>
          </cell>
          <cell r="W120">
            <v>252.98805613497882</v>
          </cell>
          <cell r="X120">
            <v>266.05879274917703</v>
          </cell>
        </row>
        <row r="121">
          <cell r="A121" t="str">
            <v>Convertible Debt</v>
          </cell>
          <cell r="B121" t="str">
            <v>$m</v>
          </cell>
        </row>
        <row r="122">
          <cell r="A122" t="str">
            <v>Provisions</v>
          </cell>
          <cell r="B122" t="str">
            <v>$m</v>
          </cell>
        </row>
        <row r="123">
          <cell r="A123" t="str">
            <v>Other Non Current Liabilities</v>
          </cell>
          <cell r="B123" t="str">
            <v>$m</v>
          </cell>
          <cell r="C123">
            <v>0</v>
          </cell>
          <cell r="D123">
            <v>-0.11</v>
          </cell>
          <cell r="E123">
            <v>-8.8999999999999996E-2</v>
          </cell>
          <cell r="F123">
            <v>-0.10299999999999999</v>
          </cell>
          <cell r="G123">
            <v>26.510999999999996</v>
          </cell>
          <cell r="H123">
            <v>20.711000000000013</v>
          </cell>
          <cell r="I123">
            <v>23.429000000000002</v>
          </cell>
          <cell r="J123">
            <v>20.281000000000006</v>
          </cell>
          <cell r="K123">
            <v>24.789999999999992</v>
          </cell>
          <cell r="L123">
            <v>25.610000000000014</v>
          </cell>
          <cell r="M123">
            <v>28.786000000000001</v>
          </cell>
          <cell r="N123">
            <v>32.202000000000012</v>
          </cell>
          <cell r="O123">
            <v>94.924000000000007</v>
          </cell>
          <cell r="P123">
            <v>39.399000000000001</v>
          </cell>
          <cell r="Q123">
            <v>40.83</v>
          </cell>
          <cell r="R123">
            <v>44.341999999999985</v>
          </cell>
          <cell r="S123">
            <v>47.483000000000004</v>
          </cell>
          <cell r="T123">
            <v>43.160999999999945</v>
          </cell>
          <cell r="U123">
            <v>83.990999999999985</v>
          </cell>
          <cell r="V123">
            <v>83.990999999999985</v>
          </cell>
          <cell r="W123">
            <v>83.990999999999985</v>
          </cell>
          <cell r="X123">
            <v>83.990999999999985</v>
          </cell>
        </row>
        <row r="124">
          <cell r="A124" t="str">
            <v>Total Non Current Liabilities</v>
          </cell>
          <cell r="B124" t="str">
            <v>$m</v>
          </cell>
          <cell r="C124">
            <v>0</v>
          </cell>
          <cell r="G124">
            <v>234.28799999999998</v>
          </cell>
          <cell r="H124">
            <v>264.334</v>
          </cell>
          <cell r="I124">
            <v>249.792</v>
          </cell>
          <cell r="J124">
            <v>245.251</v>
          </cell>
          <cell r="K124">
            <v>247.63899999999998</v>
          </cell>
          <cell r="L124">
            <v>223.25900000000001</v>
          </cell>
          <cell r="M124">
            <v>187.45599999999999</v>
          </cell>
          <cell r="N124">
            <v>134.34800000000001</v>
          </cell>
          <cell r="O124">
            <v>132.637</v>
          </cell>
          <cell r="P124">
            <v>104.495</v>
          </cell>
          <cell r="Q124">
            <v>95.876999999999995</v>
          </cell>
          <cell r="R124">
            <v>333.185</v>
          </cell>
          <cell r="S124">
            <v>343.62400000000002</v>
          </cell>
          <cell r="T124">
            <v>573.57799999999997</v>
          </cell>
          <cell r="U124">
            <v>316.37841278296509</v>
          </cell>
          <cell r="V124">
            <v>329.16286052661474</v>
          </cell>
          <cell r="W124">
            <v>336.9790561349788</v>
          </cell>
          <cell r="X124">
            <v>350.04979274917702</v>
          </cell>
        </row>
        <row r="125">
          <cell r="A125" t="str">
            <v>Total Liabilities</v>
          </cell>
          <cell r="B125" t="str">
            <v>$m</v>
          </cell>
          <cell r="C125">
            <v>0</v>
          </cell>
          <cell r="D125">
            <v>4.57</v>
          </cell>
          <cell r="E125">
            <v>5.53</v>
          </cell>
          <cell r="F125">
            <v>4.7619999999999996</v>
          </cell>
          <cell r="G125">
            <v>310.67399999999998</v>
          </cell>
          <cell r="H125">
            <v>353.41899999999998</v>
          </cell>
          <cell r="I125">
            <v>316.63800000000003</v>
          </cell>
          <cell r="J125">
            <v>326.49200000000002</v>
          </cell>
          <cell r="K125">
            <v>303.54399999999998</v>
          </cell>
          <cell r="L125">
            <v>278.65000000000003</v>
          </cell>
          <cell r="M125">
            <v>321.08799999999997</v>
          </cell>
          <cell r="N125">
            <v>286.23699999999997</v>
          </cell>
          <cell r="O125">
            <v>273.65199999999999</v>
          </cell>
          <cell r="P125">
            <v>356.76300000000003</v>
          </cell>
          <cell r="Q125">
            <v>532.83399999999995</v>
          </cell>
          <cell r="R125">
            <v>554.80200000000002</v>
          </cell>
          <cell r="S125">
            <v>561.95600000000002</v>
          </cell>
          <cell r="T125">
            <v>784.69999999999993</v>
          </cell>
          <cell r="U125">
            <v>552.99941012557372</v>
          </cell>
          <cell r="V125">
            <v>568.34115088030558</v>
          </cell>
          <cell r="W125">
            <v>580.72683825185652</v>
          </cell>
          <cell r="X125">
            <v>596.47457705596662</v>
          </cell>
        </row>
        <row r="127">
          <cell r="A127" t="str">
            <v>Shareholders Funds</v>
          </cell>
        </row>
        <row r="128">
          <cell r="A128" t="str">
            <v xml:space="preserve"> + Preference Capital</v>
          </cell>
          <cell r="B128" t="str">
            <v>$m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201.72900000000001</v>
          </cell>
          <cell r="N128">
            <v>200.95500000000001</v>
          </cell>
          <cell r="O128">
            <v>200.95400000000001</v>
          </cell>
          <cell r="P128">
            <v>200.95500000000001</v>
          </cell>
          <cell r="Q128">
            <v>200.95500000000001</v>
          </cell>
          <cell r="R128">
            <v>200.95500000000001</v>
          </cell>
          <cell r="S128">
            <v>200.95500000000001</v>
          </cell>
          <cell r="T128">
            <v>200.952</v>
          </cell>
          <cell r="U128">
            <v>575.952</v>
          </cell>
          <cell r="V128">
            <v>575.952</v>
          </cell>
          <cell r="W128">
            <v>575.952</v>
          </cell>
          <cell r="X128">
            <v>575.952</v>
          </cell>
        </row>
        <row r="129">
          <cell r="A129" t="str">
            <v xml:space="preserve"> + Ordinary Equity</v>
          </cell>
          <cell r="B129" t="str">
            <v>$m</v>
          </cell>
          <cell r="C129">
            <v>0</v>
          </cell>
          <cell r="D129">
            <v>19.492000000000001</v>
          </cell>
          <cell r="E129">
            <v>19.492000000000001</v>
          </cell>
          <cell r="F129">
            <v>19.468</v>
          </cell>
          <cell r="G129">
            <v>27.573</v>
          </cell>
          <cell r="H129">
            <v>27.576000000000001</v>
          </cell>
          <cell r="I129">
            <v>27.576000000000001</v>
          </cell>
          <cell r="J129">
            <v>232.00899999999999</v>
          </cell>
          <cell r="K129">
            <v>235.614</v>
          </cell>
          <cell r="L129">
            <v>236.54300000000001</v>
          </cell>
          <cell r="M129">
            <v>236.54400000000001</v>
          </cell>
          <cell r="N129">
            <v>238.22300000000001</v>
          </cell>
          <cell r="O129">
            <v>641.60899999999992</v>
          </cell>
          <cell r="P129">
            <v>642.05600000000004</v>
          </cell>
          <cell r="Q129">
            <v>900.04700000000003</v>
          </cell>
          <cell r="R129">
            <v>939.24700000000007</v>
          </cell>
          <cell r="S129">
            <v>941.69699999999989</v>
          </cell>
          <cell r="T129">
            <v>949.81899999999996</v>
          </cell>
          <cell r="U129">
            <v>949.81899999999996</v>
          </cell>
          <cell r="V129">
            <v>949.81899999999996</v>
          </cell>
          <cell r="W129">
            <v>949.81899999999996</v>
          </cell>
          <cell r="X129">
            <v>949.81899999999996</v>
          </cell>
        </row>
        <row r="130">
          <cell r="A130" t="str">
            <v>Reserves</v>
          </cell>
          <cell r="B130" t="str">
            <v>$m</v>
          </cell>
          <cell r="C130">
            <v>0</v>
          </cell>
          <cell r="D130">
            <v>138.601</v>
          </cell>
          <cell r="E130">
            <v>138.601</v>
          </cell>
          <cell r="F130">
            <v>133.65700000000001</v>
          </cell>
          <cell r="G130">
            <v>194.56200000000001</v>
          </cell>
          <cell r="H130">
            <v>191.13399999999999</v>
          </cell>
          <cell r="I130">
            <v>191.13399999999999</v>
          </cell>
          <cell r="J130">
            <v>12.112</v>
          </cell>
          <cell r="K130">
            <v>12.112</v>
          </cell>
          <cell r="L130">
            <v>10.525</v>
          </cell>
          <cell r="M130">
            <v>11.026</v>
          </cell>
          <cell r="N130">
            <v>10.456</v>
          </cell>
          <cell r="O130">
            <v>17.553999999999998</v>
          </cell>
          <cell r="P130">
            <v>17.489999999999998</v>
          </cell>
          <cell r="Q130">
            <v>17.472000000000001</v>
          </cell>
          <cell r="R130">
            <v>17.234000000000002</v>
          </cell>
          <cell r="S130">
            <v>17.236999999999998</v>
          </cell>
          <cell r="T130">
            <v>17.334</v>
          </cell>
          <cell r="U130">
            <v>17.334</v>
          </cell>
          <cell r="V130">
            <v>17.334</v>
          </cell>
          <cell r="W130">
            <v>17.334</v>
          </cell>
          <cell r="X130">
            <v>17.334</v>
          </cell>
        </row>
        <row r="131">
          <cell r="A131" t="str">
            <v>Retained Earnings</v>
          </cell>
          <cell r="B131" t="str">
            <v>$m</v>
          </cell>
          <cell r="C131">
            <v>0</v>
          </cell>
          <cell r="D131">
            <v>18.654</v>
          </cell>
          <cell r="E131">
            <v>17.094000000000001</v>
          </cell>
          <cell r="F131">
            <v>17.815000000000001</v>
          </cell>
          <cell r="G131">
            <v>29.402999999999999</v>
          </cell>
          <cell r="H131">
            <v>11.695</v>
          </cell>
          <cell r="I131">
            <v>-14.355</v>
          </cell>
          <cell r="J131">
            <v>-51.774999999999999</v>
          </cell>
          <cell r="K131">
            <v>-33.667999999999999</v>
          </cell>
          <cell r="L131">
            <v>-15.757</v>
          </cell>
          <cell r="M131">
            <v>0.30299999999999999</v>
          </cell>
          <cell r="N131">
            <v>18.248000000000001</v>
          </cell>
          <cell r="O131">
            <v>34.451000000000001</v>
          </cell>
          <cell r="P131">
            <v>48.218000000000004</v>
          </cell>
          <cell r="Q131">
            <v>64.677999999999997</v>
          </cell>
          <cell r="R131">
            <v>122.021</v>
          </cell>
          <cell r="S131">
            <v>170.40199999999999</v>
          </cell>
          <cell r="T131">
            <v>216.25200000000001</v>
          </cell>
          <cell r="U131">
            <v>280.13171605329558</v>
          </cell>
          <cell r="V131">
            <v>348.67884937194731</v>
          </cell>
          <cell r="W131">
            <v>425.88968731905686</v>
          </cell>
          <cell r="X131">
            <v>497.61380364253074</v>
          </cell>
        </row>
        <row r="132">
          <cell r="A132" t="str">
            <v>Minority Interests</v>
          </cell>
          <cell r="B132" t="str">
            <v>$m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0.38800000000000001</v>
          </cell>
          <cell r="H132">
            <v>0.502</v>
          </cell>
          <cell r="I132">
            <v>2.4E-2</v>
          </cell>
          <cell r="J132">
            <v>2.7E-2</v>
          </cell>
          <cell r="K132">
            <v>7.3999999999999996E-2</v>
          </cell>
          <cell r="L132">
            <v>2.4E-2</v>
          </cell>
          <cell r="M132">
            <v>1.0999999999999999E-2</v>
          </cell>
          <cell r="N132">
            <v>1.0999999999999999E-2</v>
          </cell>
          <cell r="O132">
            <v>1.0999999999999999E-2</v>
          </cell>
          <cell r="P132">
            <v>11.417999999999999</v>
          </cell>
          <cell r="Q132">
            <v>0</v>
          </cell>
          <cell r="R132">
            <v>0.15</v>
          </cell>
          <cell r="S132">
            <v>9.5549999999999997</v>
          </cell>
          <cell r="T132">
            <v>9.7579999999999991</v>
          </cell>
          <cell r="U132">
            <v>9.7579999999999991</v>
          </cell>
          <cell r="V132">
            <v>9.7579999999999991</v>
          </cell>
          <cell r="W132">
            <v>9.7579999999999991</v>
          </cell>
          <cell r="X132">
            <v>9.7579999999999991</v>
          </cell>
        </row>
        <row r="133">
          <cell r="A133" t="str">
            <v>Convertibles &amp; other</v>
          </cell>
          <cell r="B133" t="str">
            <v>$m</v>
          </cell>
        </row>
        <row r="134">
          <cell r="A134" t="str">
            <v>Total Shareholder Funds</v>
          </cell>
          <cell r="B134" t="str">
            <v>$m</v>
          </cell>
          <cell r="C134">
            <v>0</v>
          </cell>
          <cell r="D134">
            <v>176.74699999999999</v>
          </cell>
          <cell r="E134">
            <v>175.18699999999998</v>
          </cell>
          <cell r="F134">
            <v>170.94</v>
          </cell>
          <cell r="G134">
            <v>251.92600000000002</v>
          </cell>
          <cell r="H134">
            <v>230.90699999999998</v>
          </cell>
          <cell r="I134">
            <v>204.37899999999999</v>
          </cell>
          <cell r="J134">
            <v>192.37299999999996</v>
          </cell>
          <cell r="K134">
            <v>214.13200000000001</v>
          </cell>
          <cell r="L134">
            <v>231.33500000000001</v>
          </cell>
          <cell r="M134">
            <v>449.61300000000006</v>
          </cell>
          <cell r="N134">
            <v>467.89300000000003</v>
          </cell>
          <cell r="O134">
            <v>894.57899999999984</v>
          </cell>
          <cell r="P134">
            <v>920.13700000000006</v>
          </cell>
          <cell r="Q134">
            <v>1183.152</v>
          </cell>
          <cell r="R134">
            <v>1279.607</v>
          </cell>
          <cell r="S134">
            <v>1339.846</v>
          </cell>
          <cell r="T134">
            <v>1394.115</v>
          </cell>
          <cell r="U134">
            <v>1832.9947160532956</v>
          </cell>
          <cell r="V134">
            <v>1901.5418493719474</v>
          </cell>
          <cell r="W134">
            <v>1978.752687319057</v>
          </cell>
          <cell r="X134">
            <v>2050.4768036425307</v>
          </cell>
        </row>
        <row r="135">
          <cell r="S135">
            <v>1339.3150000000001</v>
          </cell>
        </row>
        <row r="137">
          <cell r="A137" t="str">
            <v>Fixed Costs</v>
          </cell>
          <cell r="B137" t="str">
            <v>$m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</row>
        <row r="138">
          <cell r="A138" t="str">
            <v>Variable Costs</v>
          </cell>
          <cell r="B138" t="str">
            <v>$m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40">
          <cell r="A140" t="str">
            <v>DRP Participation Rate</v>
          </cell>
          <cell r="B140" t="str">
            <v>$m</v>
          </cell>
        </row>
        <row r="141">
          <cell r="A141" t="str">
            <v>DRP Discount Rate</v>
          </cell>
          <cell r="B141" t="str">
            <v>$m</v>
          </cell>
        </row>
        <row r="142">
          <cell r="A142" t="str">
            <v>Interest Capitalised</v>
          </cell>
          <cell r="B142" t="str">
            <v>$m</v>
          </cell>
        </row>
        <row r="143">
          <cell r="A143" t="str">
            <v>Net Profit or Loss on FX</v>
          </cell>
          <cell r="B143" t="str">
            <v>$m</v>
          </cell>
        </row>
        <row r="144">
          <cell r="A144" t="str">
            <v>SGARA Revenue</v>
          </cell>
          <cell r="B144" t="str">
            <v>$m</v>
          </cell>
        </row>
        <row r="145">
          <cell r="A145" t="str">
            <v>EBIT ex SGARA</v>
          </cell>
          <cell r="B145" t="str">
            <v>$m</v>
          </cell>
        </row>
        <row r="146">
          <cell r="A146" t="str">
            <v>Tax effect on SGARA</v>
          </cell>
          <cell r="B146" t="str">
            <v>%</v>
          </cell>
        </row>
        <row r="147">
          <cell r="A147" t="str">
            <v>NPAT (adj ex SGARA)</v>
          </cell>
          <cell r="B147" t="str">
            <v>%</v>
          </cell>
        </row>
        <row r="149">
          <cell r="A149" t="str">
            <v>Divisonal Revenue/EBIT/Asset Mix</v>
          </cell>
        </row>
        <row r="150">
          <cell r="A150" t="str">
            <v>Revenue</v>
          </cell>
        </row>
        <row r="151">
          <cell r="A151" t="str">
            <v xml:space="preserve">  Divison 1</v>
          </cell>
        </row>
        <row r="152">
          <cell r="A152" t="str">
            <v xml:space="preserve">  Divison 2</v>
          </cell>
        </row>
        <row r="153">
          <cell r="A153" t="str">
            <v xml:space="preserve">  Divison 3</v>
          </cell>
        </row>
        <row r="154">
          <cell r="A154" t="str">
            <v xml:space="preserve">  Divison 4</v>
          </cell>
        </row>
        <row r="155">
          <cell r="A155" t="str">
            <v xml:space="preserve">  Divison 5</v>
          </cell>
        </row>
        <row r="156">
          <cell r="A156" t="str">
            <v xml:space="preserve">  Divison 6</v>
          </cell>
        </row>
        <row r="157">
          <cell r="A157" t="str">
            <v xml:space="preserve">  Divison 7</v>
          </cell>
        </row>
        <row r="158">
          <cell r="A158" t="str">
            <v xml:space="preserve">  Divison 8</v>
          </cell>
        </row>
        <row r="159">
          <cell r="A159" t="str">
            <v xml:space="preserve">  Divison 9</v>
          </cell>
        </row>
        <row r="160">
          <cell r="A160" t="str">
            <v xml:space="preserve">  Division Corporate/Overheads</v>
          </cell>
        </row>
        <row r="161">
          <cell r="A161" t="str">
            <v xml:space="preserve">  Discontinued</v>
          </cell>
        </row>
        <row r="162">
          <cell r="A162" t="str">
            <v>Total Revenue</v>
          </cell>
        </row>
        <row r="164">
          <cell r="A164" t="str">
            <v>EBIT</v>
          </cell>
        </row>
        <row r="165">
          <cell r="A165" t="str">
            <v xml:space="preserve">  Divison 1</v>
          </cell>
        </row>
        <row r="166">
          <cell r="A166" t="str">
            <v xml:space="preserve">  Divison 2</v>
          </cell>
        </row>
        <row r="167">
          <cell r="A167" t="str">
            <v xml:space="preserve">  Divison 3</v>
          </cell>
        </row>
        <row r="168">
          <cell r="A168" t="str">
            <v xml:space="preserve">  Divison 4</v>
          </cell>
        </row>
        <row r="169">
          <cell r="A169" t="str">
            <v xml:space="preserve">  Divison 5</v>
          </cell>
        </row>
        <row r="170">
          <cell r="A170" t="str">
            <v xml:space="preserve">  Divison 6</v>
          </cell>
        </row>
        <row r="171">
          <cell r="A171" t="str">
            <v xml:space="preserve">  Divison 7</v>
          </cell>
        </row>
        <row r="172">
          <cell r="A172" t="str">
            <v xml:space="preserve">  Divison 8</v>
          </cell>
        </row>
        <row r="173">
          <cell r="A173" t="str">
            <v xml:space="preserve">  Divison 9</v>
          </cell>
        </row>
        <row r="174">
          <cell r="A174" t="str">
            <v xml:space="preserve">  Division Corporate/Overheads</v>
          </cell>
        </row>
        <row r="175">
          <cell r="A175" t="str">
            <v xml:space="preserve">  Discontinued</v>
          </cell>
        </row>
        <row r="176">
          <cell r="A176" t="str">
            <v>Total EBIT</v>
          </cell>
        </row>
        <row r="178">
          <cell r="A178" t="str">
            <v>Assets</v>
          </cell>
        </row>
        <row r="179">
          <cell r="A179" t="str">
            <v xml:space="preserve">  Divison 1</v>
          </cell>
        </row>
        <row r="180">
          <cell r="A180" t="str">
            <v xml:space="preserve">  Divison 2</v>
          </cell>
        </row>
        <row r="181">
          <cell r="A181" t="str">
            <v xml:space="preserve">  Divison 3</v>
          </cell>
        </row>
        <row r="182">
          <cell r="A182" t="str">
            <v xml:space="preserve">  Divison 4</v>
          </cell>
        </row>
        <row r="183">
          <cell r="A183" t="str">
            <v xml:space="preserve">  Divison 5</v>
          </cell>
        </row>
        <row r="184">
          <cell r="A184" t="str">
            <v xml:space="preserve">  Divison 6</v>
          </cell>
        </row>
        <row r="185">
          <cell r="A185" t="str">
            <v xml:space="preserve">  Divison 7</v>
          </cell>
        </row>
        <row r="186">
          <cell r="A186" t="str">
            <v xml:space="preserve">  Divison 8</v>
          </cell>
        </row>
        <row r="187">
          <cell r="A187" t="str">
            <v xml:space="preserve">  Divison 9</v>
          </cell>
        </row>
        <row r="188">
          <cell r="A188" t="str">
            <v xml:space="preserve">  Division Corporate/Overheads</v>
          </cell>
        </row>
        <row r="189">
          <cell r="A189" t="str">
            <v xml:space="preserve">  Dicontinued</v>
          </cell>
        </row>
        <row r="190">
          <cell r="A190" t="str">
            <v>Total Assets</v>
          </cell>
        </row>
        <row r="192">
          <cell r="A192" t="str">
            <v>Regional Revenue/EBIT/Asset Mix</v>
          </cell>
        </row>
        <row r="193">
          <cell r="A193" t="str">
            <v>Revenue</v>
          </cell>
        </row>
        <row r="194">
          <cell r="A194" t="str">
            <v xml:space="preserve">  Region 1</v>
          </cell>
        </row>
        <row r="195">
          <cell r="A195" t="str">
            <v xml:space="preserve">  Region 2</v>
          </cell>
        </row>
        <row r="196">
          <cell r="A196" t="str">
            <v xml:space="preserve">  Region 3</v>
          </cell>
        </row>
        <row r="197">
          <cell r="A197" t="str">
            <v xml:space="preserve">  Region 4</v>
          </cell>
        </row>
        <row r="198">
          <cell r="A198" t="str">
            <v xml:space="preserve">  Region 5</v>
          </cell>
        </row>
        <row r="199">
          <cell r="A199" t="str">
            <v xml:space="preserve">  Region 6</v>
          </cell>
        </row>
        <row r="200">
          <cell r="A200" t="str">
            <v xml:space="preserve">  Region 7</v>
          </cell>
        </row>
        <row r="201">
          <cell r="A201" t="str">
            <v xml:space="preserve">  Region 8</v>
          </cell>
        </row>
        <row r="202">
          <cell r="A202" t="str">
            <v xml:space="preserve">  Region 9</v>
          </cell>
        </row>
        <row r="203">
          <cell r="A203" t="str">
            <v xml:space="preserve">  Division Corporate/Overheads</v>
          </cell>
        </row>
        <row r="204">
          <cell r="A204" t="str">
            <v xml:space="preserve">  Dicontinued</v>
          </cell>
        </row>
        <row r="205">
          <cell r="A205" t="str">
            <v>Total Revenue</v>
          </cell>
        </row>
        <row r="207">
          <cell r="A207" t="str">
            <v>EBIT</v>
          </cell>
        </row>
        <row r="208">
          <cell r="A208" t="str">
            <v xml:space="preserve">  Region 1</v>
          </cell>
        </row>
        <row r="209">
          <cell r="A209" t="str">
            <v xml:space="preserve">  Region 2</v>
          </cell>
        </row>
        <row r="210">
          <cell r="A210" t="str">
            <v xml:space="preserve">  Region 3</v>
          </cell>
        </row>
        <row r="211">
          <cell r="A211" t="str">
            <v xml:space="preserve">  Region 4</v>
          </cell>
        </row>
        <row r="212">
          <cell r="A212" t="str">
            <v xml:space="preserve">  Region 5</v>
          </cell>
        </row>
        <row r="213">
          <cell r="A213" t="str">
            <v xml:space="preserve">  Region 6</v>
          </cell>
        </row>
        <row r="214">
          <cell r="A214" t="str">
            <v xml:space="preserve">  Region 7</v>
          </cell>
        </row>
        <row r="215">
          <cell r="A215" t="str">
            <v xml:space="preserve">  Region 8</v>
          </cell>
        </row>
        <row r="216">
          <cell r="A216" t="str">
            <v xml:space="preserve">  Region 9</v>
          </cell>
        </row>
        <row r="217">
          <cell r="A217" t="str">
            <v xml:space="preserve">  Division Corporate/Overheads</v>
          </cell>
        </row>
        <row r="218">
          <cell r="A218" t="str">
            <v xml:space="preserve">  Discontinued</v>
          </cell>
        </row>
        <row r="219">
          <cell r="A219" t="str">
            <v>Total EBIT</v>
          </cell>
        </row>
        <row r="221">
          <cell r="A221" t="str">
            <v>Assets</v>
          </cell>
        </row>
        <row r="222">
          <cell r="A222" t="str">
            <v xml:space="preserve">  Region 1</v>
          </cell>
        </row>
        <row r="223">
          <cell r="A223" t="str">
            <v xml:space="preserve">  Region 2</v>
          </cell>
        </row>
        <row r="224">
          <cell r="A224" t="str">
            <v xml:space="preserve">  Region 3</v>
          </cell>
        </row>
        <row r="225">
          <cell r="A225" t="str">
            <v xml:space="preserve">  Region 4</v>
          </cell>
        </row>
        <row r="226">
          <cell r="A226" t="str">
            <v xml:space="preserve">  Region 5</v>
          </cell>
        </row>
        <row r="227">
          <cell r="A227" t="str">
            <v xml:space="preserve">  Region 6</v>
          </cell>
        </row>
        <row r="228">
          <cell r="A228" t="str">
            <v xml:space="preserve">  Region 7</v>
          </cell>
        </row>
        <row r="229">
          <cell r="A229" t="str">
            <v xml:space="preserve">  Region 8</v>
          </cell>
        </row>
        <row r="230">
          <cell r="A230" t="str">
            <v xml:space="preserve">  Region 9</v>
          </cell>
        </row>
        <row r="231">
          <cell r="A231" t="str">
            <v xml:space="preserve">  Division Corporate/Overheads</v>
          </cell>
        </row>
        <row r="232">
          <cell r="A232" t="str">
            <v xml:space="preserve">  Discontinued</v>
          </cell>
        </row>
        <row r="233">
          <cell r="A233" t="str">
            <v>Total Assets</v>
          </cell>
        </row>
        <row r="236">
          <cell r="A236" t="str">
            <v>Off Balance sheet details &amp; other information</v>
          </cell>
        </row>
        <row r="237">
          <cell r="A237" t="str">
            <v xml:space="preserve">  Operating lease committements</v>
          </cell>
        </row>
        <row r="238">
          <cell r="A238" t="str">
            <v xml:space="preserve">  Superannuation Surplus/(Deficit)</v>
          </cell>
        </row>
        <row r="240">
          <cell r="A240" t="str">
            <v>Associates Companies Splits</v>
          </cell>
        </row>
        <row r="241">
          <cell r="A241" t="str">
            <v xml:space="preserve">  Company 1 PAT</v>
          </cell>
        </row>
        <row r="242">
          <cell r="A242" t="str">
            <v xml:space="preserve">  Company 2 PAT</v>
          </cell>
        </row>
        <row r="243">
          <cell r="A243" t="str">
            <v xml:space="preserve">  Company 3 PAT</v>
          </cell>
        </row>
        <row r="244">
          <cell r="A244" t="str">
            <v xml:space="preserve">  Company 4 PAT</v>
          </cell>
        </row>
        <row r="245">
          <cell r="A245" t="str">
            <v xml:space="preserve">  Company 5 PAT</v>
          </cell>
        </row>
        <row r="246">
          <cell r="A246" t="str">
            <v xml:space="preserve">  Company 6 PAT</v>
          </cell>
        </row>
        <row r="247">
          <cell r="A247" t="str">
            <v xml:space="preserve">  Company 7 PAT</v>
          </cell>
        </row>
        <row r="248">
          <cell r="A248" t="str">
            <v xml:space="preserve">  Company 8 PAT</v>
          </cell>
        </row>
        <row r="249">
          <cell r="A249" t="str">
            <v xml:space="preserve">  Company 9 PAT</v>
          </cell>
        </row>
        <row r="250">
          <cell r="A250" t="str">
            <v xml:space="preserve">  Company 10 PAT</v>
          </cell>
        </row>
        <row r="251">
          <cell r="A251" t="str">
            <v>Total Associated Company Profit after tax</v>
          </cell>
        </row>
        <row r="254">
          <cell r="A254" t="str">
            <v>Associates Accounts</v>
          </cell>
        </row>
        <row r="255">
          <cell r="A255" t="str">
            <v>sales</v>
          </cell>
        </row>
        <row r="256">
          <cell r="A256" t="str">
            <v>pat</v>
          </cell>
        </row>
        <row r="257">
          <cell r="A257" t="str">
            <v>total asset</v>
          </cell>
        </row>
        <row r="258">
          <cell r="A258" t="str">
            <v>debt</v>
          </cell>
        </row>
        <row r="259">
          <cell r="A259" t="str">
            <v>other liabilites</v>
          </cell>
        </row>
        <row r="260">
          <cell r="A260" t="str">
            <v>equity (investment)</v>
          </cell>
        </row>
        <row r="261">
          <cell r="A261" t="str">
            <v>Associated Company Dividends</v>
          </cell>
          <cell r="B261" t="str">
            <v>$m</v>
          </cell>
        </row>
        <row r="266">
          <cell r="A266" t="str">
            <v>NPV</v>
          </cell>
          <cell r="B266" t="str">
            <v>$/Share</v>
          </cell>
          <cell r="C266">
            <v>8.030904468405288E-2</v>
          </cell>
        </row>
        <row r="267">
          <cell r="A267" t="str">
            <v>Interest sensitivity</v>
          </cell>
          <cell r="B267" t="str">
            <v>¢</v>
          </cell>
          <cell r="C267">
            <v>0</v>
          </cell>
        </row>
        <row r="268">
          <cell r="A268" t="str">
            <v>FX sensitivity</v>
          </cell>
          <cell r="B268" t="str">
            <v>¢</v>
          </cell>
          <cell r="C268">
            <v>0</v>
          </cell>
        </row>
        <row r="271">
          <cell r="B271" t="str">
            <v>Lang Corporation remains one of our key investment stocks due to earnings certainty and duopolistic business environment dynamics</v>
          </cell>
        </row>
        <row r="272">
          <cell r="B272" t="str">
            <v>Volume growth in containerisation and terminal optimisation programs remain the top line driver, whilst margin expansion will occur with greater capital utilisation</v>
          </cell>
        </row>
        <row r="273">
          <cell r="B273" t="str">
            <v>Backward integration up the logistics solution channel and further value add services to key clients is only just beginning and will offset any maturing of the broader terminals business.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quityTemplate"/>
      <sheetName val="EquityTemplate_BK"/>
      <sheetName val="EconTemplate"/>
      <sheetName val="RowName"/>
      <sheetName val="AbsMandatory"/>
      <sheetName val="RowName_BK"/>
      <sheetName val="EqDDic_BK"/>
      <sheetName val="EqDDic"/>
      <sheetName val="EconDDic"/>
      <sheetName val="SectorRange"/>
      <sheetName val="Upg3Dialog"/>
      <sheetName val="ReplaceNameDlg"/>
      <sheetName val="ReplaceFormulaDlg"/>
      <sheetName val="NewItemDlg"/>
      <sheetName val="UpdateDlg"/>
      <sheetName val="UpgdDlg"/>
      <sheetName val="ErrorListDlg"/>
      <sheetName val="ddic"/>
    </sheetNames>
    <definedNames>
      <definedName name="Equity_Del_Item"/>
      <definedName name="Equity_Ins_Item"/>
      <definedName name="validate_Equity_Da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C"/>
      <sheetName val="Data"/>
    </sheetNames>
    <sheetDataSet>
      <sheetData sheetId="0" refreshError="1"/>
      <sheetData sheetId="1" refreshError="1">
        <row r="27">
          <cell r="F27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ionics"/>
      <sheetName val="FX Rates"/>
      <sheetName val="Airbus Gross Orders by Airline"/>
      <sheetName val="Airbus Ords &amp; Backlog- Aircraft"/>
      <sheetName val="Airbus Deliveries - Aircraft"/>
      <sheetName val="Airbus Orders&amp;Deliveries -Seats"/>
      <sheetName val="Airbus List Prices"/>
      <sheetName val="Aircraft DOC Analysis"/>
      <sheetName val="Noise Regulations"/>
      <sheetName val="Aircraft Families - Table"/>
      <sheetName val="JetFuelPrices vs AircraftOrders"/>
      <sheetName val="Air Route Distances"/>
      <sheetName val="Aircraft Families - List"/>
      <sheetName val="Boeing Gross Orders by Airline"/>
      <sheetName val="Boeing Ords &amp; Backlog- Aircraft"/>
      <sheetName val="Boeing Deliveries - Aircraft"/>
      <sheetName val="Boeing Orders&amp;Deliveries -Seats"/>
      <sheetName val="Boeing List Prices"/>
      <sheetName val="Gross New Orders vs SharePrices"/>
      <sheetName val="Net Orders Mkt. Share vs FX"/>
      <sheetName val="Net Order Charts"/>
      <sheetName val="Net Seat Order Charts"/>
      <sheetName val="Wide-Body Net Orders"/>
      <sheetName val="Major Customer Deliveries"/>
      <sheetName val="Aircraft Delivery Charts (Base)"/>
      <sheetName val="Seat Delivery Charts - (Base)"/>
      <sheetName val="Miscellaneous"/>
      <sheetName val="New Order Campaigns"/>
      <sheetName val="World Passenger Air Traffic"/>
      <sheetName val="World Commercial Aircraft Fleet"/>
      <sheetName val="A &amp; B Mkt. Forecast Changes"/>
      <sheetName val="World Comm. New Aircraft Market"/>
      <sheetName val="WorldRPK GrowthRates (20Y Ests)"/>
      <sheetName val="SUM"/>
      <sheetName val="Aircraft Delivery Charts - 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trak"/>
    </sheetNames>
    <definedNames>
      <definedName name="GotoAssumptions"/>
      <definedName name="GotoModel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C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2"/>
      <sheetName val="Quick_stats"/>
      <sheetName val="NPV"/>
      <sheetName val="P&amp;L"/>
      <sheetName val="Costs1"/>
      <sheetName val="Costs2"/>
      <sheetName val="Cap"/>
      <sheetName val="Plane"/>
      <sheetName val="FF Points"/>
      <sheetName val="Rev"/>
      <sheetName val="Dom"/>
      <sheetName val="Reg"/>
      <sheetName val="Inter"/>
      <sheetName val="AA"/>
      <sheetName val="Freight"/>
      <sheetName val="Dom Market"/>
      <sheetName val="InterPAX"/>
      <sheetName val="Subs"/>
      <sheetName val="Econ"/>
      <sheetName val="Chart1"/>
      <sheetName val="Chart data"/>
      <sheetName val="Strat"/>
      <sheetName val="Rob Officer New"/>
      <sheetName val="Cur"/>
      <sheetName val="CLSA"/>
    </sheetNames>
    <sheetDataSet>
      <sheetData sheetId="0" refreshError="1"/>
      <sheetData sheetId="1" refreshError="1"/>
      <sheetData sheetId="2" refreshError="1">
        <row r="28">
          <cell r="M28">
            <v>3.5000000000000003E-2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M &amp; Plus"/>
    </sheetNames>
    <definedNames>
      <definedName name="Module.GotoAssumptions"/>
      <definedName name="Module.GotoModel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96qtrly"/>
      <sheetName val="Quarterly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Forecast"/>
      <sheetName val="TimeTe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D OLD 030422(1)"/>
      <sheetName val="Download_KEP"/>
      <sheetName val="AsiaDB"/>
      <sheetName val="RNAV"/>
      <sheetName val="Sheet2"/>
      <sheetName val="P&amp;L,BS,CF"/>
      <sheetName val="Breakdown"/>
      <sheetName val="HarbourFront"/>
      <sheetName val="O&amp;M Orderbook"/>
      <sheetName val="Property charts"/>
      <sheetName val="Notes"/>
      <sheetName val="DCF"/>
      <sheetName val="EVA"/>
      <sheetName val="WACC"/>
      <sheetName val="MI"/>
      <sheetName val="Sheet1"/>
      <sheetName val="KHZ CONTRACTS"/>
      <sheetName val="SPC"/>
      <sheetName val="FELS RIGBLDG"/>
      <sheetName val="CF_BS"/>
      <sheetName val="Telok Blangah "/>
      <sheetName val="OLD EST"/>
      <sheetName val="shipyard"/>
      <sheetName val="others"/>
      <sheetName val="philippines"/>
      <sheetName val="dilution"/>
      <sheetName val="Forecasts"/>
      <sheetName val="Compco Betas"/>
      <sheetName val="interims"/>
      <sheetName val="DP sensitivity"/>
      <sheetName val="crossholdings"/>
      <sheetName val="Sheet15"/>
      <sheetName val="GRD-old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ax"/>
      <sheetName val="Philp"/>
      <sheetName val="I.K."/>
      <sheetName val="HBO"/>
      <sheetName val="Ratios"/>
      <sheetName val="C.F."/>
      <sheetName val="B.S."/>
      <sheetName val="G.mdl &amp; asst"/>
      <sheetName val="Interim"/>
      <sheetName val="Profit.M"/>
      <sheetName val="Tj"/>
      <sheetName val="YSTj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P&amp;L"/>
      <sheetName val=" debt_equity"/>
      <sheetName val="Input"/>
      <sheetName val="Revenue mix"/>
      <sheetName val="Cost per km"/>
      <sheetName val="Traffic Growth Chart"/>
      <sheetName val="Sheet1"/>
      <sheetName val="Database"/>
      <sheetName val="Chart1"/>
      <sheetName val="BGI"/>
      <sheetName val="Val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art1"/>
      <sheetName val="Chart2"/>
      <sheetName val="NPV"/>
      <sheetName val="P&amp;L"/>
      <sheetName val="Costs"/>
      <sheetName val="Macro Inputs"/>
      <sheetName val="Ports Business"/>
      <sheetName val="Container ports"/>
      <sheetName val="Assumptions"/>
      <sheetName val="Bulk ports"/>
      <sheetName val="Other"/>
      <sheetName val="Associates"/>
      <sheetName val="Pacific National"/>
      <sheetName val="Qld rail win"/>
      <sheetName val="Database"/>
      <sheetName val="PRK General stevedoring"/>
      <sheetName val="Patrick logistics"/>
    </sheetNames>
    <sheetDataSet>
      <sheetData sheetId="0" refreshError="1">
        <row r="1">
          <cell r="AA1">
            <v>8.24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holding strucutre"/>
      <sheetName val="cranes"/>
      <sheetName val="Sheet4"/>
      <sheetName val="Sheet1"/>
      <sheetName val="consolidation FY07 superseded 2"/>
      <sheetName val="consolidation FY07 superseded"/>
      <sheetName val="CHECKS PAGE"/>
      <sheetName val="offer price graph"/>
      <sheetName val="summary"/>
      <sheetName val="one-off costs"/>
      <sheetName val="consolidation FY06"/>
      <sheetName val="consolidation FY07"/>
      <sheetName val="consolidation FY08"/>
      <sheetName val="Break-up Valuation"/>
      <sheetName val="lonergan valuatio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N2">
            <v>14.07</v>
          </cell>
        </row>
        <row r="4">
          <cell r="N4">
            <v>1.8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HKE EVA"/>
      <sheetName val="Check Sums"/>
      <sheetName val="Page Sizes"/>
      <sheetName val="Collected data"/>
      <sheetName val="Page Details"/>
      <sheetName val="Sample Lay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New Essentials Page"/>
      <sheetName val="Break-up Value"/>
      <sheetName val="Divisional Margins"/>
      <sheetName val="CLSA"/>
      <sheetName val="Valuation"/>
      <sheetName val="DCF summary page"/>
      <sheetName val="straddles"/>
      <sheetName val="Model"/>
      <sheetName val="Segment"/>
      <sheetName val="Segnment information"/>
      <sheetName val="Download"/>
      <sheetName val="New Divisions"/>
      <sheetName val="presentation tables"/>
      <sheetName val="Adjusted PE"/>
      <sheetName val="MIFCo"/>
      <sheetName val="Segment Graphs"/>
      <sheetName val="Sheet1"/>
      <sheetName val="P&amp;O vs PRK costs"/>
      <sheetName val="PRK cost index graph"/>
      <sheetName val="P&amp;O vs PRK costs graph"/>
      <sheetName val="Chart4"/>
      <sheetName val="profit margin teu"/>
      <sheetName val="industry rev costs profit chart"/>
      <sheetName val="Results Snapshot"/>
      <sheetName val="Capital Structure &amp; Dil. "/>
      <sheetName val="Valuation Model"/>
      <sheetName val="Terminal Operating Costs"/>
      <sheetName val="Terminal Pricing Structure"/>
      <sheetName val="% Exp &amp; PV of Debt"/>
      <sheetName val="Post Tax WACC"/>
      <sheetName val="Lookups"/>
      <sheetName val="Variable Cost Structure"/>
      <sheetName val="Old Summary_MEL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.5"/>
  <sheetData>
    <row r="1" spans="1:2">
      <c r="B1" t="s">
        <v>49</v>
      </c>
    </row>
    <row r="2" spans="1:2"/>
    <row r="3" spans="1:2"/>
    <row r="4" spans="1: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49"/>
  <sheetViews>
    <sheetView showGridLines="0" tabSelected="1" zoomScale="70" zoomScaleNormal="70" workbookViewId="0">
      <pane xSplit="4" ySplit="4" topLeftCell="AN5" activePane="bottomRight" state="frozen"/>
      <selection pane="topRight" activeCell="E1" sqref="E1"/>
      <selection pane="bottomLeft" activeCell="A5" sqref="A5"/>
      <selection pane="bottomRight" activeCell="AX2" sqref="AX2"/>
    </sheetView>
  </sheetViews>
  <sheetFormatPr defaultRowHeight="12.5" outlineLevelCol="1"/>
  <cols>
    <col min="1" max="1" width="3.26953125" style="152" customWidth="1"/>
    <col min="2" max="2" width="3.54296875" style="1" customWidth="1"/>
    <col min="3" max="3" width="3.81640625" style="1" customWidth="1"/>
    <col min="4" max="4" width="15.453125" style="1" customWidth="1"/>
    <col min="5" max="5" width="9.1796875" style="1" hidden="1" customWidth="1"/>
    <col min="6" max="9" width="9.1796875" style="1" hidden="1" customWidth="1" outlineLevel="1"/>
    <col min="10" max="10" width="9.1796875" style="22" hidden="1" customWidth="1"/>
    <col min="11" max="14" width="9.1796875" style="1" hidden="1" customWidth="1" outlineLevel="1"/>
    <col min="15" max="15" width="9.1796875" style="1" hidden="1" customWidth="1"/>
    <col min="16" max="19" width="9.1796875" style="1" hidden="1" customWidth="1" outlineLevel="1"/>
    <col min="20" max="20" width="9.1796875" style="1" hidden="1" customWidth="1"/>
    <col min="21" max="21" width="9.26953125" style="1" hidden="1" customWidth="1" outlineLevel="1"/>
    <col min="22" max="24" width="9.1796875" style="1" hidden="1" customWidth="1" outlineLevel="1"/>
    <col min="25" max="25" width="9.1796875" style="1" hidden="1" customWidth="1"/>
    <col min="26" max="29" width="9.1796875" style="1" hidden="1" customWidth="1" outlineLevel="1"/>
    <col min="30" max="30" width="9.26953125" style="1" hidden="1" customWidth="1"/>
    <col min="31" max="34" width="9.1796875" style="1" hidden="1" customWidth="1" outlineLevel="1"/>
    <col min="35" max="35" width="9.26953125" style="1" hidden="1" customWidth="1"/>
    <col min="36" max="39" width="9.1796875" style="1" hidden="1" customWidth="1" outlineLevel="1"/>
    <col min="40" max="40" width="9.26953125" style="1" customWidth="1" collapsed="1"/>
    <col min="41" max="44" width="9.1796875" style="1" hidden="1" customWidth="1" outlineLevel="1"/>
    <col min="45" max="45" width="9.81640625" style="1" customWidth="1" collapsed="1"/>
    <col min="46" max="49" width="9.1796875" style="1" hidden="1" customWidth="1" outlineLevel="1"/>
    <col min="50" max="50" width="9.453125" style="1" bestFit="1" customWidth="1" collapsed="1"/>
    <col min="51" max="54" width="9.1796875" style="1" customWidth="1" outlineLevel="1"/>
    <col min="55" max="55" width="9.453125" style="1" bestFit="1" customWidth="1"/>
    <col min="56" max="59" width="8.7265625" customWidth="1" outlineLevel="1"/>
    <col min="60" max="60" width="9.1796875"/>
    <col min="61" max="64" width="8.7265625" outlineLevel="1"/>
    <col min="66" max="69" width="8.7265625" outlineLevel="1"/>
  </cols>
  <sheetData>
    <row r="1" spans="1:70" ht="15.5">
      <c r="A1" s="142" t="s">
        <v>55</v>
      </c>
      <c r="B1" s="7"/>
      <c r="C1" s="7"/>
      <c r="D1" s="7"/>
      <c r="E1" s="8"/>
      <c r="F1" s="7"/>
      <c r="G1" s="7"/>
      <c r="H1" s="7"/>
      <c r="I1" s="7"/>
      <c r="J1" s="7"/>
      <c r="K1" s="7"/>
      <c r="L1" s="7"/>
      <c r="M1" s="7"/>
      <c r="N1" s="7"/>
      <c r="O1" s="9"/>
      <c r="P1" s="7"/>
      <c r="Q1" s="7"/>
      <c r="R1" s="7"/>
      <c r="S1" s="7"/>
      <c r="T1" s="9"/>
      <c r="U1" s="7"/>
      <c r="V1" s="7"/>
      <c r="W1" s="7"/>
      <c r="X1" s="10"/>
      <c r="Y1" s="11">
        <f>+Y79</f>
        <v>0</v>
      </c>
      <c r="Z1" s="7"/>
      <c r="AA1" s="7"/>
      <c r="AB1" s="7"/>
      <c r="AC1" s="7"/>
      <c r="AD1" s="11"/>
      <c r="AE1" s="7"/>
      <c r="AF1" s="7"/>
      <c r="AG1" s="7"/>
      <c r="AH1" s="7"/>
      <c r="AI1" s="11"/>
      <c r="AJ1" s="7"/>
      <c r="AK1" s="7"/>
      <c r="AL1" s="7"/>
      <c r="AM1" s="7"/>
      <c r="AN1" s="11"/>
      <c r="AO1" s="7"/>
      <c r="AP1" s="7"/>
      <c r="AQ1" s="7"/>
      <c r="AR1" s="7"/>
      <c r="AS1" s="11"/>
      <c r="AT1" s="7"/>
      <c r="AU1" s="7"/>
      <c r="AV1" s="7"/>
      <c r="AW1" s="7"/>
      <c r="AX1" s="11" t="s">
        <v>152</v>
      </c>
      <c r="AY1" s="7"/>
      <c r="AZ1" s="7"/>
      <c r="BA1" s="7"/>
      <c r="BB1" s="7"/>
      <c r="BC1" s="11"/>
      <c r="BD1" s="7"/>
      <c r="BE1" s="7"/>
      <c r="BF1" s="7"/>
      <c r="BG1" s="7"/>
      <c r="BH1" s="11"/>
      <c r="BI1" s="7"/>
      <c r="BJ1" s="7"/>
      <c r="BK1" s="7"/>
      <c r="BL1" s="7"/>
      <c r="BM1" s="11"/>
      <c r="BN1" s="7"/>
      <c r="BO1" s="7"/>
      <c r="BP1" s="7"/>
      <c r="BQ1" s="7"/>
      <c r="BR1" s="11"/>
    </row>
    <row r="2" spans="1:70">
      <c r="A2" s="143" t="s">
        <v>27</v>
      </c>
      <c r="B2" s="12"/>
      <c r="C2" s="12"/>
      <c r="D2" s="13"/>
      <c r="E2" s="8"/>
      <c r="F2" s="14">
        <v>40268</v>
      </c>
      <c r="G2" s="14">
        <f>EOMONTH(F2,3)</f>
        <v>40359</v>
      </c>
      <c r="H2" s="14">
        <f t="shared" ref="H2:I2" si="0">EOMONTH(G2,3)</f>
        <v>40451</v>
      </c>
      <c r="I2" s="14">
        <f t="shared" si="0"/>
        <v>40543</v>
      </c>
      <c r="J2" s="14"/>
      <c r="K2" s="14">
        <f>+EOMONTH(F2,12)</f>
        <v>40633</v>
      </c>
      <c r="L2" s="14">
        <f>+EOMONTH(G2,12)</f>
        <v>40724</v>
      </c>
      <c r="M2" s="14">
        <f>+EOMONTH(H2,12)</f>
        <v>40816</v>
      </c>
      <c r="N2" s="14">
        <f>+EOMONTH(I2,12)</f>
        <v>40908</v>
      </c>
      <c r="O2" s="15"/>
      <c r="P2" s="14">
        <f>+EOMONTH(K2,12)</f>
        <v>40999</v>
      </c>
      <c r="Q2" s="14">
        <f>+EOMONTH(L2,12)</f>
        <v>41090</v>
      </c>
      <c r="R2" s="14">
        <f>+EOMONTH(M2,12)</f>
        <v>41182</v>
      </c>
      <c r="S2" s="14">
        <f>+EOMONTH(N2,12)</f>
        <v>41274</v>
      </c>
      <c r="T2" s="15"/>
      <c r="U2" s="14">
        <f>+EOMONTH(P2,12)</f>
        <v>41364</v>
      </c>
      <c r="V2" s="14">
        <f>+EOMONTH(Q2,12)</f>
        <v>41455</v>
      </c>
      <c r="W2" s="14">
        <f>+EOMONTH(R2,12)</f>
        <v>41547</v>
      </c>
      <c r="X2" s="14">
        <f>+EOMONTH(S2,12)</f>
        <v>41639</v>
      </c>
      <c r="Y2" s="15">
        <f>+Y19-T19</f>
        <v>425.63299999999998</v>
      </c>
      <c r="Z2" s="14">
        <f>+EOMONTH(U2,12)</f>
        <v>41729</v>
      </c>
      <c r="AA2" s="14">
        <f>+EOMONTH(V2,12)</f>
        <v>41820</v>
      </c>
      <c r="AB2" s="14">
        <f>+EOMONTH(W2,12)</f>
        <v>41912</v>
      </c>
      <c r="AC2" s="14">
        <f>+EOMONTH(X2,12)</f>
        <v>42004</v>
      </c>
      <c r="AD2" s="324" t="e">
        <f>#REF!</f>
        <v>#REF!</v>
      </c>
      <c r="AE2" s="14">
        <f>+EOMONTH(Z2,12)</f>
        <v>42094</v>
      </c>
      <c r="AF2" s="14">
        <f>+EOMONTH(AA2,12)</f>
        <v>42185</v>
      </c>
      <c r="AG2" s="14">
        <f>+EOMONTH(X2,12)</f>
        <v>42004</v>
      </c>
      <c r="AH2" s="14">
        <f>+EOMONTH(AC2,12)</f>
        <v>42369</v>
      </c>
      <c r="AI2" s="324"/>
      <c r="AJ2" s="14">
        <f>+EOMONTH(AE2,12)</f>
        <v>42460</v>
      </c>
      <c r="AK2" s="14">
        <f>+EOMONTH(AF2,12)</f>
        <v>42551</v>
      </c>
      <c r="AL2" s="14">
        <f>+EOMONTH(AG2,12)</f>
        <v>42369</v>
      </c>
      <c r="AM2" s="14">
        <f>+EOMONTH(AH2,12)</f>
        <v>42735</v>
      </c>
      <c r="AN2" s="324"/>
      <c r="AO2" s="14">
        <f>+EOMONTH(AJ2,12)</f>
        <v>42825</v>
      </c>
      <c r="AP2" s="14">
        <f>+EOMONTH(AK2,12)</f>
        <v>42916</v>
      </c>
      <c r="AQ2" s="14">
        <f>+EOMONTH(AL2,12)</f>
        <v>42735</v>
      </c>
      <c r="AR2" s="14">
        <f>+EOMONTH(AM2,12)</f>
        <v>43100</v>
      </c>
      <c r="AS2" s="324" t="e">
        <f>#REF!</f>
        <v>#REF!</v>
      </c>
      <c r="AT2" s="14">
        <f>+EOMONTH(AO2,12)</f>
        <v>43190</v>
      </c>
      <c r="AU2" s="14">
        <f>+EOMONTH(AP2,12)</f>
        <v>43281</v>
      </c>
      <c r="AV2" s="14">
        <f>+EOMONTH(AQ2,12)</f>
        <v>43100</v>
      </c>
      <c r="AW2" s="14">
        <f>+EOMONTH(AR2,12)</f>
        <v>43465</v>
      </c>
      <c r="AX2" s="324" t="e">
        <f>#REF!</f>
        <v>#REF!</v>
      </c>
      <c r="AY2" s="14">
        <f>+EOMONTH(AT2,12)</f>
        <v>43555</v>
      </c>
      <c r="AZ2" s="14">
        <f>+EOMONTH(AU2,12)</f>
        <v>43646</v>
      </c>
      <c r="BA2" s="14">
        <f>+EOMONTH(AV2,12)</f>
        <v>43465</v>
      </c>
      <c r="BB2" s="14">
        <f>+EOMONTH(AW2,12)</f>
        <v>43830</v>
      </c>
      <c r="BC2" s="324"/>
      <c r="BD2" s="14">
        <f>+EOMONTH(AY2,12)</f>
        <v>43921</v>
      </c>
      <c r="BE2" s="14">
        <f>+EOMONTH(AZ2,12)</f>
        <v>44012</v>
      </c>
      <c r="BF2" s="14">
        <f>+EOMONTH(BA2,12)</f>
        <v>43830</v>
      </c>
      <c r="BG2" s="14">
        <f>+EOMONTH(BB2,12)</f>
        <v>44196</v>
      </c>
      <c r="BH2" s="324"/>
      <c r="BI2" s="14">
        <f>+EOMONTH(BD2,12)</f>
        <v>44286</v>
      </c>
      <c r="BJ2" s="14">
        <f>+EOMONTH(BE2,12)</f>
        <v>44377</v>
      </c>
      <c r="BK2" s="14">
        <f>+EOMONTH(BF2,12)</f>
        <v>44196</v>
      </c>
      <c r="BL2" s="14">
        <f>+EOMONTH(BG2,12)</f>
        <v>44561</v>
      </c>
      <c r="BM2" s="324"/>
      <c r="BN2" s="14">
        <f>+EOMONTH(BI2,12)</f>
        <v>44651</v>
      </c>
      <c r="BO2" s="14">
        <f>+EOMONTH(BJ2,12)</f>
        <v>44742</v>
      </c>
      <c r="BP2" s="14">
        <f>+EOMONTH(BK2,12)</f>
        <v>44561</v>
      </c>
      <c r="BQ2" s="14">
        <f>+EOMONTH(BL2,12)</f>
        <v>44926</v>
      </c>
      <c r="BR2" s="324"/>
    </row>
    <row r="3" spans="1:70">
      <c r="A3" s="143" t="s">
        <v>56</v>
      </c>
      <c r="B3" s="12"/>
      <c r="C3" s="12"/>
      <c r="D3" s="12"/>
      <c r="E3" s="57"/>
      <c r="F3" s="470">
        <v>2010</v>
      </c>
      <c r="G3" s="470"/>
      <c r="H3" s="470"/>
      <c r="I3" s="470"/>
      <c r="J3" s="19">
        <f>+F3</f>
        <v>2010</v>
      </c>
      <c r="K3" s="470">
        <v>2011</v>
      </c>
      <c r="L3" s="470"/>
      <c r="M3" s="470"/>
      <c r="N3" s="470"/>
      <c r="O3" s="19">
        <f>+K3</f>
        <v>2011</v>
      </c>
      <c r="P3" s="470">
        <v>2012</v>
      </c>
      <c r="Q3" s="470"/>
      <c r="R3" s="470"/>
      <c r="S3" s="470"/>
      <c r="T3" s="19">
        <f>+P3</f>
        <v>2012</v>
      </c>
      <c r="U3" s="470">
        <v>2013</v>
      </c>
      <c r="V3" s="470"/>
      <c r="W3" s="470"/>
      <c r="X3" s="470"/>
      <c r="Y3" s="19">
        <f>+U3</f>
        <v>2013</v>
      </c>
      <c r="Z3" s="470">
        <v>2014</v>
      </c>
      <c r="AA3" s="470"/>
      <c r="AB3" s="470"/>
      <c r="AC3" s="470"/>
      <c r="AD3" s="19">
        <f>+Z3</f>
        <v>2014</v>
      </c>
      <c r="AE3" s="470">
        <v>2015</v>
      </c>
      <c r="AF3" s="470"/>
      <c r="AG3" s="470"/>
      <c r="AH3" s="470"/>
      <c r="AI3" s="19">
        <f>+AE3</f>
        <v>2015</v>
      </c>
      <c r="AJ3" s="470">
        <v>2016</v>
      </c>
      <c r="AK3" s="470"/>
      <c r="AL3" s="470"/>
      <c r="AM3" s="470"/>
      <c r="AN3" s="19">
        <f>+AJ3</f>
        <v>2016</v>
      </c>
      <c r="AO3" s="470">
        <v>2017</v>
      </c>
      <c r="AP3" s="470"/>
      <c r="AQ3" s="470"/>
      <c r="AR3" s="470"/>
      <c r="AS3" s="19">
        <f>+AO3</f>
        <v>2017</v>
      </c>
      <c r="AT3" s="470">
        <v>2018</v>
      </c>
      <c r="AU3" s="470"/>
      <c r="AV3" s="470"/>
      <c r="AW3" s="470"/>
      <c r="AX3" s="19">
        <f>+AT3</f>
        <v>2018</v>
      </c>
      <c r="AY3" s="470">
        <v>2019</v>
      </c>
      <c r="AZ3" s="470"/>
      <c r="BA3" s="470"/>
      <c r="BB3" s="470"/>
      <c r="BC3" s="19">
        <f>+AY3</f>
        <v>2019</v>
      </c>
      <c r="BD3" s="470" t="s">
        <v>148</v>
      </c>
      <c r="BE3" s="470"/>
      <c r="BF3" s="470"/>
      <c r="BG3" s="470"/>
      <c r="BH3" s="19" t="str">
        <f>+BD3</f>
        <v>2020E</v>
      </c>
      <c r="BI3" s="470" t="s">
        <v>149</v>
      </c>
      <c r="BJ3" s="470"/>
      <c r="BK3" s="470"/>
      <c r="BL3" s="470"/>
      <c r="BM3" s="19" t="str">
        <f>+BI3</f>
        <v>2021E</v>
      </c>
      <c r="BN3" s="470" t="s">
        <v>150</v>
      </c>
      <c r="BO3" s="470"/>
      <c r="BP3" s="470"/>
      <c r="BQ3" s="470"/>
      <c r="BR3" s="19" t="str">
        <f>+BN3</f>
        <v>2022E</v>
      </c>
    </row>
    <row r="4" spans="1:70">
      <c r="A4" s="143" t="s">
        <v>28</v>
      </c>
      <c r="B4" s="12"/>
      <c r="C4" s="12"/>
      <c r="D4" s="12"/>
      <c r="E4" s="57"/>
      <c r="F4" s="20" t="s">
        <v>29</v>
      </c>
      <c r="G4" s="20" t="s">
        <v>30</v>
      </c>
      <c r="H4" s="20" t="s">
        <v>31</v>
      </c>
      <c r="I4" s="20" t="s">
        <v>32</v>
      </c>
      <c r="J4" s="21" t="s">
        <v>33</v>
      </c>
      <c r="K4" s="20" t="s">
        <v>29</v>
      </c>
      <c r="L4" s="20" t="s">
        <v>30</v>
      </c>
      <c r="M4" s="20" t="s">
        <v>31</v>
      </c>
      <c r="N4" s="20" t="s">
        <v>32</v>
      </c>
      <c r="O4" s="21" t="s">
        <v>33</v>
      </c>
      <c r="P4" s="20" t="s">
        <v>29</v>
      </c>
      <c r="Q4" s="20" t="s">
        <v>30</v>
      </c>
      <c r="R4" s="20" t="s">
        <v>31</v>
      </c>
      <c r="S4" s="20" t="s">
        <v>32</v>
      </c>
      <c r="T4" s="21" t="s">
        <v>33</v>
      </c>
      <c r="U4" s="20" t="s">
        <v>29</v>
      </c>
      <c r="V4" s="20" t="s">
        <v>34</v>
      </c>
      <c r="W4" s="20" t="s">
        <v>35</v>
      </c>
      <c r="X4" s="20" t="s">
        <v>36</v>
      </c>
      <c r="Y4" s="21" t="s">
        <v>33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29</v>
      </c>
      <c r="AF4" s="20" t="s">
        <v>30</v>
      </c>
      <c r="AG4" s="20" t="s">
        <v>31</v>
      </c>
      <c r="AH4" s="20" t="s">
        <v>32</v>
      </c>
      <c r="AI4" s="21" t="s">
        <v>33</v>
      </c>
      <c r="AJ4" s="20" t="s">
        <v>29</v>
      </c>
      <c r="AK4" s="20" t="s">
        <v>30</v>
      </c>
      <c r="AL4" s="20" t="s">
        <v>31</v>
      </c>
      <c r="AM4" s="20" t="s">
        <v>32</v>
      </c>
      <c r="AN4" s="21" t="s">
        <v>33</v>
      </c>
      <c r="AO4" s="20" t="s">
        <v>29</v>
      </c>
      <c r="AP4" s="20" t="s">
        <v>30</v>
      </c>
      <c r="AQ4" s="20" t="s">
        <v>31</v>
      </c>
      <c r="AR4" s="20" t="s">
        <v>32</v>
      </c>
      <c r="AS4" s="21" t="s">
        <v>33</v>
      </c>
      <c r="AT4" s="20" t="s">
        <v>29</v>
      </c>
      <c r="AU4" s="20" t="s">
        <v>30</v>
      </c>
      <c r="AV4" s="20" t="s">
        <v>31</v>
      </c>
      <c r="AW4" s="20" t="s">
        <v>32</v>
      </c>
      <c r="AX4" s="21" t="s">
        <v>33</v>
      </c>
      <c r="AY4" s="20" t="s">
        <v>29</v>
      </c>
      <c r="AZ4" s="20" t="s">
        <v>30</v>
      </c>
      <c r="BA4" s="20" t="s">
        <v>31</v>
      </c>
      <c r="BB4" s="20" t="s">
        <v>36</v>
      </c>
      <c r="BC4" s="21" t="s">
        <v>33</v>
      </c>
      <c r="BD4" s="20" t="s">
        <v>37</v>
      </c>
      <c r="BE4" s="20" t="s">
        <v>34</v>
      </c>
      <c r="BF4" s="20" t="s">
        <v>35</v>
      </c>
      <c r="BG4" s="20" t="s">
        <v>36</v>
      </c>
      <c r="BH4" s="21" t="s">
        <v>33</v>
      </c>
      <c r="BI4" s="20" t="s">
        <v>37</v>
      </c>
      <c r="BJ4" s="20" t="s">
        <v>34</v>
      </c>
      <c r="BK4" s="20" t="s">
        <v>35</v>
      </c>
      <c r="BL4" s="20" t="s">
        <v>36</v>
      </c>
      <c r="BM4" s="21" t="s">
        <v>33</v>
      </c>
      <c r="BN4" s="20" t="s">
        <v>37</v>
      </c>
      <c r="BO4" s="20" t="s">
        <v>34</v>
      </c>
      <c r="BP4" s="20" t="s">
        <v>35</v>
      </c>
      <c r="BQ4" s="20" t="s">
        <v>36</v>
      </c>
      <c r="BR4" s="21" t="s">
        <v>33</v>
      </c>
    </row>
    <row r="5" spans="1:70">
      <c r="A5" s="353" t="s">
        <v>103</v>
      </c>
      <c r="B5" s="2"/>
      <c r="C5" s="2"/>
      <c r="D5" s="2"/>
      <c r="E5" s="37"/>
      <c r="F5" s="25"/>
      <c r="G5" s="25"/>
      <c r="H5" s="25"/>
      <c r="I5" s="25"/>
      <c r="J5" s="115"/>
      <c r="K5" s="25"/>
      <c r="L5" s="25"/>
      <c r="M5" s="25"/>
      <c r="N5" s="25"/>
      <c r="O5" s="68"/>
      <c r="P5" s="25"/>
      <c r="Q5" s="25"/>
      <c r="R5" s="25"/>
      <c r="S5" s="25"/>
      <c r="T5" s="68"/>
      <c r="U5" s="25"/>
      <c r="V5" s="25"/>
      <c r="W5" s="25"/>
      <c r="X5" s="25"/>
      <c r="Y5" s="68"/>
      <c r="Z5" s="25"/>
      <c r="AA5" s="25"/>
      <c r="AB5" s="25"/>
      <c r="AC5" s="25"/>
      <c r="AD5" s="68"/>
      <c r="AE5" s="25"/>
      <c r="AF5" s="25"/>
      <c r="AG5" s="25"/>
      <c r="AH5" s="25"/>
      <c r="AI5" s="68"/>
      <c r="AJ5" s="25"/>
      <c r="AK5" s="25"/>
      <c r="AL5" s="25"/>
      <c r="AM5" s="25"/>
      <c r="AN5" s="68"/>
      <c r="AO5" s="25"/>
      <c r="AP5" s="25"/>
      <c r="AQ5" s="25"/>
      <c r="AR5" s="25"/>
      <c r="AS5" s="68"/>
      <c r="AT5" s="25"/>
      <c r="AU5" s="25"/>
      <c r="AV5" s="25"/>
      <c r="AW5" s="25"/>
      <c r="AX5" s="68"/>
      <c r="AY5" s="25"/>
      <c r="AZ5" s="25"/>
      <c r="BA5" s="25"/>
      <c r="BB5" s="25"/>
      <c r="BC5" s="68"/>
      <c r="BD5" s="25"/>
      <c r="BE5" s="25"/>
      <c r="BF5" s="25"/>
      <c r="BG5" s="25"/>
      <c r="BH5" s="68"/>
      <c r="BI5" s="25"/>
      <c r="BJ5" s="25"/>
      <c r="BK5" s="25"/>
      <c r="BL5" s="25"/>
      <c r="BM5" s="68"/>
      <c r="BN5" s="25"/>
      <c r="BO5" s="25"/>
      <c r="BP5" s="25"/>
      <c r="BQ5" s="25"/>
      <c r="BR5" s="68"/>
    </row>
    <row r="6" spans="1:70">
      <c r="A6" s="257" t="s">
        <v>104</v>
      </c>
      <c r="B6" s="2"/>
      <c r="C6" s="2"/>
      <c r="D6" s="2"/>
      <c r="E6" s="263"/>
      <c r="F6" s="69">
        <v>686.28399999999999</v>
      </c>
      <c r="G6" s="69">
        <v>663.15700000000004</v>
      </c>
      <c r="H6" s="69">
        <v>520.67100000000005</v>
      </c>
      <c r="I6" s="69">
        <f>J6-H6-G6-F6</f>
        <v>456.86800000000005</v>
      </c>
      <c r="J6" s="70">
        <v>2326.98</v>
      </c>
      <c r="K6" s="69">
        <v>440.42899999999997</v>
      </c>
      <c r="L6" s="69">
        <v>599.97699999999998</v>
      </c>
      <c r="M6" s="69">
        <v>567.67600000000004</v>
      </c>
      <c r="N6" s="69">
        <f>O6-M6-L6-K6</f>
        <v>343.94799999999987</v>
      </c>
      <c r="O6" s="70">
        <v>1952.03</v>
      </c>
      <c r="P6" s="69">
        <v>343.03899999999999</v>
      </c>
      <c r="Q6" s="69">
        <v>331.92399999999998</v>
      </c>
      <c r="R6" s="69">
        <v>391.53100000000001</v>
      </c>
      <c r="S6" s="69">
        <f>T6-R6-Q6-P6</f>
        <v>412.01400000000012</v>
      </c>
      <c r="T6" s="70">
        <v>1478.508</v>
      </c>
      <c r="U6" s="69">
        <v>425.11399999999998</v>
      </c>
      <c r="V6" s="69">
        <v>422.36599999999999</v>
      </c>
      <c r="W6" s="69">
        <v>352.01299999999998</v>
      </c>
      <c r="X6" s="69">
        <f>Y6-W6-V6-U6</f>
        <v>337.73400000000021</v>
      </c>
      <c r="Y6" s="70">
        <v>1537.2270000000001</v>
      </c>
      <c r="Z6" s="69">
        <v>311.315</v>
      </c>
      <c r="AA6" s="69">
        <v>390.35300000000001</v>
      </c>
      <c r="AB6" s="69">
        <v>420.404</v>
      </c>
      <c r="AC6" s="77">
        <v>436.35899999999998</v>
      </c>
      <c r="AD6" s="70">
        <f>SUM(Z6:AC6)</f>
        <v>1558.431</v>
      </c>
      <c r="AE6" s="77">
        <v>416.06299999999999</v>
      </c>
      <c r="AF6" s="77">
        <v>472.24700000000001</v>
      </c>
      <c r="AG6" s="77">
        <v>506.25900000000001</v>
      </c>
      <c r="AH6" s="77">
        <v>505.92399999999998</v>
      </c>
      <c r="AI6" s="418">
        <f>+SUM(AE6:AH6)</f>
        <v>1900.4929999999999</v>
      </c>
      <c r="AJ6" s="77">
        <v>487.99400000000003</v>
      </c>
      <c r="AK6" s="77">
        <v>523.52099999999996</v>
      </c>
      <c r="AL6" s="77">
        <v>560.79499999999996</v>
      </c>
      <c r="AM6" s="77">
        <v>551.80100000000004</v>
      </c>
      <c r="AN6" s="444">
        <f>+SUM(AJ6:AM6)</f>
        <v>2124.1109999999999</v>
      </c>
      <c r="AO6" s="77">
        <v>515.25099999999998</v>
      </c>
      <c r="AP6" s="77">
        <v>508.76900000000001</v>
      </c>
      <c r="AQ6" s="77">
        <v>500.42</v>
      </c>
      <c r="AR6" s="359">
        <v>462.50099999999998</v>
      </c>
      <c r="AS6" s="444">
        <f>+SUM(AO6:AR6)</f>
        <v>1986.941</v>
      </c>
      <c r="AT6" s="69">
        <v>490.61700000000002</v>
      </c>
      <c r="AU6" s="69">
        <v>447.97500000000002</v>
      </c>
      <c r="AV6" s="69">
        <v>457.30399999999997</v>
      </c>
      <c r="AW6" s="69">
        <v>471.00599999999986</v>
      </c>
      <c r="AX6" s="444">
        <f>+SUM(AT6:AW6)</f>
        <v>1866.902</v>
      </c>
      <c r="AY6" s="69">
        <v>436.24299999999999</v>
      </c>
      <c r="AZ6" s="69">
        <v>433.55900000000003</v>
      </c>
      <c r="BA6" s="69">
        <v>421.24099999999999</v>
      </c>
      <c r="BB6" s="466">
        <f>AX6*BB81</f>
        <v>517.08346934555107</v>
      </c>
      <c r="BC6" s="325">
        <f>Backlog!W35</f>
        <v>1822.4582488451454</v>
      </c>
      <c r="BD6" s="69">
        <f>$BC6*BD81</f>
        <v>388.89198155341086</v>
      </c>
      <c r="BE6" s="69">
        <f>$BC6*BE81</f>
        <v>457.09044188387287</v>
      </c>
      <c r="BF6" s="69">
        <f>$BC6*BF81</f>
        <v>466.79635404128561</v>
      </c>
      <c r="BG6" s="69">
        <f>$BC6*BG81</f>
        <v>509.67947136657602</v>
      </c>
      <c r="BH6" s="325">
        <f>Backlog!X35</f>
        <v>1988.2877423277362</v>
      </c>
      <c r="BI6" s="69">
        <f>$BC6*BI81</f>
        <v>381.44192893639359</v>
      </c>
      <c r="BJ6" s="69">
        <f>$BC6*BJ81</f>
        <v>459.06958406461769</v>
      </c>
      <c r="BK6" s="69">
        <f>$BC6*BK81</f>
        <v>463.20682843714769</v>
      </c>
      <c r="BL6" s="69">
        <f>$BC6*BL81</f>
        <v>518.73990740698628</v>
      </c>
      <c r="BM6" s="325">
        <f>Backlog!Y35</f>
        <v>2040.4516205187542</v>
      </c>
      <c r="BN6" s="69">
        <f>$BC6*BN81</f>
        <v>358.65302535887122</v>
      </c>
      <c r="BO6" s="69">
        <f>$BC6*BO81</f>
        <v>457.17394620021196</v>
      </c>
      <c r="BP6" s="69">
        <f>$BC6*BP81</f>
        <v>464.25996514511326</v>
      </c>
      <c r="BQ6" s="69">
        <f>$BC6*BQ81</f>
        <v>542.37131214094893</v>
      </c>
      <c r="BR6" s="325">
        <f>Backlog!Z35</f>
        <v>2053.820236284223</v>
      </c>
    </row>
    <row r="7" spans="1:70">
      <c r="A7" s="257" t="s">
        <v>105</v>
      </c>
      <c r="B7" s="2"/>
      <c r="C7" s="2"/>
      <c r="D7" s="2"/>
      <c r="E7" s="263"/>
      <c r="F7" s="69">
        <v>124.66</v>
      </c>
      <c r="G7" s="69">
        <v>197.43100000000001</v>
      </c>
      <c r="H7" s="69">
        <v>169.88</v>
      </c>
      <c r="I7" s="69">
        <f>J7-H7-G7-F7</f>
        <v>175.73299999999992</v>
      </c>
      <c r="J7" s="70">
        <v>667.70399999999995</v>
      </c>
      <c r="K7" s="69">
        <v>128.82499999999999</v>
      </c>
      <c r="L7" s="69">
        <v>141.44200000000001</v>
      </c>
      <c r="M7" s="69">
        <v>281.35500000000002</v>
      </c>
      <c r="N7" s="69">
        <f t="shared" ref="N7:N10" si="1">O7-M7-L7-K7</f>
        <v>345.27399999999994</v>
      </c>
      <c r="O7" s="70">
        <v>896.89599999999996</v>
      </c>
      <c r="P7" s="69">
        <v>250.589</v>
      </c>
      <c r="Q7" s="69">
        <v>327.072</v>
      </c>
      <c r="R7" s="69">
        <v>350.54199999999997</v>
      </c>
      <c r="S7" s="69">
        <f t="shared" ref="S7:S9" si="2">T7-R7-Q7-P7</f>
        <v>362.40699999999998</v>
      </c>
      <c r="T7" s="70">
        <v>1290.6099999999999</v>
      </c>
      <c r="U7" s="69">
        <v>283.97500000000002</v>
      </c>
      <c r="V7" s="69">
        <v>332.22300000000001</v>
      </c>
      <c r="W7" s="69">
        <v>379.76499999999999</v>
      </c>
      <c r="X7" s="69">
        <f t="shared" ref="X7:X9" si="3">Y7-W7-V7-U7</f>
        <v>427.80900000000008</v>
      </c>
      <c r="Y7" s="70">
        <v>1423.7719999999999</v>
      </c>
      <c r="Z7" s="69">
        <v>376.392</v>
      </c>
      <c r="AA7" s="69">
        <v>398.12299999999999</v>
      </c>
      <c r="AB7" s="69">
        <v>496.142</v>
      </c>
      <c r="AC7" s="77">
        <v>459.81099999999998</v>
      </c>
      <c r="AD7" s="70">
        <f t="shared" ref="AD7:AD10" si="4">SUM(Z7:AC7)</f>
        <v>1730.4679999999998</v>
      </c>
      <c r="AE7" s="77">
        <v>392.87599999999998</v>
      </c>
      <c r="AF7" s="77">
        <v>573.36</v>
      </c>
      <c r="AG7" s="77">
        <v>604.31700000000001</v>
      </c>
      <c r="AH7" s="77">
        <v>434.64</v>
      </c>
      <c r="AI7" s="418">
        <f t="shared" ref="AI7:AI10" si="5">+SUM(AE7:AH7)</f>
        <v>2005.1929999999998</v>
      </c>
      <c r="AJ7" s="77">
        <v>367.50099999999998</v>
      </c>
      <c r="AK7" s="77">
        <v>465.70699999999999</v>
      </c>
      <c r="AL7" s="77">
        <v>506.1</v>
      </c>
      <c r="AM7" s="77">
        <v>452.327</v>
      </c>
      <c r="AN7" s="444">
        <f t="shared" ref="AN7:AN10" si="6">+SUM(AJ7:AM7)</f>
        <v>1791.635</v>
      </c>
      <c r="AO7" s="77">
        <v>338.108</v>
      </c>
      <c r="AP7" s="77">
        <v>538.55200000000002</v>
      </c>
      <c r="AQ7" s="77">
        <v>458.48700000000002</v>
      </c>
      <c r="AR7" s="359">
        <v>492.31400000000002</v>
      </c>
      <c r="AS7" s="444">
        <f t="shared" ref="AS7:AS10" si="7">+SUM(AO7:AR7)</f>
        <v>1827.4610000000002</v>
      </c>
      <c r="AT7" s="69">
        <v>325.39999999999998</v>
      </c>
      <c r="AU7" s="69">
        <v>461.61399999999998</v>
      </c>
      <c r="AV7" s="69">
        <v>479.58100000000002</v>
      </c>
      <c r="AW7" s="69">
        <v>543.63700000000017</v>
      </c>
      <c r="AX7" s="444">
        <f t="shared" ref="AX7:AX10" si="8">+SUM(AT7:AW7)</f>
        <v>1810.232</v>
      </c>
      <c r="AY7" s="69">
        <v>383.62200000000001</v>
      </c>
      <c r="AZ7" s="69">
        <v>541.11699999999996</v>
      </c>
      <c r="BA7" s="69">
        <v>591.88400000000001</v>
      </c>
      <c r="BB7" s="466">
        <f>AX7*BB82</f>
        <v>469.37366335261032</v>
      </c>
      <c r="BC7" s="325">
        <f>Backlog!W33</f>
        <v>3021.1948506904646</v>
      </c>
      <c r="BD7" s="69">
        <f>$BC7*BD82</f>
        <v>546.95096232661388</v>
      </c>
      <c r="BE7" s="69">
        <f>$BC7*BE82</f>
        <v>830.33825819605568</v>
      </c>
      <c r="BF7" s="69">
        <f>$BC7*BF82</f>
        <v>828.41794448925134</v>
      </c>
      <c r="BG7" s="69">
        <f>$BC7*BG82</f>
        <v>815.48768567854347</v>
      </c>
      <c r="BH7" s="325">
        <f>Backlog!X33</f>
        <v>3555.3497981129676</v>
      </c>
      <c r="BI7" s="69">
        <f>$BC7*BI82</f>
        <v>528.76148156803958</v>
      </c>
      <c r="BJ7" s="69">
        <f>$BC7*BJ82</f>
        <v>841.59494481087745</v>
      </c>
      <c r="BK7" s="69">
        <f>$BC7*BK82</f>
        <v>822.16609492733664</v>
      </c>
      <c r="BL7" s="69">
        <f>$BC7*BL82</f>
        <v>828.67232938421091</v>
      </c>
      <c r="BM7" s="325">
        <f>Backlog!Y33</f>
        <v>4586.0774010206669</v>
      </c>
      <c r="BN7" s="69">
        <f>$BC7*BN82</f>
        <v>521.21013536838859</v>
      </c>
      <c r="BO7" s="69">
        <f>$BC7*BO82</f>
        <v>829.40746313684747</v>
      </c>
      <c r="BP7" s="69">
        <f>$BC7*BP82</f>
        <v>838.21266315690309</v>
      </c>
      <c r="BQ7" s="69">
        <f>$BC7*BQ82</f>
        <v>832.36458902832544</v>
      </c>
      <c r="BR7" s="325">
        <f>Backlog!Z33</f>
        <v>5582.3667070732536</v>
      </c>
    </row>
    <row r="8" spans="1:70">
      <c r="A8" s="257" t="s">
        <v>110</v>
      </c>
      <c r="B8" s="2"/>
      <c r="C8" s="2"/>
      <c r="D8" s="2"/>
      <c r="E8" s="263"/>
      <c r="F8" s="69"/>
      <c r="G8" s="69"/>
      <c r="H8" s="69"/>
      <c r="I8" s="69"/>
      <c r="J8" s="70"/>
      <c r="K8" s="69"/>
      <c r="L8" s="69"/>
      <c r="M8" s="69">
        <v>335.92099999999999</v>
      </c>
      <c r="N8" s="69">
        <f t="shared" si="1"/>
        <v>466.61399999999998</v>
      </c>
      <c r="O8" s="70">
        <v>802.53499999999997</v>
      </c>
      <c r="P8" s="69">
        <v>267.73599999999999</v>
      </c>
      <c r="Q8" s="69">
        <v>275.90199999999999</v>
      </c>
      <c r="R8" s="69">
        <v>315.27</v>
      </c>
      <c r="S8" s="69">
        <f t="shared" si="2"/>
        <v>324.61</v>
      </c>
      <c r="T8" s="70">
        <v>1183.518</v>
      </c>
      <c r="U8" s="69">
        <v>301.87700000000001</v>
      </c>
      <c r="V8" s="69">
        <v>284.036</v>
      </c>
      <c r="W8" s="69">
        <v>287.63299999999998</v>
      </c>
      <c r="X8" s="69">
        <f t="shared" si="3"/>
        <v>309.29799999999994</v>
      </c>
      <c r="Y8" s="70">
        <v>1182.8440000000001</v>
      </c>
      <c r="Z8" s="69">
        <v>292.14499999999998</v>
      </c>
      <c r="AA8" s="69">
        <v>321.959</v>
      </c>
      <c r="AB8" s="69">
        <v>355.93200000000002</v>
      </c>
      <c r="AC8" s="77">
        <v>331.29199999999997</v>
      </c>
      <c r="AD8" s="70">
        <f t="shared" si="4"/>
        <v>1301.328</v>
      </c>
      <c r="AE8" s="77">
        <v>293.017</v>
      </c>
      <c r="AF8" s="77">
        <v>326.798</v>
      </c>
      <c r="AG8" s="77">
        <v>325.36500000000001</v>
      </c>
      <c r="AH8" s="77">
        <v>282.84899999999999</v>
      </c>
      <c r="AI8" s="418">
        <f t="shared" si="5"/>
        <v>1228.029</v>
      </c>
      <c r="AJ8" s="77">
        <v>281.77300000000002</v>
      </c>
      <c r="AK8" s="77">
        <v>318.90199999999999</v>
      </c>
      <c r="AL8" s="77">
        <v>331.613</v>
      </c>
      <c r="AM8" s="77">
        <v>301.983</v>
      </c>
      <c r="AN8" s="444">
        <f t="shared" si="6"/>
        <v>1234.271</v>
      </c>
      <c r="AO8" s="77">
        <v>315.69600000000003</v>
      </c>
      <c r="AP8" s="77">
        <v>281.85700000000003</v>
      </c>
      <c r="AQ8" s="77">
        <v>310.137</v>
      </c>
      <c r="AR8" s="359">
        <v>306.01799999999997</v>
      </c>
      <c r="AS8" s="444">
        <f t="shared" si="7"/>
        <v>1213.7080000000001</v>
      </c>
      <c r="AT8" s="69">
        <v>274.80099999999999</v>
      </c>
      <c r="AU8" s="69">
        <v>270.63299999999998</v>
      </c>
      <c r="AV8" s="69">
        <v>236.15700000000001</v>
      </c>
      <c r="AW8" s="69">
        <v>225.279</v>
      </c>
      <c r="AX8" s="444">
        <f t="shared" si="8"/>
        <v>1006.87</v>
      </c>
      <c r="AY8" s="69">
        <v>191.52699999999999</v>
      </c>
      <c r="AZ8" s="69">
        <v>223.29900000000001</v>
      </c>
      <c r="BA8" s="69">
        <v>249.453</v>
      </c>
      <c r="BB8" s="466">
        <f>AX7*BB83</f>
        <v>481.26713551909654</v>
      </c>
      <c r="BC8" s="325">
        <f>Backlog!W38</f>
        <v>1232.3808959448143</v>
      </c>
      <c r="BD8" s="69">
        <f>$BC8*BD83</f>
        <v>264.2383444293165</v>
      </c>
      <c r="BE8" s="69">
        <f>$BC8*BE83</f>
        <v>306.11382960165218</v>
      </c>
      <c r="BF8" s="69">
        <f>$BC8*BF83</f>
        <v>323.44155465561113</v>
      </c>
      <c r="BG8" s="69">
        <f>$BC8*BG83</f>
        <v>338.58716725823444</v>
      </c>
      <c r="BH8" s="325">
        <f>Backlog!X38</f>
        <v>1263.4233548359512</v>
      </c>
      <c r="BI8" s="69">
        <f>$BC8*BI83</f>
        <v>259.96255398784513</v>
      </c>
      <c r="BJ8" s="69">
        <f>$BC8*BJ83</f>
        <v>303.0388748505618</v>
      </c>
      <c r="BK8" s="69">
        <f>$BC8*BK83</f>
        <v>321.52564742360704</v>
      </c>
      <c r="BL8" s="69">
        <f>$BC8*BL83</f>
        <v>347.85381968280029</v>
      </c>
      <c r="BM8" s="325">
        <f>Backlog!Y38</f>
        <v>1269.5184551418408</v>
      </c>
      <c r="BN8" s="69">
        <f>$BC8*BN83</f>
        <v>244.81494685113793</v>
      </c>
      <c r="BO8" s="69">
        <f>$BC8*BO83</f>
        <v>307.2502511718863</v>
      </c>
      <c r="BP8" s="69">
        <f>$BC8*BP83</f>
        <v>323.17994494771796</v>
      </c>
      <c r="BQ8" s="69">
        <f>$BC8*BQ83</f>
        <v>357.13575297407198</v>
      </c>
      <c r="BR8" s="325">
        <f>Backlog!Z38</f>
        <v>1271.0805141157357</v>
      </c>
    </row>
    <row r="9" spans="1:70" ht="12.75" hidden="1" customHeight="1">
      <c r="A9" s="257" t="s">
        <v>106</v>
      </c>
      <c r="B9" s="2"/>
      <c r="C9" s="2"/>
      <c r="D9" s="2"/>
      <c r="E9" s="263"/>
      <c r="F9" s="69">
        <v>54.131</v>
      </c>
      <c r="G9" s="69">
        <v>53.787999999999997</v>
      </c>
      <c r="H9" s="69">
        <v>41.255000000000003</v>
      </c>
      <c r="I9" s="69">
        <f>J9-H9-G9-F9</f>
        <v>55.352000000000018</v>
      </c>
      <c r="J9" s="70">
        <v>204.52600000000001</v>
      </c>
      <c r="K9" s="69">
        <v>46.034999999999997</v>
      </c>
      <c r="L9" s="69">
        <v>78.438999999999993</v>
      </c>
      <c r="M9" s="69">
        <v>85.481999999999999</v>
      </c>
      <c r="N9" s="69">
        <f t="shared" si="1"/>
        <v>66.019000000000034</v>
      </c>
      <c r="O9" s="70">
        <v>275.97500000000002</v>
      </c>
      <c r="P9" s="69">
        <v>68.111999999999995</v>
      </c>
      <c r="Q9" s="69">
        <v>64.772999999999996</v>
      </c>
      <c r="R9" s="69">
        <v>51.744</v>
      </c>
      <c r="S9" s="69">
        <f t="shared" si="2"/>
        <v>56.854000000000013</v>
      </c>
      <c r="T9" s="70">
        <v>241.483</v>
      </c>
      <c r="U9" s="69">
        <v>47.369</v>
      </c>
      <c r="V9" s="69">
        <v>45.744</v>
      </c>
      <c r="W9" s="69">
        <v>37.030999999999999</v>
      </c>
      <c r="X9" s="69">
        <f t="shared" si="3"/>
        <v>50.931999999999988</v>
      </c>
      <c r="Y9" s="70">
        <v>181.07599999999999</v>
      </c>
      <c r="Z9" s="69"/>
      <c r="AA9" s="69"/>
      <c r="AB9" s="69"/>
      <c r="AC9" s="77"/>
      <c r="AD9" s="70">
        <f t="shared" si="4"/>
        <v>0</v>
      </c>
      <c r="AE9" s="77"/>
      <c r="AF9" s="77"/>
      <c r="AG9" s="77"/>
      <c r="AH9" s="77"/>
      <c r="AI9" s="418">
        <f t="shared" si="5"/>
        <v>0</v>
      </c>
      <c r="AJ9" s="77"/>
      <c r="AK9" s="77"/>
      <c r="AL9" s="77"/>
      <c r="AM9" s="77"/>
      <c r="AN9" s="444">
        <f t="shared" si="6"/>
        <v>0</v>
      </c>
      <c r="AO9" s="77"/>
      <c r="AP9" s="77"/>
      <c r="AQ9" s="77"/>
      <c r="AR9" s="359"/>
      <c r="AS9" s="444">
        <f t="shared" si="7"/>
        <v>0</v>
      </c>
      <c r="AT9" s="69"/>
      <c r="AU9" s="69"/>
      <c r="AV9" s="69"/>
      <c r="AW9" s="69"/>
      <c r="AX9" s="444">
        <f t="shared" si="8"/>
        <v>0</v>
      </c>
      <c r="AY9" s="69"/>
      <c r="AZ9" s="69"/>
      <c r="BA9" s="69"/>
      <c r="BB9" s="69"/>
      <c r="BC9" s="70"/>
      <c r="BD9" s="69"/>
      <c r="BE9" s="69"/>
      <c r="BF9" s="69"/>
      <c r="BG9" s="69"/>
      <c r="BH9" s="70"/>
      <c r="BI9" s="69"/>
      <c r="BJ9" s="69"/>
      <c r="BK9" s="69"/>
      <c r="BL9" s="69"/>
      <c r="BM9" s="70"/>
      <c r="BN9" s="69"/>
      <c r="BO9" s="69"/>
      <c r="BP9" s="69"/>
      <c r="BQ9" s="69"/>
      <c r="BR9" s="70"/>
    </row>
    <row r="10" spans="1:70">
      <c r="A10" s="257" t="s">
        <v>111</v>
      </c>
      <c r="B10" s="2"/>
      <c r="C10" s="2"/>
      <c r="D10" s="2"/>
      <c r="E10" s="263"/>
      <c r="F10" s="69"/>
      <c r="G10" s="69"/>
      <c r="H10" s="69"/>
      <c r="I10" s="69"/>
      <c r="J10" s="70"/>
      <c r="K10" s="69"/>
      <c r="L10" s="69"/>
      <c r="M10" s="69">
        <v>-104.024</v>
      </c>
      <c r="N10" s="69">
        <f t="shared" si="1"/>
        <v>-107.095</v>
      </c>
      <c r="O10" s="70">
        <v>-211.119</v>
      </c>
      <c r="P10" s="69">
        <v>-16.942</v>
      </c>
      <c r="Q10" s="69">
        <v>-14.324999999999999</v>
      </c>
      <c r="R10" s="69">
        <f>R11-SUM(R6:R9)</f>
        <v>-9.6939999999997326</v>
      </c>
      <c r="S10" s="69">
        <f>S11-SUM(S6:S9)</f>
        <v>-41.68700000000058</v>
      </c>
      <c r="T10" s="70">
        <f>SUM(P10:S10)</f>
        <v>-82.648000000000309</v>
      </c>
      <c r="U10" s="69">
        <f>U11-SUM(U6:U9)</f>
        <v>-65.406999999999812</v>
      </c>
      <c r="V10" s="69">
        <f>V11-SUM(V6:V9)</f>
        <v>-31.30399999999986</v>
      </c>
      <c r="W10" s="69">
        <f>W11-SUM(W6:W9)</f>
        <v>-26.054000000000087</v>
      </c>
      <c r="X10" s="69">
        <f>X11-SUM(X6:X9)</f>
        <v>-26.482000000000653</v>
      </c>
      <c r="Y10" s="70">
        <v>-149.24700000000001</v>
      </c>
      <c r="Z10" s="69">
        <f>Z11-SUM(Z6:Z9)</f>
        <v>-24.619000000000028</v>
      </c>
      <c r="AA10" s="69">
        <f>AA11-SUM(AA6:AA9)</f>
        <v>-25.924999999999955</v>
      </c>
      <c r="AB10" s="69">
        <f>X11-SUM(X6:X9)</f>
        <v>-26.482000000000653</v>
      </c>
      <c r="AC10" s="77">
        <v>-25.585000000000001</v>
      </c>
      <c r="AD10" s="70">
        <f t="shared" si="4"/>
        <v>-102.61100000000064</v>
      </c>
      <c r="AE10" s="77">
        <v>-35.491</v>
      </c>
      <c r="AF10" s="77">
        <v>-59.966999999999999</v>
      </c>
      <c r="AG10" s="77">
        <v>-95.201999999999998</v>
      </c>
      <c r="AH10" s="77">
        <v>-22.582999999999998</v>
      </c>
      <c r="AI10" s="418">
        <f t="shared" si="5"/>
        <v>-213.24299999999999</v>
      </c>
      <c r="AJ10" s="77">
        <v>-51.899000000000001</v>
      </c>
      <c r="AK10" s="77">
        <v>-61.859000000000002</v>
      </c>
      <c r="AL10" s="77">
        <v>-65.53</v>
      </c>
      <c r="AM10" s="77">
        <v>-59.512</v>
      </c>
      <c r="AN10" s="444">
        <f t="shared" si="6"/>
        <v>-238.8</v>
      </c>
      <c r="AO10" s="77">
        <v>-51.694000000000003</v>
      </c>
      <c r="AP10" s="77">
        <v>-81.903999999999996</v>
      </c>
      <c r="AQ10" s="77">
        <v>-69.539000000000001</v>
      </c>
      <c r="AR10" s="359">
        <v>-67.765000000000001</v>
      </c>
      <c r="AS10" s="444">
        <f t="shared" si="7"/>
        <v>-270.90199999999999</v>
      </c>
      <c r="AT10" s="69">
        <v>-62.661999999999999</v>
      </c>
      <c r="AU10" s="69">
        <v>-60.137</v>
      </c>
      <c r="AV10" s="69">
        <v>-49.905000000000001</v>
      </c>
      <c r="AW10" s="69">
        <v>-56.638000000000005</v>
      </c>
      <c r="AX10" s="444">
        <f t="shared" si="8"/>
        <v>-229.34200000000001</v>
      </c>
      <c r="AY10" s="69">
        <v>-52.905000000000001</v>
      </c>
      <c r="AZ10" s="69">
        <v>-72.7</v>
      </c>
      <c r="BA10" s="69">
        <v>-73.233000000000004</v>
      </c>
      <c r="BB10" s="69">
        <f>+BC10-BA10-AZ10-AY10</f>
        <v>-101.16200000000001</v>
      </c>
      <c r="BC10" s="70">
        <v>-300</v>
      </c>
      <c r="BD10" s="69">
        <f>+BH10/4</f>
        <v>-77.5</v>
      </c>
      <c r="BE10" s="69">
        <f>+(BH10-BD10)/3</f>
        <v>-77.5</v>
      </c>
      <c r="BF10" s="69">
        <f>+(BH10-BE10-BD10)/2</f>
        <v>-77.5</v>
      </c>
      <c r="BG10" s="69">
        <f>+BH10-BF10-BE10-BD10</f>
        <v>-77.5</v>
      </c>
      <c r="BH10" s="70">
        <v>-310</v>
      </c>
      <c r="BI10" s="69">
        <f>+BM10/4</f>
        <v>-77.5</v>
      </c>
      <c r="BJ10" s="69">
        <f>+(BM10-BI10)/3</f>
        <v>-77.5</v>
      </c>
      <c r="BK10" s="69">
        <f>+(BM10-BJ10-BI10)/2</f>
        <v>-77.5</v>
      </c>
      <c r="BL10" s="69">
        <f>+BM10-BK10-BJ10-BI10</f>
        <v>-77.5</v>
      </c>
      <c r="BM10" s="70">
        <v>-310</v>
      </c>
      <c r="BN10" s="69">
        <f>+BR10/4</f>
        <v>-77.5</v>
      </c>
      <c r="BO10" s="69">
        <f>+(BR10-BN10)/3</f>
        <v>-77.5</v>
      </c>
      <c r="BP10" s="69">
        <f>+(BR10-BO10-BN10)/2</f>
        <v>-77.5</v>
      </c>
      <c r="BQ10" s="69">
        <f>+BR10-BP10-BO10-BN10</f>
        <v>-77.5</v>
      </c>
      <c r="BR10" s="70">
        <v>-310</v>
      </c>
    </row>
    <row r="11" spans="1:70" ht="13" thickBot="1">
      <c r="A11" s="258" t="s">
        <v>38</v>
      </c>
      <c r="B11" s="259"/>
      <c r="C11" s="260"/>
      <c r="D11" s="264"/>
      <c r="E11" s="265"/>
      <c r="F11" s="261">
        <v>865.07500000000005</v>
      </c>
      <c r="G11" s="261">
        <v>914.37599999999998</v>
      </c>
      <c r="H11" s="261">
        <v>731.80600000000004</v>
      </c>
      <c r="I11" s="261">
        <f>J11-H11-G11-F11</f>
        <v>687.95299999999997</v>
      </c>
      <c r="J11" s="262">
        <v>3199.21</v>
      </c>
      <c r="K11" s="261">
        <v>615.28899999999999</v>
      </c>
      <c r="L11" s="261">
        <v>819.85799999999995</v>
      </c>
      <c r="M11" s="261">
        <v>1166.4100000000001</v>
      </c>
      <c r="N11" s="261">
        <f>O11-M11-L11-K11</f>
        <v>1114.7600000000002</v>
      </c>
      <c r="O11" s="262">
        <v>3716.317</v>
      </c>
      <c r="P11" s="261">
        <v>912.53399999999999</v>
      </c>
      <c r="Q11" s="261">
        <v>985.346</v>
      </c>
      <c r="R11" s="261">
        <v>1099.393</v>
      </c>
      <c r="S11" s="261">
        <f>T11-R11-Q11-P11</f>
        <v>1114.1979999999994</v>
      </c>
      <c r="T11" s="262">
        <v>4111.4709999999995</v>
      </c>
      <c r="U11" s="261">
        <v>992.928</v>
      </c>
      <c r="V11" s="261">
        <v>1053.0650000000001</v>
      </c>
      <c r="W11" s="261">
        <v>1030.3879999999999</v>
      </c>
      <c r="X11" s="261">
        <f>Y11-W11-V11-U11</f>
        <v>1099.2909999999997</v>
      </c>
      <c r="Y11" s="262">
        <v>4175.6719999999996</v>
      </c>
      <c r="Z11" s="261">
        <v>955.23299999999995</v>
      </c>
      <c r="AA11" s="261">
        <v>1084.51</v>
      </c>
      <c r="AB11" s="261">
        <v>1250.6890000000001</v>
      </c>
      <c r="AC11" s="378">
        <f>SUM(AC6:AC10)</f>
        <v>1201.877</v>
      </c>
      <c r="AD11" s="262">
        <f>SUM(AD6:AD10)</f>
        <v>4487.6159999999991</v>
      </c>
      <c r="AE11" s="378">
        <f>SUM(AE6:AE10)</f>
        <v>1066.4649999999999</v>
      </c>
      <c r="AF11" s="378">
        <f t="shared" ref="AF11:AH11" si="9">SUM(AF6:AF10)</f>
        <v>1312.4379999999999</v>
      </c>
      <c r="AG11" s="378">
        <f t="shared" si="9"/>
        <v>1340.739</v>
      </c>
      <c r="AH11" s="378">
        <f t="shared" si="9"/>
        <v>1200.83</v>
      </c>
      <c r="AI11" s="262">
        <f>SUM(AE11:AH11)</f>
        <v>4920.4719999999998</v>
      </c>
      <c r="AJ11" s="378">
        <f>SUM(AJ6:AJ10)</f>
        <v>1085.3690000000001</v>
      </c>
      <c r="AK11" s="378">
        <f t="shared" ref="AK11" si="10">SUM(AK6:AK10)</f>
        <v>1246.271</v>
      </c>
      <c r="AL11" s="378">
        <f t="shared" ref="AL11" si="11">SUM(AL6:AL10)</f>
        <v>1332.9780000000001</v>
      </c>
      <c r="AM11" s="378">
        <f t="shared" ref="AM11" si="12">SUM(AM6:AM10)</f>
        <v>1246.5990000000002</v>
      </c>
      <c r="AN11" s="445">
        <f>SUM(AJ11:AM11)</f>
        <v>4911.2170000000006</v>
      </c>
      <c r="AO11" s="378">
        <f>SUM(AO6:AO10)</f>
        <v>1117.3609999999999</v>
      </c>
      <c r="AP11" s="378">
        <f t="shared" ref="AP11" si="13">SUM(AP6:AP10)</f>
        <v>1247.2739999999999</v>
      </c>
      <c r="AQ11" s="378">
        <f t="shared" ref="AQ11" si="14">SUM(AQ6:AQ10)</f>
        <v>1199.5050000000001</v>
      </c>
      <c r="AR11" s="360">
        <f t="shared" ref="AR11" si="15">SUM(AR6:AR10)</f>
        <v>1193.068</v>
      </c>
      <c r="AS11" s="445">
        <f>SUM(AO11:AR11)</f>
        <v>4757.2079999999996</v>
      </c>
      <c r="AT11" s="261">
        <f>SUM(AT6:AT10)</f>
        <v>1028.1559999999999</v>
      </c>
      <c r="AU11" s="261">
        <f t="shared" ref="AU11:AW11" si="16">SUM(AU6:AU10)</f>
        <v>1120.085</v>
      </c>
      <c r="AV11" s="261">
        <f t="shared" si="16"/>
        <v>1123.1369999999999</v>
      </c>
      <c r="AW11" s="261">
        <f t="shared" si="16"/>
        <v>1183.2840000000001</v>
      </c>
      <c r="AX11" s="445">
        <f>SUM(AT11:AW11)</f>
        <v>4454.6620000000003</v>
      </c>
      <c r="AY11" s="261">
        <f>SUM(AY6:AY10)</f>
        <v>958.48700000000008</v>
      </c>
      <c r="AZ11" s="261">
        <f t="shared" ref="AZ11:BB11" si="17">SUM(AZ6:AZ10)</f>
        <v>1125.2749999999999</v>
      </c>
      <c r="BA11" s="261">
        <f t="shared" si="17"/>
        <v>1189.345</v>
      </c>
      <c r="BB11" s="261">
        <f t="shared" si="17"/>
        <v>1366.5622682172577</v>
      </c>
      <c r="BC11" s="262">
        <f>SUM(AY11:BB11)</f>
        <v>4639.6692682172579</v>
      </c>
      <c r="BD11" s="261">
        <f>SUM(BD6:BD10)</f>
        <v>1122.5812883093413</v>
      </c>
      <c r="BE11" s="261">
        <f t="shared" ref="BE11:BG11" si="18">SUM(BE6:BE10)</f>
        <v>1516.0425296815808</v>
      </c>
      <c r="BF11" s="261">
        <f t="shared" si="18"/>
        <v>1541.1558531861481</v>
      </c>
      <c r="BG11" s="261">
        <f t="shared" si="18"/>
        <v>1586.2543243033538</v>
      </c>
      <c r="BH11" s="262">
        <f>SUM(BD11:BG11)</f>
        <v>5766.033995480424</v>
      </c>
      <c r="BI11" s="261">
        <f>SUM(BI6:BI10)</f>
        <v>1092.6659644922784</v>
      </c>
      <c r="BJ11" s="261">
        <f t="shared" ref="BJ11:BL11" si="19">SUM(BJ6:BJ10)</f>
        <v>1526.2034037260569</v>
      </c>
      <c r="BK11" s="261">
        <f t="shared" si="19"/>
        <v>1529.3985707880915</v>
      </c>
      <c r="BL11" s="261">
        <f t="shared" si="19"/>
        <v>1617.7660564739977</v>
      </c>
      <c r="BM11" s="262">
        <f>SUM(BI11:BL11)</f>
        <v>5766.033995480424</v>
      </c>
      <c r="BN11" s="261">
        <f>SUM(BN6:BN10)</f>
        <v>1047.1781075783977</v>
      </c>
      <c r="BO11" s="261">
        <f t="shared" ref="BO11:BQ11" si="20">SUM(BO6:BO10)</f>
        <v>1516.3316605089458</v>
      </c>
      <c r="BP11" s="261">
        <f t="shared" si="20"/>
        <v>1548.1525732497344</v>
      </c>
      <c r="BQ11" s="261">
        <f t="shared" si="20"/>
        <v>1654.3716541433462</v>
      </c>
      <c r="BR11" s="262">
        <f>SUM(BN11:BQ11)</f>
        <v>5766.033995480424</v>
      </c>
    </row>
    <row r="12" spans="1:70" ht="13" hidden="1" customHeight="1" thickTop="1">
      <c r="A12" s="141"/>
      <c r="B12" s="6"/>
      <c r="C12" s="266"/>
      <c r="D12" s="136"/>
      <c r="E12" s="263"/>
      <c r="F12" s="267"/>
      <c r="G12" s="267"/>
      <c r="H12" s="267"/>
      <c r="I12" s="267"/>
      <c r="J12" s="70"/>
      <c r="K12" s="267"/>
      <c r="L12" s="267"/>
      <c r="M12" s="267"/>
      <c r="N12" s="267"/>
      <c r="O12" s="70"/>
      <c r="P12" s="267"/>
      <c r="Q12" s="267"/>
      <c r="R12" s="267"/>
      <c r="S12" s="267"/>
      <c r="T12" s="70"/>
      <c r="U12" s="267"/>
      <c r="V12" s="267"/>
      <c r="W12" s="267"/>
      <c r="X12" s="267"/>
      <c r="Y12" s="70"/>
      <c r="Z12" s="267"/>
      <c r="AA12" s="267"/>
      <c r="AB12" s="333"/>
      <c r="AC12" s="253"/>
      <c r="AD12" s="70"/>
      <c r="AE12" s="253"/>
      <c r="AF12" s="253"/>
      <c r="AG12" s="253"/>
      <c r="AH12" s="253"/>
      <c r="AI12" s="70"/>
      <c r="AJ12" s="253"/>
      <c r="AK12" s="253"/>
      <c r="AL12" s="253"/>
      <c r="AM12" s="253"/>
      <c r="AN12" s="78"/>
      <c r="AO12" s="253"/>
      <c r="AP12" s="253"/>
      <c r="AQ12" s="253"/>
      <c r="AR12" s="361"/>
      <c r="AS12" s="70"/>
      <c r="AT12" s="267"/>
      <c r="AU12" s="267"/>
      <c r="AV12" s="267"/>
      <c r="AW12" s="267"/>
      <c r="AX12" s="70"/>
      <c r="AY12" s="267"/>
      <c r="AZ12" s="267"/>
      <c r="BA12" s="267"/>
      <c r="BB12" s="267"/>
      <c r="BC12" s="70"/>
      <c r="BD12" s="267"/>
      <c r="BE12" s="267"/>
      <c r="BF12" s="267"/>
      <c r="BG12" s="267"/>
      <c r="BH12" s="70"/>
      <c r="BI12" s="267"/>
      <c r="BJ12" s="267"/>
      <c r="BK12" s="267"/>
      <c r="BL12" s="267"/>
      <c r="BM12" s="70"/>
      <c r="BN12" s="267"/>
      <c r="BO12" s="267"/>
      <c r="BP12" s="267"/>
      <c r="BQ12" s="267"/>
      <c r="BR12" s="70"/>
    </row>
    <row r="13" spans="1:70" ht="13" thickTop="1">
      <c r="A13" s="352" t="s">
        <v>107</v>
      </c>
      <c r="B13" s="6"/>
      <c r="C13" s="266"/>
      <c r="D13" s="136"/>
      <c r="E13" s="263"/>
      <c r="F13" s="267"/>
      <c r="G13" s="267"/>
      <c r="H13" s="267"/>
      <c r="I13" s="267"/>
      <c r="J13" s="70"/>
      <c r="K13" s="267"/>
      <c r="L13" s="267"/>
      <c r="M13" s="267"/>
      <c r="N13" s="267"/>
      <c r="O13" s="70"/>
      <c r="P13" s="267"/>
      <c r="Q13" s="267"/>
      <c r="R13" s="267"/>
      <c r="S13" s="267"/>
      <c r="T13" s="70"/>
      <c r="U13" s="267"/>
      <c r="V13" s="267"/>
      <c r="W13" s="267"/>
      <c r="X13" s="267"/>
      <c r="Y13" s="400"/>
      <c r="Z13" s="267"/>
      <c r="AA13" s="136"/>
      <c r="AB13" s="267"/>
      <c r="AC13" s="253"/>
      <c r="AD13" s="400"/>
      <c r="AE13" s="253"/>
      <c r="AF13" s="253"/>
      <c r="AG13" s="253"/>
      <c r="AH13" s="253"/>
      <c r="AI13" s="70"/>
      <c r="AJ13" s="253"/>
      <c r="AK13" s="253"/>
      <c r="AL13" s="254"/>
      <c r="AM13" s="253"/>
      <c r="AN13" s="78"/>
      <c r="AO13" s="253"/>
      <c r="AP13" s="253"/>
      <c r="AQ13" s="253"/>
      <c r="AR13" s="361"/>
      <c r="AS13" s="70"/>
      <c r="AT13" s="267"/>
      <c r="AU13" s="267"/>
      <c r="AV13" s="267"/>
      <c r="AW13" s="267"/>
      <c r="AX13" s="70"/>
      <c r="AY13" s="267"/>
      <c r="AZ13" s="267"/>
      <c r="BA13" s="267"/>
      <c r="BB13" s="267"/>
      <c r="BC13" s="70"/>
      <c r="BD13" s="267"/>
      <c r="BE13" s="267"/>
      <c r="BF13" s="267"/>
      <c r="BG13" s="267"/>
      <c r="BH13" s="70"/>
      <c r="BI13" s="267"/>
      <c r="BJ13" s="267"/>
      <c r="BK13" s="267"/>
      <c r="BL13" s="267"/>
      <c r="BM13" s="70"/>
      <c r="BN13" s="267"/>
      <c r="BO13" s="267"/>
      <c r="BP13" s="267"/>
      <c r="BQ13" s="267"/>
      <c r="BR13" s="70"/>
    </row>
    <row r="14" spans="1:70">
      <c r="A14" s="268" t="s">
        <v>104</v>
      </c>
      <c r="B14" s="6"/>
      <c r="C14" s="266"/>
      <c r="D14" s="136"/>
      <c r="E14" s="263"/>
      <c r="F14" s="267">
        <v>32.31</v>
      </c>
      <c r="G14" s="267">
        <v>29.686</v>
      </c>
      <c r="H14" s="267">
        <v>28.173999999999999</v>
      </c>
      <c r="I14" s="69">
        <f>J14-H14-G14-F14</f>
        <v>5.6869999999999905</v>
      </c>
      <c r="J14" s="70">
        <v>95.856999999999999</v>
      </c>
      <c r="K14" s="267">
        <v>13.118</v>
      </c>
      <c r="L14" s="267">
        <v>24.920999999999999</v>
      </c>
      <c r="M14" s="267">
        <v>8.8759999999999994</v>
      </c>
      <c r="N14" s="69">
        <f>O14-M14-L14-K14</f>
        <v>-0.65299999999999692</v>
      </c>
      <c r="O14" s="70">
        <v>46.262</v>
      </c>
      <c r="P14" s="267">
        <v>-8.8970000000000002</v>
      </c>
      <c r="Q14" s="267">
        <v>-297.09500000000003</v>
      </c>
      <c r="R14" s="267">
        <v>20.847000000000001</v>
      </c>
      <c r="S14" s="69">
        <f t="shared" ref="S14:S18" si="21">T14-R14-Q14-P14</f>
        <v>-1.5609999999999697</v>
      </c>
      <c r="T14" s="70">
        <v>-286.70600000000002</v>
      </c>
      <c r="U14" s="267">
        <v>4.2370000000000001</v>
      </c>
      <c r="V14" s="267">
        <v>3.024</v>
      </c>
      <c r="W14" s="267">
        <v>13.53</v>
      </c>
      <c r="X14" s="69">
        <f t="shared" ref="X14:X18" si="22">Y14-W14-V14-U14</f>
        <v>3.008</v>
      </c>
      <c r="Y14" s="70">
        <v>23.798999999999999</v>
      </c>
      <c r="Z14" s="267">
        <v>1.823</v>
      </c>
      <c r="AA14" s="267">
        <v>7.6740000000000004</v>
      </c>
      <c r="AB14" s="267">
        <v>19.158999999999999</v>
      </c>
      <c r="AC14" s="253">
        <v>-3.9590000000000001</v>
      </c>
      <c r="AD14" s="70">
        <f>SUM(Z14:AC14)</f>
        <v>24.696999999999999</v>
      </c>
      <c r="AE14" s="253">
        <v>-2.2789999999999999</v>
      </c>
      <c r="AF14" s="253">
        <v>-12.592000000000001</v>
      </c>
      <c r="AG14" s="253">
        <v>6.7629999999999999</v>
      </c>
      <c r="AH14" s="253">
        <v>6.867</v>
      </c>
      <c r="AI14" s="70">
        <f>SUM(AE14:AH14)</f>
        <v>-1.2410000000000005</v>
      </c>
      <c r="AJ14" s="253">
        <v>12.45</v>
      </c>
      <c r="AK14" s="253">
        <v>13.223000000000001</v>
      </c>
      <c r="AL14" s="253">
        <v>13.295999999999999</v>
      </c>
      <c r="AM14" s="253">
        <v>12.596</v>
      </c>
      <c r="AN14" s="78">
        <f>SUM(AJ14:AM14)</f>
        <v>51.564999999999998</v>
      </c>
      <c r="AO14" s="253">
        <v>5.242</v>
      </c>
      <c r="AP14" s="253">
        <v>5.7359999999999998</v>
      </c>
      <c r="AQ14" s="253">
        <v>14.058</v>
      </c>
      <c r="AR14" s="361">
        <v>9.1639999999999997</v>
      </c>
      <c r="AS14" s="70">
        <f>SUM(AO14:AR14)</f>
        <v>34.200000000000003</v>
      </c>
      <c r="AT14" s="267">
        <v>6.4249999999999998</v>
      </c>
      <c r="AU14" s="267">
        <v>12.536</v>
      </c>
      <c r="AV14" s="267">
        <v>8.8529999999999998</v>
      </c>
      <c r="AW14" s="69">
        <v>16.125</v>
      </c>
      <c r="AX14" s="70">
        <f>SUM(AT14:AW14)</f>
        <v>43.939</v>
      </c>
      <c r="AY14" s="267">
        <v>3.133</v>
      </c>
      <c r="AZ14" s="267">
        <v>-3.81</v>
      </c>
      <c r="BA14" s="267">
        <v>7.58</v>
      </c>
      <c r="BB14" s="267">
        <f>BB6*BB71</f>
        <v>10.341669386911022</v>
      </c>
      <c r="BC14" s="70">
        <f>SUM(AY14:BB14)</f>
        <v>17.244669386911021</v>
      </c>
      <c r="BD14" s="267">
        <f>BD6*BD71</f>
        <v>15.555679262136435</v>
      </c>
      <c r="BE14" s="267">
        <f>BE6*BE71</f>
        <v>18.283617675354915</v>
      </c>
      <c r="BF14" s="267">
        <f>BF6*BF71</f>
        <v>18.671854161651424</v>
      </c>
      <c r="BG14" s="267">
        <f>BG6*BG71</f>
        <v>20.387178854663041</v>
      </c>
      <c r="BH14" s="70">
        <f>SUM(BD14:BG14)</f>
        <v>72.898329953805813</v>
      </c>
      <c r="BI14" s="267">
        <f>BI6*BI71</f>
        <v>15.257677157455744</v>
      </c>
      <c r="BJ14" s="267">
        <f>BJ6*BJ71</f>
        <v>18.362783362584707</v>
      </c>
      <c r="BK14" s="267">
        <f>BK6*BK71</f>
        <v>18.528273137485908</v>
      </c>
      <c r="BL14" s="267">
        <f>BL6*BL71</f>
        <v>20.749596296279453</v>
      </c>
      <c r="BM14" s="70">
        <f>SUM(BI14:BL14)</f>
        <v>72.898329953805813</v>
      </c>
      <c r="BN14" s="267">
        <f>BN6*BN71</f>
        <v>14.34612101435485</v>
      </c>
      <c r="BO14" s="267">
        <f>BO6*BO71</f>
        <v>18.28695784800848</v>
      </c>
      <c r="BP14" s="267">
        <f>BP6*BP71</f>
        <v>18.570398605804531</v>
      </c>
      <c r="BQ14" s="267">
        <f>BQ6*BQ71</f>
        <v>21.694852485637959</v>
      </c>
      <c r="BR14" s="70">
        <f>SUM(BN14:BQ14)</f>
        <v>72.898329953805813</v>
      </c>
    </row>
    <row r="15" spans="1:70">
      <c r="A15" s="268" t="s">
        <v>105</v>
      </c>
      <c r="B15" s="6"/>
      <c r="C15" s="266"/>
      <c r="D15" s="136"/>
      <c r="E15" s="263"/>
      <c r="F15" s="267">
        <v>8.2899999999999991</v>
      </c>
      <c r="G15" s="267">
        <v>29.72</v>
      </c>
      <c r="H15" s="267">
        <v>27.297999999999998</v>
      </c>
      <c r="I15" s="69">
        <f>J15-H15-G15-F15</f>
        <v>22.473999999999997</v>
      </c>
      <c r="J15" s="70">
        <v>87.781999999999996</v>
      </c>
      <c r="K15" s="267">
        <v>12.114000000000001</v>
      </c>
      <c r="L15" s="267">
        <v>15.282999999999999</v>
      </c>
      <c r="M15" s="267">
        <v>23.805</v>
      </c>
      <c r="N15" s="69">
        <f t="shared" ref="N15:N18" si="23">O15-M15-L15-K15</f>
        <v>27.344000000000005</v>
      </c>
      <c r="O15" s="70">
        <v>78.546000000000006</v>
      </c>
      <c r="P15" s="267">
        <v>16.841999999999999</v>
      </c>
      <c r="Q15" s="267">
        <v>-39.741</v>
      </c>
      <c r="R15" s="267">
        <v>26.28</v>
      </c>
      <c r="S15" s="69">
        <f t="shared" si="21"/>
        <v>43.7</v>
      </c>
      <c r="T15" s="70">
        <v>47.081000000000003</v>
      </c>
      <c r="U15" s="267">
        <v>21.553999999999998</v>
      </c>
      <c r="V15" s="267">
        <v>29.199000000000002</v>
      </c>
      <c r="W15" s="267">
        <v>47.531999999999996</v>
      </c>
      <c r="X15" s="69">
        <f t="shared" si="22"/>
        <v>69.582999999999998</v>
      </c>
      <c r="Y15" s="70">
        <v>167.86799999999999</v>
      </c>
      <c r="Z15" s="267">
        <v>44.344999999999999</v>
      </c>
      <c r="AA15" s="267">
        <v>58.002000000000002</v>
      </c>
      <c r="AB15" s="267">
        <v>53.683999999999997</v>
      </c>
      <c r="AC15" s="253">
        <v>64.522999999999996</v>
      </c>
      <c r="AD15" s="70">
        <f>SUM(Z15:AC15)</f>
        <v>220.554</v>
      </c>
      <c r="AE15" s="253">
        <v>30.593</v>
      </c>
      <c r="AF15" s="253">
        <v>46.329000000000001</v>
      </c>
      <c r="AG15" s="253">
        <v>43.183</v>
      </c>
      <c r="AH15" s="253">
        <v>25.106999999999999</v>
      </c>
      <c r="AI15" s="70">
        <f>SUM(AE15:AH15)</f>
        <v>145.21199999999999</v>
      </c>
      <c r="AJ15" s="253">
        <v>33.664999999999999</v>
      </c>
      <c r="AK15" s="253">
        <v>45.055999999999997</v>
      </c>
      <c r="AL15" s="253">
        <v>50.307000000000002</v>
      </c>
      <c r="AM15" s="253">
        <v>43.64</v>
      </c>
      <c r="AN15" s="78">
        <f t="shared" ref="AN15:AN18" si="24">SUM(AJ15:AM15)</f>
        <v>172.66800000000001</v>
      </c>
      <c r="AO15" s="253">
        <v>31.888000000000002</v>
      </c>
      <c r="AP15" s="253">
        <v>58.143999999999998</v>
      </c>
      <c r="AQ15" s="253">
        <v>38.143999999999998</v>
      </c>
      <c r="AR15" s="361">
        <v>64.031000000000006</v>
      </c>
      <c r="AS15" s="70">
        <f t="shared" ref="AS15:AS18" si="25">SUM(AO15:AR15)</f>
        <v>192.20699999999999</v>
      </c>
      <c r="AT15" s="267">
        <v>2.839</v>
      </c>
      <c r="AU15" s="267">
        <v>49.439</v>
      </c>
      <c r="AV15" s="267">
        <v>41.281999999999996</v>
      </c>
      <c r="AW15" s="69">
        <v>74.695999999999998</v>
      </c>
      <c r="AX15" s="70">
        <f t="shared" ref="AX15:AX18" si="26">SUM(AT15:AW15)</f>
        <v>168.256</v>
      </c>
      <c r="AY15" s="267">
        <v>41.744999999999997</v>
      </c>
      <c r="AZ15" s="267">
        <v>-164.47200000000001</v>
      </c>
      <c r="BA15" s="267">
        <v>50.695</v>
      </c>
      <c r="BB15" s="267">
        <f>BB7*BB72</f>
        <v>49.284234652024082</v>
      </c>
      <c r="BC15" s="70">
        <f t="shared" ref="BC15:BC18" si="27">SUM(AY15:BB15)</f>
        <v>-22.747765347975928</v>
      </c>
      <c r="BD15" s="267">
        <f>BD7*BD72</f>
        <v>57.429851044294452</v>
      </c>
      <c r="BE15" s="267">
        <f>BE7*BE72</f>
        <v>87.185517110585849</v>
      </c>
      <c r="BF15" s="267">
        <f>BF7*BF72</f>
        <v>86.983884171371386</v>
      </c>
      <c r="BG15" s="267">
        <f>BG7*BG72</f>
        <v>85.626206996247063</v>
      </c>
      <c r="BH15" s="70">
        <f t="shared" ref="BH15:BH18" si="28">SUM(BD15:BG15)</f>
        <v>317.22545932249875</v>
      </c>
      <c r="BI15" s="267">
        <f>BI7*BI72</f>
        <v>55.519955564644157</v>
      </c>
      <c r="BJ15" s="267">
        <f>BJ7*BJ72</f>
        <v>88.367469205142129</v>
      </c>
      <c r="BK15" s="267">
        <f>BK7*BK72</f>
        <v>86.327439967370339</v>
      </c>
      <c r="BL15" s="267">
        <f>BL7*BL72</f>
        <v>87.010594585342147</v>
      </c>
      <c r="BM15" s="70">
        <f t="shared" ref="BM15:BM18" si="29">SUM(BI15:BL15)</f>
        <v>317.22545932249875</v>
      </c>
      <c r="BN15" s="267">
        <f>BN7*BN72</f>
        <v>54.727064213680798</v>
      </c>
      <c r="BO15" s="267">
        <f>BO7*BO72</f>
        <v>87.087783629368985</v>
      </c>
      <c r="BP15" s="267">
        <f>BP7*BP72</f>
        <v>88.012329631474827</v>
      </c>
      <c r="BQ15" s="267">
        <f>BQ7*BQ72</f>
        <v>87.398281847974161</v>
      </c>
      <c r="BR15" s="70">
        <f t="shared" ref="BR15:BR18" si="30">SUM(BN15:BQ15)</f>
        <v>317.22545932249875</v>
      </c>
    </row>
    <row r="16" spans="1:70">
      <c r="A16" s="257" t="s">
        <v>110</v>
      </c>
      <c r="B16" s="6"/>
      <c r="C16" s="266"/>
      <c r="D16" s="136"/>
      <c r="E16" s="263"/>
      <c r="F16" s="267"/>
      <c r="G16" s="267"/>
      <c r="H16" s="267"/>
      <c r="I16" s="267"/>
      <c r="J16" s="70"/>
      <c r="K16" s="267"/>
      <c r="L16" s="267"/>
      <c r="M16" s="267">
        <v>33.131999999999998</v>
      </c>
      <c r="N16" s="69">
        <f t="shared" si="23"/>
        <v>32.449999999999996</v>
      </c>
      <c r="O16" s="70">
        <v>65.581999999999994</v>
      </c>
      <c r="P16" s="267">
        <v>19.748000000000001</v>
      </c>
      <c r="Q16" s="267">
        <v>8.3789999999999996</v>
      </c>
      <c r="R16" s="267">
        <v>14.236000000000001</v>
      </c>
      <c r="S16" s="69">
        <f t="shared" si="21"/>
        <v>25.227999999999991</v>
      </c>
      <c r="T16" s="70">
        <v>67.590999999999994</v>
      </c>
      <c r="U16" s="267">
        <v>19.286000000000001</v>
      </c>
      <c r="V16" s="267">
        <v>15.984999999999999</v>
      </c>
      <c r="W16" s="267">
        <v>9.3119999999999994</v>
      </c>
      <c r="X16" s="69">
        <f t="shared" si="22"/>
        <v>4.4250000000000043</v>
      </c>
      <c r="Y16" s="70">
        <v>49.008000000000003</v>
      </c>
      <c r="Z16" s="267">
        <v>7.8170000000000002</v>
      </c>
      <c r="AA16" s="267">
        <v>12.632999999999999</v>
      </c>
      <c r="AB16" s="267">
        <v>10.875999999999999</v>
      </c>
      <c r="AC16" s="253">
        <v>19.672000000000001</v>
      </c>
      <c r="AD16" s="70">
        <f>SUM(Z16:AC16)</f>
        <v>50.998000000000005</v>
      </c>
      <c r="AE16" s="253">
        <v>10.523999999999999</v>
      </c>
      <c r="AF16" s="253">
        <v>13.743</v>
      </c>
      <c r="AG16" s="253">
        <v>4.7409999999999997</v>
      </c>
      <c r="AH16" s="253">
        <v>-13.326000000000001</v>
      </c>
      <c r="AI16" s="70">
        <f t="shared" ref="AI16:AI18" si="31">SUM(AE16:AH16)</f>
        <v>15.681999999999999</v>
      </c>
      <c r="AJ16" s="253">
        <v>9.4130000000000003</v>
      </c>
      <c r="AK16" s="253">
        <v>5.4130000000000003</v>
      </c>
      <c r="AL16" s="253">
        <v>11.084</v>
      </c>
      <c r="AM16" s="253">
        <v>11.999000000000001</v>
      </c>
      <c r="AN16" s="78">
        <f t="shared" si="24"/>
        <v>37.908999999999999</v>
      </c>
      <c r="AO16" s="253">
        <v>14.762</v>
      </c>
      <c r="AP16" s="253">
        <v>-14.007</v>
      </c>
      <c r="AQ16" s="253">
        <v>14.574999999999999</v>
      </c>
      <c r="AR16" s="361">
        <v>3.6080000000000001</v>
      </c>
      <c r="AS16" s="70">
        <f t="shared" si="25"/>
        <v>18.937999999999999</v>
      </c>
      <c r="AT16" s="267">
        <v>7.2350000000000003</v>
      </c>
      <c r="AU16" s="267">
        <v>7.4539999999999997</v>
      </c>
      <c r="AV16" s="267">
        <v>11.561</v>
      </c>
      <c r="AW16" s="69">
        <v>17.18</v>
      </c>
      <c r="AX16" s="70">
        <f t="shared" si="26"/>
        <v>43.43</v>
      </c>
      <c r="AY16" s="267">
        <v>-7.4880000000000004</v>
      </c>
      <c r="AZ16" s="267">
        <v>-159.79499999999999</v>
      </c>
      <c r="BA16" s="267">
        <v>7.2469999999999999</v>
      </c>
      <c r="BB16" s="267">
        <f>BB8*BB73</f>
        <v>24.06335677595483</v>
      </c>
      <c r="BC16" s="70">
        <f t="shared" si="27"/>
        <v>-135.97264322404516</v>
      </c>
      <c r="BD16" s="267">
        <f>BD8*BD73</f>
        <v>13.211917221465825</v>
      </c>
      <c r="BE16" s="267">
        <f>BE8*BE73</f>
        <v>15.30569148008261</v>
      </c>
      <c r="BF16" s="267">
        <f>BF8*BF73</f>
        <v>16.172077732780558</v>
      </c>
      <c r="BG16" s="267">
        <f>BG8*BG73</f>
        <v>16.929358362911724</v>
      </c>
      <c r="BH16" s="70">
        <f t="shared" si="28"/>
        <v>61.619044797240718</v>
      </c>
      <c r="BI16" s="267">
        <f>BI8*BI73</f>
        <v>12.998127699392256</v>
      </c>
      <c r="BJ16" s="267">
        <f>BJ8*BJ73</f>
        <v>15.15194374252809</v>
      </c>
      <c r="BK16" s="267">
        <f>BK8*BK73</f>
        <v>16.076282371180351</v>
      </c>
      <c r="BL16" s="267">
        <f>BL8*BL73</f>
        <v>17.392690984140014</v>
      </c>
      <c r="BM16" s="70">
        <f t="shared" si="29"/>
        <v>61.619044797240718</v>
      </c>
      <c r="BN16" s="267">
        <f>BN8*BN73</f>
        <v>12.240747342556897</v>
      </c>
      <c r="BO16" s="267">
        <f>BO8*BO73</f>
        <v>15.362512558594316</v>
      </c>
      <c r="BP16" s="267">
        <f>BP8*BP73</f>
        <v>16.158997247385898</v>
      </c>
      <c r="BQ16" s="267">
        <f>BQ8*BQ73</f>
        <v>17.856787648703598</v>
      </c>
      <c r="BR16" s="70">
        <f t="shared" si="30"/>
        <v>61.619044797240704</v>
      </c>
    </row>
    <row r="17" spans="1:70" ht="12.5" hidden="1" customHeight="1">
      <c r="A17" s="268" t="s">
        <v>106</v>
      </c>
      <c r="B17" s="6"/>
      <c r="C17" s="266"/>
      <c r="D17" s="136"/>
      <c r="E17" s="263"/>
      <c r="F17" s="267">
        <v>3.093</v>
      </c>
      <c r="G17" s="267">
        <v>6.8479999999999999</v>
      </c>
      <c r="H17" s="267">
        <v>2.9340000000000002</v>
      </c>
      <c r="I17" s="69">
        <f>J17-H17-G17-F17</f>
        <v>9.2779999999999987</v>
      </c>
      <c r="J17" s="70">
        <v>22.152999999999999</v>
      </c>
      <c r="K17" s="267">
        <v>2.641</v>
      </c>
      <c r="L17" s="267">
        <v>6.5190000000000001</v>
      </c>
      <c r="M17" s="267">
        <v>5.383</v>
      </c>
      <c r="N17" s="69">
        <f t="shared" si="23"/>
        <v>7.7789999999999999</v>
      </c>
      <c r="O17" s="70">
        <v>22.321999999999999</v>
      </c>
      <c r="P17" s="267">
        <v>1.8859999999999999</v>
      </c>
      <c r="Q17" s="267">
        <v>-15.122</v>
      </c>
      <c r="R17" s="267">
        <v>2.8410000000000002</v>
      </c>
      <c r="S17" s="69">
        <f t="shared" si="21"/>
        <v>5.7119999999999997</v>
      </c>
      <c r="T17" s="70">
        <v>-4.6829999999999998</v>
      </c>
      <c r="U17" s="267">
        <v>2.806</v>
      </c>
      <c r="V17" s="267">
        <v>2.1120000000000001</v>
      </c>
      <c r="W17" s="267">
        <v>1.3440000000000001</v>
      </c>
      <c r="X17" s="69">
        <f t="shared" si="22"/>
        <v>4.3170000000000011</v>
      </c>
      <c r="Y17" s="70">
        <v>10.579000000000001</v>
      </c>
      <c r="Z17" s="267"/>
      <c r="AA17" s="267"/>
      <c r="AB17" s="267"/>
      <c r="AC17" s="253"/>
      <c r="AD17" s="70">
        <f t="shared" ref="AD17" si="32">SUM(Z17:AC17)</f>
        <v>0</v>
      </c>
      <c r="AE17" s="253"/>
      <c r="AF17" s="253"/>
      <c r="AG17" s="253"/>
      <c r="AH17" s="253"/>
      <c r="AI17" s="70">
        <f t="shared" si="31"/>
        <v>0</v>
      </c>
      <c r="AJ17" s="253"/>
      <c r="AK17" s="253"/>
      <c r="AL17" s="253"/>
      <c r="AM17" s="253"/>
      <c r="AN17" s="78">
        <f t="shared" si="24"/>
        <v>0</v>
      </c>
      <c r="AO17" s="253"/>
      <c r="AP17" s="253"/>
      <c r="AQ17" s="253"/>
      <c r="AR17" s="361"/>
      <c r="AS17" s="70">
        <f t="shared" si="25"/>
        <v>0</v>
      </c>
      <c r="AT17" s="267"/>
      <c r="AU17" s="267"/>
      <c r="AV17" s="267"/>
      <c r="AW17" s="69"/>
      <c r="AX17" s="70">
        <f t="shared" si="26"/>
        <v>0</v>
      </c>
      <c r="AY17" s="267"/>
      <c r="AZ17" s="267"/>
      <c r="BA17" s="267"/>
      <c r="BB17" s="267"/>
      <c r="BC17" s="70">
        <f t="shared" si="27"/>
        <v>0</v>
      </c>
      <c r="BD17" s="267"/>
      <c r="BE17" s="267"/>
      <c r="BF17" s="267"/>
      <c r="BG17" s="267"/>
      <c r="BH17" s="70">
        <f t="shared" si="28"/>
        <v>0</v>
      </c>
      <c r="BI17" s="267"/>
      <c r="BJ17" s="267"/>
      <c r="BK17" s="267"/>
      <c r="BL17" s="267"/>
      <c r="BM17" s="70">
        <f t="shared" si="29"/>
        <v>0</v>
      </c>
      <c r="BN17" s="267"/>
      <c r="BO17" s="267"/>
      <c r="BP17" s="267"/>
      <c r="BQ17" s="267"/>
      <c r="BR17" s="70">
        <f t="shared" si="30"/>
        <v>0</v>
      </c>
    </row>
    <row r="18" spans="1:70">
      <c r="A18" s="268" t="s">
        <v>109</v>
      </c>
      <c r="B18" s="6"/>
      <c r="C18" s="266"/>
      <c r="D18" s="136"/>
      <c r="E18" s="263"/>
      <c r="F18" s="267">
        <v>-9.5359999999999996</v>
      </c>
      <c r="G18" s="267">
        <v>-10.403</v>
      </c>
      <c r="H18" s="267">
        <v>-8.4459999999999997</v>
      </c>
      <c r="I18" s="69">
        <f>J18-H18-G18-F18</f>
        <v>-5.0949999999999989</v>
      </c>
      <c r="J18" s="70">
        <v>-33.479999999999997</v>
      </c>
      <c r="K18" s="267">
        <v>-9.36</v>
      </c>
      <c r="L18" s="267">
        <v>-9.6880000000000006</v>
      </c>
      <c r="M18" s="267">
        <v>-9.16</v>
      </c>
      <c r="N18" s="69">
        <f t="shared" si="23"/>
        <v>-16.128</v>
      </c>
      <c r="O18" s="70">
        <v>-44.335999999999999</v>
      </c>
      <c r="P18" s="267">
        <v>-12.616</v>
      </c>
      <c r="Q18" s="267">
        <v>-10.595000000000001</v>
      </c>
      <c r="R18" s="267">
        <v>-9.5280000000000005</v>
      </c>
      <c r="S18" s="69">
        <f t="shared" si="21"/>
        <v>-12.355000000000004</v>
      </c>
      <c r="T18" s="70">
        <v>-45.094000000000001</v>
      </c>
      <c r="U18" s="267">
        <v>-11.804</v>
      </c>
      <c r="V18" s="267">
        <v>-10.846</v>
      </c>
      <c r="W18" s="267">
        <v>-13.624000000000001</v>
      </c>
      <c r="X18" s="69">
        <f t="shared" si="22"/>
        <v>-11.157999999999999</v>
      </c>
      <c r="Y18" s="70">
        <v>-47.432000000000002</v>
      </c>
      <c r="Z18" s="267">
        <v>-12.488</v>
      </c>
      <c r="AA18" s="267">
        <v>-12.866</v>
      </c>
      <c r="AB18" s="267">
        <v>-13.365</v>
      </c>
      <c r="AC18" s="253">
        <v>-15.84</v>
      </c>
      <c r="AD18" s="70">
        <f>SUM(Z18:AC18)</f>
        <v>-54.558999999999997</v>
      </c>
      <c r="AE18" s="253">
        <v>-18.754000000000001</v>
      </c>
      <c r="AF18" s="253">
        <v>-16.599</v>
      </c>
      <c r="AG18" s="253">
        <v>-15.712999999999999</v>
      </c>
      <c r="AH18" s="253">
        <v>-3.1739999999999999</v>
      </c>
      <c r="AI18" s="70">
        <f t="shared" si="31"/>
        <v>-54.24</v>
      </c>
      <c r="AJ18" s="253">
        <v>-15.406000000000001</v>
      </c>
      <c r="AK18" s="253">
        <v>-14.863</v>
      </c>
      <c r="AL18" s="253">
        <v>-13.768000000000001</v>
      </c>
      <c r="AM18" s="253">
        <v>-16.184999999999999</v>
      </c>
      <c r="AN18" s="78">
        <f t="shared" si="24"/>
        <v>-60.221999999999994</v>
      </c>
      <c r="AO18" s="253">
        <v>-14.875</v>
      </c>
      <c r="AP18" s="253">
        <v>-15.827999999999999</v>
      </c>
      <c r="AQ18" s="253">
        <v>-17.704999999999998</v>
      </c>
      <c r="AR18" s="361">
        <v>-17.46</v>
      </c>
      <c r="AS18" s="70">
        <f t="shared" si="25"/>
        <v>-65.867999999999995</v>
      </c>
      <c r="AT18" s="267">
        <v>-17.423999999999999</v>
      </c>
      <c r="AU18" s="267">
        <v>-14.614000000000001</v>
      </c>
      <c r="AV18" s="267">
        <v>-14.39</v>
      </c>
      <c r="AW18" s="69">
        <v>-17.321000000000005</v>
      </c>
      <c r="AX18" s="70">
        <f t="shared" si="26"/>
        <v>-63.749000000000002</v>
      </c>
      <c r="AY18" s="267">
        <v>-14.446999999999999</v>
      </c>
      <c r="AZ18" s="267">
        <v>-13.64</v>
      </c>
      <c r="BA18" s="267">
        <v>-17.579000000000001</v>
      </c>
      <c r="BB18" s="267">
        <f>BB75*-BB11</f>
        <v>-16.808715899072268</v>
      </c>
      <c r="BC18" s="70">
        <f t="shared" si="27"/>
        <v>-62.474715899072265</v>
      </c>
      <c r="BD18" s="267">
        <f>BD75*-BD11</f>
        <v>-13.807749846204898</v>
      </c>
      <c r="BE18" s="267">
        <f>BE75*-BE11</f>
        <v>-18.647323115083445</v>
      </c>
      <c r="BF18" s="267">
        <f>BF75*-BF11</f>
        <v>-18.956216994189621</v>
      </c>
      <c r="BG18" s="267">
        <f>BG75*-BG11</f>
        <v>-19.510928188931253</v>
      </c>
      <c r="BH18" s="70">
        <f t="shared" si="28"/>
        <v>-70.922218144409214</v>
      </c>
      <c r="BI18" s="267">
        <f>BI75*-BI11</f>
        <v>-13.439791363255024</v>
      </c>
      <c r="BJ18" s="267">
        <f>BJ75*-BJ11</f>
        <v>-18.772301865830499</v>
      </c>
      <c r="BK18" s="267">
        <f>BK75*-BK11</f>
        <v>-18.811602420693525</v>
      </c>
      <c r="BL18" s="267">
        <f>BL75*-BL11</f>
        <v>-19.898522494630171</v>
      </c>
      <c r="BM18" s="70">
        <f t="shared" si="29"/>
        <v>-70.922218144409214</v>
      </c>
      <c r="BN18" s="267">
        <f>BN75*-BN11</f>
        <v>-12.880290723214291</v>
      </c>
      <c r="BO18" s="267">
        <f>BO75*-BO11</f>
        <v>-18.650879424260033</v>
      </c>
      <c r="BP18" s="267">
        <f>BP75*-BP11</f>
        <v>-19.042276650971733</v>
      </c>
      <c r="BQ18" s="267">
        <f>BQ75*-BQ11</f>
        <v>-20.348771345963158</v>
      </c>
      <c r="BR18" s="70">
        <f t="shared" si="30"/>
        <v>-70.922218144409214</v>
      </c>
    </row>
    <row r="19" spans="1:70" ht="13">
      <c r="A19" s="288" t="s">
        <v>108</v>
      </c>
      <c r="B19" s="289"/>
      <c r="C19" s="290"/>
      <c r="D19" s="290"/>
      <c r="E19" s="291"/>
      <c r="F19" s="292">
        <f>SUM(F14:F18)</f>
        <v>34.156999999999996</v>
      </c>
      <c r="G19" s="292">
        <f t="shared" ref="G19:K19" si="33">SUM(G14:G18)</f>
        <v>55.851000000000006</v>
      </c>
      <c r="H19" s="292">
        <f t="shared" si="33"/>
        <v>49.959999999999994</v>
      </c>
      <c r="I19" s="292">
        <f t="shared" si="33"/>
        <v>32.343999999999987</v>
      </c>
      <c r="J19" s="293">
        <f>SUM(J14:J18)</f>
        <v>172.31200000000001</v>
      </c>
      <c r="K19" s="292">
        <f t="shared" si="33"/>
        <v>18.512999999999998</v>
      </c>
      <c r="L19" s="292">
        <f t="shared" ref="L19" si="34">SUM(L14:L18)</f>
        <v>37.034999999999997</v>
      </c>
      <c r="M19" s="292">
        <f t="shared" ref="M19" si="35">SUM(M14:M18)</f>
        <v>62.035999999999987</v>
      </c>
      <c r="N19" s="292">
        <f t="shared" ref="N19" si="36">SUM(N14:N18)</f>
        <v>50.792000000000002</v>
      </c>
      <c r="O19" s="293">
        <f>SUM(O14:O18)</f>
        <v>168.37599999999998</v>
      </c>
      <c r="P19" s="292">
        <f t="shared" ref="P19" si="37">SUM(P14:P18)</f>
        <v>16.962999999999997</v>
      </c>
      <c r="Q19" s="292">
        <f t="shared" ref="Q19" si="38">SUM(Q14:Q18)</f>
        <v>-354.17400000000004</v>
      </c>
      <c r="R19" s="292">
        <f t="shared" ref="R19" si="39">SUM(R14:R18)</f>
        <v>54.675999999999995</v>
      </c>
      <c r="S19" s="292">
        <f t="shared" ref="S19" si="40">SUM(S14:S18)</f>
        <v>60.724000000000018</v>
      </c>
      <c r="T19" s="293">
        <f>SUM(T14:T18)</f>
        <v>-221.81099999999998</v>
      </c>
      <c r="U19" s="292">
        <f t="shared" ref="U19" si="41">SUM(U14:U18)</f>
        <v>36.078999999999994</v>
      </c>
      <c r="V19" s="292">
        <f t="shared" ref="V19" si="42">SUM(V14:V18)</f>
        <v>39.474000000000004</v>
      </c>
      <c r="W19" s="292">
        <f t="shared" ref="W19" si="43">SUM(W14:W18)</f>
        <v>58.093999999999987</v>
      </c>
      <c r="X19" s="292">
        <f t="shared" ref="X19" si="44">SUM(X14:X18)</f>
        <v>70.174999999999997</v>
      </c>
      <c r="Y19" s="293">
        <f>SUM(Y14:Y18)</f>
        <v>203.822</v>
      </c>
      <c r="Z19" s="292">
        <f t="shared" ref="Z19" si="45">SUM(Z14:Z18)</f>
        <v>41.497</v>
      </c>
      <c r="AA19" s="292">
        <f>SUM(AA14:AA18)</f>
        <v>65.442999999999998</v>
      </c>
      <c r="AB19" s="292">
        <f>SUM(X14:X18)</f>
        <v>70.174999999999997</v>
      </c>
      <c r="AC19" s="379">
        <f>SUM(AC14:AC18)</f>
        <v>64.395999999999987</v>
      </c>
      <c r="AD19" s="293">
        <f>SUM(Z19:AC19)</f>
        <v>241.511</v>
      </c>
      <c r="AE19" s="379">
        <f>SUM(AE14:AE18)</f>
        <v>20.084</v>
      </c>
      <c r="AF19" s="379">
        <f t="shared" ref="AF19" si="46">SUM(AF14:AF18)</f>
        <v>30.881000000000004</v>
      </c>
      <c r="AG19" s="379">
        <f t="shared" ref="AG19" si="47">SUM(AG14:AG18)</f>
        <v>38.973999999999997</v>
      </c>
      <c r="AH19" s="379">
        <f t="shared" ref="AH19" si="48">SUM(AH14:AH18)</f>
        <v>15.474</v>
      </c>
      <c r="AI19" s="293">
        <f>SUM(AE19:AH19)</f>
        <v>105.413</v>
      </c>
      <c r="AJ19" s="379">
        <f t="shared" ref="AJ19" si="49">SUM(AJ14:AJ18)</f>
        <v>40.121999999999993</v>
      </c>
      <c r="AK19" s="379">
        <f t="shared" ref="AK19" si="50">SUM(AK14:AK18)</f>
        <v>48.828999999999994</v>
      </c>
      <c r="AL19" s="379">
        <f t="shared" ref="AL19" si="51">SUM(AL14:AL18)</f>
        <v>60.918999999999997</v>
      </c>
      <c r="AM19" s="379">
        <f t="shared" ref="AM19" si="52">SUM(AM14:AM18)</f>
        <v>52.05</v>
      </c>
      <c r="AN19" s="446">
        <f>SUM(AJ19:AM19)</f>
        <v>201.92000000000002</v>
      </c>
      <c r="AO19" s="379">
        <f t="shared" ref="AO19" si="53">SUM(AO14:AO18)</f>
        <v>37.017000000000003</v>
      </c>
      <c r="AP19" s="379">
        <f t="shared" ref="AP19" si="54">SUM(AP14:AP18)</f>
        <v>34.045000000000002</v>
      </c>
      <c r="AQ19" s="379">
        <f t="shared" ref="AQ19" si="55">SUM(AQ14:AQ18)</f>
        <v>49.072000000000003</v>
      </c>
      <c r="AR19" s="362">
        <f t="shared" ref="AR19" si="56">SUM(AR14:AR18)</f>
        <v>59.343000000000011</v>
      </c>
      <c r="AS19" s="293">
        <f>SUM(AO19:AR19)</f>
        <v>179.47700000000003</v>
      </c>
      <c r="AT19" s="292">
        <f t="shared" ref="AT19:AW19" si="57">SUM(AT14:AT18)</f>
        <v>-0.92500000000000071</v>
      </c>
      <c r="AU19" s="292">
        <f t="shared" si="57"/>
        <v>54.814999999999998</v>
      </c>
      <c r="AV19" s="292">
        <f t="shared" si="57"/>
        <v>47.305999999999997</v>
      </c>
      <c r="AW19" s="292">
        <f t="shared" si="57"/>
        <v>90.68</v>
      </c>
      <c r="AX19" s="293">
        <f>SUM(AT19:AW19)</f>
        <v>191.876</v>
      </c>
      <c r="AY19" s="292">
        <f t="shared" ref="AY19:BB19" si="58">SUM(AY14:AY18)</f>
        <v>22.943000000000001</v>
      </c>
      <c r="AZ19" s="292">
        <f t="shared" si="58"/>
        <v>-341.71699999999998</v>
      </c>
      <c r="BA19" s="292">
        <f t="shared" si="58"/>
        <v>47.942999999999991</v>
      </c>
      <c r="BB19" s="292">
        <f t="shared" si="58"/>
        <v>66.880544915817666</v>
      </c>
      <c r="BC19" s="293">
        <f>SUM(AY19:BB19)</f>
        <v>-203.95045508418235</v>
      </c>
      <c r="BD19" s="292">
        <f t="shared" ref="BD19:BG19" si="59">SUM(BD14:BD18)</f>
        <v>72.389697681691814</v>
      </c>
      <c r="BE19" s="292">
        <f t="shared" si="59"/>
        <v>102.12750315093993</v>
      </c>
      <c r="BF19" s="292">
        <f t="shared" si="59"/>
        <v>102.87159907161376</v>
      </c>
      <c r="BG19" s="292">
        <f t="shared" si="59"/>
        <v>103.43181602489059</v>
      </c>
      <c r="BH19" s="293">
        <f>SUM(BD19:BG19)</f>
        <v>380.82061592913612</v>
      </c>
      <c r="BI19" s="292">
        <f t="shared" ref="BI19:BL19" si="60">SUM(BI14:BI18)</f>
        <v>70.335969058237126</v>
      </c>
      <c r="BJ19" s="292">
        <f t="shared" si="60"/>
        <v>103.10989444442443</v>
      </c>
      <c r="BK19" s="292">
        <f t="shared" si="60"/>
        <v>102.12039305534307</v>
      </c>
      <c r="BL19" s="292">
        <f t="shared" si="60"/>
        <v>105.25435937113144</v>
      </c>
      <c r="BM19" s="293">
        <f>SUM(BI19:BL19)</f>
        <v>380.82061592913607</v>
      </c>
      <c r="BN19" s="292">
        <f t="shared" ref="BN19:BQ19" si="61">SUM(BN14:BN18)</f>
        <v>68.433641847378254</v>
      </c>
      <c r="BO19" s="292">
        <f t="shared" si="61"/>
        <v>102.08637461171176</v>
      </c>
      <c r="BP19" s="292">
        <f t="shared" si="61"/>
        <v>103.69944883369352</v>
      </c>
      <c r="BQ19" s="292">
        <f t="shared" si="61"/>
        <v>106.60115063635256</v>
      </c>
      <c r="BR19" s="293">
        <f>SUM(BN19:BQ19)</f>
        <v>380.82061592913607</v>
      </c>
    </row>
    <row r="20" spans="1:70" ht="12.5" hidden="1" customHeight="1">
      <c r="A20" s="141"/>
      <c r="B20" s="3"/>
      <c r="C20" s="4"/>
      <c r="D20" s="4"/>
      <c r="E20" s="37"/>
      <c r="F20" s="69"/>
      <c r="G20" s="69"/>
      <c r="H20" s="69"/>
      <c r="I20" s="69"/>
      <c r="J20" s="70"/>
      <c r="K20" s="69"/>
      <c r="L20" s="69"/>
      <c r="M20" s="69"/>
      <c r="N20" s="69"/>
      <c r="O20" s="70"/>
      <c r="P20" s="69"/>
      <c r="Q20" s="69"/>
      <c r="R20" s="69"/>
      <c r="S20" s="69"/>
      <c r="T20" s="70"/>
      <c r="U20" s="69"/>
      <c r="V20" s="69"/>
      <c r="W20" s="69"/>
      <c r="X20" s="69"/>
      <c r="Y20" s="70"/>
      <c r="Z20" s="69"/>
      <c r="AA20" s="69"/>
      <c r="AB20" s="69"/>
      <c r="AC20" s="77"/>
      <c r="AD20" s="70"/>
      <c r="AE20" s="77"/>
      <c r="AF20" s="77"/>
      <c r="AG20" s="77"/>
      <c r="AH20" s="77"/>
      <c r="AI20" s="70"/>
      <c r="AJ20" s="77"/>
      <c r="AK20" s="77"/>
      <c r="AL20" s="77"/>
      <c r="AM20" s="77"/>
      <c r="AN20" s="78"/>
      <c r="AO20" s="77"/>
      <c r="AP20" s="77"/>
      <c r="AQ20" s="77"/>
      <c r="AR20" s="359"/>
      <c r="AS20" s="70"/>
      <c r="AT20" s="69"/>
      <c r="AU20" s="69"/>
      <c r="AV20" s="69"/>
      <c r="AW20" s="69"/>
      <c r="AX20" s="70"/>
      <c r="AY20" s="69"/>
      <c r="AZ20" s="69"/>
      <c r="BA20" s="69"/>
      <c r="BB20" s="69"/>
      <c r="BC20" s="70"/>
      <c r="BD20" s="69"/>
      <c r="BE20" s="69"/>
      <c r="BF20" s="69"/>
      <c r="BG20" s="69"/>
      <c r="BH20" s="70"/>
      <c r="BI20" s="69"/>
      <c r="BJ20" s="69"/>
      <c r="BK20" s="69"/>
      <c r="BL20" s="69"/>
      <c r="BM20" s="70"/>
      <c r="BN20" s="69"/>
      <c r="BO20" s="69"/>
      <c r="BP20" s="69"/>
      <c r="BQ20" s="69"/>
      <c r="BR20" s="70"/>
    </row>
    <row r="21" spans="1:70" ht="12.5" hidden="1" customHeight="1">
      <c r="A21" s="141" t="s">
        <v>57</v>
      </c>
      <c r="B21" s="3"/>
      <c r="C21" s="4"/>
      <c r="D21" s="4"/>
      <c r="E21" s="37"/>
      <c r="F21" s="69">
        <v>788.94200000000001</v>
      </c>
      <c r="G21" s="69">
        <v>815.46400000000006</v>
      </c>
      <c r="H21" s="69">
        <v>641.13599999999997</v>
      </c>
      <c r="I21" s="69">
        <f>J21-H21-G21-F21</f>
        <v>615.82000000000016</v>
      </c>
      <c r="J21" s="70">
        <v>2861.3620000000001</v>
      </c>
      <c r="K21" s="69">
        <v>552.82600000000002</v>
      </c>
      <c r="L21" s="69">
        <v>732.64800000000002</v>
      </c>
      <c r="M21" s="69">
        <v>1046.0550000000001</v>
      </c>
      <c r="N21" s="69">
        <f>O21-M21-L21-K21</f>
        <v>989.44700000000012</v>
      </c>
      <c r="O21" s="70">
        <v>3320.9760000000001</v>
      </c>
      <c r="P21" s="69">
        <v>826.375</v>
      </c>
      <c r="Q21" s="69">
        <v>898.28499999999997</v>
      </c>
      <c r="R21" s="69">
        <v>983.93</v>
      </c>
      <c r="S21" s="69">
        <f>T21-R21-Q21-P21</f>
        <v>987.74900000000025</v>
      </c>
      <c r="T21" s="70">
        <v>3696.3389999999999</v>
      </c>
      <c r="U21" s="69">
        <v>892.57100000000003</v>
      </c>
      <c r="V21" s="69">
        <v>947.11</v>
      </c>
      <c r="W21" s="69">
        <v>909.53099999999995</v>
      </c>
      <c r="X21" s="69">
        <f>Y21-W21-V21-U21</f>
        <v>959.55599999999993</v>
      </c>
      <c r="Y21" s="70">
        <v>3708.768</v>
      </c>
      <c r="Z21" s="69">
        <v>849.88599999999997</v>
      </c>
      <c r="AA21" s="69">
        <v>954.97900000000004</v>
      </c>
      <c r="AB21" s="69">
        <v>1109.848</v>
      </c>
      <c r="AC21" s="77">
        <f>(AC11-AC19)-AC22</f>
        <v>1137.481</v>
      </c>
      <c r="AD21" s="70">
        <f>SUM(Z21:AC21)</f>
        <v>4052.1939999999995</v>
      </c>
      <c r="AE21" s="77">
        <f>(AE11-AE19)-AE22</f>
        <v>1046.3809999999999</v>
      </c>
      <c r="AF21" s="77">
        <f>(AF11-AF19)-AF22</f>
        <v>1281.5569999999998</v>
      </c>
      <c r="AG21" s="77">
        <f>(AG11-AG19)-AG22</f>
        <v>1301.7650000000001</v>
      </c>
      <c r="AH21" s="77">
        <f>(AH11-AH19)-AH22</f>
        <v>1185.356</v>
      </c>
      <c r="AI21" s="70">
        <f>SUM(AE21:AH21)</f>
        <v>4815.0589999999993</v>
      </c>
      <c r="AJ21" s="77">
        <f>(AJ11-AJ19)-AJ22</f>
        <v>1045.2470000000001</v>
      </c>
      <c r="AK21" s="77">
        <f>(AK11-AK19)-AK22</f>
        <v>1197.442</v>
      </c>
      <c r="AL21" s="77">
        <f>(AL11-AL19)-AL22</f>
        <v>1272.059</v>
      </c>
      <c r="AM21" s="77">
        <f>(AM11-AM19)-AM22</f>
        <v>1194.5490000000002</v>
      </c>
      <c r="AN21" s="78">
        <f>SUM(AJ21:AM21)</f>
        <v>4709.2970000000005</v>
      </c>
      <c r="AO21" s="77">
        <f>(AO11-AO19)-AO22</f>
        <v>1080.3439999999998</v>
      </c>
      <c r="AP21" s="77">
        <f>(AP11-AP19)-AP22</f>
        <v>1213.2289999999998</v>
      </c>
      <c r="AQ21" s="77">
        <f>(AQ11-AQ19)-AQ22</f>
        <v>1150.433</v>
      </c>
      <c r="AR21" s="359">
        <f>(AR11-AR19)-AR22</f>
        <v>1133.7249999999999</v>
      </c>
      <c r="AS21" s="70">
        <f>SUM(AO21:AR21)</f>
        <v>4577.7309999999998</v>
      </c>
      <c r="AT21" s="69">
        <f>(AT11-AT19)-AT22</f>
        <v>1029.0809999999999</v>
      </c>
      <c r="AU21" s="69">
        <f>(AU11-AU19)-AU22</f>
        <v>1065.27</v>
      </c>
      <c r="AV21" s="69">
        <f>(AV11-AV19)-AV22</f>
        <v>1075.8309999999999</v>
      </c>
      <c r="AW21" s="69">
        <f>(AW11-AW19)-AW22</f>
        <v>1092.604</v>
      </c>
      <c r="AX21" s="70">
        <f>SUM(AT21:AW21)</f>
        <v>4262.7860000000001</v>
      </c>
      <c r="AY21" s="69">
        <f>(AY11-AY19)-AY22</f>
        <v>935.5440000000001</v>
      </c>
      <c r="AZ21" s="69">
        <f>(AZ11-AZ19)-AZ22</f>
        <v>1466.9919999999997</v>
      </c>
      <c r="BA21" s="69">
        <f>(BA11-BA19)-BA22</f>
        <v>1141.402</v>
      </c>
      <c r="BB21" s="69">
        <f>(BB11-BB19)-BB22</f>
        <v>1299.6817233014401</v>
      </c>
      <c r="BC21" s="70">
        <f>SUM(AY21:BB21)</f>
        <v>4843.61972330144</v>
      </c>
      <c r="BD21" s="69">
        <f>(BD11-BD19)-BD22</f>
        <v>1050.1915906276495</v>
      </c>
      <c r="BE21" s="69">
        <f>(BE11-BE19)-BE22</f>
        <v>1413.9150265306409</v>
      </c>
      <c r="BF21" s="69">
        <f>(BF11-BF19)-BF22</f>
        <v>1438.2842541145344</v>
      </c>
      <c r="BG21" s="69">
        <f>(BG11-BG19)-BG22</f>
        <v>1482.8225082784631</v>
      </c>
      <c r="BH21" s="70">
        <f>SUM(BD21:BG21)</f>
        <v>5385.2133795512882</v>
      </c>
      <c r="BI21" s="69">
        <f>(BI11-BI19)-BI22</f>
        <v>1022.3299954340413</v>
      </c>
      <c r="BJ21" s="69">
        <f>(BJ11-BJ19)-BJ22</f>
        <v>1423.0935092816324</v>
      </c>
      <c r="BK21" s="69">
        <f>(BK11-BK19)-BK22</f>
        <v>1427.2781777327484</v>
      </c>
      <c r="BL21" s="69">
        <f>(BL11-BL19)-BL22</f>
        <v>1512.5116971028663</v>
      </c>
      <c r="BM21" s="70">
        <f>SUM(BI21:BL21)</f>
        <v>5385.2133795512882</v>
      </c>
      <c r="BN21" s="69">
        <f>(BN11-BN19)-BN22</f>
        <v>978.74446573101943</v>
      </c>
      <c r="BO21" s="69">
        <f>(BO11-BO19)-BO22</f>
        <v>1414.245285897234</v>
      </c>
      <c r="BP21" s="69">
        <f>(BP11-BP19)-BP22</f>
        <v>1444.4531244160407</v>
      </c>
      <c r="BQ21" s="69">
        <f>(BQ11-BQ19)-BQ22</f>
        <v>1547.7705035069937</v>
      </c>
      <c r="BR21" s="70">
        <f>SUM(BN21:BQ21)</f>
        <v>5385.2133795512882</v>
      </c>
    </row>
    <row r="22" spans="1:70" ht="12.5" hidden="1" customHeight="1">
      <c r="A22" s="141"/>
      <c r="B22" s="3"/>
      <c r="C22" s="4"/>
      <c r="D22" s="4"/>
      <c r="E22" s="37"/>
      <c r="F22" s="69"/>
      <c r="G22" s="69"/>
      <c r="H22" s="69"/>
      <c r="I22" s="69"/>
      <c r="J22" s="70"/>
      <c r="K22" s="69"/>
      <c r="L22" s="69"/>
      <c r="M22" s="69"/>
      <c r="N22" s="69"/>
      <c r="O22" s="70"/>
      <c r="P22" s="69"/>
      <c r="Q22" s="69"/>
      <c r="R22" s="69"/>
      <c r="S22" s="69"/>
      <c r="T22" s="70"/>
      <c r="U22" s="69"/>
      <c r="V22" s="69"/>
      <c r="W22" s="69"/>
      <c r="X22" s="69"/>
      <c r="Y22" s="70"/>
      <c r="Z22" s="69"/>
      <c r="AA22" s="69"/>
      <c r="AB22" s="69"/>
      <c r="AC22" s="77"/>
      <c r="AD22" s="70"/>
      <c r="AE22" s="77"/>
      <c r="AF22" s="77"/>
      <c r="AG22" s="77"/>
      <c r="AH22" s="77"/>
      <c r="AI22" s="70"/>
      <c r="AJ22" s="77"/>
      <c r="AK22" s="77"/>
      <c r="AL22" s="77"/>
      <c r="AM22" s="77"/>
      <c r="AN22" s="78"/>
      <c r="AO22" s="77"/>
      <c r="AP22" s="77"/>
      <c r="AQ22" s="77"/>
      <c r="AR22" s="359"/>
      <c r="AS22" s="70"/>
      <c r="AT22" s="69"/>
      <c r="AU22" s="69"/>
      <c r="AV22" s="69"/>
      <c r="AW22" s="69"/>
      <c r="AX22" s="70"/>
      <c r="AY22" s="69"/>
      <c r="AZ22" s="69"/>
      <c r="BA22" s="69"/>
      <c r="BB22" s="69"/>
      <c r="BC22" s="70"/>
      <c r="BD22" s="69"/>
      <c r="BE22" s="69"/>
      <c r="BF22" s="69"/>
      <c r="BG22" s="69"/>
      <c r="BH22" s="70"/>
      <c r="BI22" s="69"/>
      <c r="BJ22" s="69"/>
      <c r="BK22" s="69"/>
      <c r="BL22" s="69"/>
      <c r="BM22" s="70"/>
      <c r="BN22" s="69"/>
      <c r="BO22" s="69"/>
      <c r="BP22" s="69"/>
      <c r="BQ22" s="69"/>
      <c r="BR22" s="70"/>
    </row>
    <row r="23" spans="1:70" ht="12.5" hidden="1" customHeight="1">
      <c r="A23" s="114" t="s">
        <v>99</v>
      </c>
      <c r="B23" s="3"/>
      <c r="C23" s="4"/>
      <c r="D23" s="4"/>
      <c r="E23" s="37"/>
      <c r="F23" s="69">
        <v>0</v>
      </c>
      <c r="G23" s="69">
        <v>0</v>
      </c>
      <c r="H23" s="69">
        <v>0</v>
      </c>
      <c r="I23" s="69">
        <v>0</v>
      </c>
      <c r="J23" s="70">
        <v>0</v>
      </c>
      <c r="K23" s="69">
        <v>0</v>
      </c>
      <c r="L23" s="69">
        <v>0</v>
      </c>
      <c r="M23" s="69">
        <v>0</v>
      </c>
      <c r="N23" s="69">
        <v>0</v>
      </c>
      <c r="O23" s="70">
        <v>0</v>
      </c>
      <c r="P23" s="69">
        <v>0</v>
      </c>
      <c r="Q23" s="69">
        <v>376.57400000000001</v>
      </c>
      <c r="R23" s="69">
        <v>0</v>
      </c>
      <c r="S23" s="69">
        <v>0</v>
      </c>
      <c r="T23" s="70">
        <f>SUM(P23:S23)</f>
        <v>376.57400000000001</v>
      </c>
      <c r="U23" s="69">
        <v>0</v>
      </c>
      <c r="V23" s="69"/>
      <c r="W23" s="69"/>
      <c r="X23" s="69"/>
      <c r="Y23" s="70"/>
      <c r="Z23" s="69"/>
      <c r="AA23" s="69"/>
      <c r="AB23" s="69"/>
      <c r="AC23" s="77"/>
      <c r="AD23" s="70"/>
      <c r="AE23" s="77"/>
      <c r="AF23" s="77"/>
      <c r="AG23" s="77"/>
      <c r="AH23" s="77"/>
      <c r="AI23" s="70"/>
      <c r="AJ23" s="77"/>
      <c r="AK23" s="77"/>
      <c r="AL23" s="77"/>
      <c r="AM23" s="77"/>
      <c r="AN23" s="78"/>
      <c r="AO23" s="77"/>
      <c r="AP23" s="77"/>
      <c r="AQ23" s="77"/>
      <c r="AR23" s="359"/>
      <c r="AS23" s="70"/>
      <c r="AT23" s="69"/>
      <c r="AU23" s="69"/>
      <c r="AV23" s="69"/>
      <c r="AW23" s="69"/>
      <c r="AX23" s="70"/>
      <c r="AY23" s="69"/>
      <c r="AZ23" s="69"/>
      <c r="BA23" s="69"/>
      <c r="BB23" s="69"/>
      <c r="BC23" s="70"/>
      <c r="BD23" s="69"/>
      <c r="BE23" s="69"/>
      <c r="BF23" s="69"/>
      <c r="BG23" s="69"/>
      <c r="BH23" s="70"/>
      <c r="BI23" s="69"/>
      <c r="BJ23" s="69"/>
      <c r="BK23" s="69"/>
      <c r="BL23" s="69"/>
      <c r="BM23" s="70"/>
      <c r="BN23" s="69"/>
      <c r="BO23" s="69"/>
      <c r="BP23" s="69"/>
      <c r="BQ23" s="69"/>
      <c r="BR23" s="70"/>
    </row>
    <row r="24" spans="1:70" ht="13" hidden="1" customHeight="1" thickBot="1">
      <c r="A24" s="294" t="s">
        <v>58</v>
      </c>
      <c r="B24" s="295"/>
      <c r="C24" s="295"/>
      <c r="D24" s="295"/>
      <c r="E24" s="296"/>
      <c r="F24" s="297">
        <f>F11-F21-F22</f>
        <v>76.133000000000038</v>
      </c>
      <c r="G24" s="297">
        <f t="shared" ref="G24:I24" si="62">G11-G21-G22</f>
        <v>98.911999999999921</v>
      </c>
      <c r="H24" s="297">
        <f>H11-H21-H22</f>
        <v>90.670000000000073</v>
      </c>
      <c r="I24" s="297">
        <f t="shared" si="62"/>
        <v>72.132999999999811</v>
      </c>
      <c r="J24" s="262">
        <f>J11-J21-J22</f>
        <v>337.84799999999996</v>
      </c>
      <c r="K24" s="297">
        <f>K11-K21-K22</f>
        <v>62.462999999999965</v>
      </c>
      <c r="L24" s="297">
        <f t="shared" ref="L24" si="63">L11-L21-L22</f>
        <v>87.209999999999923</v>
      </c>
      <c r="M24" s="297">
        <f>M11-M21-M22</f>
        <v>120.35500000000002</v>
      </c>
      <c r="N24" s="297">
        <f t="shared" ref="N24" si="64">N11-N21-N22</f>
        <v>125.3130000000001</v>
      </c>
      <c r="O24" s="262">
        <f>O11-O21-O22</f>
        <v>395.34099999999989</v>
      </c>
      <c r="P24" s="297">
        <f>P11-P21-P22</f>
        <v>86.158999999999992</v>
      </c>
      <c r="Q24" s="297">
        <f>Q11-SUM(Q21:Q23)</f>
        <v>-289.51299999999992</v>
      </c>
      <c r="R24" s="297">
        <f t="shared" ref="R24:S24" si="65">R11-SUM(R21:R23)</f>
        <v>115.46300000000008</v>
      </c>
      <c r="S24" s="297">
        <f t="shared" si="65"/>
        <v>126.44899999999916</v>
      </c>
      <c r="T24" s="262">
        <f>T11-T21-T22-T23</f>
        <v>38.557999999999595</v>
      </c>
      <c r="U24" s="297">
        <f>U11-U21-U22</f>
        <v>100.35699999999997</v>
      </c>
      <c r="V24" s="297">
        <f t="shared" ref="V24" si="66">V11-V21-V22</f>
        <v>105.95500000000004</v>
      </c>
      <c r="W24" s="297">
        <f>W11-W21-W22</f>
        <v>120.85699999999997</v>
      </c>
      <c r="X24" s="297">
        <f t="shared" ref="X24" si="67">X11-X21-X22</f>
        <v>139.73499999999979</v>
      </c>
      <c r="Y24" s="262">
        <f>Y11-Y21-Y22</f>
        <v>466.90399999999954</v>
      </c>
      <c r="Z24" s="297">
        <f>Z11-Z21-Z22</f>
        <v>105.34699999999998</v>
      </c>
      <c r="AA24" s="297">
        <f t="shared" ref="AA24" si="68">AA11-AA21-AA22</f>
        <v>129.53099999999995</v>
      </c>
      <c r="AB24" s="297">
        <f>X11-X21-X22</f>
        <v>139.73499999999979</v>
      </c>
      <c r="AC24" s="380">
        <f>AC11-AC21-AC22</f>
        <v>64.395999999999958</v>
      </c>
      <c r="AD24" s="262">
        <f>AD11-AD21-AD22</f>
        <v>435.42199999999957</v>
      </c>
      <c r="AE24" s="380">
        <f>AE11-AE21-AE22</f>
        <v>20.08400000000006</v>
      </c>
      <c r="AF24" s="380">
        <f t="shared" ref="AF24" si="69">AF11-AF21-AF22</f>
        <v>30.881000000000085</v>
      </c>
      <c r="AG24" s="380">
        <f>AG11-AG21-AG22</f>
        <v>38.973999999999933</v>
      </c>
      <c r="AH24" s="380">
        <f t="shared" ref="AH24" si="70">AH11-AH21-AH22</f>
        <v>15.473999999999933</v>
      </c>
      <c r="AI24" s="262">
        <f>AI11-AI21-AI22</f>
        <v>105.41300000000047</v>
      </c>
      <c r="AJ24" s="380">
        <f>AJ11-AJ21-AJ22</f>
        <v>40.122000000000071</v>
      </c>
      <c r="AK24" s="380">
        <f t="shared" ref="AK24" si="71">AK11-AK21-AK22</f>
        <v>48.828999999999951</v>
      </c>
      <c r="AL24" s="380">
        <f>AL11-AL21-AL22</f>
        <v>60.919000000000096</v>
      </c>
      <c r="AM24" s="380">
        <f t="shared" ref="AM24" si="72">AM11-AM21-AM22</f>
        <v>52.049999999999955</v>
      </c>
      <c r="AN24" s="445">
        <f>AN11-AN21-AN22</f>
        <v>201.92000000000007</v>
      </c>
      <c r="AO24" s="380">
        <f>AO11-AO21-AO22</f>
        <v>37.017000000000053</v>
      </c>
      <c r="AP24" s="380">
        <f t="shared" ref="AP24" si="73">AP11-AP21-AP22</f>
        <v>34.045000000000073</v>
      </c>
      <c r="AQ24" s="380">
        <f>AQ11-AQ21-AQ22</f>
        <v>49.072000000000116</v>
      </c>
      <c r="AR24" s="363">
        <f t="shared" ref="AR24" si="74">AR11-AR21-AR22</f>
        <v>59.343000000000075</v>
      </c>
      <c r="AS24" s="262">
        <f>AS11-AS21-AS22</f>
        <v>179.47699999999986</v>
      </c>
      <c r="AT24" s="297">
        <f>AT11-AT21-AT22</f>
        <v>-0.92499999999995453</v>
      </c>
      <c r="AU24" s="297">
        <f t="shared" ref="AU24" si="75">AU11-AU21-AU22</f>
        <v>54.815000000000055</v>
      </c>
      <c r="AV24" s="297">
        <f>AV11-AV21-AV22</f>
        <v>47.30600000000004</v>
      </c>
      <c r="AW24" s="297">
        <f t="shared" ref="AW24" si="76">AW11-AW21-AW22</f>
        <v>90.680000000000064</v>
      </c>
      <c r="AX24" s="262">
        <f>AX11-AX21-AX22</f>
        <v>191.8760000000002</v>
      </c>
      <c r="AY24" s="297">
        <f>AY11-AY21-AY22</f>
        <v>22.942999999999984</v>
      </c>
      <c r="AZ24" s="297">
        <f t="shared" ref="AZ24" si="77">AZ11-AZ21-AZ22</f>
        <v>-341.71699999999987</v>
      </c>
      <c r="BA24" s="297">
        <f>BA11-BA21-BA22</f>
        <v>47.942999999999984</v>
      </c>
      <c r="BB24" s="297">
        <f t="shared" ref="BB24" si="78">BB11-BB21-BB22</f>
        <v>66.880544915817609</v>
      </c>
      <c r="BC24" s="262">
        <f>BC11-BC21-BC22</f>
        <v>-203.95045508418207</v>
      </c>
      <c r="BD24" s="297">
        <f>BD11-BD21-BD22</f>
        <v>72.389697681691814</v>
      </c>
      <c r="BE24" s="297">
        <f t="shared" ref="BE24" si="79">BE11-BE21-BE22</f>
        <v>102.1275031509399</v>
      </c>
      <c r="BF24" s="297">
        <f>BF11-BF21-BF22</f>
        <v>102.87159907161367</v>
      </c>
      <c r="BG24" s="297">
        <f t="shared" ref="BG24" si="80">BG11-BG21-BG22</f>
        <v>103.43181602489062</v>
      </c>
      <c r="BH24" s="262">
        <f>BH11-BH21-BH22</f>
        <v>380.82061592913578</v>
      </c>
      <c r="BI24" s="297">
        <f>BI11-BI21-BI22</f>
        <v>70.335969058237083</v>
      </c>
      <c r="BJ24" s="297">
        <f t="shared" ref="BJ24" si="81">BJ11-BJ21-BJ22</f>
        <v>103.10989444442453</v>
      </c>
      <c r="BK24" s="297">
        <f>BK11-BK21-BK22</f>
        <v>102.12039305534313</v>
      </c>
      <c r="BL24" s="297">
        <f t="shared" ref="BL24" si="82">BL11-BL21-BL22</f>
        <v>105.25435937113139</v>
      </c>
      <c r="BM24" s="262">
        <f>BM11-BM21-BM22</f>
        <v>380.82061592913578</v>
      </c>
      <c r="BN24" s="297">
        <f>BN11-BN21-BN22</f>
        <v>68.433641847378226</v>
      </c>
      <c r="BO24" s="297">
        <f t="shared" ref="BO24" si="83">BO11-BO21-BO22</f>
        <v>102.08637461171179</v>
      </c>
      <c r="BP24" s="297">
        <f>BP11-BP21-BP22</f>
        <v>103.69944883369362</v>
      </c>
      <c r="BQ24" s="297">
        <f t="shared" ref="BQ24" si="84">BQ11-BQ21-BQ22</f>
        <v>106.60115063635249</v>
      </c>
      <c r="BR24" s="262">
        <f>BR11-BR21-BR22</f>
        <v>380.82061592913578</v>
      </c>
    </row>
    <row r="25" spans="1:70" ht="13" hidden="1" customHeight="1">
      <c r="A25" s="145"/>
      <c r="B25" s="5"/>
      <c r="C25" s="5"/>
      <c r="D25" s="5"/>
      <c r="E25" s="58"/>
      <c r="F25" s="74"/>
      <c r="G25" s="74"/>
      <c r="H25" s="74"/>
      <c r="I25" s="74"/>
      <c r="J25" s="70"/>
      <c r="K25" s="74"/>
      <c r="L25" s="74"/>
      <c r="M25" s="74"/>
      <c r="N25" s="74"/>
      <c r="O25" s="75"/>
      <c r="P25" s="74"/>
      <c r="Q25" s="74"/>
      <c r="R25" s="74"/>
      <c r="S25" s="74"/>
      <c r="T25" s="75"/>
      <c r="U25" s="74"/>
      <c r="V25" s="74"/>
      <c r="W25" s="74"/>
      <c r="X25" s="74"/>
      <c r="Y25" s="75"/>
      <c r="Z25" s="74"/>
      <c r="AA25" s="74"/>
      <c r="AB25" s="74"/>
      <c r="AC25" s="381"/>
      <c r="AD25" s="75"/>
      <c r="AE25" s="381"/>
      <c r="AF25" s="381"/>
      <c r="AG25" s="381"/>
      <c r="AH25" s="381"/>
      <c r="AI25" s="75"/>
      <c r="AJ25" s="381"/>
      <c r="AK25" s="381"/>
      <c r="AL25" s="381"/>
      <c r="AM25" s="381"/>
      <c r="AN25" s="447"/>
      <c r="AO25" s="381"/>
      <c r="AP25" s="381"/>
      <c r="AQ25" s="381"/>
      <c r="AR25" s="364"/>
      <c r="AS25" s="75"/>
      <c r="AT25" s="74"/>
      <c r="AU25" s="74"/>
      <c r="AV25" s="74"/>
      <c r="AW25" s="74"/>
      <c r="AX25" s="75"/>
      <c r="AY25" s="74"/>
      <c r="AZ25" s="74"/>
      <c r="BA25" s="74"/>
      <c r="BB25" s="74"/>
      <c r="BC25" s="75"/>
      <c r="BD25" s="74"/>
      <c r="BE25" s="74"/>
      <c r="BF25" s="74"/>
      <c r="BG25" s="74"/>
      <c r="BH25" s="75"/>
      <c r="BI25" s="74"/>
      <c r="BJ25" s="74"/>
      <c r="BK25" s="74"/>
      <c r="BL25" s="74"/>
      <c r="BM25" s="75"/>
      <c r="BN25" s="74"/>
      <c r="BO25" s="74"/>
      <c r="BP25" s="74"/>
      <c r="BQ25" s="74"/>
      <c r="BR25" s="75"/>
    </row>
    <row r="26" spans="1:70" ht="13" hidden="1" customHeight="1">
      <c r="A26" s="146"/>
      <c r="B26" s="6"/>
      <c r="C26" s="5"/>
      <c r="D26" s="5"/>
      <c r="E26" s="58"/>
      <c r="F26" s="71"/>
      <c r="G26" s="71"/>
      <c r="H26" s="71"/>
      <c r="I26" s="69"/>
      <c r="J26" s="70"/>
      <c r="K26" s="71"/>
      <c r="L26" s="71"/>
      <c r="M26" s="71"/>
      <c r="N26" s="69"/>
      <c r="O26" s="70"/>
      <c r="P26" s="71"/>
      <c r="Q26" s="71"/>
      <c r="R26" s="71"/>
      <c r="S26" s="69"/>
      <c r="T26" s="70"/>
      <c r="U26" s="71"/>
      <c r="V26" s="71"/>
      <c r="W26" s="71"/>
      <c r="X26" s="69"/>
      <c r="Y26" s="70"/>
      <c r="Z26" s="71"/>
      <c r="AA26" s="71"/>
      <c r="AB26" s="71"/>
      <c r="AC26" s="77"/>
      <c r="AD26" s="70"/>
      <c r="AE26" s="408"/>
      <c r="AF26" s="408"/>
      <c r="AG26" s="408"/>
      <c r="AH26" s="77"/>
      <c r="AI26" s="70"/>
      <c r="AJ26" s="408"/>
      <c r="AK26" s="408"/>
      <c r="AL26" s="408"/>
      <c r="AM26" s="77"/>
      <c r="AN26" s="78"/>
      <c r="AO26" s="408"/>
      <c r="AP26" s="408"/>
      <c r="AQ26" s="408"/>
      <c r="AR26" s="359"/>
      <c r="AS26" s="70"/>
      <c r="AT26" s="71"/>
      <c r="AU26" s="71"/>
      <c r="AV26" s="71"/>
      <c r="AW26" s="69"/>
      <c r="AX26" s="70"/>
      <c r="AY26" s="71"/>
      <c r="AZ26" s="71"/>
      <c r="BA26" s="71"/>
      <c r="BB26" s="69"/>
      <c r="BC26" s="70"/>
      <c r="BD26" s="71"/>
      <c r="BE26" s="71"/>
      <c r="BF26" s="71"/>
      <c r="BG26" s="69"/>
      <c r="BH26" s="70"/>
      <c r="BI26" s="71"/>
      <c r="BJ26" s="71"/>
      <c r="BK26" s="71"/>
      <c r="BL26" s="69"/>
      <c r="BM26" s="70"/>
      <c r="BN26" s="71"/>
      <c r="BO26" s="71"/>
      <c r="BP26" s="71"/>
      <c r="BQ26" s="69"/>
      <c r="BR26" s="70"/>
    </row>
    <row r="27" spans="1:70" ht="13" hidden="1" customHeight="1">
      <c r="A27" s="145"/>
      <c r="B27" s="5"/>
      <c r="C27" s="5"/>
      <c r="D27" s="5"/>
      <c r="E27" s="58"/>
      <c r="F27" s="76"/>
      <c r="G27" s="76"/>
      <c r="H27" s="76"/>
      <c r="I27" s="76"/>
      <c r="J27" s="75"/>
      <c r="K27" s="76"/>
      <c r="L27" s="76"/>
      <c r="M27" s="76"/>
      <c r="N27" s="76"/>
      <c r="O27" s="75"/>
      <c r="P27" s="76"/>
      <c r="Q27" s="76"/>
      <c r="R27" s="76"/>
      <c r="S27" s="76"/>
      <c r="T27" s="75"/>
      <c r="U27" s="76"/>
      <c r="V27" s="76"/>
      <c r="W27" s="76"/>
      <c r="X27" s="76"/>
      <c r="Y27" s="75"/>
      <c r="Z27" s="76"/>
      <c r="AA27" s="76"/>
      <c r="AB27" s="76"/>
      <c r="AC27" s="382"/>
      <c r="AD27" s="75"/>
      <c r="AE27" s="382"/>
      <c r="AF27" s="382"/>
      <c r="AG27" s="382"/>
      <c r="AH27" s="382"/>
      <c r="AI27" s="75"/>
      <c r="AJ27" s="382"/>
      <c r="AK27" s="382"/>
      <c r="AL27" s="382"/>
      <c r="AM27" s="382"/>
      <c r="AN27" s="447"/>
      <c r="AO27" s="382"/>
      <c r="AP27" s="382"/>
      <c r="AQ27" s="382"/>
      <c r="AR27" s="365"/>
      <c r="AS27" s="75"/>
      <c r="AT27" s="76"/>
      <c r="AU27" s="76"/>
      <c r="AV27" s="76"/>
      <c r="AW27" s="76"/>
      <c r="AX27" s="75"/>
      <c r="AY27" s="76"/>
      <c r="AZ27" s="76"/>
      <c r="BA27" s="76"/>
      <c r="BB27" s="76"/>
      <c r="BC27" s="75"/>
      <c r="BD27" s="76"/>
      <c r="BE27" s="76"/>
      <c r="BF27" s="76"/>
      <c r="BG27" s="76"/>
      <c r="BH27" s="75"/>
      <c r="BI27" s="76"/>
      <c r="BJ27" s="76"/>
      <c r="BK27" s="76"/>
      <c r="BL27" s="76"/>
      <c r="BM27" s="75"/>
      <c r="BN27" s="76"/>
      <c r="BO27" s="76"/>
      <c r="BP27" s="76"/>
      <c r="BQ27" s="76"/>
      <c r="BR27" s="75"/>
    </row>
    <row r="28" spans="1:70" ht="13" hidden="1" customHeight="1">
      <c r="A28" s="145"/>
      <c r="B28" s="5"/>
      <c r="C28" s="5"/>
      <c r="D28" s="5"/>
      <c r="E28" s="58"/>
      <c r="F28" s="74"/>
      <c r="G28" s="74"/>
      <c r="H28" s="74"/>
      <c r="I28" s="74"/>
      <c r="J28" s="70"/>
      <c r="K28" s="74"/>
      <c r="L28" s="74"/>
      <c r="M28" s="74"/>
      <c r="N28" s="74"/>
      <c r="O28" s="75"/>
      <c r="P28" s="74"/>
      <c r="Q28" s="74"/>
      <c r="R28" s="74"/>
      <c r="S28" s="74"/>
      <c r="T28" s="75"/>
      <c r="U28" s="74"/>
      <c r="V28" s="74"/>
      <c r="W28" s="74"/>
      <c r="X28" s="74"/>
      <c r="Y28" s="75"/>
      <c r="Z28" s="74"/>
      <c r="AA28" s="74"/>
      <c r="AB28" s="74"/>
      <c r="AC28" s="381"/>
      <c r="AD28" s="75"/>
      <c r="AE28" s="381"/>
      <c r="AF28" s="381"/>
      <c r="AG28" s="381"/>
      <c r="AH28" s="381"/>
      <c r="AI28" s="75"/>
      <c r="AJ28" s="381"/>
      <c r="AK28" s="381"/>
      <c r="AL28" s="381"/>
      <c r="AM28" s="381"/>
      <c r="AN28" s="447"/>
      <c r="AO28" s="381"/>
      <c r="AP28" s="381"/>
      <c r="AQ28" s="381"/>
      <c r="AR28" s="364"/>
      <c r="AS28" s="75"/>
      <c r="AT28" s="74"/>
      <c r="AU28" s="74"/>
      <c r="AV28" s="74"/>
      <c r="AW28" s="74"/>
      <c r="AX28" s="75"/>
      <c r="AY28" s="74"/>
      <c r="AZ28" s="74"/>
      <c r="BA28" s="74"/>
      <c r="BB28" s="74"/>
      <c r="BC28" s="75"/>
      <c r="BD28" s="74"/>
      <c r="BE28" s="74"/>
      <c r="BF28" s="74"/>
      <c r="BG28" s="74"/>
      <c r="BH28" s="75"/>
      <c r="BI28" s="74"/>
      <c r="BJ28" s="74"/>
      <c r="BK28" s="74"/>
      <c r="BL28" s="74"/>
      <c r="BM28" s="75"/>
      <c r="BN28" s="74"/>
      <c r="BO28" s="74"/>
      <c r="BP28" s="74"/>
      <c r="BQ28" s="74"/>
      <c r="BR28" s="75"/>
    </row>
    <row r="29" spans="1:70" ht="13" hidden="1" customHeight="1">
      <c r="A29" s="146"/>
      <c r="B29" s="6"/>
      <c r="C29" s="5"/>
      <c r="D29" s="5"/>
      <c r="E29" s="58"/>
      <c r="F29" s="69"/>
      <c r="G29" s="69"/>
      <c r="H29" s="69"/>
      <c r="I29" s="69"/>
      <c r="J29" s="70"/>
      <c r="K29" s="69"/>
      <c r="L29" s="69"/>
      <c r="M29" s="69"/>
      <c r="N29" s="69"/>
      <c r="O29" s="70"/>
      <c r="P29" s="69"/>
      <c r="Q29" s="69"/>
      <c r="R29" s="69"/>
      <c r="S29" s="69"/>
      <c r="T29" s="70"/>
      <c r="U29" s="69"/>
      <c r="V29" s="69"/>
      <c r="W29" s="69"/>
      <c r="X29" s="69"/>
      <c r="Y29" s="70"/>
      <c r="Z29" s="69"/>
      <c r="AA29" s="69"/>
      <c r="AB29" s="69"/>
      <c r="AC29" s="77"/>
      <c r="AD29" s="70"/>
      <c r="AE29" s="77"/>
      <c r="AF29" s="77"/>
      <c r="AG29" s="77"/>
      <c r="AH29" s="77"/>
      <c r="AI29" s="70"/>
      <c r="AJ29" s="77"/>
      <c r="AK29" s="77"/>
      <c r="AL29" s="77"/>
      <c r="AM29" s="77"/>
      <c r="AN29" s="78"/>
      <c r="AO29" s="77"/>
      <c r="AP29" s="77"/>
      <c r="AQ29" s="77"/>
      <c r="AR29" s="359"/>
      <c r="AS29" s="70"/>
      <c r="AT29" s="69"/>
      <c r="AU29" s="69"/>
      <c r="AV29" s="69"/>
      <c r="AW29" s="69"/>
      <c r="AX29" s="70"/>
      <c r="AY29" s="69"/>
      <c r="AZ29" s="69"/>
      <c r="BA29" s="69"/>
      <c r="BB29" s="69"/>
      <c r="BC29" s="70"/>
      <c r="BD29" s="69"/>
      <c r="BE29" s="69"/>
      <c r="BF29" s="69"/>
      <c r="BG29" s="69"/>
      <c r="BH29" s="70"/>
      <c r="BI29" s="69"/>
      <c r="BJ29" s="69"/>
      <c r="BK29" s="69"/>
      <c r="BL29" s="69"/>
      <c r="BM29" s="70"/>
      <c r="BN29" s="69"/>
      <c r="BO29" s="69"/>
      <c r="BP29" s="69"/>
      <c r="BQ29" s="69"/>
      <c r="BR29" s="70"/>
    </row>
    <row r="30" spans="1:70" ht="13" hidden="1" customHeight="1">
      <c r="A30" s="145"/>
      <c r="B30" s="6"/>
      <c r="C30" s="5"/>
      <c r="D30" s="5"/>
      <c r="E30" s="58"/>
      <c r="F30" s="69"/>
      <c r="G30" s="69"/>
      <c r="H30" s="69"/>
      <c r="I30" s="69"/>
      <c r="J30" s="70"/>
      <c r="K30" s="69"/>
      <c r="L30" s="69"/>
      <c r="M30" s="69"/>
      <c r="N30" s="69"/>
      <c r="O30" s="70"/>
      <c r="P30" s="69"/>
      <c r="Q30" s="69"/>
      <c r="R30" s="69"/>
      <c r="S30" s="69"/>
      <c r="T30" s="70"/>
      <c r="U30" s="69"/>
      <c r="V30" s="69"/>
      <c r="W30" s="69"/>
      <c r="X30" s="69"/>
      <c r="Y30" s="70"/>
      <c r="Z30" s="69"/>
      <c r="AA30" s="69"/>
      <c r="AB30" s="69"/>
      <c r="AC30" s="77"/>
      <c r="AD30" s="70"/>
      <c r="AE30" s="77"/>
      <c r="AF30" s="77"/>
      <c r="AG30" s="77"/>
      <c r="AH30" s="77"/>
      <c r="AI30" s="70"/>
      <c r="AJ30" s="77"/>
      <c r="AK30" s="77"/>
      <c r="AL30" s="77"/>
      <c r="AM30" s="77"/>
      <c r="AN30" s="78"/>
      <c r="AO30" s="77"/>
      <c r="AP30" s="77"/>
      <c r="AQ30" s="77"/>
      <c r="AR30" s="359"/>
      <c r="AS30" s="70"/>
      <c r="AT30" s="69"/>
      <c r="AU30" s="69"/>
      <c r="AV30" s="69"/>
      <c r="AW30" s="69"/>
      <c r="AX30" s="70"/>
      <c r="AY30" s="69"/>
      <c r="AZ30" s="69"/>
      <c r="BA30" s="69"/>
      <c r="BB30" s="69"/>
      <c r="BC30" s="70"/>
      <c r="BD30" s="69"/>
      <c r="BE30" s="69"/>
      <c r="BF30" s="69"/>
      <c r="BG30" s="69"/>
      <c r="BH30" s="70"/>
      <c r="BI30" s="69"/>
      <c r="BJ30" s="69"/>
      <c r="BK30" s="69"/>
      <c r="BL30" s="69"/>
      <c r="BM30" s="70"/>
      <c r="BN30" s="69"/>
      <c r="BO30" s="69"/>
      <c r="BP30" s="69"/>
      <c r="BQ30" s="69"/>
      <c r="BR30" s="70"/>
    </row>
    <row r="31" spans="1:70" ht="12.5" hidden="1" customHeight="1">
      <c r="A31" s="145"/>
      <c r="B31" s="6"/>
      <c r="C31" s="5"/>
      <c r="D31" s="5"/>
      <c r="E31" s="59"/>
      <c r="F31" s="69"/>
      <c r="G31" s="69"/>
      <c r="H31" s="69"/>
      <c r="I31" s="69"/>
      <c r="J31" s="70"/>
      <c r="K31" s="69"/>
      <c r="L31" s="69"/>
      <c r="M31" s="69"/>
      <c r="N31" s="69"/>
      <c r="O31" s="70"/>
      <c r="P31" s="69"/>
      <c r="Q31" s="69"/>
      <c r="R31" s="69"/>
      <c r="S31" s="69"/>
      <c r="T31" s="70"/>
      <c r="U31" s="69"/>
      <c r="V31" s="69"/>
      <c r="W31" s="69"/>
      <c r="X31" s="69"/>
      <c r="Y31" s="70"/>
      <c r="Z31" s="69"/>
      <c r="AA31" s="69"/>
      <c r="AB31" s="69"/>
      <c r="AC31" s="77"/>
      <c r="AD31" s="70"/>
      <c r="AE31" s="77"/>
      <c r="AF31" s="77"/>
      <c r="AG31" s="77"/>
      <c r="AH31" s="77"/>
      <c r="AI31" s="70"/>
      <c r="AJ31" s="77"/>
      <c r="AK31" s="77"/>
      <c r="AL31" s="77"/>
      <c r="AM31" s="77"/>
      <c r="AN31" s="78"/>
      <c r="AO31" s="77"/>
      <c r="AP31" s="77"/>
      <c r="AQ31" s="77"/>
      <c r="AR31" s="359"/>
      <c r="AS31" s="70"/>
      <c r="AT31" s="69"/>
      <c r="AU31" s="69"/>
      <c r="AV31" s="69"/>
      <c r="AW31" s="69"/>
      <c r="AX31" s="70"/>
      <c r="AY31" s="69"/>
      <c r="AZ31" s="69"/>
      <c r="BA31" s="69"/>
      <c r="BB31" s="69"/>
      <c r="BC31" s="70"/>
      <c r="BD31" s="69"/>
      <c r="BE31" s="69"/>
      <c r="BF31" s="69"/>
      <c r="BG31" s="69"/>
      <c r="BH31" s="70"/>
      <c r="BI31" s="69"/>
      <c r="BJ31" s="69"/>
      <c r="BK31" s="69"/>
      <c r="BL31" s="69"/>
      <c r="BM31" s="70"/>
      <c r="BN31" s="69"/>
      <c r="BO31" s="69"/>
      <c r="BP31" s="69"/>
      <c r="BQ31" s="69"/>
      <c r="BR31" s="70"/>
    </row>
    <row r="32" spans="1:70" ht="12.5" hidden="1" customHeight="1">
      <c r="A32" s="147"/>
      <c r="B32" s="6"/>
      <c r="C32" s="6"/>
      <c r="D32" s="6"/>
      <c r="E32" s="59"/>
      <c r="F32" s="69"/>
      <c r="G32" s="69"/>
      <c r="H32" s="69"/>
      <c r="I32" s="69"/>
      <c r="J32" s="70"/>
      <c r="K32" s="69"/>
      <c r="L32" s="69"/>
      <c r="M32" s="69"/>
      <c r="N32" s="69"/>
      <c r="O32" s="70"/>
      <c r="P32" s="69"/>
      <c r="Q32" s="69"/>
      <c r="R32" s="69"/>
      <c r="S32" s="69"/>
      <c r="T32" s="70"/>
      <c r="U32" s="69"/>
      <c r="V32" s="69"/>
      <c r="W32" s="69"/>
      <c r="X32" s="69"/>
      <c r="Y32" s="70"/>
      <c r="Z32" s="69"/>
      <c r="AA32" s="69"/>
      <c r="AB32" s="69"/>
      <c r="AC32" s="77"/>
      <c r="AD32" s="70"/>
      <c r="AE32" s="77"/>
      <c r="AF32" s="77"/>
      <c r="AG32" s="77"/>
      <c r="AH32" s="77"/>
      <c r="AI32" s="70"/>
      <c r="AJ32" s="77"/>
      <c r="AK32" s="77"/>
      <c r="AL32" s="77"/>
      <c r="AM32" s="77"/>
      <c r="AN32" s="78"/>
      <c r="AO32" s="77"/>
      <c r="AP32" s="77"/>
      <c r="AQ32" s="77"/>
      <c r="AR32" s="359"/>
      <c r="AS32" s="70"/>
      <c r="AT32" s="69"/>
      <c r="AU32" s="69"/>
      <c r="AV32" s="69"/>
      <c r="AW32" s="69"/>
      <c r="AX32" s="70"/>
      <c r="AY32" s="69"/>
      <c r="AZ32" s="69"/>
      <c r="BA32" s="69"/>
      <c r="BB32" s="69"/>
      <c r="BC32" s="70"/>
      <c r="BD32" s="69"/>
      <c r="BE32" s="69"/>
      <c r="BF32" s="69"/>
      <c r="BG32" s="69"/>
      <c r="BH32" s="70"/>
      <c r="BI32" s="69"/>
      <c r="BJ32" s="69"/>
      <c r="BK32" s="69"/>
      <c r="BL32" s="69"/>
      <c r="BM32" s="70"/>
      <c r="BN32" s="69"/>
      <c r="BO32" s="69"/>
      <c r="BP32" s="69"/>
      <c r="BQ32" s="69"/>
      <c r="BR32" s="70"/>
    </row>
    <row r="33" spans="1:70" ht="13.5" hidden="1" customHeight="1" thickBot="1">
      <c r="A33" s="144"/>
      <c r="B33" s="23"/>
      <c r="C33" s="23"/>
      <c r="D33" s="23"/>
      <c r="E33" s="38"/>
      <c r="F33" s="72"/>
      <c r="G33" s="72"/>
      <c r="H33" s="72"/>
      <c r="I33" s="72"/>
      <c r="J33" s="73"/>
      <c r="K33" s="72"/>
      <c r="L33" s="72"/>
      <c r="M33" s="72"/>
      <c r="N33" s="72"/>
      <c r="O33" s="73"/>
      <c r="P33" s="72"/>
      <c r="Q33" s="72"/>
      <c r="R33" s="72"/>
      <c r="S33" s="72"/>
      <c r="T33" s="73"/>
      <c r="U33" s="72"/>
      <c r="V33" s="72"/>
      <c r="W33" s="72"/>
      <c r="X33" s="72"/>
      <c r="Y33" s="73"/>
      <c r="Z33" s="72"/>
      <c r="AA33" s="72"/>
      <c r="AB33" s="72"/>
      <c r="AC33" s="383"/>
      <c r="AD33" s="73"/>
      <c r="AE33" s="383"/>
      <c r="AF33" s="383"/>
      <c r="AG33" s="383"/>
      <c r="AH33" s="383"/>
      <c r="AI33" s="73"/>
      <c r="AJ33" s="383"/>
      <c r="AK33" s="383"/>
      <c r="AL33" s="383"/>
      <c r="AM33" s="383"/>
      <c r="AN33" s="448"/>
      <c r="AO33" s="383"/>
      <c r="AP33" s="383"/>
      <c r="AQ33" s="383"/>
      <c r="AR33" s="366"/>
      <c r="AS33" s="73"/>
      <c r="AT33" s="72"/>
      <c r="AU33" s="72"/>
      <c r="AV33" s="72"/>
      <c r="AW33" s="72"/>
      <c r="AX33" s="73"/>
      <c r="AY33" s="72"/>
      <c r="AZ33" s="72"/>
      <c r="BA33" s="72"/>
      <c r="BB33" s="72"/>
      <c r="BC33" s="73"/>
      <c r="BD33" s="72"/>
      <c r="BE33" s="72"/>
      <c r="BF33" s="72"/>
      <c r="BG33" s="72"/>
      <c r="BH33" s="73"/>
      <c r="BI33" s="72"/>
      <c r="BJ33" s="72"/>
      <c r="BK33" s="72"/>
      <c r="BL33" s="72"/>
      <c r="BM33" s="73"/>
      <c r="BN33" s="72"/>
      <c r="BO33" s="72"/>
      <c r="BP33" s="72"/>
      <c r="BQ33" s="72"/>
      <c r="BR33" s="73"/>
    </row>
    <row r="34" spans="1:70" ht="13" hidden="1" customHeight="1">
      <c r="A34" s="145"/>
      <c r="B34" s="5"/>
      <c r="C34" s="5"/>
      <c r="D34" s="5"/>
      <c r="E34" s="58"/>
      <c r="F34" s="74"/>
      <c r="G34" s="74"/>
      <c r="H34" s="74"/>
      <c r="I34" s="74"/>
      <c r="J34" s="70"/>
      <c r="K34" s="74"/>
      <c r="L34" s="74"/>
      <c r="M34" s="74"/>
      <c r="N34" s="74"/>
      <c r="O34" s="75"/>
      <c r="P34" s="74"/>
      <c r="Q34" s="74"/>
      <c r="R34" s="74"/>
      <c r="S34" s="74"/>
      <c r="T34" s="75"/>
      <c r="U34" s="74"/>
      <c r="V34" s="74"/>
      <c r="W34" s="74"/>
      <c r="X34" s="74"/>
      <c r="Y34" s="75"/>
      <c r="Z34" s="74"/>
      <c r="AA34" s="74"/>
      <c r="AB34" s="74"/>
      <c r="AC34" s="381"/>
      <c r="AD34" s="75"/>
      <c r="AE34" s="381"/>
      <c r="AF34" s="381"/>
      <c r="AG34" s="381"/>
      <c r="AH34" s="381"/>
      <c r="AI34" s="75"/>
      <c r="AJ34" s="381"/>
      <c r="AK34" s="381"/>
      <c r="AL34" s="381"/>
      <c r="AM34" s="381"/>
      <c r="AN34" s="447"/>
      <c r="AO34" s="381"/>
      <c r="AP34" s="381"/>
      <c r="AQ34" s="381"/>
      <c r="AR34" s="364"/>
      <c r="AS34" s="75"/>
      <c r="AT34" s="74"/>
      <c r="AU34" s="74"/>
      <c r="AV34" s="74"/>
      <c r="AW34" s="74"/>
      <c r="AX34" s="75"/>
      <c r="AY34" s="74"/>
      <c r="AZ34" s="74"/>
      <c r="BA34" s="74"/>
      <c r="BB34" s="74"/>
      <c r="BC34" s="75"/>
      <c r="BD34" s="74"/>
      <c r="BE34" s="74"/>
      <c r="BF34" s="74"/>
      <c r="BG34" s="74"/>
      <c r="BH34" s="75"/>
      <c r="BI34" s="74"/>
      <c r="BJ34" s="74"/>
      <c r="BK34" s="74"/>
      <c r="BL34" s="74"/>
      <c r="BM34" s="75"/>
      <c r="BN34" s="74"/>
      <c r="BO34" s="74"/>
      <c r="BP34" s="74"/>
      <c r="BQ34" s="74"/>
      <c r="BR34" s="75"/>
    </row>
    <row r="35" spans="1:70" ht="12.5" hidden="1" customHeight="1">
      <c r="A35" s="147"/>
      <c r="B35" s="6"/>
      <c r="C35" s="6"/>
      <c r="D35" s="6"/>
      <c r="E35" s="59"/>
      <c r="F35" s="69"/>
      <c r="G35" s="69"/>
      <c r="H35" s="69"/>
      <c r="I35" s="69"/>
      <c r="J35" s="70"/>
      <c r="K35" s="69"/>
      <c r="L35" s="69"/>
      <c r="M35" s="69"/>
      <c r="N35" s="69"/>
      <c r="O35" s="70"/>
      <c r="P35" s="69"/>
      <c r="Q35" s="69"/>
      <c r="R35" s="69"/>
      <c r="S35" s="69"/>
      <c r="T35" s="70"/>
      <c r="U35" s="69"/>
      <c r="V35" s="69"/>
      <c r="W35" s="69"/>
      <c r="X35" s="69"/>
      <c r="Y35" s="70"/>
      <c r="Z35" s="69"/>
      <c r="AA35" s="69"/>
      <c r="AB35" s="69"/>
      <c r="AC35" s="77"/>
      <c r="AD35" s="70"/>
      <c r="AE35" s="77"/>
      <c r="AF35" s="77"/>
      <c r="AG35" s="77"/>
      <c r="AH35" s="77"/>
      <c r="AI35" s="70"/>
      <c r="AJ35" s="77"/>
      <c r="AK35" s="77"/>
      <c r="AL35" s="77"/>
      <c r="AM35" s="77"/>
      <c r="AN35" s="78"/>
      <c r="AO35" s="77"/>
      <c r="AP35" s="77"/>
      <c r="AQ35" s="77"/>
      <c r="AR35" s="359"/>
      <c r="AS35" s="70"/>
      <c r="AT35" s="69"/>
      <c r="AU35" s="69"/>
      <c r="AV35" s="69"/>
      <c r="AW35" s="69"/>
      <c r="AX35" s="70"/>
      <c r="AY35" s="69"/>
      <c r="AZ35" s="69"/>
      <c r="BA35" s="69"/>
      <c r="BB35" s="69"/>
      <c r="BC35" s="70"/>
      <c r="BD35" s="69"/>
      <c r="BE35" s="69"/>
      <c r="BF35" s="69"/>
      <c r="BG35" s="69"/>
      <c r="BH35" s="70"/>
      <c r="BI35" s="69"/>
      <c r="BJ35" s="69"/>
      <c r="BK35" s="69"/>
      <c r="BL35" s="69"/>
      <c r="BM35" s="70"/>
      <c r="BN35" s="69"/>
      <c r="BO35" s="69"/>
      <c r="BP35" s="69"/>
      <c r="BQ35" s="69"/>
      <c r="BR35" s="70"/>
    </row>
    <row r="36" spans="1:70" ht="12.5" hidden="1" customHeight="1">
      <c r="A36" s="147"/>
      <c r="B36" s="6"/>
      <c r="C36" s="6"/>
      <c r="D36" s="6"/>
      <c r="E36" s="59"/>
      <c r="F36" s="69"/>
      <c r="G36" s="69"/>
      <c r="H36" s="69"/>
      <c r="I36" s="69"/>
      <c r="J36" s="70"/>
      <c r="K36" s="69"/>
      <c r="L36" s="69"/>
      <c r="M36" s="69"/>
      <c r="N36" s="69"/>
      <c r="O36" s="70"/>
      <c r="P36" s="69"/>
      <c r="Q36" s="69"/>
      <c r="R36" s="69"/>
      <c r="S36" s="69"/>
      <c r="T36" s="70"/>
      <c r="U36" s="69"/>
      <c r="V36" s="69"/>
      <c r="W36" s="69"/>
      <c r="X36" s="69"/>
      <c r="Y36" s="70"/>
      <c r="Z36" s="69"/>
      <c r="AA36" s="69"/>
      <c r="AB36" s="69"/>
      <c r="AC36" s="77"/>
      <c r="AD36" s="70"/>
      <c r="AE36" s="77"/>
      <c r="AF36" s="77"/>
      <c r="AG36" s="77"/>
      <c r="AH36" s="77"/>
      <c r="AI36" s="70"/>
      <c r="AJ36" s="77"/>
      <c r="AK36" s="77"/>
      <c r="AL36" s="77"/>
      <c r="AM36" s="77"/>
      <c r="AN36" s="78"/>
      <c r="AO36" s="77"/>
      <c r="AP36" s="77"/>
      <c r="AQ36" s="77"/>
      <c r="AR36" s="359"/>
      <c r="AS36" s="70"/>
      <c r="AT36" s="69"/>
      <c r="AU36" s="69"/>
      <c r="AV36" s="69"/>
      <c r="AW36" s="69"/>
      <c r="AX36" s="70"/>
      <c r="AY36" s="69"/>
      <c r="AZ36" s="69"/>
      <c r="BA36" s="69"/>
      <c r="BB36" s="69"/>
      <c r="BC36" s="70"/>
      <c r="BD36" s="69"/>
      <c r="BE36" s="69"/>
      <c r="BF36" s="69"/>
      <c r="BG36" s="69"/>
      <c r="BH36" s="70"/>
      <c r="BI36" s="69"/>
      <c r="BJ36" s="69"/>
      <c r="BK36" s="69"/>
      <c r="BL36" s="69"/>
      <c r="BM36" s="70"/>
      <c r="BN36" s="69"/>
      <c r="BO36" s="69"/>
      <c r="BP36" s="69"/>
      <c r="BQ36" s="69"/>
      <c r="BR36" s="70"/>
    </row>
    <row r="37" spans="1:70" ht="12.5" hidden="1" customHeight="1">
      <c r="A37" s="147"/>
      <c r="B37" s="6"/>
      <c r="C37" s="6"/>
      <c r="D37" s="6"/>
      <c r="E37" s="59"/>
      <c r="F37" s="69"/>
      <c r="G37" s="69"/>
      <c r="H37" s="69"/>
      <c r="I37" s="69"/>
      <c r="J37" s="70"/>
      <c r="K37" s="69"/>
      <c r="L37" s="69"/>
      <c r="M37" s="69"/>
      <c r="N37" s="69"/>
      <c r="O37" s="70"/>
      <c r="P37" s="69"/>
      <c r="Q37" s="69"/>
      <c r="R37" s="69"/>
      <c r="S37" s="69"/>
      <c r="T37" s="70"/>
      <c r="U37" s="69"/>
      <c r="V37" s="69"/>
      <c r="W37" s="69"/>
      <c r="X37" s="69"/>
      <c r="Y37" s="70"/>
      <c r="Z37" s="69"/>
      <c r="AA37" s="69"/>
      <c r="AB37" s="69"/>
      <c r="AC37" s="77"/>
      <c r="AD37" s="70"/>
      <c r="AE37" s="77"/>
      <c r="AF37" s="77"/>
      <c r="AG37" s="77"/>
      <c r="AH37" s="77"/>
      <c r="AI37" s="70"/>
      <c r="AJ37" s="77"/>
      <c r="AK37" s="77"/>
      <c r="AL37" s="77"/>
      <c r="AM37" s="77"/>
      <c r="AN37" s="78"/>
      <c r="AO37" s="77"/>
      <c r="AP37" s="77"/>
      <c r="AQ37" s="77"/>
      <c r="AR37" s="359"/>
      <c r="AS37" s="70"/>
      <c r="AT37" s="69"/>
      <c r="AU37" s="69"/>
      <c r="AV37" s="69"/>
      <c r="AW37" s="69"/>
      <c r="AX37" s="70"/>
      <c r="AY37" s="69"/>
      <c r="AZ37" s="69"/>
      <c r="BA37" s="69"/>
      <c r="BB37" s="69"/>
      <c r="BC37" s="70"/>
      <c r="BD37" s="69"/>
      <c r="BE37" s="69"/>
      <c r="BF37" s="69"/>
      <c r="BG37" s="69"/>
      <c r="BH37" s="70"/>
      <c r="BI37" s="69"/>
      <c r="BJ37" s="69"/>
      <c r="BK37" s="69"/>
      <c r="BL37" s="69"/>
      <c r="BM37" s="70"/>
      <c r="BN37" s="69"/>
      <c r="BO37" s="69"/>
      <c r="BP37" s="69"/>
      <c r="BQ37" s="69"/>
      <c r="BR37" s="70"/>
    </row>
    <row r="38" spans="1:70" ht="13" hidden="1" customHeight="1">
      <c r="A38" s="145"/>
      <c r="B38" s="5"/>
      <c r="C38" s="5"/>
      <c r="D38" s="5"/>
      <c r="E38" s="58"/>
      <c r="F38" s="74"/>
      <c r="G38" s="74"/>
      <c r="H38" s="74"/>
      <c r="I38" s="74"/>
      <c r="J38" s="75"/>
      <c r="K38" s="74"/>
      <c r="L38" s="74"/>
      <c r="M38" s="74"/>
      <c r="N38" s="74"/>
      <c r="O38" s="75"/>
      <c r="P38" s="74"/>
      <c r="Q38" s="74"/>
      <c r="R38" s="74"/>
      <c r="S38" s="74"/>
      <c r="T38" s="75"/>
      <c r="U38" s="74"/>
      <c r="V38" s="74"/>
      <c r="W38" s="74"/>
      <c r="X38" s="74"/>
      <c r="Y38" s="75"/>
      <c r="Z38" s="74"/>
      <c r="AA38" s="74"/>
      <c r="AB38" s="74"/>
      <c r="AC38" s="381"/>
      <c r="AD38" s="75"/>
      <c r="AE38" s="381"/>
      <c r="AF38" s="381"/>
      <c r="AG38" s="381"/>
      <c r="AH38" s="381"/>
      <c r="AI38" s="75"/>
      <c r="AJ38" s="381"/>
      <c r="AK38" s="381"/>
      <c r="AL38" s="381"/>
      <c r="AM38" s="381"/>
      <c r="AN38" s="447"/>
      <c r="AO38" s="381"/>
      <c r="AP38" s="381"/>
      <c r="AQ38" s="381"/>
      <c r="AR38" s="364"/>
      <c r="AS38" s="75"/>
      <c r="AT38" s="74"/>
      <c r="AU38" s="74"/>
      <c r="AV38" s="74"/>
      <c r="AW38" s="74"/>
      <c r="AX38" s="75"/>
      <c r="AY38" s="74"/>
      <c r="AZ38" s="74"/>
      <c r="BA38" s="74"/>
      <c r="BB38" s="74"/>
      <c r="BC38" s="75"/>
      <c r="BD38" s="74"/>
      <c r="BE38" s="74"/>
      <c r="BF38" s="74"/>
      <c r="BG38" s="74"/>
      <c r="BH38" s="75"/>
      <c r="BI38" s="74"/>
      <c r="BJ38" s="74"/>
      <c r="BK38" s="74"/>
      <c r="BL38" s="74"/>
      <c r="BM38" s="75"/>
      <c r="BN38" s="74"/>
      <c r="BO38" s="74"/>
      <c r="BP38" s="74"/>
      <c r="BQ38" s="74"/>
      <c r="BR38" s="75"/>
    </row>
    <row r="39" spans="1:70" ht="13" hidden="1" customHeight="1">
      <c r="A39" s="145"/>
      <c r="B39" s="5"/>
      <c r="C39" s="5"/>
      <c r="D39" s="5"/>
      <c r="E39" s="58"/>
      <c r="F39" s="74"/>
      <c r="G39" s="74"/>
      <c r="H39" s="74"/>
      <c r="I39" s="74"/>
      <c r="J39" s="70"/>
      <c r="K39" s="74"/>
      <c r="L39" s="74"/>
      <c r="M39" s="74"/>
      <c r="N39" s="74"/>
      <c r="O39" s="75"/>
      <c r="P39" s="74"/>
      <c r="Q39" s="74"/>
      <c r="R39" s="74"/>
      <c r="S39" s="74"/>
      <c r="T39" s="75"/>
      <c r="U39" s="74"/>
      <c r="V39" s="74"/>
      <c r="W39" s="74"/>
      <c r="X39" s="74"/>
      <c r="Y39" s="75"/>
      <c r="Z39" s="74"/>
      <c r="AA39" s="74"/>
      <c r="AB39" s="74"/>
      <c r="AC39" s="381"/>
      <c r="AD39" s="75"/>
      <c r="AE39" s="381"/>
      <c r="AF39" s="381"/>
      <c r="AG39" s="381"/>
      <c r="AH39" s="381"/>
      <c r="AI39" s="75"/>
      <c r="AJ39" s="381"/>
      <c r="AK39" s="381"/>
      <c r="AL39" s="381"/>
      <c r="AM39" s="381"/>
      <c r="AN39" s="447"/>
      <c r="AO39" s="381"/>
      <c r="AP39" s="381"/>
      <c r="AQ39" s="381"/>
      <c r="AR39" s="364"/>
      <c r="AS39" s="75"/>
      <c r="AT39" s="74"/>
      <c r="AU39" s="74"/>
      <c r="AV39" s="74"/>
      <c r="AW39" s="74"/>
      <c r="AX39" s="75"/>
      <c r="AY39" s="74"/>
      <c r="AZ39" s="74"/>
      <c r="BA39" s="74"/>
      <c r="BB39" s="74"/>
      <c r="BC39" s="75"/>
      <c r="BD39" s="74"/>
      <c r="BE39" s="74"/>
      <c r="BF39" s="74"/>
      <c r="BG39" s="74"/>
      <c r="BH39" s="75"/>
      <c r="BI39" s="74"/>
      <c r="BJ39" s="74"/>
      <c r="BK39" s="74"/>
      <c r="BL39" s="74"/>
      <c r="BM39" s="75"/>
      <c r="BN39" s="74"/>
      <c r="BO39" s="74"/>
      <c r="BP39" s="74"/>
      <c r="BQ39" s="74"/>
      <c r="BR39" s="75"/>
    </row>
    <row r="40" spans="1:70">
      <c r="A40" s="133" t="s">
        <v>59</v>
      </c>
      <c r="B40" s="6"/>
      <c r="C40" s="6"/>
      <c r="D40" s="6"/>
      <c r="E40" s="59"/>
      <c r="F40" s="69">
        <v>0.34499999999999997</v>
      </c>
      <c r="G40" s="69">
        <v>-1.1020000000000001</v>
      </c>
      <c r="H40" s="69">
        <v>0.35799999999999998</v>
      </c>
      <c r="I40" s="69">
        <f>J40-H40-G40-F40</f>
        <v>-1.8809999999999998</v>
      </c>
      <c r="J40" s="70">
        <v>-2.2799999999999998</v>
      </c>
      <c r="K40" s="69">
        <v>-0.44700000000000001</v>
      </c>
      <c r="L40" s="69">
        <v>1.232</v>
      </c>
      <c r="M40" s="69">
        <v>5.8630000000000004</v>
      </c>
      <c r="N40" s="69">
        <f>O40-M40-L40-K40</f>
        <v>-2.2270000000000003</v>
      </c>
      <c r="O40" s="70">
        <v>4.4210000000000003</v>
      </c>
      <c r="P40" s="69">
        <v>-2.3079999999999998</v>
      </c>
      <c r="Q40" s="69">
        <v>1.0820000000000001</v>
      </c>
      <c r="R40" s="69">
        <v>0.54500000000000004</v>
      </c>
      <c r="S40" s="69">
        <f>T40-R40-Q40-P40</f>
        <v>-1.1760000000000002</v>
      </c>
      <c r="T40" s="70">
        <v>-1.857</v>
      </c>
      <c r="U40" s="69">
        <v>-0.82099999999999995</v>
      </c>
      <c r="V40" s="69">
        <v>-3.234</v>
      </c>
      <c r="W40" s="69">
        <v>-9.4879999999999995</v>
      </c>
      <c r="X40" s="69">
        <f>Y40-W40-V40-U40</f>
        <v>-5.032</v>
      </c>
      <c r="Y40" s="70">
        <v>-18.574999999999999</v>
      </c>
      <c r="Z40" s="69">
        <v>-3.3730000000000002</v>
      </c>
      <c r="AA40" s="69">
        <v>-6.9740000000000002</v>
      </c>
      <c r="AB40" s="69">
        <v>-0.441</v>
      </c>
      <c r="AC40" s="77">
        <v>1.252</v>
      </c>
      <c r="AD40" s="70">
        <f>SUM(Z40:AC40)</f>
        <v>-9.5360000000000014</v>
      </c>
      <c r="AE40" s="77">
        <v>-0.754</v>
      </c>
      <c r="AF40" s="77">
        <v>0.1</v>
      </c>
      <c r="AG40" s="77">
        <v>5.9160000000000004</v>
      </c>
      <c r="AH40" s="77">
        <v>7.1920000000000002</v>
      </c>
      <c r="AI40" s="70">
        <f>SUM(AE40:AH40)</f>
        <v>12.454000000000001</v>
      </c>
      <c r="AJ40" s="77">
        <v>0.68200000000000005</v>
      </c>
      <c r="AK40" s="77">
        <v>2.4849999999999999</v>
      </c>
      <c r="AL40" s="77">
        <v>2.048</v>
      </c>
      <c r="AM40" s="77">
        <v>1.7629999999999999</v>
      </c>
      <c r="AN40" s="78">
        <f>SUM(AJ40:AM40)</f>
        <v>6.9779999999999998</v>
      </c>
      <c r="AO40" s="77">
        <v>0.41699999999999998</v>
      </c>
      <c r="AP40" s="77">
        <v>40.99</v>
      </c>
      <c r="AQ40" s="77">
        <v>0.96699999999999997</v>
      </c>
      <c r="AR40" s="359">
        <v>1.508</v>
      </c>
      <c r="AS40" s="70">
        <f>SUM(AO40:AR40)</f>
        <v>43.882000000000005</v>
      </c>
      <c r="AT40" s="69">
        <v>0.78</v>
      </c>
      <c r="AU40" s="69">
        <v>1.05</v>
      </c>
      <c r="AV40" s="69">
        <v>1.909</v>
      </c>
      <c r="AW40" s="69">
        <v>0.51700000000000035</v>
      </c>
      <c r="AX40" s="70">
        <f>SUM(AT40:AW40)</f>
        <v>4.2560000000000002</v>
      </c>
      <c r="AY40" s="69">
        <v>0.42199999999999999</v>
      </c>
      <c r="AZ40" s="69">
        <f>+(BC40-AY40)/3</f>
        <v>-0.14066666666666666</v>
      </c>
      <c r="BA40" s="69">
        <v>1.6739999999999999</v>
      </c>
      <c r="BB40" s="69">
        <f>+BC40-BA40-AZ40-AY40</f>
        <v>-1.9553333333333331</v>
      </c>
      <c r="BC40" s="70">
        <v>0</v>
      </c>
      <c r="BD40" s="69">
        <f>+BH40/4</f>
        <v>0</v>
      </c>
      <c r="BE40" s="69">
        <f>+(BH40-BD40)/3</f>
        <v>0</v>
      </c>
      <c r="BF40" s="69">
        <f>+(BH40-BE40-BD40)/2</f>
        <v>0</v>
      </c>
      <c r="BG40" s="69">
        <f>+BH40-BF40-BE40-BD40</f>
        <v>0</v>
      </c>
      <c r="BH40" s="70">
        <v>0</v>
      </c>
      <c r="BI40" s="69">
        <f>+BM40/4</f>
        <v>0</v>
      </c>
      <c r="BJ40" s="69">
        <f>+(BM40-BI40)/3</f>
        <v>0</v>
      </c>
      <c r="BK40" s="69">
        <f>+(BM40-BJ40-BI40)/2</f>
        <v>0</v>
      </c>
      <c r="BL40" s="69">
        <f>+BM40-BK40-BJ40-BI40</f>
        <v>0</v>
      </c>
      <c r="BM40" s="70">
        <v>0</v>
      </c>
      <c r="BN40" s="69">
        <f>+BR40/4</f>
        <v>0</v>
      </c>
      <c r="BO40" s="69">
        <f>+(BR40-BN40)/3</f>
        <v>0</v>
      </c>
      <c r="BP40" s="69">
        <f>+(BR40-BO40-BN40)/2</f>
        <v>0</v>
      </c>
      <c r="BQ40" s="69">
        <f>+BR40-BP40-BO40-BN40</f>
        <v>0</v>
      </c>
      <c r="BR40" s="70">
        <v>0</v>
      </c>
    </row>
    <row r="41" spans="1:70">
      <c r="A41" s="133" t="s">
        <v>60</v>
      </c>
      <c r="B41" s="63"/>
      <c r="C41" s="62"/>
      <c r="D41" s="62"/>
      <c r="E41" s="64"/>
      <c r="F41" s="77">
        <v>-1.5209999999999999</v>
      </c>
      <c r="G41" s="77">
        <v>-3.2440000000000002</v>
      </c>
      <c r="H41" s="77">
        <v>-1.589</v>
      </c>
      <c r="I41" s="69">
        <f>J41-H41-G41-F41</f>
        <v>-4.21</v>
      </c>
      <c r="J41" s="78">
        <v>-10.564</v>
      </c>
      <c r="K41" s="77">
        <v>-7.1550000000000002</v>
      </c>
      <c r="L41" s="77">
        <v>-7.2519999999999998</v>
      </c>
      <c r="M41" s="77">
        <v>-11.566000000000001</v>
      </c>
      <c r="N41" s="69">
        <f>O41-M41-L41-K41</f>
        <v>-9.7769999999999975</v>
      </c>
      <c r="O41" s="78">
        <v>-35.75</v>
      </c>
      <c r="P41" s="77">
        <v>-11.082000000000001</v>
      </c>
      <c r="Q41" s="77">
        <v>-10.603</v>
      </c>
      <c r="R41" s="77">
        <v>-11.039</v>
      </c>
      <c r="S41" s="69">
        <f>T41-R41-Q41-P41</f>
        <v>-11.449999999999996</v>
      </c>
      <c r="T41" s="78">
        <v>-44.173999999999999</v>
      </c>
      <c r="U41" s="77">
        <v>-11.336</v>
      </c>
      <c r="V41" s="77">
        <v>-11.083</v>
      </c>
      <c r="W41" s="77">
        <v>-11.571</v>
      </c>
      <c r="X41" s="69">
        <f>Y41-W41-V41-U41</f>
        <v>-11.642000000000001</v>
      </c>
      <c r="Y41" s="78">
        <v>-45.631999999999998</v>
      </c>
      <c r="Z41" s="77">
        <v>-10.831</v>
      </c>
      <c r="AA41" s="77">
        <v>-10.856999999999999</v>
      </c>
      <c r="AB41" s="77">
        <v>-11.297000000000001</v>
      </c>
      <c r="AC41" s="77">
        <v>-11.731</v>
      </c>
      <c r="AD41" s="70">
        <f>SUM(Z41:AC41)</f>
        <v>-44.716000000000001</v>
      </c>
      <c r="AE41" s="77">
        <v>-11.125</v>
      </c>
      <c r="AF41" s="77">
        <v>-10.989000000000001</v>
      </c>
      <c r="AG41" s="77">
        <v>-10.935</v>
      </c>
      <c r="AH41" s="77">
        <v>-10.978999999999999</v>
      </c>
      <c r="AI41" s="332">
        <f>+SUM(AE41:AH41)</f>
        <v>-44.027999999999999</v>
      </c>
      <c r="AJ41" s="77">
        <v>-14.08</v>
      </c>
      <c r="AK41" s="77">
        <v>-15.534000000000001</v>
      </c>
      <c r="AL41" s="77">
        <v>-15.041</v>
      </c>
      <c r="AM41" s="77">
        <v>-15.128</v>
      </c>
      <c r="AN41" s="332">
        <f>SUM(AJ41:AM41)</f>
        <v>-59.783000000000001</v>
      </c>
      <c r="AO41" s="77">
        <v>-15.564</v>
      </c>
      <c r="AP41" s="77">
        <v>-22.518999999999998</v>
      </c>
      <c r="AQ41" s="77">
        <v>-15.643000000000001</v>
      </c>
      <c r="AR41" s="359">
        <v>-15.657999999999999</v>
      </c>
      <c r="AS41" s="332">
        <f>SUM(AO41:AR41)</f>
        <v>-69.384</v>
      </c>
      <c r="AT41" s="69">
        <v>-15.065</v>
      </c>
      <c r="AU41" s="69">
        <v>-15.997999999999999</v>
      </c>
      <c r="AV41" s="69">
        <v>-16.411000000000001</v>
      </c>
      <c r="AW41" s="69">
        <v>-16.044999999999995</v>
      </c>
      <c r="AX41" s="332">
        <f>SUM(AT41:AW41)</f>
        <v>-63.518999999999998</v>
      </c>
      <c r="AY41" s="69">
        <v>-16.425000000000001</v>
      </c>
      <c r="AZ41" s="69">
        <f>+(BC41-AY41)/3</f>
        <v>-14.525</v>
      </c>
      <c r="BA41" s="69">
        <v>-17.305</v>
      </c>
      <c r="BB41" s="69">
        <f>+BC41-BA41-AZ41-AY41</f>
        <v>-11.745000000000001</v>
      </c>
      <c r="BC41" s="332">
        <v>-60</v>
      </c>
      <c r="BD41" s="69">
        <f>+BH41/4</f>
        <v>-13.75</v>
      </c>
      <c r="BE41" s="69">
        <f>+(BH41-BD41)/3</f>
        <v>-13.75</v>
      </c>
      <c r="BF41" s="69">
        <f>+(BH41-BE41-BD41)/2</f>
        <v>-13.75</v>
      </c>
      <c r="BG41" s="69">
        <f>+BH41-BF41-BE41-BD41</f>
        <v>-13.75</v>
      </c>
      <c r="BH41" s="332">
        <v>-55</v>
      </c>
      <c r="BI41" s="69">
        <f>+BM41/4</f>
        <v>-13.75</v>
      </c>
      <c r="BJ41" s="69">
        <f>+(BM41-BI41)/3</f>
        <v>-13.75</v>
      </c>
      <c r="BK41" s="69">
        <f>+(BM41-BJ41-BI41)/2</f>
        <v>-13.75</v>
      </c>
      <c r="BL41" s="69">
        <f>+BM41-BK41-BJ41-BI41</f>
        <v>-13.75</v>
      </c>
      <c r="BM41" s="332">
        <v>-55</v>
      </c>
      <c r="BN41" s="69">
        <f>+BR41/4</f>
        <v>-13.75</v>
      </c>
      <c r="BO41" s="69">
        <f>+(BR41-BN41)/3</f>
        <v>-13.75</v>
      </c>
      <c r="BP41" s="69">
        <f>+(BR41-BO41-BN41)/2</f>
        <v>-13.75</v>
      </c>
      <c r="BQ41" s="69">
        <f>+BR41-BP41-BO41-BN41</f>
        <v>-13.75</v>
      </c>
      <c r="BR41" s="332">
        <v>-55</v>
      </c>
    </row>
    <row r="42" spans="1:70" ht="12.5" hidden="1" customHeight="1">
      <c r="A42" s="148"/>
      <c r="B42" s="63"/>
      <c r="C42" s="62"/>
      <c r="D42" s="62"/>
      <c r="E42" s="64"/>
      <c r="F42" s="77"/>
      <c r="G42" s="77"/>
      <c r="H42" s="77"/>
      <c r="I42" s="69"/>
      <c r="J42" s="78"/>
      <c r="K42" s="77"/>
      <c r="L42" s="77"/>
      <c r="M42" s="77"/>
      <c r="N42" s="69"/>
      <c r="O42" s="78"/>
      <c r="P42" s="77"/>
      <c r="Q42" s="77"/>
      <c r="R42" s="77"/>
      <c r="S42" s="69"/>
      <c r="T42" s="78"/>
      <c r="U42" s="77"/>
      <c r="V42" s="77"/>
      <c r="W42" s="77"/>
      <c r="X42" s="69"/>
      <c r="Y42" s="78"/>
      <c r="Z42" s="77"/>
      <c r="AA42" s="77"/>
      <c r="AB42" s="77"/>
      <c r="AC42" s="77"/>
      <c r="AD42" s="78"/>
      <c r="AE42" s="77"/>
      <c r="AF42" s="77"/>
      <c r="AG42" s="77"/>
      <c r="AH42" s="77"/>
      <c r="AI42" s="78"/>
      <c r="AJ42" s="77"/>
      <c r="AK42" s="77"/>
      <c r="AL42" s="77"/>
      <c r="AM42" s="77"/>
      <c r="AN42" s="78"/>
      <c r="AO42" s="77"/>
      <c r="AP42" s="77"/>
      <c r="AQ42" s="77"/>
      <c r="AR42" s="359"/>
      <c r="AS42" s="78"/>
      <c r="AT42" s="77"/>
      <c r="AU42" s="77"/>
      <c r="AV42" s="77"/>
      <c r="AW42" s="69"/>
      <c r="AX42" s="78"/>
      <c r="AY42" s="77"/>
      <c r="AZ42" s="77"/>
      <c r="BA42" s="77"/>
      <c r="BB42" s="69"/>
      <c r="BC42" s="78"/>
      <c r="BD42" s="77"/>
      <c r="BE42" s="77"/>
      <c r="BF42" s="77"/>
      <c r="BG42" s="69"/>
      <c r="BH42" s="78"/>
      <c r="BI42" s="77"/>
      <c r="BJ42" s="77"/>
      <c r="BK42" s="77"/>
      <c r="BL42" s="69"/>
      <c r="BM42" s="78"/>
      <c r="BN42" s="77"/>
      <c r="BO42" s="77"/>
      <c r="BP42" s="77"/>
      <c r="BQ42" s="69"/>
      <c r="BR42" s="78"/>
    </row>
    <row r="43" spans="1:70" ht="13">
      <c r="A43" s="149" t="s">
        <v>151</v>
      </c>
      <c r="B43" s="83"/>
      <c r="C43" s="83"/>
      <c r="D43" s="83"/>
      <c r="E43" s="39"/>
      <c r="F43" s="81"/>
      <c r="G43" s="81"/>
      <c r="H43" s="81"/>
      <c r="I43" s="81"/>
      <c r="J43" s="82"/>
      <c r="K43" s="81"/>
      <c r="L43" s="81"/>
      <c r="M43" s="81"/>
      <c r="N43" s="81"/>
      <c r="O43" s="82"/>
      <c r="P43" s="81"/>
      <c r="Q43" s="81"/>
      <c r="R43" s="81"/>
      <c r="S43" s="81"/>
      <c r="T43" s="82"/>
      <c r="U43" s="81"/>
      <c r="V43" s="81"/>
      <c r="W43" s="81"/>
      <c r="X43" s="81"/>
      <c r="Y43" s="82"/>
      <c r="Z43" s="81"/>
      <c r="AA43" s="81"/>
      <c r="AB43" s="81"/>
      <c r="AC43" s="384"/>
      <c r="AD43" s="82"/>
      <c r="AE43" s="384"/>
      <c r="AF43" s="384"/>
      <c r="AG43" s="384"/>
      <c r="AH43" s="384"/>
      <c r="AI43" s="82"/>
      <c r="AJ43" s="384">
        <f>AJ44+CF!AJ8</f>
        <v>41.22</v>
      </c>
      <c r="AK43" s="384">
        <f>AK44+CF!AK8</f>
        <v>51.239999999999995</v>
      </c>
      <c r="AL43" s="384">
        <f>AL44+CF!AL8</f>
        <v>65.265000000000001</v>
      </c>
      <c r="AM43" s="384">
        <f>AM44+CF!AM8</f>
        <v>58.692</v>
      </c>
      <c r="AN43" s="384">
        <f>AN44+CF!AN8</f>
        <v>216.41700000000003</v>
      </c>
      <c r="AO43" s="384">
        <f>AO44+CF!AO8</f>
        <v>42.866</v>
      </c>
      <c r="AP43" s="384">
        <f>AP44+CF!AP8</f>
        <v>62.277999999999999</v>
      </c>
      <c r="AQ43" s="384">
        <f>AQ44+CF!AQ8</f>
        <v>44.100999999999999</v>
      </c>
      <c r="AR43" s="384">
        <f>AR44+CF!AR8</f>
        <v>56.660000000000018</v>
      </c>
      <c r="AS43" s="384">
        <f>AS44+CF!AS8</f>
        <v>205.90500000000003</v>
      </c>
      <c r="AT43" s="384">
        <f>AT44+CF!AT8</f>
        <v>-5.0230000000000015</v>
      </c>
      <c r="AU43" s="384">
        <f>AU44+CF!AU8</f>
        <v>50.844000000000001</v>
      </c>
      <c r="AV43" s="384">
        <f>AV44+CF!AV8</f>
        <v>45.220999999999997</v>
      </c>
      <c r="AW43" s="384">
        <f>AW44+CF!AW8</f>
        <v>88.838000000000008</v>
      </c>
      <c r="AX43" s="384">
        <f>AX44+CF!AX8</f>
        <v>179.88</v>
      </c>
      <c r="AY43" s="384">
        <f>AY44+CF!AY8</f>
        <v>20.657</v>
      </c>
      <c r="AZ43" s="384">
        <f>AZ44+CF!AZ8</f>
        <v>-341.78566666666666</v>
      </c>
      <c r="BA43" s="384">
        <f>BA44+CF!BA8</f>
        <v>48.538999999999987</v>
      </c>
      <c r="BB43" s="384">
        <f>BB44+CF!BB8</f>
        <v>73.639211582484336</v>
      </c>
      <c r="BC43" s="384">
        <f>BC44+CF!BC8</f>
        <v>-198.95045508418235</v>
      </c>
      <c r="BD43" s="384">
        <f>BD44+CF!BD8</f>
        <v>74.889697681691814</v>
      </c>
      <c r="BE43" s="384">
        <f>BE44+CF!BE8</f>
        <v>104.62750315093993</v>
      </c>
      <c r="BF43" s="384">
        <f>BF44+CF!BF8</f>
        <v>105.37159907161376</v>
      </c>
      <c r="BG43" s="384">
        <f>BG44+CF!BG8</f>
        <v>105.93181602489059</v>
      </c>
      <c r="BH43" s="384">
        <f>BH44+CF!BH8</f>
        <v>390.82061592913612</v>
      </c>
      <c r="BI43" s="384">
        <f>BI44+CF!BI8</f>
        <v>72.835969058237126</v>
      </c>
      <c r="BJ43" s="384">
        <f>BJ44+CF!BJ8</f>
        <v>105.60989444442443</v>
      </c>
      <c r="BK43" s="384">
        <f>BK44+CF!BK8</f>
        <v>104.62039305534307</v>
      </c>
      <c r="BL43" s="384">
        <f>BL44+CF!BL8</f>
        <v>107.75435937113144</v>
      </c>
      <c r="BM43" s="384">
        <f>BM44+CF!BM8</f>
        <v>390.82061592913607</v>
      </c>
      <c r="BN43" s="384">
        <f>BN44+CF!BN8</f>
        <v>70.933641847378254</v>
      </c>
      <c r="BO43" s="384">
        <f>BO44+CF!BO8</f>
        <v>104.58637461171176</v>
      </c>
      <c r="BP43" s="384">
        <f>BP44+CF!BP8</f>
        <v>106.19944883369352</v>
      </c>
      <c r="BQ43" s="384">
        <f>BQ44+CF!BQ8</f>
        <v>109.10115063635256</v>
      </c>
      <c r="BR43" s="384">
        <f>BR44+CF!BR8</f>
        <v>390.82061592913607</v>
      </c>
    </row>
    <row r="44" spans="1:70" ht="13">
      <c r="A44" s="149" t="s">
        <v>61</v>
      </c>
      <c r="B44" s="83"/>
      <c r="C44" s="83"/>
      <c r="D44" s="83"/>
      <c r="E44" s="39"/>
      <c r="F44" s="81">
        <f>F24+F40+F41</f>
        <v>74.957000000000036</v>
      </c>
      <c r="G44" s="81">
        <f t="shared" ref="G44:I44" si="85">G24+G40+G41</f>
        <v>94.565999999999917</v>
      </c>
      <c r="H44" s="81">
        <f t="shared" si="85"/>
        <v>89.439000000000078</v>
      </c>
      <c r="I44" s="81">
        <f t="shared" si="85"/>
        <v>66.041999999999817</v>
      </c>
      <c r="J44" s="82">
        <f>J41+J40+J24</f>
        <v>325.00399999999996</v>
      </c>
      <c r="K44" s="81">
        <f>K24+K40+K41</f>
        <v>54.860999999999962</v>
      </c>
      <c r="L44" s="81">
        <f t="shared" ref="L44:N44" si="86">L24+L40+L41</f>
        <v>81.189999999999927</v>
      </c>
      <c r="M44" s="81">
        <f t="shared" si="86"/>
        <v>114.65200000000002</v>
      </c>
      <c r="N44" s="81">
        <f t="shared" si="86"/>
        <v>113.3090000000001</v>
      </c>
      <c r="O44" s="82">
        <f>O41+O40+O24</f>
        <v>364.01199999999989</v>
      </c>
      <c r="P44" s="81">
        <f>P24+P40+P41</f>
        <v>72.769000000000005</v>
      </c>
      <c r="Q44" s="81">
        <f t="shared" ref="Q44:S44" si="87">Q24+Q40+Q41</f>
        <v>-299.03399999999993</v>
      </c>
      <c r="R44" s="81">
        <f t="shared" si="87"/>
        <v>104.96900000000008</v>
      </c>
      <c r="S44" s="81">
        <f t="shared" si="87"/>
        <v>113.82299999999915</v>
      </c>
      <c r="T44" s="82">
        <f>T41+T40+T24</f>
        <v>-7.473000000000404</v>
      </c>
      <c r="U44" s="81">
        <f>U24+U40+U41</f>
        <v>88.199999999999974</v>
      </c>
      <c r="V44" s="81">
        <f t="shared" ref="V44:X44" si="88">V24+V40+V41</f>
        <v>91.638000000000048</v>
      </c>
      <c r="W44" s="81">
        <f t="shared" si="88"/>
        <v>99.797999999999973</v>
      </c>
      <c r="X44" s="81">
        <f t="shared" si="88"/>
        <v>123.06099999999978</v>
      </c>
      <c r="Y44" s="82">
        <f>Y41+Y40+Y24</f>
        <v>402.69699999999955</v>
      </c>
      <c r="Z44" s="81">
        <f>Z19+Z40+Z41</f>
        <v>27.293000000000003</v>
      </c>
      <c r="AA44" s="81">
        <f t="shared" ref="AA44:AC44" si="89">AA19+AA40+AA41</f>
        <v>47.611999999999995</v>
      </c>
      <c r="AB44" s="81">
        <f>X19+X40+X41</f>
        <v>53.500999999999998</v>
      </c>
      <c r="AC44" s="384">
        <f t="shared" si="89"/>
        <v>53.91699999999998</v>
      </c>
      <c r="AD44" s="82">
        <f>SUM(Z44:AC44)</f>
        <v>182.32299999999998</v>
      </c>
      <c r="AE44" s="384">
        <f>AE19+AE40+AE41</f>
        <v>8.2049999999999983</v>
      </c>
      <c r="AF44" s="384">
        <f t="shared" ref="AF44:AH44" si="90">AF19+AF40+AF41</f>
        <v>19.992000000000004</v>
      </c>
      <c r="AG44" s="384">
        <f t="shared" si="90"/>
        <v>33.954999999999998</v>
      </c>
      <c r="AH44" s="384">
        <f t="shared" si="90"/>
        <v>11.687000000000001</v>
      </c>
      <c r="AI44" s="82">
        <f>AI41+AI40+AI19</f>
        <v>73.838999999999999</v>
      </c>
      <c r="AJ44" s="384">
        <f>AJ19+AJ40+AJ41</f>
        <v>26.723999999999997</v>
      </c>
      <c r="AK44" s="384">
        <f t="shared" ref="AK44:AM44" si="91">AK19+AK40+AK41</f>
        <v>35.779999999999994</v>
      </c>
      <c r="AL44" s="384">
        <f t="shared" si="91"/>
        <v>47.926000000000002</v>
      </c>
      <c r="AM44" s="384">
        <f t="shared" si="91"/>
        <v>38.684999999999995</v>
      </c>
      <c r="AN44" s="449">
        <f>AN41+AN40+AN19</f>
        <v>149.11500000000001</v>
      </c>
      <c r="AO44" s="384">
        <f>AO19+AO40+AO41</f>
        <v>21.870000000000005</v>
      </c>
      <c r="AP44" s="384">
        <f t="shared" ref="AP44:AR44" si="92">AP19+AP40+AP41</f>
        <v>52.515999999999998</v>
      </c>
      <c r="AQ44" s="384">
        <f t="shared" si="92"/>
        <v>34.396000000000001</v>
      </c>
      <c r="AR44" s="367">
        <f t="shared" si="92"/>
        <v>45.193000000000012</v>
      </c>
      <c r="AS44" s="82">
        <f>AS41+AS40+AS19</f>
        <v>153.97500000000002</v>
      </c>
      <c r="AT44" s="81">
        <f>AT19+AT40+AT41</f>
        <v>-15.21</v>
      </c>
      <c r="AU44" s="81">
        <f t="shared" ref="AU44:AW44" si="93">AU19+AU40+AU41</f>
        <v>39.866999999999997</v>
      </c>
      <c r="AV44" s="81">
        <f t="shared" si="93"/>
        <v>32.803999999999995</v>
      </c>
      <c r="AW44" s="81">
        <f t="shared" si="93"/>
        <v>75.152000000000015</v>
      </c>
      <c r="AX44" s="82">
        <f>AX41+AX40+AX19</f>
        <v>132.613</v>
      </c>
      <c r="AY44" s="81">
        <f>AY19+AY40+AY41</f>
        <v>6.9400000000000013</v>
      </c>
      <c r="AZ44" s="81">
        <f t="shared" ref="AZ44:BB44" si="94">AZ19+AZ40+AZ41</f>
        <v>-356.38266666666664</v>
      </c>
      <c r="BA44" s="81">
        <f t="shared" si="94"/>
        <v>32.311999999999991</v>
      </c>
      <c r="BB44" s="81">
        <f t="shared" si="94"/>
        <v>53.180211582484333</v>
      </c>
      <c r="BC44" s="82">
        <f>BC41+BC40+BC19</f>
        <v>-263.95045508418235</v>
      </c>
      <c r="BD44" s="81">
        <f>BD19+BD40+BD41</f>
        <v>58.639697681691814</v>
      </c>
      <c r="BE44" s="81">
        <f t="shared" ref="BE44:BG44" si="95">BE19+BE40+BE41</f>
        <v>88.37750315093993</v>
      </c>
      <c r="BF44" s="81">
        <f t="shared" si="95"/>
        <v>89.121599071613758</v>
      </c>
      <c r="BG44" s="81">
        <f t="shared" si="95"/>
        <v>89.681816024890594</v>
      </c>
      <c r="BH44" s="82">
        <f>BH41+BH40+BH19</f>
        <v>325.82061592913612</v>
      </c>
      <c r="BI44" s="81">
        <f>BI19+BI40+BI41</f>
        <v>56.585969058237126</v>
      </c>
      <c r="BJ44" s="81">
        <f t="shared" ref="BJ44:BL44" si="96">BJ19+BJ40+BJ41</f>
        <v>89.359894444424427</v>
      </c>
      <c r="BK44" s="81">
        <f t="shared" si="96"/>
        <v>88.370393055343072</v>
      </c>
      <c r="BL44" s="81">
        <f t="shared" si="96"/>
        <v>91.504359371131443</v>
      </c>
      <c r="BM44" s="82">
        <f>BM41+BM40+BM19</f>
        <v>325.82061592913607</v>
      </c>
      <c r="BN44" s="81">
        <f>BN19+BN40+BN41</f>
        <v>54.683641847378254</v>
      </c>
      <c r="BO44" s="81">
        <f t="shared" ref="BO44:BQ44" si="97">BO19+BO40+BO41</f>
        <v>88.336374611711761</v>
      </c>
      <c r="BP44" s="81">
        <f t="shared" si="97"/>
        <v>89.949448833693523</v>
      </c>
      <c r="BQ44" s="81">
        <f t="shared" si="97"/>
        <v>92.851150636352557</v>
      </c>
      <c r="BR44" s="82">
        <f>BR41+BR40+BR19</f>
        <v>325.82061592913607</v>
      </c>
    </row>
    <row r="45" spans="1:70">
      <c r="A45" s="114" t="s">
        <v>62</v>
      </c>
      <c r="B45" s="65"/>
      <c r="C45" s="65"/>
      <c r="D45" s="65"/>
      <c r="E45" s="59"/>
      <c r="F45" s="69">
        <v>-12.048</v>
      </c>
      <c r="G45" s="69">
        <v>-18.78</v>
      </c>
      <c r="H45" s="69">
        <v>-17.795999999999999</v>
      </c>
      <c r="I45" s="69">
        <f>J45-H45-G45-F45</f>
        <v>-7.344000000000003</v>
      </c>
      <c r="J45" s="70">
        <v>-55.968000000000004</v>
      </c>
      <c r="K45" s="69">
        <v>-3.9820000000000002</v>
      </c>
      <c r="L45" s="69">
        <v>-11.321</v>
      </c>
      <c r="M45" s="69">
        <v>-20.856000000000002</v>
      </c>
      <c r="N45" s="69">
        <f>O45-M45-L45-K45</f>
        <v>-14.740000000000002</v>
      </c>
      <c r="O45" s="70">
        <v>-50.899000000000001</v>
      </c>
      <c r="P45" s="69">
        <v>-4.7759999999999998</v>
      </c>
      <c r="Q45" s="69">
        <v>15.272</v>
      </c>
      <c r="R45" s="69">
        <v>-1.591</v>
      </c>
      <c r="S45" s="69">
        <f>T45-R45-Q45-P45</f>
        <v>-6.463000000000001</v>
      </c>
      <c r="T45" s="70">
        <v>2.4420000000000002</v>
      </c>
      <c r="U45" s="69">
        <v>-9.1159999999999997</v>
      </c>
      <c r="V45" s="69">
        <v>-9.6790000000000003</v>
      </c>
      <c r="W45" s="69">
        <v>-13.276</v>
      </c>
      <c r="X45" s="69">
        <f>Y45-W45-V45-U45</f>
        <v>-20.248000000000005</v>
      </c>
      <c r="Y45" s="70">
        <v>-52.319000000000003</v>
      </c>
      <c r="Z45" s="69">
        <v>-11.353999999999999</v>
      </c>
      <c r="AA45" s="69">
        <v>-19.067</v>
      </c>
      <c r="AB45" s="69">
        <v>-22.885999999999999</v>
      </c>
      <c r="AC45" s="77">
        <v>-26.195</v>
      </c>
      <c r="AD45" s="70">
        <f>SUM(Z45:AC45)</f>
        <v>-79.50200000000001</v>
      </c>
      <c r="AE45" s="77">
        <v>-3.0790000000000002</v>
      </c>
      <c r="AF45" s="77">
        <v>-8.2149999999999999</v>
      </c>
      <c r="AG45" s="77">
        <v>-14.278</v>
      </c>
      <c r="AH45" s="77">
        <v>-2.9750000000000001</v>
      </c>
      <c r="AI45" s="70">
        <f>SUM(AE45:AH45)</f>
        <v>-28.547000000000004</v>
      </c>
      <c r="AJ45" s="77">
        <v>-11.324</v>
      </c>
      <c r="AK45" s="77">
        <v>-14.419</v>
      </c>
      <c r="AL45" s="77">
        <v>-19.125</v>
      </c>
      <c r="AM45" s="77">
        <v>-8.4250000000000007</v>
      </c>
      <c r="AN45" s="78">
        <f>SUM(AJ45:AM45)</f>
        <v>-53.293000000000006</v>
      </c>
      <c r="AO45" s="77">
        <v>-8.1059999999999999</v>
      </c>
      <c r="AP45" s="77">
        <v>-19.882999999999999</v>
      </c>
      <c r="AQ45" s="77">
        <v>-9.0960000000000001</v>
      </c>
      <c r="AR45" s="359">
        <v>37.654000000000003</v>
      </c>
      <c r="AS45" s="70">
        <f>SUM(AO45:AR45)</f>
        <v>0.56900000000000972</v>
      </c>
      <c r="AT45" s="69">
        <v>4.2679999999999998</v>
      </c>
      <c r="AU45" s="69">
        <v>-11.971</v>
      </c>
      <c r="AV45" s="69">
        <v>-7.3680000000000003</v>
      </c>
      <c r="AW45" s="69">
        <v>-19.760999999999999</v>
      </c>
      <c r="AX45" s="70">
        <f>SUM(AT45:AW45)</f>
        <v>-34.832000000000001</v>
      </c>
      <c r="AY45" s="69">
        <v>-2.1880000000000002</v>
      </c>
      <c r="AZ45" s="69">
        <v>42.9</v>
      </c>
      <c r="BA45" s="69">
        <v>-5.5910000000000002</v>
      </c>
      <c r="BB45" s="69">
        <f>BB44*BB78</f>
        <v>-15.422261358920455</v>
      </c>
      <c r="BC45" s="70">
        <f>SUM(AY45:BB45)</f>
        <v>19.69873864107954</v>
      </c>
      <c r="BD45" s="69">
        <f>BD44*BD78</f>
        <v>-17.005512327690624</v>
      </c>
      <c r="BE45" s="69">
        <f>BE44*BE78</f>
        <v>-25.629475913772577</v>
      </c>
      <c r="BF45" s="69">
        <f>BF44*BF78</f>
        <v>-25.845263730767989</v>
      </c>
      <c r="BG45" s="69">
        <f>BG44*BG78</f>
        <v>-26.00772664721827</v>
      </c>
      <c r="BH45" s="70">
        <f>SUM(BD45:BG45)</f>
        <v>-94.487978619449478</v>
      </c>
      <c r="BI45" s="69">
        <f>BI44*BI78</f>
        <v>-16.409931026888767</v>
      </c>
      <c r="BJ45" s="69">
        <f>BJ44*BJ78</f>
        <v>-25.914369388883081</v>
      </c>
      <c r="BK45" s="69">
        <f>BK44*BK78</f>
        <v>-25.62741398604949</v>
      </c>
      <c r="BL45" s="69">
        <f>BL44*BL78</f>
        <v>-26.536264217628116</v>
      </c>
      <c r="BM45" s="70">
        <f>SUM(BI45:BL45)</f>
        <v>-94.48797861944945</v>
      </c>
      <c r="BN45" s="69">
        <f>BN44*BN78</f>
        <v>-15.858256135739692</v>
      </c>
      <c r="BO45" s="69">
        <f>BO44*BO78</f>
        <v>-25.617548637396411</v>
      </c>
      <c r="BP45" s="69">
        <f>BP44*BP78</f>
        <v>-26.085340161771121</v>
      </c>
      <c r="BQ45" s="69">
        <f>BQ44*BQ78</f>
        <v>-26.926833684542238</v>
      </c>
      <c r="BR45" s="70">
        <f>SUM(BN45:BQ45)</f>
        <v>-94.48797861944945</v>
      </c>
    </row>
    <row r="46" spans="1:70" ht="12.5" hidden="1" customHeight="1">
      <c r="AW46" s="69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14" t="s">
        <v>147</v>
      </c>
      <c r="B47" s="65"/>
      <c r="C47" s="65"/>
      <c r="D47" s="65"/>
      <c r="E47" s="37"/>
      <c r="F47" s="69"/>
      <c r="G47" s="69"/>
      <c r="H47" s="69"/>
      <c r="I47" s="69"/>
      <c r="J47" s="70"/>
      <c r="K47" s="69"/>
      <c r="L47" s="69"/>
      <c r="M47" s="69"/>
      <c r="N47" s="69"/>
      <c r="O47" s="70"/>
      <c r="P47" s="69"/>
      <c r="Q47" s="69"/>
      <c r="R47" s="69"/>
      <c r="S47" s="69"/>
      <c r="T47" s="70"/>
      <c r="U47" s="69"/>
      <c r="V47" s="69"/>
      <c r="W47" s="69"/>
      <c r="X47" s="69"/>
      <c r="Y47" s="70"/>
      <c r="Z47" s="69"/>
      <c r="AA47" s="69"/>
      <c r="AB47" s="69"/>
      <c r="AC47" s="69"/>
      <c r="AD47" s="70"/>
      <c r="AE47" s="69"/>
      <c r="AF47" s="69"/>
      <c r="AG47" s="69"/>
      <c r="AH47" s="69"/>
      <c r="AI47" s="70"/>
      <c r="AJ47" s="69"/>
      <c r="AK47" s="69"/>
      <c r="AL47" s="69"/>
      <c r="AM47" s="69"/>
      <c r="AN47" s="70"/>
      <c r="AO47" s="69"/>
      <c r="AP47" s="69">
        <v>-2.5369999999999999</v>
      </c>
      <c r="AQ47" s="69">
        <v>-1.716</v>
      </c>
      <c r="AR47" s="69">
        <v>-1.909</v>
      </c>
      <c r="AS47" s="70">
        <f>+SUM(AO47:AR47)</f>
        <v>-6.1619999999999999</v>
      </c>
      <c r="AT47" s="69">
        <v>-1.1819999999999999</v>
      </c>
      <c r="AU47" s="69">
        <v>-3.0129999999999999</v>
      </c>
      <c r="AV47" s="69">
        <v>-4.1639999999999997</v>
      </c>
      <c r="AW47" s="69">
        <v>-5.9860000000000007</v>
      </c>
      <c r="AX47" s="70">
        <f>+SUM(AT47:AW47)</f>
        <v>-14.345000000000001</v>
      </c>
      <c r="AY47" s="69">
        <v>-5.0780000000000003</v>
      </c>
      <c r="AZ47" s="69">
        <v>-5.0910000000000002</v>
      </c>
      <c r="BA47" s="69">
        <v>-7.4080000000000004</v>
      </c>
      <c r="BB47" s="69">
        <f>BA47</f>
        <v>-7.4080000000000004</v>
      </c>
      <c r="BC47" s="70">
        <f>SUM(AY47:BB47)</f>
        <v>-24.985000000000003</v>
      </c>
      <c r="BD47" s="69">
        <v>-4</v>
      </c>
      <c r="BE47" s="69">
        <f>BD47</f>
        <v>-4</v>
      </c>
      <c r="BF47" s="69">
        <f>BE47</f>
        <v>-4</v>
      </c>
      <c r="BG47" s="69">
        <f>BF47</f>
        <v>-4</v>
      </c>
      <c r="BH47" s="70">
        <f>SUM(BD47:BG47)</f>
        <v>-16</v>
      </c>
      <c r="BI47" s="69">
        <v>-4</v>
      </c>
      <c r="BJ47" s="69">
        <f>BI47</f>
        <v>-4</v>
      </c>
      <c r="BK47" s="69">
        <f>BJ47</f>
        <v>-4</v>
      </c>
      <c r="BL47" s="69">
        <f>BK47</f>
        <v>-4</v>
      </c>
      <c r="BM47" s="70">
        <f>SUM(BI47:BL47)</f>
        <v>-16</v>
      </c>
      <c r="BN47" s="69">
        <v>-4</v>
      </c>
      <c r="BO47" s="69">
        <f>BN47</f>
        <v>-4</v>
      </c>
      <c r="BP47" s="69">
        <f>BO47</f>
        <v>-4</v>
      </c>
      <c r="BQ47" s="69">
        <f>BP47</f>
        <v>-4</v>
      </c>
      <c r="BR47" s="70">
        <f>SUM(BN47:BQ47)</f>
        <v>-16</v>
      </c>
    </row>
    <row r="48" spans="1:70" ht="13.5" thickBot="1">
      <c r="A48" s="150" t="s">
        <v>39</v>
      </c>
      <c r="B48" s="66"/>
      <c r="C48" s="66"/>
      <c r="D48" s="66"/>
      <c r="E48" s="60"/>
      <c r="F48" s="79">
        <f>F44+F45</f>
        <v>62.909000000000034</v>
      </c>
      <c r="G48" s="79">
        <f>G44+G45</f>
        <v>75.785999999999916</v>
      </c>
      <c r="H48" s="79">
        <f>H44+H45</f>
        <v>71.643000000000086</v>
      </c>
      <c r="I48" s="79">
        <f>I44+I45</f>
        <v>58.697999999999816</v>
      </c>
      <c r="J48" s="80">
        <f>J44+J45</f>
        <v>269.03599999999994</v>
      </c>
      <c r="K48" s="79">
        <f>K44+K45</f>
        <v>50.878999999999962</v>
      </c>
      <c r="L48" s="79">
        <f>L44+L45</f>
        <v>69.868999999999929</v>
      </c>
      <c r="M48" s="79">
        <f>M44+M45</f>
        <v>93.796000000000021</v>
      </c>
      <c r="N48" s="79">
        <f>N44+N45</f>
        <v>98.569000000000102</v>
      </c>
      <c r="O48" s="80">
        <f>O44+O45</f>
        <v>313.11299999999989</v>
      </c>
      <c r="P48" s="79">
        <f>P44+P45</f>
        <v>67.993000000000009</v>
      </c>
      <c r="Q48" s="79">
        <f>Q44+Q45</f>
        <v>-283.76199999999994</v>
      </c>
      <c r="R48" s="79">
        <f>R44+R45</f>
        <v>103.37800000000009</v>
      </c>
      <c r="S48" s="79">
        <f>S44+S45</f>
        <v>107.35999999999916</v>
      </c>
      <c r="T48" s="80">
        <f>T44+T45</f>
        <v>-5.0310000000004038</v>
      </c>
      <c r="U48" s="79">
        <f>U44+U45</f>
        <v>79.083999999999975</v>
      </c>
      <c r="V48" s="79">
        <f>V44+V45</f>
        <v>81.959000000000046</v>
      </c>
      <c r="W48" s="79">
        <f>W44+W45</f>
        <v>86.521999999999977</v>
      </c>
      <c r="X48" s="79">
        <f>X44+X45</f>
        <v>102.81299999999978</v>
      </c>
      <c r="Y48" s="80">
        <f>Y44+Y45</f>
        <v>350.37799999999953</v>
      </c>
      <c r="Z48" s="79">
        <f>Z44+Z45</f>
        <v>15.939000000000004</v>
      </c>
      <c r="AA48" s="79">
        <f>AA44+AA45</f>
        <v>28.544999999999995</v>
      </c>
      <c r="AB48" s="79">
        <f>X44+X45</f>
        <v>102.81299999999978</v>
      </c>
      <c r="AC48" s="79">
        <f>AC44+AC45</f>
        <v>27.72199999999998</v>
      </c>
      <c r="AD48" s="80">
        <f>AD44+AD45</f>
        <v>102.82099999999997</v>
      </c>
      <c r="AE48" s="79">
        <f>AE44+AE45</f>
        <v>5.1259999999999977</v>
      </c>
      <c r="AF48" s="79">
        <f>AF44+AF45</f>
        <v>11.777000000000005</v>
      </c>
      <c r="AG48" s="79">
        <f>AG44+AG45</f>
        <v>19.677</v>
      </c>
      <c r="AH48" s="79">
        <f>AH44+AH45</f>
        <v>8.7120000000000015</v>
      </c>
      <c r="AI48" s="80">
        <f>AI44+AI45</f>
        <v>45.291999999999994</v>
      </c>
      <c r="AJ48" s="79">
        <f>AJ44+AJ45</f>
        <v>15.399999999999997</v>
      </c>
      <c r="AK48" s="79">
        <f>AK44+AK45</f>
        <v>21.360999999999994</v>
      </c>
      <c r="AL48" s="79">
        <f>AL44+AL45</f>
        <v>28.801000000000002</v>
      </c>
      <c r="AM48" s="79">
        <f>AM44+AM45</f>
        <v>30.259999999999994</v>
      </c>
      <c r="AN48" s="80">
        <f>AN44+AN45</f>
        <v>95.822000000000003</v>
      </c>
      <c r="AO48" s="79">
        <f>AO44+AO45</f>
        <v>13.764000000000005</v>
      </c>
      <c r="AP48" s="79">
        <f>AP44+AP45+AP47</f>
        <v>30.095999999999997</v>
      </c>
      <c r="AQ48" s="79">
        <f>AQ44+AQ45+AQ47</f>
        <v>23.584</v>
      </c>
      <c r="AR48" s="79">
        <f>AR44+AR45+AR47</f>
        <v>80.938000000000002</v>
      </c>
      <c r="AS48" s="80">
        <f>AS44+AS45+AS47</f>
        <v>148.38200000000003</v>
      </c>
      <c r="AT48" s="79">
        <f>AT44+AT45+AT47</f>
        <v>-12.124000000000001</v>
      </c>
      <c r="AU48" s="79">
        <f>AU44+AU45+AU47</f>
        <v>24.882999999999996</v>
      </c>
      <c r="AV48" s="79">
        <f>AV44+AV45+AV47</f>
        <v>21.271999999999991</v>
      </c>
      <c r="AW48" s="79">
        <f>AW44+AW45+AW47</f>
        <v>49.405000000000015</v>
      </c>
      <c r="AX48" s="80">
        <f>AX44+AX45+AX47</f>
        <v>83.436000000000007</v>
      </c>
      <c r="AY48" s="79">
        <f>AY44+AY45+AY47</f>
        <v>-0.32599999999999962</v>
      </c>
      <c r="AZ48" s="79">
        <f>AZ44+AZ45+AZ47</f>
        <v>-318.57366666666667</v>
      </c>
      <c r="BA48" s="79">
        <f>BA44+BA45+BA47</f>
        <v>19.312999999999988</v>
      </c>
      <c r="BB48" s="79">
        <f>BB44+BB45+BB47</f>
        <v>30.34995022356388</v>
      </c>
      <c r="BC48" s="80">
        <f>BC44+BC45+BC47</f>
        <v>-269.23671644310281</v>
      </c>
      <c r="BD48" s="79">
        <f>BD44+BD45+BD47</f>
        <v>37.63418535400119</v>
      </c>
      <c r="BE48" s="79">
        <f>BE44+BE45+BE47</f>
        <v>58.748027237167349</v>
      </c>
      <c r="BF48" s="79">
        <f>BF44+BF45+BF47</f>
        <v>59.276335340845769</v>
      </c>
      <c r="BG48" s="79">
        <f>BG44+BG45+BG47</f>
        <v>59.674089377672324</v>
      </c>
      <c r="BH48" s="80">
        <f>BH44+BH45+BH47</f>
        <v>215.33263730968665</v>
      </c>
      <c r="BI48" s="79">
        <f>BI44+BI45+BI47</f>
        <v>36.176038031348355</v>
      </c>
      <c r="BJ48" s="79">
        <f>BJ44+BJ45+BJ47</f>
        <v>59.445525055541346</v>
      </c>
      <c r="BK48" s="79">
        <f>BK44+BK45+BK47</f>
        <v>58.742979069293582</v>
      </c>
      <c r="BL48" s="79">
        <f>BL44+BL45+BL47</f>
        <v>60.968095153503327</v>
      </c>
      <c r="BM48" s="80">
        <f>BM44+BM45+BM47</f>
        <v>215.33263730968662</v>
      </c>
      <c r="BN48" s="79">
        <f>BN44+BN45+BN47</f>
        <v>34.82538571163856</v>
      </c>
      <c r="BO48" s="79">
        <f>BO44+BO45+BO47</f>
        <v>58.718825974315351</v>
      </c>
      <c r="BP48" s="79">
        <f>BP44+BP45+BP47</f>
        <v>59.864108671922402</v>
      </c>
      <c r="BQ48" s="79">
        <f>BQ44+BQ45+BQ47</f>
        <v>61.924316951810312</v>
      </c>
      <c r="BR48" s="80">
        <f>BR44+BR45+BR47</f>
        <v>215.33263730968662</v>
      </c>
    </row>
    <row r="49" spans="1:70" ht="13.5" thickTop="1">
      <c r="A49" s="401"/>
      <c r="B49" s="402"/>
      <c r="C49" s="402"/>
      <c r="D49" s="402"/>
      <c r="E49" s="403"/>
      <c r="F49" s="402"/>
      <c r="G49" s="402"/>
      <c r="H49" s="402"/>
      <c r="I49" s="402"/>
      <c r="J49" s="85"/>
      <c r="K49" s="402"/>
      <c r="L49" s="402"/>
      <c r="M49" s="402"/>
      <c r="N49" s="402"/>
      <c r="O49" s="404"/>
      <c r="P49" s="402"/>
      <c r="Q49" s="402"/>
      <c r="R49" s="402"/>
      <c r="S49" s="402"/>
      <c r="T49" s="404"/>
      <c r="U49" s="402"/>
      <c r="V49" s="402"/>
      <c r="W49" s="402"/>
      <c r="X49" s="402"/>
      <c r="Y49" s="404"/>
      <c r="Z49" s="402"/>
      <c r="AA49" s="402"/>
      <c r="AB49" s="402"/>
      <c r="AC49" s="402"/>
      <c r="AD49" s="404"/>
      <c r="AE49" s="402"/>
      <c r="AF49" s="402"/>
      <c r="AG49" s="402"/>
      <c r="AH49" s="402"/>
      <c r="AI49" s="404"/>
      <c r="AJ49" s="402"/>
      <c r="AK49" s="402"/>
      <c r="AL49" s="402"/>
      <c r="AM49" s="402"/>
      <c r="AN49" s="404"/>
      <c r="AO49" s="402"/>
      <c r="AP49" s="402"/>
      <c r="AQ49" s="402"/>
      <c r="AR49" s="402"/>
      <c r="AS49" s="404"/>
      <c r="AT49" s="402"/>
      <c r="AU49" s="402"/>
      <c r="AV49" s="402"/>
      <c r="AW49" s="402"/>
      <c r="AX49" s="404"/>
      <c r="AY49" s="402"/>
      <c r="AZ49" s="402"/>
      <c r="BA49" s="402"/>
      <c r="BB49" s="402"/>
      <c r="BC49" s="404"/>
      <c r="BD49" s="402"/>
      <c r="BE49" s="402"/>
      <c r="BF49" s="402"/>
      <c r="BG49" s="402"/>
      <c r="BH49" s="404"/>
      <c r="BI49" s="402"/>
      <c r="BJ49" s="402"/>
      <c r="BK49" s="402"/>
      <c r="BL49" s="402"/>
      <c r="BM49" s="404"/>
      <c r="BN49" s="402"/>
      <c r="BO49" s="402"/>
      <c r="BP49" s="402"/>
      <c r="BQ49" s="402"/>
      <c r="BR49" s="404"/>
    </row>
    <row r="50" spans="1:70">
      <c r="A50" s="114" t="s">
        <v>63</v>
      </c>
      <c r="B50" s="65"/>
      <c r="C50" s="65"/>
      <c r="D50" s="65"/>
      <c r="E50" s="59"/>
      <c r="F50" s="84">
        <f>F48/F53</f>
        <v>1.2832024477307504</v>
      </c>
      <c r="G50" s="84">
        <f t="shared" ref="G50:I50" si="98">G48/G53</f>
        <v>1.5466214975204571</v>
      </c>
      <c r="H50" s="84">
        <f t="shared" si="98"/>
        <v>1.5128280929957574</v>
      </c>
      <c r="I50" s="84">
        <f t="shared" si="98"/>
        <v>1.2200536259898946</v>
      </c>
      <c r="J50" s="85">
        <f>J48/J53</f>
        <v>5.5919852008896083</v>
      </c>
      <c r="K50" s="84">
        <f>K48/K53</f>
        <v>1.0802335456475576</v>
      </c>
      <c r="L50" s="84">
        <f t="shared" ref="L50:N50" si="99">L48/L53</f>
        <v>1.4808087658690614</v>
      </c>
      <c r="M50" s="84">
        <f t="shared" si="99"/>
        <v>1.9833795013850422</v>
      </c>
      <c r="N50" s="84">
        <f t="shared" si="99"/>
        <v>2.087176555287344</v>
      </c>
      <c r="O50" s="85">
        <f>O48/O53</f>
        <v>6.6300978274679183</v>
      </c>
      <c r="P50" s="84">
        <f>P48/P53</f>
        <v>1.4365729980984578</v>
      </c>
      <c r="Q50" s="84">
        <f t="shared" ref="Q50:S50" si="100">Q48/Q53</f>
        <v>-5.9822490196905163</v>
      </c>
      <c r="R50" s="84">
        <f t="shared" si="100"/>
        <v>2.1738161325595109</v>
      </c>
      <c r="S50" s="84">
        <f t="shared" si="100"/>
        <v>2.261638929850414</v>
      </c>
      <c r="T50" s="85">
        <f>T48/T53</f>
        <v>-0.1059827259321762</v>
      </c>
      <c r="U50" s="84">
        <f>U48/U53</f>
        <v>1.6628608675539851</v>
      </c>
      <c r="V50" s="84">
        <f t="shared" ref="V50:X50" si="101">V48/V53</f>
        <v>1.7187945642144127</v>
      </c>
      <c r="W50" s="84">
        <f t="shared" si="101"/>
        <v>1.8040826539335677</v>
      </c>
      <c r="X50" s="84">
        <f t="shared" si="101"/>
        <v>2.1486071346471292</v>
      </c>
      <c r="Y50" s="85">
        <f>Y48/Y53</f>
        <v>7.3222712169024584</v>
      </c>
      <c r="Z50" s="84">
        <f>Z48/Z53</f>
        <v>0.32904624277456657</v>
      </c>
      <c r="AA50" s="84">
        <f t="shared" ref="AA50" si="102">AA48/AA53</f>
        <v>0.58803535010197139</v>
      </c>
      <c r="AB50" s="84">
        <f>X48/X53</f>
        <v>2.1486071346471292</v>
      </c>
      <c r="AC50" s="84">
        <f>AC48/AC53</f>
        <v>0.56957942101045755</v>
      </c>
      <c r="AD50" s="85">
        <f>AD48/AD53</f>
        <v>2.1173793515305643</v>
      </c>
      <c r="AE50" s="84">
        <f>AE48/AE53</f>
        <v>0.10515518903727404</v>
      </c>
      <c r="AF50" s="84">
        <f t="shared" ref="AF50:AH50" si="103">AF48/AF53</f>
        <v>0.24020967610345118</v>
      </c>
      <c r="AG50" s="84">
        <f t="shared" si="103"/>
        <v>0.40099857346647644</v>
      </c>
      <c r="AH50" s="84">
        <f t="shared" si="103"/>
        <v>0.17753143276343411</v>
      </c>
      <c r="AI50" s="85">
        <f>AI48/AI53</f>
        <v>0.92468508197055987</v>
      </c>
      <c r="AJ50" s="84">
        <f>AJ48/AJ53</f>
        <v>0.31377982436479956</v>
      </c>
      <c r="AK50" s="84">
        <f t="shared" ref="AK50:AL50" si="104">AK48/AK53</f>
        <v>0.43477641407665207</v>
      </c>
      <c r="AL50" s="84">
        <f t="shared" si="104"/>
        <v>0.5855647046863881</v>
      </c>
      <c r="AM50" s="84">
        <f>AM48/AM53</f>
        <v>0.6150156497703344</v>
      </c>
      <c r="AN50" s="85">
        <f>AN48/AN53</f>
        <v>1.9496126593996856</v>
      </c>
      <c r="AO50" s="84">
        <f>AO48/AO53</f>
        <v>0.27929061320563298</v>
      </c>
      <c r="AP50" s="84">
        <f t="shared" ref="AP50:AR50" si="105">AP48/AP53</f>
        <v>0.60512717402231819</v>
      </c>
      <c r="AQ50" s="84">
        <f t="shared" si="105"/>
        <v>0.47419322408766462</v>
      </c>
      <c r="AR50" s="84">
        <f t="shared" si="105"/>
        <v>1.6258813603583697</v>
      </c>
      <c r="AS50" s="85">
        <f>AS48/AS53</f>
        <v>2.9895684848362745</v>
      </c>
      <c r="AT50" s="84">
        <f>AT48/AT53</f>
        <v>-0.24338539366443171</v>
      </c>
      <c r="AU50" s="84">
        <f t="shared" ref="AU50:AW50" si="106">AU48/AU53</f>
        <v>0.49819805389820998</v>
      </c>
      <c r="AV50" s="84">
        <f t="shared" si="106"/>
        <v>0.42528689671718162</v>
      </c>
      <c r="AW50" s="84">
        <f t="shared" si="106"/>
        <v>0.98904948750800803</v>
      </c>
      <c r="AX50" s="85">
        <f>AX48/AX53</f>
        <v>1.6709758173534273</v>
      </c>
      <c r="AY50" s="84">
        <f>AY48/AY53</f>
        <v>-6.5072457982354509E-3</v>
      </c>
      <c r="AZ50" s="84">
        <f t="shared" ref="AZ50:BB50" si="107">AZ48/AZ53</f>
        <v>-6.3430564404799838</v>
      </c>
      <c r="BA50" s="84">
        <f t="shared" si="107"/>
        <v>0.38411662920901346</v>
      </c>
      <c r="BB50" s="84">
        <f t="shared" si="107"/>
        <v>0.60363074491465374</v>
      </c>
      <c r="BC50" s="85">
        <f>BC48/BC53</f>
        <v>-5.3611452895878697</v>
      </c>
      <c r="BD50" s="84">
        <f>BD48/BD53</f>
        <v>0.74850703780904926</v>
      </c>
      <c r="BE50" s="84">
        <f t="shared" ref="BE50:BG50" si="108">BE48/BE53</f>
        <v>1.1684406459390073</v>
      </c>
      <c r="BF50" s="84">
        <f t="shared" si="108"/>
        <v>1.1789481759948639</v>
      </c>
      <c r="BG50" s="84">
        <f t="shared" si="108"/>
        <v>1.1868591136990059</v>
      </c>
      <c r="BH50" s="85">
        <f>BH48/BH53</f>
        <v>4.2827549734419268</v>
      </c>
      <c r="BI50" s="84">
        <f>BI48/BI53</f>
        <v>0.71950591760672156</v>
      </c>
      <c r="BJ50" s="84">
        <f t="shared" ref="BJ50:BL50" si="109">BJ48/BJ53</f>
        <v>1.1823131934911462</v>
      </c>
      <c r="BK50" s="84">
        <f t="shared" si="109"/>
        <v>1.1683402428308753</v>
      </c>
      <c r="BL50" s="84">
        <f t="shared" si="109"/>
        <v>1.2125956195131828</v>
      </c>
      <c r="BM50" s="85">
        <f>BM48/BM53</f>
        <v>4.2827549734419259</v>
      </c>
      <c r="BN50" s="84">
        <f>BN48/BN53</f>
        <v>0.69264276758962107</v>
      </c>
      <c r="BO50" s="84">
        <f t="shared" ref="BO50:BQ50" si="110">BO48/BO53</f>
        <v>1.1678598614593636</v>
      </c>
      <c r="BP50" s="84">
        <f t="shared" si="110"/>
        <v>1.190638411104485</v>
      </c>
      <c r="BQ50" s="84">
        <f t="shared" si="110"/>
        <v>1.2316139332884566</v>
      </c>
      <c r="BR50" s="85">
        <f>BR48/BR53</f>
        <v>4.2827549734419259</v>
      </c>
    </row>
    <row r="51" spans="1:70" ht="13.5" thickBot="1">
      <c r="A51" s="151" t="s">
        <v>64</v>
      </c>
      <c r="B51" s="67"/>
      <c r="C51" s="67"/>
      <c r="D51" s="67"/>
      <c r="E51" s="61"/>
      <c r="F51" s="86">
        <f>F48/F54</f>
        <v>1.2744418783679761</v>
      </c>
      <c r="G51" s="86">
        <f t="shared" ref="G51:I51" si="111">G48/G54</f>
        <v>1.529917635658913</v>
      </c>
      <c r="H51" s="86">
        <f t="shared" si="111"/>
        <v>1.4958034073826643</v>
      </c>
      <c r="I51" s="86">
        <f t="shared" si="111"/>
        <v>1.2065612859462644</v>
      </c>
      <c r="J51" s="87">
        <f>J48/J54</f>
        <v>5.5301445045119104</v>
      </c>
      <c r="K51" s="86">
        <f>K48/K54</f>
        <v>1.0630353934227563</v>
      </c>
      <c r="L51" s="86">
        <f t="shared" ref="L51:N51" si="112">L48/L54</f>
        <v>1.4568485581434125</v>
      </c>
      <c r="M51" s="86">
        <f t="shared" si="112"/>
        <v>1.9637383803701536</v>
      </c>
      <c r="N51" s="86">
        <f t="shared" si="112"/>
        <v>2.0582376278972667</v>
      </c>
      <c r="O51" s="87">
        <f>O48/O54</f>
        <v>6.5381708081018974</v>
      </c>
      <c r="P51" s="86">
        <f>P48/P54</f>
        <v>1.4365729980984578</v>
      </c>
      <c r="Q51" s="86">
        <f t="shared" ref="Q51:S51" si="113">Q48/Q54</f>
        <v>-5.9822490196905163</v>
      </c>
      <c r="R51" s="86">
        <f t="shared" si="113"/>
        <v>2.1440155961590328</v>
      </c>
      <c r="S51" s="86">
        <f t="shared" si="113"/>
        <v>2.261638929850414</v>
      </c>
      <c r="T51" s="87">
        <f>T48/T54</f>
        <v>-0.1059827259321762</v>
      </c>
      <c r="U51" s="86">
        <f>U48/U54</f>
        <v>1.6301609877764718</v>
      </c>
      <c r="V51" s="86">
        <f t="shared" ref="V51:X51" si="114">V48/V54</f>
        <v>1.6864685789538674</v>
      </c>
      <c r="W51" s="86">
        <f t="shared" si="114"/>
        <v>1.7793727506426731</v>
      </c>
      <c r="X51" s="86">
        <f t="shared" si="114"/>
        <v>2.1159727510341799</v>
      </c>
      <c r="Y51" s="87">
        <f>Y48/Y54</f>
        <v>7.2110560003292834</v>
      </c>
      <c r="Z51" s="86">
        <f>Z48/Z54</f>
        <v>0.32575107296137346</v>
      </c>
      <c r="AA51" s="86">
        <f t="shared" ref="AA51" si="115">AA48/AA54</f>
        <v>0.58192159500947949</v>
      </c>
      <c r="AB51" s="86">
        <f>X48/X54</f>
        <v>2.1159727510341799</v>
      </c>
      <c r="AC51" s="86">
        <f>AC48/AC54</f>
        <v>0.56124225614447065</v>
      </c>
      <c r="AD51" s="87">
        <f>AD48/AD54</f>
        <v>2.0935597499643674</v>
      </c>
      <c r="AE51" s="86">
        <f>AE48/AE54</f>
        <v>0.10346567628121021</v>
      </c>
      <c r="AF51" s="86">
        <f t="shared" ref="AF51:AH51" si="116">AF48/AF54</f>
        <v>0.23635305450750591</v>
      </c>
      <c r="AG51" s="86">
        <f t="shared" si="116"/>
        <v>0.39531893520843797</v>
      </c>
      <c r="AH51" s="86">
        <f t="shared" si="116"/>
        <v>0.1759573436742608</v>
      </c>
      <c r="AI51" s="87">
        <f>AI48/AI54</f>
        <v>0.91193170378125876</v>
      </c>
      <c r="AJ51" s="86">
        <f>AJ48/AJ54</f>
        <v>0.31246829664198028</v>
      </c>
      <c r="AK51" s="86">
        <f t="shared" ref="AK51:AM51" si="117">AK48/AK54</f>
        <v>0.43100421702548364</v>
      </c>
      <c r="AL51" s="86">
        <f t="shared" si="117"/>
        <v>0.57487025948103798</v>
      </c>
      <c r="AM51" s="86">
        <f t="shared" si="117"/>
        <v>0.599124873779872</v>
      </c>
      <c r="AN51" s="87">
        <f>AN48/AN54</f>
        <v>1.9216958381172506</v>
      </c>
      <c r="AO51" s="86">
        <f>AO48/AO54</f>
        <v>0.27015780796105843</v>
      </c>
      <c r="AP51" s="86">
        <f t="shared" ref="AP51:AR51" si="118">AP48/AP54</f>
        <v>0.59296621022559348</v>
      </c>
      <c r="AQ51" s="86">
        <f t="shared" si="118"/>
        <v>0.46466357994286273</v>
      </c>
      <c r="AR51" s="86">
        <f t="shared" si="118"/>
        <v>1.5954032957502169</v>
      </c>
      <c r="AS51" s="87">
        <f>AS48/AS54</f>
        <v>2.9210492642354455</v>
      </c>
      <c r="AT51" s="86">
        <f>AT48/AT54</f>
        <v>-0.24338539366443171</v>
      </c>
      <c r="AU51" s="86">
        <f t="shared" ref="AU51:AW51" si="119">AU48/AU54</f>
        <v>0.49819805389820998</v>
      </c>
      <c r="AV51" s="86">
        <f t="shared" si="119"/>
        <v>0.42227295285359784</v>
      </c>
      <c r="AW51" s="86">
        <f t="shared" si="119"/>
        <v>0.98218723285819398</v>
      </c>
      <c r="AX51" s="87">
        <f>AX48/AX54</f>
        <v>1.6650901035742085</v>
      </c>
      <c r="AY51" s="86">
        <f>AY48/AY54</f>
        <v>-6.5072457982354509E-3</v>
      </c>
      <c r="AZ51" s="86">
        <f t="shared" ref="AZ51:BB51" si="120">AZ48/AZ54</f>
        <v>-6.3430564404799838</v>
      </c>
      <c r="BA51" s="86">
        <f t="shared" si="120"/>
        <v>0.38181566565181269</v>
      </c>
      <c r="BB51" s="86">
        <f t="shared" si="120"/>
        <v>0.60001483182879045</v>
      </c>
      <c r="BC51" s="87">
        <f>BC48/BC54</f>
        <v>-5.3450208241387056</v>
      </c>
      <c r="BD51" s="86">
        <f>BD48/BD54</f>
        <v>0.74402327614568797</v>
      </c>
      <c r="BE51" s="86">
        <f t="shared" ref="BE51:BG51" si="121">BE48/BE54</f>
        <v>1.1614413672288038</v>
      </c>
      <c r="BF51" s="86">
        <f t="shared" si="121"/>
        <v>1.1718859543087614</v>
      </c>
      <c r="BG51" s="86">
        <f t="shared" si="121"/>
        <v>1.1797495033346312</v>
      </c>
      <c r="BH51" s="87">
        <f>BH48/BH54</f>
        <v>4.2571001010178851</v>
      </c>
      <c r="BI51" s="86">
        <f>BI48/BI54</f>
        <v>0.71519588057705019</v>
      </c>
      <c r="BJ51" s="86">
        <f t="shared" ref="BJ51:BL51" si="122">BJ48/BJ54</f>
        <v>1.1752308144308519</v>
      </c>
      <c r="BK51" s="86">
        <f t="shared" si="122"/>
        <v>1.1613415655627215</v>
      </c>
      <c r="BL51" s="86">
        <f t="shared" si="122"/>
        <v>1.2053318404472604</v>
      </c>
      <c r="BM51" s="87">
        <f>BM48/BM54</f>
        <v>4.2571001010178842</v>
      </c>
      <c r="BN51" s="86">
        <f>BN48/BN54</f>
        <v>0.68849364816809455</v>
      </c>
      <c r="BO51" s="86">
        <f t="shared" ref="BO51:BQ51" si="123">BO48/BO54</f>
        <v>1.1608640618068751</v>
      </c>
      <c r="BP51" s="86">
        <f t="shared" si="123"/>
        <v>1.1835061617160729</v>
      </c>
      <c r="BQ51" s="86">
        <f t="shared" si="123"/>
        <v>1.2242362293268418</v>
      </c>
      <c r="BR51" s="87">
        <f>BR48/BR54</f>
        <v>4.2571001010178842</v>
      </c>
    </row>
    <row r="52" spans="1:70" ht="13" thickTop="1">
      <c r="A52" s="114"/>
      <c r="B52" s="65"/>
      <c r="C52" s="65"/>
      <c r="D52" s="65"/>
      <c r="E52" s="37"/>
      <c r="F52" s="69"/>
      <c r="G52" s="69"/>
      <c r="H52" s="69"/>
      <c r="I52" s="69"/>
      <c r="J52" s="70"/>
      <c r="K52" s="69"/>
      <c r="L52" s="69"/>
      <c r="M52" s="69"/>
      <c r="N52" s="69"/>
      <c r="O52" s="70"/>
      <c r="P52" s="69"/>
      <c r="Q52" s="69"/>
      <c r="R52" s="69"/>
      <c r="S52" s="69"/>
      <c r="T52" s="70"/>
      <c r="U52" s="69"/>
      <c r="V52" s="69"/>
      <c r="W52" s="69"/>
      <c r="X52" s="69"/>
      <c r="Y52" s="70"/>
      <c r="Z52" s="69"/>
      <c r="AA52" s="69"/>
      <c r="AB52" s="69"/>
      <c r="AC52" s="69"/>
      <c r="AD52" s="354"/>
      <c r="AE52" s="69"/>
      <c r="AF52" s="69"/>
      <c r="AG52" s="69"/>
      <c r="AH52" s="69"/>
      <c r="AI52" s="85"/>
      <c r="AJ52" s="69"/>
      <c r="AK52" s="69"/>
      <c r="AL52" s="69"/>
      <c r="AM52" s="429"/>
      <c r="AN52" s="430"/>
      <c r="AO52" s="429"/>
      <c r="AP52" s="429"/>
      <c r="AQ52" s="429"/>
      <c r="AR52" s="429"/>
      <c r="AS52" s="430"/>
      <c r="AT52" s="431"/>
      <c r="AU52" s="431"/>
      <c r="AV52" s="431"/>
      <c r="AW52" s="431"/>
      <c r="AX52" s="430"/>
      <c r="AY52" s="431"/>
      <c r="AZ52" s="431"/>
      <c r="BA52" s="431"/>
      <c r="BB52" s="431"/>
      <c r="BC52" s="430"/>
      <c r="BD52" s="431"/>
      <c r="BE52" s="431"/>
      <c r="BF52" s="431"/>
      <c r="BG52" s="431"/>
      <c r="BH52" s="430"/>
      <c r="BI52" s="431"/>
      <c r="BJ52" s="431"/>
      <c r="BK52" s="431"/>
      <c r="BL52" s="431"/>
      <c r="BM52" s="430"/>
      <c r="BN52" s="431"/>
      <c r="BO52" s="431"/>
      <c r="BP52" s="431"/>
      <c r="BQ52" s="431"/>
      <c r="BR52" s="430"/>
    </row>
    <row r="53" spans="1:70">
      <c r="A53" s="154" t="s">
        <v>65</v>
      </c>
      <c r="B53" s="155"/>
      <c r="C53" s="155"/>
      <c r="D53" s="155"/>
      <c r="E53" s="156"/>
      <c r="F53" s="157">
        <v>49.024999999999999</v>
      </c>
      <c r="G53" s="157">
        <v>49.000999999999998</v>
      </c>
      <c r="H53" s="157">
        <v>47.356999999999999</v>
      </c>
      <c r="I53" s="157">
        <v>48.110999999999997</v>
      </c>
      <c r="J53" s="158">
        <v>48.110999999999997</v>
      </c>
      <c r="K53" s="157">
        <v>47.1</v>
      </c>
      <c r="L53" s="157">
        <v>47.183</v>
      </c>
      <c r="M53" s="157">
        <v>47.290999999999997</v>
      </c>
      <c r="N53" s="157">
        <f>O53</f>
        <v>47.225999999999999</v>
      </c>
      <c r="O53" s="158">
        <v>47.225999999999999</v>
      </c>
      <c r="P53" s="157">
        <v>47.33</v>
      </c>
      <c r="Q53" s="157">
        <v>47.433999999999997</v>
      </c>
      <c r="R53" s="157">
        <v>47.555999999999997</v>
      </c>
      <c r="S53" s="157">
        <v>47.47</v>
      </c>
      <c r="T53" s="158">
        <v>47.47</v>
      </c>
      <c r="U53" s="157">
        <v>47.558999999999997</v>
      </c>
      <c r="V53" s="157">
        <v>47.683999999999997</v>
      </c>
      <c r="W53" s="157">
        <v>47.959000000000003</v>
      </c>
      <c r="X53" s="157">
        <f>Y53</f>
        <v>47.850999999999999</v>
      </c>
      <c r="Y53" s="158">
        <v>47.850999999999999</v>
      </c>
      <c r="Z53" s="157">
        <v>48.44</v>
      </c>
      <c r="AA53" s="157">
        <v>48.542999999999999</v>
      </c>
      <c r="AB53" s="157">
        <v>48.588000000000001</v>
      </c>
      <c r="AC53" s="157">
        <v>48.670999999999999</v>
      </c>
      <c r="AD53" s="158">
        <f>AVERAGE(Z53:AC53)</f>
        <v>48.560499999999998</v>
      </c>
      <c r="AE53" s="157">
        <v>48.747</v>
      </c>
      <c r="AF53" s="157">
        <v>49.027999999999999</v>
      </c>
      <c r="AG53" s="157">
        <v>49.07</v>
      </c>
      <c r="AH53" s="157">
        <v>49.073</v>
      </c>
      <c r="AI53" s="158">
        <v>48.981000000000002</v>
      </c>
      <c r="AJ53" s="157">
        <v>49.079000000000001</v>
      </c>
      <c r="AK53" s="157">
        <v>49.131</v>
      </c>
      <c r="AL53" s="157">
        <v>49.185000000000002</v>
      </c>
      <c r="AM53" s="157">
        <v>49.201999999999998</v>
      </c>
      <c r="AN53" s="158">
        <f>+AVERAGE(AJ53:AM53)</f>
        <v>49.149250000000002</v>
      </c>
      <c r="AO53" s="157">
        <v>49.281999999999996</v>
      </c>
      <c r="AP53" s="157">
        <v>49.734999999999999</v>
      </c>
      <c r="AQ53" s="157">
        <f>AP53</f>
        <v>49.734999999999999</v>
      </c>
      <c r="AR53" s="157">
        <v>49.780999999999999</v>
      </c>
      <c r="AS53" s="158">
        <f>+AVERAGE(AO53:AR53)</f>
        <v>49.633250000000004</v>
      </c>
      <c r="AT53" s="157">
        <v>49.814</v>
      </c>
      <c r="AU53" s="157">
        <v>49.945999999999998</v>
      </c>
      <c r="AV53" s="157">
        <v>50.018000000000001</v>
      </c>
      <c r="AW53" s="157">
        <v>49.951999999999998</v>
      </c>
      <c r="AX53" s="158">
        <f>+AVERAGE(AT53:AW53)</f>
        <v>49.932499999999997</v>
      </c>
      <c r="AY53" s="157">
        <v>50.097999999999999</v>
      </c>
      <c r="AZ53" s="157">
        <v>50.223999999999997</v>
      </c>
      <c r="BA53" s="157">
        <v>50.279000000000003</v>
      </c>
      <c r="BB53" s="157">
        <f>BA53</f>
        <v>50.279000000000003</v>
      </c>
      <c r="BC53" s="158">
        <f>+AVERAGE(AY53:BB53)</f>
        <v>50.22</v>
      </c>
      <c r="BD53" s="157">
        <f>BB53</f>
        <v>50.279000000000003</v>
      </c>
      <c r="BE53" s="157">
        <f>BD53</f>
        <v>50.279000000000003</v>
      </c>
      <c r="BF53" s="157">
        <f>BE53</f>
        <v>50.279000000000003</v>
      </c>
      <c r="BG53" s="157">
        <f>BF53</f>
        <v>50.279000000000003</v>
      </c>
      <c r="BH53" s="158">
        <f>+AVERAGE(BD53:BG53)</f>
        <v>50.279000000000003</v>
      </c>
      <c r="BI53" s="157">
        <f>BG53</f>
        <v>50.279000000000003</v>
      </c>
      <c r="BJ53" s="157">
        <f>BI53</f>
        <v>50.279000000000003</v>
      </c>
      <c r="BK53" s="157">
        <f>BJ53</f>
        <v>50.279000000000003</v>
      </c>
      <c r="BL53" s="157">
        <f>BK53</f>
        <v>50.279000000000003</v>
      </c>
      <c r="BM53" s="158">
        <f>+AVERAGE(BI53:BL53)</f>
        <v>50.279000000000003</v>
      </c>
      <c r="BN53" s="157">
        <f>BL53</f>
        <v>50.279000000000003</v>
      </c>
      <c r="BO53" s="157">
        <f>BN53</f>
        <v>50.279000000000003</v>
      </c>
      <c r="BP53" s="157">
        <f>BO53</f>
        <v>50.279000000000003</v>
      </c>
      <c r="BQ53" s="157">
        <f>BP53</f>
        <v>50.279000000000003</v>
      </c>
      <c r="BR53" s="158">
        <f>+AVERAGE(BN53:BQ53)</f>
        <v>50.279000000000003</v>
      </c>
    </row>
    <row r="54" spans="1:70">
      <c r="A54" s="153" t="s">
        <v>66</v>
      </c>
      <c r="B54" s="135"/>
      <c r="C54" s="135"/>
      <c r="D54" s="135"/>
      <c r="E54" s="159"/>
      <c r="F54" s="160">
        <v>49.362000000000002</v>
      </c>
      <c r="G54" s="160">
        <v>49.536000000000001</v>
      </c>
      <c r="H54" s="160">
        <v>47.896000000000001</v>
      </c>
      <c r="I54" s="160">
        <f>J54</f>
        <v>48.649000000000001</v>
      </c>
      <c r="J54" s="161">
        <v>48.649000000000001</v>
      </c>
      <c r="K54" s="160">
        <v>47.862000000000002</v>
      </c>
      <c r="L54" s="160">
        <v>47.959000000000003</v>
      </c>
      <c r="M54" s="160">
        <v>47.764000000000003</v>
      </c>
      <c r="N54" s="160">
        <f>O54</f>
        <v>47.89</v>
      </c>
      <c r="O54" s="161">
        <v>47.89</v>
      </c>
      <c r="P54" s="160">
        <v>47.33</v>
      </c>
      <c r="Q54" s="160">
        <v>47.433999999999997</v>
      </c>
      <c r="R54" s="160">
        <v>48.216999999999999</v>
      </c>
      <c r="S54" s="160">
        <f>T54</f>
        <v>47.47</v>
      </c>
      <c r="T54" s="161">
        <v>47.47</v>
      </c>
      <c r="U54" s="160">
        <v>48.512999999999998</v>
      </c>
      <c r="V54" s="160">
        <v>48.597999999999999</v>
      </c>
      <c r="W54" s="160">
        <v>48.625</v>
      </c>
      <c r="X54" s="160">
        <f>Y54</f>
        <v>48.588999999999999</v>
      </c>
      <c r="Y54" s="161">
        <v>48.588999999999999</v>
      </c>
      <c r="Z54" s="160">
        <v>48.93</v>
      </c>
      <c r="AA54" s="160">
        <v>49.052999999999997</v>
      </c>
      <c r="AB54" s="160">
        <v>49.075000000000003</v>
      </c>
      <c r="AC54" s="160">
        <v>49.393999999999998</v>
      </c>
      <c r="AD54" s="161">
        <f>AVERAGE(Z54:AC54)</f>
        <v>49.113</v>
      </c>
      <c r="AE54" s="160">
        <v>49.542999999999999</v>
      </c>
      <c r="AF54" s="160">
        <v>49.828000000000003</v>
      </c>
      <c r="AG54" s="160">
        <v>49.774999999999999</v>
      </c>
      <c r="AH54" s="160">
        <v>49.512</v>
      </c>
      <c r="AI54" s="161">
        <v>49.665999999999997</v>
      </c>
      <c r="AJ54" s="160">
        <v>49.284999999999997</v>
      </c>
      <c r="AK54" s="160">
        <v>49.561</v>
      </c>
      <c r="AL54" s="160">
        <v>50.1</v>
      </c>
      <c r="AM54" s="160">
        <v>50.506999999999998</v>
      </c>
      <c r="AN54" s="161">
        <f>+AVERAGE(AJ54:AM54)</f>
        <v>49.863250000000001</v>
      </c>
      <c r="AO54" s="160">
        <v>50.948</v>
      </c>
      <c r="AP54" s="160">
        <v>50.755000000000003</v>
      </c>
      <c r="AQ54" s="160">
        <f t="shared" ref="AQ54" si="124">AP54</f>
        <v>50.755000000000003</v>
      </c>
      <c r="AR54" s="160">
        <v>50.731999999999999</v>
      </c>
      <c r="AS54" s="161">
        <f>+AVERAGE(AO54:AR54)</f>
        <v>50.797499999999999</v>
      </c>
      <c r="AT54" s="157">
        <v>49.814</v>
      </c>
      <c r="AU54" s="157">
        <v>49.945999999999998</v>
      </c>
      <c r="AV54" s="157">
        <v>50.375</v>
      </c>
      <c r="AW54" s="160">
        <v>50.301000000000002</v>
      </c>
      <c r="AX54" s="161">
        <f>+AVERAGE(AT54:AW54)</f>
        <v>50.108999999999995</v>
      </c>
      <c r="AY54" s="157">
        <v>50.097999999999999</v>
      </c>
      <c r="AZ54" s="157">
        <v>50.223999999999997</v>
      </c>
      <c r="BA54" s="160">
        <v>50.582000000000001</v>
      </c>
      <c r="BB54" s="160">
        <f t="shared" ref="BB54" si="125">BA54</f>
        <v>50.582000000000001</v>
      </c>
      <c r="BC54" s="161">
        <f>+AVERAGE(AY54:BB54)</f>
        <v>50.371499999999997</v>
      </c>
      <c r="BD54" s="160">
        <f>BB54</f>
        <v>50.582000000000001</v>
      </c>
      <c r="BE54" s="160">
        <f t="shared" ref="BE54" si="126">BD54</f>
        <v>50.582000000000001</v>
      </c>
      <c r="BF54" s="160">
        <f t="shared" ref="BF54" si="127">BE54</f>
        <v>50.582000000000001</v>
      </c>
      <c r="BG54" s="160">
        <f t="shared" ref="BG54" si="128">BF54</f>
        <v>50.582000000000001</v>
      </c>
      <c r="BH54" s="161">
        <f>+AVERAGE(BD54:BG54)</f>
        <v>50.582000000000001</v>
      </c>
      <c r="BI54" s="160">
        <f>BG54</f>
        <v>50.582000000000001</v>
      </c>
      <c r="BJ54" s="160">
        <f t="shared" ref="BJ54" si="129">BI54</f>
        <v>50.582000000000001</v>
      </c>
      <c r="BK54" s="160">
        <f t="shared" ref="BK54" si="130">BJ54</f>
        <v>50.582000000000001</v>
      </c>
      <c r="BL54" s="160">
        <f t="shared" ref="BL54" si="131">BK54</f>
        <v>50.582000000000001</v>
      </c>
      <c r="BM54" s="161">
        <f>+AVERAGE(BI54:BL54)</f>
        <v>50.582000000000001</v>
      </c>
      <c r="BN54" s="160">
        <f>BL54</f>
        <v>50.582000000000001</v>
      </c>
      <c r="BO54" s="160">
        <f t="shared" ref="BO54" si="132">BN54</f>
        <v>50.582000000000001</v>
      </c>
      <c r="BP54" s="160">
        <f t="shared" ref="BP54" si="133">BO54</f>
        <v>50.582000000000001</v>
      </c>
      <c r="BQ54" s="160">
        <f t="shared" ref="BQ54" si="134">BP54</f>
        <v>50.582000000000001</v>
      </c>
      <c r="BR54" s="161">
        <f>+AVERAGE(BN54:BQ54)</f>
        <v>50.582000000000001</v>
      </c>
    </row>
    <row r="55" spans="1:70" ht="15" customHeight="1">
      <c r="E55" s="334"/>
      <c r="F55" s="335"/>
      <c r="G55" s="69"/>
      <c r="H55" s="69"/>
      <c r="I55" s="69"/>
      <c r="J55" s="70"/>
      <c r="K55" s="69"/>
      <c r="L55" s="69"/>
      <c r="M55" s="69"/>
      <c r="N55" s="69"/>
      <c r="O55" s="70"/>
      <c r="P55" s="69"/>
      <c r="Q55" s="69"/>
      <c r="R55" s="69"/>
      <c r="S55" s="69"/>
      <c r="T55" s="70"/>
      <c r="U55" s="69"/>
      <c r="V55" s="69"/>
      <c r="W55" s="69"/>
      <c r="X55" s="69"/>
      <c r="Y55" s="70"/>
      <c r="Z55" s="69"/>
      <c r="AA55" s="69"/>
      <c r="AB55" s="69"/>
      <c r="AC55" s="69"/>
      <c r="AD55" s="70"/>
      <c r="AE55" s="69"/>
      <c r="AF55" s="69"/>
      <c r="AG55" s="69"/>
      <c r="AH55" s="69"/>
      <c r="AI55" s="70">
        <f>0.53+0.28+0.2-0.16</f>
        <v>0.85</v>
      </c>
      <c r="AJ55" s="69"/>
      <c r="AK55" s="69"/>
      <c r="AL55" s="69"/>
      <c r="AM55" s="69"/>
      <c r="AN55" s="70"/>
      <c r="AO55" s="69"/>
      <c r="AP55" s="69"/>
      <c r="AQ55" s="69"/>
      <c r="AR55" s="69"/>
      <c r="AS55" s="70"/>
      <c r="AT55" s="69"/>
      <c r="AU55" s="69"/>
      <c r="AV55" s="69"/>
      <c r="AW55" s="69"/>
      <c r="AX55" s="70"/>
      <c r="AY55" s="69"/>
      <c r="AZ55" s="69"/>
      <c r="BA55" s="69"/>
      <c r="BB55" s="69"/>
      <c r="BC55" s="70"/>
      <c r="BD55" s="69"/>
      <c r="BE55" s="69"/>
      <c r="BF55" s="69"/>
      <c r="BG55" s="69"/>
      <c r="BH55" s="70"/>
      <c r="BI55" s="69"/>
      <c r="BJ55" s="69"/>
      <c r="BK55" s="69"/>
      <c r="BL55" s="69"/>
      <c r="BM55" s="70"/>
      <c r="BN55" s="69"/>
      <c r="BO55" s="69"/>
      <c r="BP55" s="69"/>
      <c r="BQ55" s="69"/>
      <c r="BR55" s="70"/>
    </row>
    <row r="56" spans="1:70">
      <c r="A56" s="120"/>
      <c r="B56" s="120"/>
      <c r="C56" s="120"/>
      <c r="D56" s="120"/>
      <c r="E56" s="8"/>
      <c r="F56" s="336"/>
      <c r="G56" s="121"/>
      <c r="H56" s="121"/>
      <c r="I56" s="121"/>
      <c r="J56" s="122"/>
      <c r="K56" s="121"/>
      <c r="L56" s="121"/>
      <c r="M56" s="121"/>
      <c r="N56" s="121"/>
      <c r="O56" s="122"/>
      <c r="P56" s="121"/>
      <c r="Q56" s="121"/>
      <c r="R56" s="121"/>
      <c r="S56" s="121"/>
      <c r="T56" s="122"/>
      <c r="U56" s="121"/>
      <c r="V56" s="121"/>
      <c r="W56" s="121"/>
      <c r="X56" s="121"/>
      <c r="Y56" s="122"/>
      <c r="Z56" s="121"/>
      <c r="AA56" s="121"/>
      <c r="AB56" s="121"/>
      <c r="AC56" s="121"/>
      <c r="AD56" s="122"/>
      <c r="AE56" s="121"/>
      <c r="AF56" s="121"/>
      <c r="AG56" s="121"/>
      <c r="AH56" s="121"/>
      <c r="AI56" s="122"/>
      <c r="AJ56" s="121"/>
      <c r="AK56" s="121"/>
      <c r="AL56" s="121"/>
      <c r="AM56" s="121"/>
      <c r="AN56" s="122"/>
      <c r="AO56" s="121"/>
      <c r="AP56" s="121"/>
      <c r="AQ56" s="121"/>
      <c r="AR56" s="121"/>
      <c r="AS56" s="122"/>
      <c r="AT56" s="121"/>
      <c r="AU56" s="121"/>
      <c r="AV56" s="121"/>
      <c r="AW56" s="121"/>
      <c r="AX56" s="122"/>
      <c r="AY56" s="121"/>
      <c r="AZ56" s="121"/>
      <c r="BA56" s="121"/>
      <c r="BB56" s="121"/>
      <c r="BC56" s="122"/>
      <c r="BD56" s="121"/>
      <c r="BE56" s="121"/>
      <c r="BF56" s="121"/>
      <c r="BG56" s="121"/>
      <c r="BH56" s="122"/>
      <c r="BI56" s="121"/>
      <c r="BJ56" s="121"/>
      <c r="BK56" s="121"/>
      <c r="BL56" s="121"/>
      <c r="BM56" s="122"/>
      <c r="BN56" s="121"/>
      <c r="BO56" s="121"/>
      <c r="BP56" s="121"/>
      <c r="BQ56" s="121"/>
      <c r="BR56" s="122"/>
    </row>
    <row r="57" spans="1:70">
      <c r="A57" s="287" t="s">
        <v>100</v>
      </c>
      <c r="B57" s="251"/>
      <c r="C57" s="251"/>
      <c r="D57" s="117"/>
      <c r="E57" s="117"/>
      <c r="F57" s="337"/>
      <c r="G57" s="118"/>
      <c r="H57" s="118"/>
      <c r="I57" s="118"/>
      <c r="J57" s="119"/>
      <c r="K57" s="118"/>
      <c r="L57" s="118"/>
      <c r="M57" s="118"/>
      <c r="N57" s="118"/>
      <c r="O57" s="119"/>
      <c r="P57" s="118"/>
      <c r="Q57" s="118"/>
      <c r="R57" s="118"/>
      <c r="S57" s="118"/>
      <c r="T57" s="119"/>
      <c r="U57" s="118"/>
      <c r="V57" s="118"/>
      <c r="W57" s="118"/>
      <c r="X57" s="118"/>
      <c r="Y57" s="119"/>
      <c r="Z57" s="118"/>
      <c r="AA57" s="118"/>
      <c r="AB57" s="118"/>
      <c r="AC57" s="123"/>
      <c r="AD57" s="124"/>
      <c r="AE57" s="123"/>
      <c r="AF57" s="123"/>
      <c r="AG57" s="123"/>
      <c r="AH57" s="123"/>
      <c r="AI57" s="124"/>
      <c r="AJ57" s="123"/>
      <c r="AK57" s="123"/>
      <c r="AL57" s="123"/>
      <c r="AM57" s="123"/>
      <c r="AN57" s="119"/>
      <c r="AO57" s="123"/>
      <c r="AP57" s="123"/>
      <c r="AQ57" s="123"/>
      <c r="AR57" s="123"/>
      <c r="AS57" s="119"/>
      <c r="AT57" s="123"/>
      <c r="AU57" s="123"/>
      <c r="AV57" s="123"/>
      <c r="AW57" s="123"/>
      <c r="AX57" s="119"/>
      <c r="AY57" s="123"/>
      <c r="AZ57" s="123"/>
      <c r="BA57" s="123"/>
      <c r="BB57" s="123"/>
      <c r="BC57" s="119"/>
      <c r="BD57" s="123"/>
      <c r="BE57" s="123"/>
      <c r="BF57" s="123"/>
      <c r="BG57" s="123"/>
      <c r="BH57" s="119"/>
      <c r="BI57" s="123"/>
      <c r="BJ57" s="123"/>
      <c r="BK57" s="123"/>
      <c r="BL57" s="123"/>
      <c r="BM57" s="119"/>
      <c r="BN57" s="123"/>
      <c r="BO57" s="123"/>
      <c r="BP57" s="123"/>
      <c r="BQ57" s="123"/>
      <c r="BR57" s="119"/>
    </row>
    <row r="58" spans="1:70" ht="12.75" customHeight="1">
      <c r="A58" s="257" t="s">
        <v>104</v>
      </c>
      <c r="B58" s="251"/>
      <c r="C58" s="251"/>
      <c r="D58" s="117"/>
      <c r="E58" s="117"/>
      <c r="F58" s="337"/>
      <c r="G58" s="118"/>
      <c r="H58" s="118"/>
      <c r="I58" s="118"/>
      <c r="J58" s="119"/>
      <c r="K58" s="118">
        <f>K6/F6-1</f>
        <v>-0.35824090318293889</v>
      </c>
      <c r="L58" s="118">
        <f>L6/G6-1</f>
        <v>-9.5271557112418415E-2</v>
      </c>
      <c r="M58" s="118">
        <f>M6/H6-1</f>
        <v>9.0277737765306565E-2</v>
      </c>
      <c r="N58" s="118">
        <f>N6/I6-1</f>
        <v>-0.24716110561475124</v>
      </c>
      <c r="O58" s="119"/>
      <c r="P58" s="118">
        <f>P6/K6-1</f>
        <v>-0.22112531191179507</v>
      </c>
      <c r="Q58" s="118">
        <f>Q6/L6-1</f>
        <v>-0.4467721262648402</v>
      </c>
      <c r="R58" s="118">
        <f>R6/M6-1</f>
        <v>-0.31029143384606717</v>
      </c>
      <c r="S58" s="118">
        <f>S6/N6-1</f>
        <v>0.19789619361066291</v>
      </c>
      <c r="T58" s="119"/>
      <c r="U58" s="118">
        <f>U6/P6-1</f>
        <v>0.23925850996533926</v>
      </c>
      <c r="V58" s="118">
        <f>V6/Q6-1</f>
        <v>0.27247803714103225</v>
      </c>
      <c r="W58" s="118">
        <f>W6/R6-1</f>
        <v>-0.10093198239730705</v>
      </c>
      <c r="X58" s="118">
        <f>X6/S6-1</f>
        <v>-0.18028513594198226</v>
      </c>
      <c r="Y58" s="119"/>
      <c r="Z58" s="118">
        <f>Z6/U6-1</f>
        <v>-0.26769054888806298</v>
      </c>
      <c r="AA58" s="118">
        <f>AA6/V6-1</f>
        <v>-7.5794453152005503E-2</v>
      </c>
      <c r="AB58" s="118">
        <f>X6/W6-1</f>
        <v>-4.0563842812622708E-2</v>
      </c>
      <c r="AC58" s="118">
        <f>AC6/X6-1</f>
        <v>0.292019755191955</v>
      </c>
      <c r="AD58" s="124"/>
      <c r="AE58" s="118">
        <f>AE6/Z6-1</f>
        <v>0.3364694923148579</v>
      </c>
      <c r="AF58" s="118">
        <f>AF6/AA6-1</f>
        <v>0.20979472426239831</v>
      </c>
      <c r="AG58" s="118">
        <f>AG6/X6-1</f>
        <v>0.49898736875766048</v>
      </c>
      <c r="AH58" s="118">
        <f>AH6/AC6-1</f>
        <v>0.15942148551995028</v>
      </c>
      <c r="AI58" s="124"/>
      <c r="AJ58" s="118">
        <f>AJ6/AE6-1</f>
        <v>0.17288487560778076</v>
      </c>
      <c r="AK58" s="118">
        <f>AK6/AF6-1</f>
        <v>0.10857453832422426</v>
      </c>
      <c r="AL58" s="118">
        <f>AL6/AG6-1</f>
        <v>0.1077235170140185</v>
      </c>
      <c r="AM58" s="118">
        <f>AM6/AH6-1</f>
        <v>9.0679627770179128E-2</v>
      </c>
      <c r="AN58" s="119"/>
      <c r="AO58" s="118">
        <f>AO6/AJ6-1</f>
        <v>5.5855194940921393E-2</v>
      </c>
      <c r="AP58" s="118">
        <f>AP6/AK6-1</f>
        <v>-2.8178430282643774E-2</v>
      </c>
      <c r="AQ58" s="118">
        <f>AQ6/AL6-1</f>
        <v>-0.10765966173022223</v>
      </c>
      <c r="AR58" s="118">
        <v>-0.02</v>
      </c>
      <c r="AS58" s="441">
        <f>AS6/AN6-1</f>
        <v>-6.4577604466056537E-2</v>
      </c>
      <c r="AT58" s="118">
        <f>AT6/AO6-1</f>
        <v>-4.7809708278101271E-2</v>
      </c>
      <c r="AU58" s="118">
        <f>AU6/AP6-1</f>
        <v>-0.11949234328349401</v>
      </c>
      <c r="AV58" s="118">
        <f>AV6/AQ6-1</f>
        <v>-8.6159625914232096E-2</v>
      </c>
      <c r="AW58" s="118">
        <f>AW6/AR6-1</f>
        <v>1.8389149428865936E-2</v>
      </c>
      <c r="AX58" s="441">
        <f>AX6/AS6-1</f>
        <v>-6.0413973036944735E-2</v>
      </c>
      <c r="AY58" s="118">
        <f>AY6/AT6-1</f>
        <v>-0.11082779438951362</v>
      </c>
      <c r="AZ58" s="118">
        <f>AZ6/AU6-1</f>
        <v>-3.2180367207991556E-2</v>
      </c>
      <c r="BA58" s="118">
        <f>BA6/AV6-1</f>
        <v>-7.8860014344943385E-2</v>
      </c>
      <c r="BB58" s="118">
        <f>BB6/AW6-1</f>
        <v>9.7827775751373025E-2</v>
      </c>
      <c r="BC58" s="441">
        <f>BC6/AX6-1</f>
        <v>-2.3806151128904829E-2</v>
      </c>
      <c r="BD58" s="118">
        <f>BD6/AY6-1</f>
        <v>-0.10854275815678216</v>
      </c>
      <c r="BE58" s="118">
        <f>BE6/AZ6-1</f>
        <v>5.4275062641700123E-2</v>
      </c>
      <c r="BF58" s="118">
        <f>BF6/BA6-1</f>
        <v>0.10814558421731424</v>
      </c>
      <c r="BG58" s="118">
        <f>BG6/BB6-1</f>
        <v>-1.4318767506425911E-2</v>
      </c>
      <c r="BH58" s="441">
        <f>BH6/BC6-1</f>
        <v>9.0992204396272758E-2</v>
      </c>
      <c r="BI58" s="118">
        <f>BI6/BD6-1</f>
        <v>-1.9157125809738718E-2</v>
      </c>
      <c r="BJ58" s="118">
        <f>BJ6/BE6-1</f>
        <v>4.3298699762521764E-3</v>
      </c>
      <c r="BK58" s="118">
        <f>BK6/BF6-1</f>
        <v>-7.6897035999995422E-3</v>
      </c>
      <c r="BL58" s="118">
        <f>BL6/BG6-1</f>
        <v>1.7776733318524585E-2</v>
      </c>
      <c r="BM58" s="441">
        <f>BM6/BH6-1</f>
        <v>2.6235578020487482E-2</v>
      </c>
      <c r="BN58" s="118">
        <f>BN6/BI6-1</f>
        <v>-5.9744096935191671E-2</v>
      </c>
      <c r="BO58" s="118">
        <f>BO6/BJ6-1</f>
        <v>-4.129303988344657E-3</v>
      </c>
      <c r="BP58" s="118">
        <f>BP6/BK6-1</f>
        <v>2.2735776834699184E-3</v>
      </c>
      <c r="BQ58" s="118">
        <f>BQ6/BL6-1</f>
        <v>4.5555401457521238E-2</v>
      </c>
      <c r="BR58" s="441">
        <f>BR6/BM6-1</f>
        <v>6.5517925693676649E-3</v>
      </c>
    </row>
    <row r="59" spans="1:70" ht="12.75" customHeight="1">
      <c r="A59" s="257" t="s">
        <v>105</v>
      </c>
      <c r="B59" s="251"/>
      <c r="C59" s="251"/>
      <c r="D59" s="117"/>
      <c r="E59" s="117"/>
      <c r="F59" s="337"/>
      <c r="G59" s="118"/>
      <c r="H59" s="118"/>
      <c r="I59" s="118"/>
      <c r="J59" s="119"/>
      <c r="K59" s="118">
        <f>K7/F7-1</f>
        <v>3.3410877587036758E-2</v>
      </c>
      <c r="L59" s="118">
        <f>L7/G7-1</f>
        <v>-0.28358768379839028</v>
      </c>
      <c r="M59" s="118">
        <f>M7/H7-1</f>
        <v>0.65619849305392064</v>
      </c>
      <c r="N59" s="118">
        <f>N7/I7-1</f>
        <v>0.9647647283094245</v>
      </c>
      <c r="O59" s="119"/>
      <c r="P59" s="118">
        <f>P7/K7-1</f>
        <v>0.94518921016883395</v>
      </c>
      <c r="Q59" s="118">
        <f>Q7/L7-1</f>
        <v>1.3124107407983483</v>
      </c>
      <c r="R59" s="118">
        <f>R7/M7-1</f>
        <v>0.24590641715981576</v>
      </c>
      <c r="S59" s="118">
        <f>S7/N7-1</f>
        <v>4.9621460057809319E-2</v>
      </c>
      <c r="T59" s="119"/>
      <c r="U59" s="118">
        <f>U7/P7-1</f>
        <v>0.13323010986116723</v>
      </c>
      <c r="V59" s="118">
        <f>V7/Q7-1</f>
        <v>1.5748825946580558E-2</v>
      </c>
      <c r="W59" s="118">
        <f>W7/R7-1</f>
        <v>8.3365188764827014E-2</v>
      </c>
      <c r="X59" s="118">
        <f>X7/S7-1</f>
        <v>0.18046560910799214</v>
      </c>
      <c r="Y59" s="119"/>
      <c r="Z59" s="118">
        <f>Z7/U7-1</f>
        <v>0.3254406197728672</v>
      </c>
      <c r="AA59" s="118">
        <f>AA7/V7-1</f>
        <v>0.19836073962368639</v>
      </c>
      <c r="AB59" s="118">
        <f>X7/W7-1</f>
        <v>0.12650981528050265</v>
      </c>
      <c r="AC59" s="118">
        <f>AC7/X7-1</f>
        <v>7.4804410379398112E-2</v>
      </c>
      <c r="AD59" s="124"/>
      <c r="AE59" s="118">
        <f>AE7/Z7-1</f>
        <v>4.3794767157644188E-2</v>
      </c>
      <c r="AF59" s="118">
        <f>AF7/AA7-1</f>
        <v>0.44015794113879392</v>
      </c>
      <c r="AG59" s="118">
        <f>AG7/X7-1</f>
        <v>0.41258599047705835</v>
      </c>
      <c r="AH59" s="118">
        <f>AH7/AC7-1</f>
        <v>-5.4742057062575733E-2</v>
      </c>
      <c r="AI59" s="124"/>
      <c r="AJ59" s="118">
        <f>AJ7/AE7-1</f>
        <v>-6.4587808876083064E-2</v>
      </c>
      <c r="AK59" s="118">
        <f>AK7/AF7-1</f>
        <v>-0.18775812752895216</v>
      </c>
      <c r="AL59" s="118">
        <f>AL7/AG7-1</f>
        <v>-0.16252562810577886</v>
      </c>
      <c r="AM59" s="118">
        <f>AM7/AH7-1</f>
        <v>4.0693447450763864E-2</v>
      </c>
      <c r="AN59" s="119"/>
      <c r="AO59" s="118">
        <f>AO7/AJ7-1</f>
        <v>-7.9980734746299964E-2</v>
      </c>
      <c r="AP59" s="118">
        <f>AP7/AK7-1</f>
        <v>0.15641809120326733</v>
      </c>
      <c r="AQ59" s="118">
        <f>AQ7/AL7-1</f>
        <v>-9.4078245406046257E-2</v>
      </c>
      <c r="AR59" s="118">
        <f>AR7/AM7-1</f>
        <v>8.8402858993604339E-2</v>
      </c>
      <c r="AS59" s="441">
        <f>AS7/AN7-1</f>
        <v>1.9996260399021137E-2</v>
      </c>
      <c r="AT59" s="118">
        <f>AT7/AO7-1</f>
        <v>-3.758562352857675E-2</v>
      </c>
      <c r="AU59" s="118">
        <f>AU7/AP7-1</f>
        <v>-0.14286085651896208</v>
      </c>
      <c r="AV59" s="118">
        <f>AV7/AQ7-1</f>
        <v>4.6007847550748382E-2</v>
      </c>
      <c r="AW59" s="118">
        <f>AW7/AR7-1</f>
        <v>0.10424850806599073</v>
      </c>
      <c r="AX59" s="441">
        <f>AX7/AS7-1</f>
        <v>-9.4278345748556314E-3</v>
      </c>
      <c r="AY59" s="118">
        <f>AY7/AT7-1</f>
        <v>0.17892440073755389</v>
      </c>
      <c r="AZ59" s="118">
        <f>AZ7/AU7-1</f>
        <v>0.17222831196627486</v>
      </c>
      <c r="BA59" s="118">
        <f>BA7/AV7-1</f>
        <v>0.23416899335044539</v>
      </c>
      <c r="BB59" s="118">
        <f>BB7/AW7-1</f>
        <v>-0.13660463994796124</v>
      </c>
      <c r="BC59" s="441">
        <f>BC7/AX7-1</f>
        <v>0.66895450455547389</v>
      </c>
      <c r="BD59" s="118">
        <f>BD7/AY7-1</f>
        <v>0.42575494191316943</v>
      </c>
      <c r="BE59" s="118">
        <f>BE7/AZ7-1</f>
        <v>0.53448932152576201</v>
      </c>
      <c r="BF59" s="118">
        <f>BF7/BA7-1</f>
        <v>0.39962888756792103</v>
      </c>
      <c r="BG59" s="118">
        <f>BG7/BB7-1</f>
        <v>0.73739548966964485</v>
      </c>
      <c r="BH59" s="441">
        <f>BH7/BC7-1</f>
        <v>0.17680254793908023</v>
      </c>
      <c r="BI59" s="118">
        <f>BI7/BD7-1</f>
        <v>-3.3256145452601582E-2</v>
      </c>
      <c r="BJ59" s="118">
        <f>BJ7/BE7-1</f>
        <v>1.3556748112844241E-2</v>
      </c>
      <c r="BK59" s="118">
        <f>BK7/BF7-1</f>
        <v>-7.5467336306545008E-3</v>
      </c>
      <c r="BL59" s="118">
        <f>BL7/BG7-1</f>
        <v>1.6167802331309211E-2</v>
      </c>
      <c r="BM59" s="441">
        <f>BM7/BH7-1</f>
        <v>0.28990891513818617</v>
      </c>
      <c r="BN59" s="118">
        <f>BN7/BI7-1</f>
        <v>-1.4281195705211913E-2</v>
      </c>
      <c r="BO59" s="118">
        <f>BO7/BJ7-1</f>
        <v>-1.4481410266513395E-2</v>
      </c>
      <c r="BP59" s="118">
        <f>BP7/BK7-1</f>
        <v>1.9517428812221516E-2</v>
      </c>
      <c r="BQ59" s="118">
        <f>BQ7/BL7-1</f>
        <v>4.4556328396512246E-3</v>
      </c>
      <c r="BR59" s="441">
        <f>BR7/BM7-1</f>
        <v>0.21724214812223952</v>
      </c>
    </row>
    <row r="60" spans="1:70" ht="12.75" customHeight="1">
      <c r="A60" s="257" t="s">
        <v>110</v>
      </c>
      <c r="B60" s="251"/>
      <c r="C60" s="251"/>
      <c r="D60" s="117"/>
      <c r="E60" s="117"/>
      <c r="F60" s="337"/>
      <c r="G60" s="118"/>
      <c r="H60" s="118"/>
      <c r="I60" s="118"/>
      <c r="J60" s="119"/>
      <c r="K60" s="118" t="e">
        <f>K8/F8-1</f>
        <v>#DIV/0!</v>
      </c>
      <c r="L60" s="118" t="e">
        <f>L8/G8-1</f>
        <v>#DIV/0!</v>
      </c>
      <c r="M60" s="118" t="e">
        <f>M8/H8-1</f>
        <v>#DIV/0!</v>
      </c>
      <c r="N60" s="118" t="e">
        <f>N8/I8-1</f>
        <v>#DIV/0!</v>
      </c>
      <c r="O60" s="119"/>
      <c r="P60" s="118" t="e">
        <f>P8/K8-1</f>
        <v>#DIV/0!</v>
      </c>
      <c r="Q60" s="118" t="e">
        <f>Q8/L8-1</f>
        <v>#DIV/0!</v>
      </c>
      <c r="R60" s="118">
        <f>R8/M8-1</f>
        <v>-6.1475763646809845E-2</v>
      </c>
      <c r="S60" s="118">
        <f>S8/N8-1</f>
        <v>-0.30432863137411215</v>
      </c>
      <c r="T60" s="119"/>
      <c r="U60" s="118">
        <f>U8/P8-1</f>
        <v>0.12751740520512755</v>
      </c>
      <c r="V60" s="118">
        <f>V8/Q8-1</f>
        <v>2.9481482555400174E-2</v>
      </c>
      <c r="W60" s="118">
        <f>W8/R8-1</f>
        <v>-8.7661369619691065E-2</v>
      </c>
      <c r="X60" s="118">
        <f>X8/S8-1</f>
        <v>-4.7170450694679955E-2</v>
      </c>
      <c r="Y60" s="119"/>
      <c r="Z60" s="118">
        <f>Z8/U8-1</f>
        <v>-3.2238295729717814E-2</v>
      </c>
      <c r="AA60" s="118">
        <f>AA8/V8-1</f>
        <v>0.13351476573392107</v>
      </c>
      <c r="AB60" s="118">
        <f>X8/W8-1</f>
        <v>7.5321677276251275E-2</v>
      </c>
      <c r="AC60" s="118">
        <f>AC8/X8-1</f>
        <v>7.1109415515134389E-2</v>
      </c>
      <c r="AD60" s="124"/>
      <c r="AE60" s="118">
        <f>AE8/Z8-1</f>
        <v>2.9848191822554604E-3</v>
      </c>
      <c r="AF60" s="118">
        <f>AF8/AA8-1</f>
        <v>1.5029864051012698E-2</v>
      </c>
      <c r="AG60" s="118">
        <f>AG8/X8-1</f>
        <v>5.1946666321800006E-2</v>
      </c>
      <c r="AH60" s="118">
        <f>AH8/AC8-1</f>
        <v>-0.14622447870760535</v>
      </c>
      <c r="AI60" s="124"/>
      <c r="AJ60" s="118">
        <f>AJ8/AE8-1</f>
        <v>-3.837320018974999E-2</v>
      </c>
      <c r="AK60" s="118">
        <f>AK8/AF8-1</f>
        <v>-2.4161714575976601E-2</v>
      </c>
      <c r="AL60" s="118">
        <f>AL8/AG8-1</f>
        <v>1.9203048883561502E-2</v>
      </c>
      <c r="AM60" s="118">
        <f>AM8/AH8-1</f>
        <v>6.7647401970662768E-2</v>
      </c>
      <c r="AN60" s="119"/>
      <c r="AO60" s="118">
        <f>AO8/AJ8-1</f>
        <v>0.12039123691766074</v>
      </c>
      <c r="AP60" s="118">
        <f>AP8/AK8-1</f>
        <v>-0.11616421345742567</v>
      </c>
      <c r="AQ60" s="118">
        <v>-0.05</v>
      </c>
      <c r="AR60" s="118">
        <f>AR8/AM8-1</f>
        <v>1.3361679299828122E-2</v>
      </c>
      <c r="AS60" s="441">
        <f>AS8/AN8-1</f>
        <v>-1.6660036572195169E-2</v>
      </c>
      <c r="AT60" s="118">
        <f>AT8/AO8-1</f>
        <v>-0.12953917692970462</v>
      </c>
      <c r="AU60" s="118">
        <f>AU8/AP8-1</f>
        <v>-3.9821611668328427E-2</v>
      </c>
      <c r="AV60" s="118">
        <f>AV8/AQ8-1</f>
        <v>-0.238539742113969</v>
      </c>
      <c r="AW60" s="118">
        <f>AW8/AR8-1</f>
        <v>-0.26383742132815713</v>
      </c>
      <c r="AX60" s="441">
        <f>AX8/AS8-1</f>
        <v>-0.17041825546177503</v>
      </c>
      <c r="AY60" s="118">
        <f>AY8/AT8-1</f>
        <v>-0.30303383175461518</v>
      </c>
      <c r="AZ60" s="118">
        <f>AZ8/AU8-1</f>
        <v>-0.17490106528028726</v>
      </c>
      <c r="BA60" s="118">
        <f>BA8/AV8-1</f>
        <v>5.6301528220632946E-2</v>
      </c>
      <c r="BB60" s="118">
        <f>BB8/AW8-1</f>
        <v>1.1363160148930729</v>
      </c>
      <c r="BC60" s="441">
        <f>BC8/AX8-1</f>
        <v>0.22397220688352437</v>
      </c>
      <c r="BD60" s="118">
        <f>BD8/AY8-1</f>
        <v>0.37964017830027363</v>
      </c>
      <c r="BE60" s="118">
        <f>BE8/AZ8-1</f>
        <v>0.37086968415287203</v>
      </c>
      <c r="BF60" s="118">
        <f>BF8/BA8-1</f>
        <v>0.29660318639427508</v>
      </c>
      <c r="BG60" s="118">
        <f>BG8/BB8-1</f>
        <v>-0.29646730003071364</v>
      </c>
      <c r="BH60" s="441">
        <f>BH8/BC8-1</f>
        <v>2.5189013391300641E-2</v>
      </c>
      <c r="BI60" s="118">
        <f>BI8/BD8-1</f>
        <v>-1.6181566875564268E-2</v>
      </c>
      <c r="BJ60" s="118">
        <f>BJ8/BE8-1</f>
        <v>-1.0045135024091656E-2</v>
      </c>
      <c r="BK60" s="118">
        <f>BK8/BF8-1</f>
        <v>-5.9235036575435718E-3</v>
      </c>
      <c r="BL60" s="118">
        <f>BL8/BG8-1</f>
        <v>2.7368587237384334E-2</v>
      </c>
      <c r="BM60" s="441">
        <f>BM8/BH8-1</f>
        <v>4.8242738924839657E-3</v>
      </c>
      <c r="BN60" s="118">
        <f>BN8/BI8-1</f>
        <v>-5.8268419448654241E-2</v>
      </c>
      <c r="BO60" s="118">
        <f>BO8/BJ8-1</f>
        <v>1.3897148751628841E-2</v>
      </c>
      <c r="BP60" s="118">
        <f>BP8/BK8-1</f>
        <v>5.1451495001000325E-3</v>
      </c>
      <c r="BQ60" s="118">
        <f>BQ8/BL8-1</f>
        <v>2.6683430700101818E-2</v>
      </c>
      <c r="BR60" s="441">
        <f>BR8/BM8-1</f>
        <v>1.2304342387210454E-3</v>
      </c>
    </row>
    <row r="61" spans="1:70" ht="12.5" hidden="1" customHeight="1">
      <c r="A61" s="257" t="s">
        <v>106</v>
      </c>
      <c r="B61" s="251"/>
      <c r="C61" s="251"/>
      <c r="D61" s="117"/>
      <c r="E61" s="117"/>
      <c r="F61" s="337"/>
      <c r="G61" s="118"/>
      <c r="H61" s="118"/>
      <c r="I61" s="118"/>
      <c r="J61" s="119"/>
      <c r="K61" s="118">
        <f>K9/F9-1</f>
        <v>-0.14956309693151804</v>
      </c>
      <c r="L61" s="118">
        <f>L9/G9-1</f>
        <v>0.45829924890310103</v>
      </c>
      <c r="M61" s="118">
        <f>M9/H9-1</f>
        <v>1.0720397527572416</v>
      </c>
      <c r="N61" s="118">
        <f>N9/I9-1</f>
        <v>0.19271209712386206</v>
      </c>
      <c r="O61" s="119"/>
      <c r="P61" s="118">
        <f>P9/K9-1</f>
        <v>0.47956989247311821</v>
      </c>
      <c r="Q61" s="118">
        <f>Q9/L9-1</f>
        <v>-0.17422455666186465</v>
      </c>
      <c r="R61" s="118">
        <f>R9/M9-1</f>
        <v>-0.39467958166631567</v>
      </c>
      <c r="S61" s="118">
        <f>S9/N9-1</f>
        <v>-0.1388236719732201</v>
      </c>
      <c r="T61" s="119"/>
      <c r="U61" s="118">
        <f>U9/P9-1</f>
        <v>-0.30454251820530887</v>
      </c>
      <c r="V61" s="118">
        <f>V9/Q9-1</f>
        <v>-0.29377981566393396</v>
      </c>
      <c r="W61" s="118">
        <f>W9/R9-1</f>
        <v>-0.28434214594928886</v>
      </c>
      <c r="X61" s="118">
        <f>X9/S9-1</f>
        <v>-0.10416153656734839</v>
      </c>
      <c r="Y61" s="119"/>
      <c r="Z61" s="118">
        <f>Z9/U9-1</f>
        <v>-1</v>
      </c>
      <c r="AA61" s="118">
        <f>AA9/V9-1</f>
        <v>-1</v>
      </c>
      <c r="AB61" s="118">
        <f>X9/W9-1</f>
        <v>0.37538818827468856</v>
      </c>
      <c r="AC61" s="118">
        <f>AC9/X9-1</f>
        <v>-1</v>
      </c>
      <c r="AD61" s="124"/>
      <c r="AE61" s="118" t="e">
        <f>AE9/Z9-1</f>
        <v>#DIV/0!</v>
      </c>
      <c r="AF61" s="118" t="e">
        <f>AF9/AA9-1</f>
        <v>#DIV/0!</v>
      </c>
      <c r="AG61" s="118">
        <f>AG9/X9-1</f>
        <v>-1</v>
      </c>
      <c r="AH61" s="118" t="e">
        <f>AH9/AC9-1</f>
        <v>#DIV/0!</v>
      </c>
      <c r="AI61" s="124"/>
      <c r="AJ61" s="118" t="e">
        <f>AJ9/AE9-1</f>
        <v>#DIV/0!</v>
      </c>
      <c r="AK61" s="118" t="e">
        <f>AK9/AF9-1</f>
        <v>#DIV/0!</v>
      </c>
      <c r="AL61" s="118" t="e">
        <f>AL9/AG9-1</f>
        <v>#DIV/0!</v>
      </c>
      <c r="AM61" s="118" t="e">
        <f>AM9/AH9-1</f>
        <v>#DIV/0!</v>
      </c>
      <c r="AN61" s="119"/>
      <c r="AO61" s="118" t="e">
        <f>AO9/AJ9-1</f>
        <v>#DIV/0!</v>
      </c>
      <c r="AP61" s="118" t="e">
        <f>AP9/AK9-1</f>
        <v>#DIV/0!</v>
      </c>
      <c r="AQ61" s="118" t="e">
        <f>AQ9/AL9-1</f>
        <v>#DIV/0!</v>
      </c>
      <c r="AR61" s="118" t="e">
        <f>AR9/AM9-1</f>
        <v>#DIV/0!</v>
      </c>
      <c r="AS61" s="441" t="e">
        <f>AS9/AN9-1</f>
        <v>#DIV/0!</v>
      </c>
      <c r="AT61" s="118" t="e">
        <f>AT9/AO9-1</f>
        <v>#DIV/0!</v>
      </c>
      <c r="AU61" s="118" t="e">
        <f>AU9/AP9-1</f>
        <v>#DIV/0!</v>
      </c>
      <c r="AV61" s="118" t="e">
        <f>AV9/AQ9-1</f>
        <v>#DIV/0!</v>
      </c>
      <c r="AW61" s="118" t="e">
        <f>AW9/AR9-1</f>
        <v>#DIV/0!</v>
      </c>
      <c r="AX61" s="441" t="e">
        <f>AX9/AS9-1</f>
        <v>#DIV/0!</v>
      </c>
      <c r="AY61" s="118" t="e">
        <f>AY9/AT9-1</f>
        <v>#DIV/0!</v>
      </c>
      <c r="AZ61" s="118" t="e">
        <f>AZ9/AU9-1</f>
        <v>#DIV/0!</v>
      </c>
      <c r="BA61" s="118" t="e">
        <f>BA9/AV9-1</f>
        <v>#DIV/0!</v>
      </c>
      <c r="BB61" s="118" t="e">
        <f>BB9/AW9-1</f>
        <v>#DIV/0!</v>
      </c>
      <c r="BC61" s="441" t="e">
        <f>BC9/AX9-1</f>
        <v>#DIV/0!</v>
      </c>
      <c r="BD61" s="118" t="e">
        <f>BD9/AY9-1</f>
        <v>#DIV/0!</v>
      </c>
      <c r="BE61" s="118" t="e">
        <f>BE9/AZ9-1</f>
        <v>#DIV/0!</v>
      </c>
      <c r="BF61" s="118" t="e">
        <f>BF9/BA9-1</f>
        <v>#DIV/0!</v>
      </c>
      <c r="BG61" s="118" t="e">
        <f>BG9/BB9-1</f>
        <v>#DIV/0!</v>
      </c>
      <c r="BH61" s="441" t="e">
        <f>BH9/BC9-1</f>
        <v>#DIV/0!</v>
      </c>
      <c r="BI61" s="118" t="e">
        <f>BI9/BD9-1</f>
        <v>#DIV/0!</v>
      </c>
      <c r="BJ61" s="118" t="e">
        <f>BJ9/BE9-1</f>
        <v>#DIV/0!</v>
      </c>
      <c r="BK61" s="118" t="e">
        <f>BK9/BF9-1</f>
        <v>#DIV/0!</v>
      </c>
      <c r="BL61" s="118" t="e">
        <f>BL9/BG9-1</f>
        <v>#DIV/0!</v>
      </c>
      <c r="BM61" s="441" t="e">
        <f>BM9/BH9-1</f>
        <v>#DIV/0!</v>
      </c>
      <c r="BN61" s="118" t="e">
        <f>BN9/BI9-1</f>
        <v>#DIV/0!</v>
      </c>
      <c r="BO61" s="118" t="e">
        <f>BO9/BJ9-1</f>
        <v>#DIV/0!</v>
      </c>
      <c r="BP61" s="118" t="e">
        <f>BP9/BK9-1</f>
        <v>#DIV/0!</v>
      </c>
      <c r="BQ61" s="118" t="e">
        <f>BQ9/BL9-1</f>
        <v>#DIV/0!</v>
      </c>
      <c r="BR61" s="441" t="e">
        <f>BR9/BM9-1</f>
        <v>#DIV/0!</v>
      </c>
    </row>
    <row r="62" spans="1:70" ht="12.75" customHeight="1">
      <c r="A62" s="257" t="s">
        <v>119</v>
      </c>
      <c r="B62" s="251"/>
      <c r="C62" s="251"/>
      <c r="D62" s="117"/>
      <c r="E62" s="117"/>
      <c r="F62" s="337"/>
      <c r="G62" s="118"/>
      <c r="H62" s="118"/>
      <c r="I62" s="118"/>
      <c r="J62" s="119"/>
      <c r="K62" s="118"/>
      <c r="L62" s="118"/>
      <c r="M62" s="118">
        <f>-M10/SUM(M6:M9)</f>
        <v>8.1880680145525075E-2</v>
      </c>
      <c r="N62" s="118">
        <f>-N10/SUM(N6:N9)</f>
        <v>8.7649516513825299E-2</v>
      </c>
      <c r="O62" s="119"/>
      <c r="P62" s="118">
        <f>-P10/SUM(P6:P9)</f>
        <v>1.8227474404933535E-2</v>
      </c>
      <c r="Q62" s="118">
        <f>-Q10/SUM(Q6:Q9)</f>
        <v>1.4329714476062625E-2</v>
      </c>
      <c r="R62" s="118">
        <f>-R10/SUM(R6:R9)</f>
        <v>8.7405226100384682E-3</v>
      </c>
      <c r="S62" s="118">
        <f>-S10/SUM(S6:S9)</f>
        <v>3.6065006466906815E-2</v>
      </c>
      <c r="T62" s="119"/>
      <c r="U62" s="118">
        <f>-U10/SUM(U6:U9)</f>
        <v>6.1801792438121977E-2</v>
      </c>
      <c r="V62" s="118">
        <f>-V10/SUM(V6:V9)</f>
        <v>2.8868401807871549E-2</v>
      </c>
      <c r="W62" s="118">
        <f>-W10/SUM(W6:W9)</f>
        <v>2.466202593232765E-2</v>
      </c>
      <c r="X62" s="118">
        <f>-X10/SUM(X6:X9)</f>
        <v>2.352339237128679E-2</v>
      </c>
      <c r="Y62" s="119"/>
      <c r="Z62" s="118">
        <f>-Z10/SUM(Z6:Z9)</f>
        <v>2.5125222992860175E-2</v>
      </c>
      <c r="AA62" s="118">
        <f>-AA10/SUM(AA6:AA9)</f>
        <v>2.3346706470887494E-2</v>
      </c>
      <c r="AB62" s="118">
        <f>-X10/SUM(X6:X9)</f>
        <v>2.352339237128679E-2</v>
      </c>
      <c r="AC62" s="118">
        <f>-AC10/SUM(AC6:AC9)</f>
        <v>2.0843822456418203E-2</v>
      </c>
      <c r="AD62" s="124"/>
      <c r="AE62" s="118">
        <f>-AE10/SUM(AE6:AE9)</f>
        <v>3.2207275063614156E-2</v>
      </c>
      <c r="AF62" s="118">
        <f>-AF10/SUM(AF6:AF9)</f>
        <v>4.3694827692991503E-2</v>
      </c>
      <c r="AG62" s="118">
        <f>-AG10/SUM(AG6:AG9)</f>
        <v>6.6299381381268452E-2</v>
      </c>
      <c r="AH62" s="118">
        <f>-AH10/SUM(AH6:AH9)</f>
        <v>1.8459015884251678E-2</v>
      </c>
      <c r="AI62" s="124"/>
      <c r="AJ62" s="118">
        <f>-AJ10/SUM(AJ6:AJ9)</f>
        <v>4.5634801999176973E-2</v>
      </c>
      <c r="AK62" s="118">
        <f>-AK10/SUM(AK6:AK9)</f>
        <v>4.7288113566694448E-2</v>
      </c>
      <c r="AL62" s="118">
        <f>-AL10/SUM(AL6:AL9)</f>
        <v>4.6857079115743348E-2</v>
      </c>
      <c r="AM62" s="118">
        <f>-AM10/SUM(AM6:AM9)</f>
        <v>4.5564274399342776E-2</v>
      </c>
      <c r="AN62" s="119"/>
      <c r="AO62" s="118">
        <f>-AO10/SUM(AO6:AO9)</f>
        <v>4.4218621022962999E-2</v>
      </c>
      <c r="AP62" s="118">
        <f>-AP10/SUM(AP6:AP9)</f>
        <v>6.1620038851079389E-2</v>
      </c>
      <c r="AQ62" s="118">
        <f>-AQ10/SUM(AQ6:AQ9)</f>
        <v>5.4796366398643388E-2</v>
      </c>
      <c r="AR62" s="118">
        <f>-AR10/SUM(AR6:AR9)</f>
        <v>5.3746213812614359E-2</v>
      </c>
      <c r="AS62" s="441">
        <f>-AS10/SUM(AS6:AS9)</f>
        <v>5.3877500691114542E-2</v>
      </c>
      <c r="AT62" s="118">
        <f>-AT10/SUM(AT6:AT9)</f>
        <v>5.7444963321103978E-2</v>
      </c>
      <c r="AU62" s="118">
        <f>-AU10/SUM(AU6:AU9)</f>
        <v>5.0953973066084179E-2</v>
      </c>
      <c r="AV62" s="118">
        <f>-AV10/SUM(AV6:AV9)</f>
        <v>4.2543233746106281E-2</v>
      </c>
      <c r="AW62" s="118">
        <f>-AW10/SUM(AW6:AW9)</f>
        <v>4.5678679787922144E-2</v>
      </c>
      <c r="AX62" s="441">
        <f>-AX10/SUM(AX6:AX9)</f>
        <v>4.8962810450204571E-2</v>
      </c>
      <c r="AY62" s="118">
        <f>-AY10/SUM(AY6:AY9)</f>
        <v>5.2309094792128072E-2</v>
      </c>
      <c r="AZ62" s="118">
        <f>-AZ10/SUM(AZ6:AZ9)</f>
        <v>6.068574052046162E-2</v>
      </c>
      <c r="BA62" s="118">
        <f>-BA10/SUM(BA6:BA9)</f>
        <v>5.8002753097234391E-2</v>
      </c>
      <c r="BB62" s="118">
        <f>-BB10/SUM(BB6:BB9)</f>
        <v>6.8924390085117568E-2</v>
      </c>
      <c r="BC62" s="441">
        <f>-BC10/SUM(BC6:BC9)</f>
        <v>4.9374312293701934E-2</v>
      </c>
      <c r="BD62" s="118">
        <f>-BD10/SUM(BD6:BD9)</f>
        <v>6.457895873802097E-2</v>
      </c>
      <c r="BE62" s="118">
        <f>-BE10/SUM(BE6:BE9)</f>
        <v>4.8633782002345381E-2</v>
      </c>
      <c r="BF62" s="118">
        <f>-BF10/SUM(BF6:BF9)</f>
        <v>4.7879232541895599E-2</v>
      </c>
      <c r="BG62" s="118">
        <f>-BG10/SUM(BG6:BG9)</f>
        <v>4.658139658476966E-2</v>
      </c>
      <c r="BH62" s="441">
        <f>-BH10/SUM(BH6:BH9)</f>
        <v>4.5540947079686867E-2</v>
      </c>
      <c r="BI62" s="118">
        <f>-BI10/SUM(BI6:BI9)</f>
        <v>6.6229921525384955E-2</v>
      </c>
      <c r="BJ62" s="118">
        <f>-BJ10/SUM(BJ6:BJ9)</f>
        <v>4.8325644143384555E-2</v>
      </c>
      <c r="BK62" s="118">
        <f>-BK10/SUM(BK6:BK9)</f>
        <v>4.8229553133518996E-2</v>
      </c>
      <c r="BL62" s="118">
        <f>-BL10/SUM(BL6:BL9)</f>
        <v>4.5715538103318777E-2</v>
      </c>
      <c r="BM62" s="441">
        <f>-BM10/SUM(BM6:BM9)</f>
        <v>3.926014894356919E-2</v>
      </c>
      <c r="BN62" s="118">
        <f>-BN10/SUM(BN6:BN9)</f>
        <v>6.8908605473675694E-2</v>
      </c>
      <c r="BO62" s="118">
        <f>-BO10/SUM(BO6:BO9)</f>
        <v>4.8624959536349363E-2</v>
      </c>
      <c r="BP62" s="118">
        <f>-BP10/SUM(BP6:BP9)</f>
        <v>4.7673162934854456E-2</v>
      </c>
      <c r="BQ62" s="118">
        <f>-BQ10/SUM(BQ6:BQ9)</f>
        <v>4.4749274471112377E-2</v>
      </c>
      <c r="BR62" s="441">
        <f>-BR10/SUM(BR6:BR9)</f>
        <v>3.4803041615182384E-2</v>
      </c>
    </row>
    <row r="63" spans="1:70" ht="12.75" customHeight="1">
      <c r="A63" s="282" t="s">
        <v>54</v>
      </c>
      <c r="B63" s="281"/>
      <c r="C63" s="281"/>
      <c r="D63" s="283"/>
      <c r="E63" s="283"/>
      <c r="F63" s="338"/>
      <c r="G63" s="284"/>
      <c r="H63" s="284"/>
      <c r="I63" s="284"/>
      <c r="J63" s="285"/>
      <c r="K63" s="284">
        <f>K11/F11-1</f>
        <v>-0.28874490651099616</v>
      </c>
      <c r="L63" s="284">
        <f>L11/G11-1</f>
        <v>-0.103368854825586</v>
      </c>
      <c r="M63" s="284">
        <f>M11/H11-1</f>
        <v>0.59387870555857702</v>
      </c>
      <c r="N63" s="284">
        <f>N11/I11-1</f>
        <v>0.62040139369986069</v>
      </c>
      <c r="O63" s="285"/>
      <c r="P63" s="284">
        <f>P11/K11-1</f>
        <v>0.48309818638070889</v>
      </c>
      <c r="Q63" s="284">
        <f>Q11/L11-1</f>
        <v>0.20184958858729196</v>
      </c>
      <c r="R63" s="284">
        <f>R11/M11-1</f>
        <v>-5.7455783129431337E-2</v>
      </c>
      <c r="S63" s="284">
        <f>S11/N11-1</f>
        <v>-5.0414438982449017E-4</v>
      </c>
      <c r="T63" s="285"/>
      <c r="U63" s="284">
        <f>U11/P11-1</f>
        <v>8.809973107851321E-2</v>
      </c>
      <c r="V63" s="284">
        <f>V11/Q11-1</f>
        <v>6.8726112451869659E-2</v>
      </c>
      <c r="W63" s="284">
        <f>W11/R11-1</f>
        <v>-6.2766453852262205E-2</v>
      </c>
      <c r="X63" s="284">
        <f>X11/S11-1</f>
        <v>-1.3379130100753867E-2</v>
      </c>
      <c r="Y63" s="285"/>
      <c r="Z63" s="284">
        <f>Z11/U11-1</f>
        <v>-3.7963477714396232E-2</v>
      </c>
      <c r="AA63" s="284">
        <f>AA11/V11-1</f>
        <v>2.986045495767109E-2</v>
      </c>
      <c r="AB63" s="284">
        <f>X11/W11-1</f>
        <v>6.6870926291843213E-2</v>
      </c>
      <c r="AC63" s="284">
        <f>AC11/X11-1</f>
        <v>9.3320149077905867E-2</v>
      </c>
      <c r="AD63" s="286"/>
      <c r="AE63" s="284">
        <f>AE11/Z11-1</f>
        <v>0.11644488831520694</v>
      </c>
      <c r="AF63" s="284">
        <f>AF11/AA11-1</f>
        <v>0.21016680344118521</v>
      </c>
      <c r="AG63" s="284">
        <f>AG11/X11-1</f>
        <v>0.21963974962043742</v>
      </c>
      <c r="AH63" s="284">
        <f>AH11/AC11-1</f>
        <v>-8.7113739592326045E-4</v>
      </c>
      <c r="AI63" s="286"/>
      <c r="AJ63" s="284">
        <f>AJ11/AE11-1</f>
        <v>1.7725851293760364E-2</v>
      </c>
      <c r="AK63" s="284">
        <f>AK11/AF11-1</f>
        <v>-5.0415333905296844E-2</v>
      </c>
      <c r="AL63" s="284">
        <f>AL11/AG11-1</f>
        <v>-5.7885986758048347E-3</v>
      </c>
      <c r="AM63" s="284">
        <f>AM11/AH11-1</f>
        <v>3.8114470824346602E-2</v>
      </c>
      <c r="AN63" s="285">
        <f>+AN11/AI11-1</f>
        <v>-1.8809171152684989E-3</v>
      </c>
      <c r="AO63" s="284">
        <f>AO11/AJ11-1</f>
        <v>2.9475689834516761E-2</v>
      </c>
      <c r="AP63" s="284">
        <f>AP11/AK11-1</f>
        <v>8.048008819911967E-4</v>
      </c>
      <c r="AQ63" s="284">
        <f>AQ11/AL11-1</f>
        <v>-0.10013143502743482</v>
      </c>
      <c r="AR63" s="284">
        <f>AR11/AM11-1</f>
        <v>-4.2941635602146477E-2</v>
      </c>
      <c r="AS63" s="442">
        <f>AS11/AN11-1</f>
        <v>-3.1358622516578061E-2</v>
      </c>
      <c r="AT63" s="284">
        <f>AT11/AO11-1</f>
        <v>-7.9835433669154354E-2</v>
      </c>
      <c r="AU63" s="284">
        <f>AU11/AP11-1</f>
        <v>-0.10197358399196954</v>
      </c>
      <c r="AV63" s="284">
        <f>AV11/AQ11-1</f>
        <v>-6.3666262333212598E-2</v>
      </c>
      <c r="AW63" s="284">
        <f>AW11/AR11-1</f>
        <v>-8.2007060787816499E-3</v>
      </c>
      <c r="AX63" s="442">
        <f>AX11/AS11-1</f>
        <v>-6.3597387375115666E-2</v>
      </c>
      <c r="AY63" s="284">
        <f>AY11/AT11-1</f>
        <v>-6.7761117962643724E-2</v>
      </c>
      <c r="AZ63" s="284">
        <f>AZ11/AU11-1</f>
        <v>4.6335769160374962E-3</v>
      </c>
      <c r="BA63" s="284">
        <f>BA11/AV11-1</f>
        <v>5.8949175390001551E-2</v>
      </c>
      <c r="BB63" s="284">
        <f>BB11/AW11-1</f>
        <v>0.15488950092898879</v>
      </c>
      <c r="BC63" s="442">
        <f>BC11/AX11-1</f>
        <v>4.1531157294820042E-2</v>
      </c>
      <c r="BD63" s="284">
        <f>BD11/AY11-1</f>
        <v>0.17120137081602693</v>
      </c>
      <c r="BE63" s="284">
        <f>BE11/AZ11-1</f>
        <v>0.34726402850999172</v>
      </c>
      <c r="BF63" s="284">
        <f>BF11/BA11-1</f>
        <v>0.29580218791532142</v>
      </c>
      <c r="BG63" s="284">
        <f>BG11/BB11-1</f>
        <v>0.16076256545023315</v>
      </c>
      <c r="BH63" s="442">
        <f>BH11/BC11-1</f>
        <v>0.24276832294469974</v>
      </c>
      <c r="BI63" s="284">
        <f>BI11/BD11-1</f>
        <v>-2.6648692730409596E-2</v>
      </c>
      <c r="BJ63" s="284">
        <f>BJ11/BE11-1</f>
        <v>6.7022354884793689E-3</v>
      </c>
      <c r="BK63" s="284">
        <f>BK11/BF11-1</f>
        <v>-7.6288730784429548E-3</v>
      </c>
      <c r="BL63" s="284">
        <f>BL11/BG11-1</f>
        <v>1.9865498040160245E-2</v>
      </c>
      <c r="BM63" s="442">
        <f>BM11/BH11-1</f>
        <v>0</v>
      </c>
      <c r="BN63" s="284">
        <f>BN11/BI11-1</f>
        <v>-4.1630158156355845E-2</v>
      </c>
      <c r="BO63" s="284">
        <f>BO11/BJ11-1</f>
        <v>-6.4681700964696054E-3</v>
      </c>
      <c r="BP63" s="284">
        <f>BP11/BK11-1</f>
        <v>1.2262338163412156E-2</v>
      </c>
      <c r="BQ63" s="284">
        <f>BQ11/BL11-1</f>
        <v>2.2627250412913469E-2</v>
      </c>
      <c r="BR63" s="442">
        <f>BR11/BM11-1</f>
        <v>0</v>
      </c>
    </row>
    <row r="64" spans="1:70">
      <c r="A64" s="221" t="s">
        <v>124</v>
      </c>
      <c r="B64" s="251"/>
      <c r="C64" s="251"/>
      <c r="D64" s="222"/>
      <c r="E64" s="222"/>
      <c r="F64" s="337"/>
      <c r="G64" s="223"/>
      <c r="H64" s="223"/>
      <c r="I64" s="223"/>
      <c r="J64" s="119"/>
      <c r="K64" s="223"/>
      <c r="L64" s="223"/>
      <c r="M64" s="223"/>
      <c r="N64" s="223"/>
      <c r="O64" s="119"/>
      <c r="P64" s="223"/>
      <c r="Q64" s="223"/>
      <c r="R64" s="223"/>
      <c r="S64" s="223"/>
      <c r="T64" s="119"/>
      <c r="U64" s="223"/>
      <c r="V64" s="223"/>
      <c r="W64" s="223"/>
      <c r="X64" s="223"/>
      <c r="Y64" s="119"/>
      <c r="Z64" s="223"/>
      <c r="AA64" s="223"/>
      <c r="AB64" s="223"/>
      <c r="AC64" s="224"/>
      <c r="AD64" s="124"/>
      <c r="AE64" s="224"/>
      <c r="AF64" s="224"/>
      <c r="AG64" s="224"/>
      <c r="AH64" s="224"/>
      <c r="AI64" s="124"/>
      <c r="AJ64" s="224"/>
      <c r="AK64" s="224"/>
      <c r="AL64" s="224"/>
      <c r="AM64" s="224"/>
      <c r="AN64" s="119"/>
      <c r="AO64" s="224"/>
      <c r="AP64" s="224"/>
      <c r="AQ64" s="224"/>
      <c r="AR64" s="224"/>
      <c r="AS64" s="119"/>
      <c r="AT64" s="224"/>
      <c r="AU64" s="224"/>
      <c r="AV64" s="224"/>
      <c r="AW64" s="224"/>
      <c r="AX64" s="119"/>
      <c r="AY64" s="224"/>
      <c r="AZ64" s="224"/>
      <c r="BA64" s="224"/>
      <c r="BB64" s="224"/>
      <c r="BC64" s="119"/>
      <c r="BD64" s="224"/>
      <c r="BE64" s="224"/>
      <c r="BF64" s="224"/>
      <c r="BG64" s="224"/>
      <c r="BH64" s="119"/>
      <c r="BI64" s="224"/>
      <c r="BJ64" s="224"/>
      <c r="BK64" s="224"/>
      <c r="BL64" s="224"/>
      <c r="BM64" s="119"/>
      <c r="BN64" s="224"/>
      <c r="BO64" s="224"/>
      <c r="BP64" s="224"/>
      <c r="BQ64" s="224"/>
      <c r="BR64" s="119"/>
    </row>
    <row r="65" spans="1:70">
      <c r="A65" s="257" t="s">
        <v>104</v>
      </c>
      <c r="B65" s="251"/>
      <c r="C65" s="251"/>
      <c r="D65" s="222"/>
      <c r="E65" s="222"/>
      <c r="F65" s="337"/>
      <c r="G65" s="223"/>
      <c r="H65" s="223"/>
      <c r="I65" s="223"/>
      <c r="J65" s="119"/>
      <c r="K65" s="223"/>
      <c r="L65" s="223"/>
      <c r="M65" s="223"/>
      <c r="N65" s="223"/>
      <c r="O65" s="119"/>
      <c r="P65" s="223"/>
      <c r="Q65" s="223"/>
      <c r="R65" s="223"/>
      <c r="S65" s="223"/>
      <c r="T65" s="119"/>
      <c r="U65" s="223">
        <f>U6/U$11</f>
        <v>0.4281418189435689</v>
      </c>
      <c r="V65" s="223">
        <f>V6/V$11</f>
        <v>0.4010825542582841</v>
      </c>
      <c r="W65" s="223">
        <f>W6/W$11</f>
        <v>0.34163150191966524</v>
      </c>
      <c r="X65" s="223">
        <f>X6/X$11</f>
        <v>0.30722893210260094</v>
      </c>
      <c r="Y65" s="119"/>
      <c r="Z65" s="223">
        <f>Z6/Z$11</f>
        <v>0.32590477925281058</v>
      </c>
      <c r="AA65" s="223">
        <f>AA6/AA$11</f>
        <v>0.35993490147624274</v>
      </c>
      <c r="AB65" s="223">
        <f>X6/X$11</f>
        <v>0.30722893210260094</v>
      </c>
      <c r="AC65" s="223">
        <f>AC6/AC$11</f>
        <v>0.36306460644475269</v>
      </c>
      <c r="AD65" s="307"/>
      <c r="AE65" s="223">
        <f>AE6/AE$11</f>
        <v>0.39013282198665689</v>
      </c>
      <c r="AF65" s="223">
        <f>AF6/AF$11</f>
        <v>0.35982423550674397</v>
      </c>
      <c r="AG65" s="223">
        <f>AG6/AG$11</f>
        <v>0.3775969819629324</v>
      </c>
      <c r="AH65" s="223">
        <f>AH6/AH$11</f>
        <v>0.42131192591790678</v>
      </c>
      <c r="AI65" s="307"/>
      <c r="AJ65" s="223">
        <f>AJ6/AJ$11</f>
        <v>0.44961114607105968</v>
      </c>
      <c r="AK65" s="223">
        <f>AK6/AK$11</f>
        <v>0.42006995268284342</v>
      </c>
      <c r="AL65" s="223">
        <f>AL6/AL$11</f>
        <v>0.4207083687802799</v>
      </c>
      <c r="AM65" s="223">
        <f>AM6/AM$11</f>
        <v>0.44264514892118473</v>
      </c>
      <c r="AN65" s="307"/>
      <c r="AO65" s="223">
        <f>AO6/AO$11</f>
        <v>0.46113207817348201</v>
      </c>
      <c r="AP65" s="223">
        <f>AP6/AP$11</f>
        <v>0.40790475869776815</v>
      </c>
      <c r="AQ65" s="223">
        <f>AQ6/AQ$11</f>
        <v>0.41718875702894109</v>
      </c>
      <c r="AR65" s="223">
        <f>AR6/AR$11</f>
        <v>0.38765686448718761</v>
      </c>
      <c r="AS65" s="307"/>
      <c r="AT65" s="223">
        <f>AT6/AT$11</f>
        <v>0.47718147829706781</v>
      </c>
      <c r="AU65" s="223">
        <f>AU6/AU$11</f>
        <v>0.39994732542619532</v>
      </c>
      <c r="AV65" s="223">
        <f>AV6/AV$11</f>
        <v>0.40716671252037817</v>
      </c>
      <c r="AW65" s="223">
        <f>AW6/AW$11</f>
        <v>0.39804983419027029</v>
      </c>
      <c r="AX65" s="307"/>
      <c r="AY65" s="223">
        <f>AY6/AY$11</f>
        <v>0.45513710671088908</v>
      </c>
      <c r="AZ65" s="223">
        <f>AZ6/AZ$11</f>
        <v>0.38529159538779417</v>
      </c>
      <c r="BA65" s="223">
        <f>BA6/BA$11</f>
        <v>0.3541789808676204</v>
      </c>
      <c r="BB65" s="223">
        <f>BB6/BB$11</f>
        <v>0.37838266237228241</v>
      </c>
      <c r="BC65" s="307"/>
      <c r="BD65" s="223">
        <f>BD6/BD$11</f>
        <v>0.34642656670244337</v>
      </c>
      <c r="BE65" s="223">
        <f>BE6/BE$11</f>
        <v>0.30150238725814438</v>
      </c>
      <c r="BF65" s="223">
        <f>BF6/BF$11</f>
        <v>0.30288718241976775</v>
      </c>
      <c r="BG65" s="223">
        <f>BG6/BG$11</f>
        <v>0.32131005952681357</v>
      </c>
      <c r="BH65" s="307"/>
      <c r="BI65" s="223">
        <f>BI6/BI$11</f>
        <v>0.3490928987740875</v>
      </c>
      <c r="BJ65" s="223">
        <f>BJ6/BJ$11</f>
        <v>0.30079187541047941</v>
      </c>
      <c r="BK65" s="223">
        <f>BK6/BK$11</f>
        <v>0.30286861599357945</v>
      </c>
      <c r="BL65" s="223">
        <f>BL6/BL$11</f>
        <v>0.32065199126356125</v>
      </c>
      <c r="BM65" s="307"/>
      <c r="BN65" s="223">
        <f>BN6/BN$11</f>
        <v>0.3424947702432945</v>
      </c>
      <c r="BO65" s="223">
        <f>BO6/BO$11</f>
        <v>0.30149996739286233</v>
      </c>
      <c r="BP65" s="223">
        <f>BP6/BP$11</f>
        <v>0.2998799815773861</v>
      </c>
      <c r="BQ65" s="223">
        <f>BQ6/BQ$11</f>
        <v>0.32784127483240483</v>
      </c>
      <c r="BR65" s="307"/>
    </row>
    <row r="66" spans="1:70">
      <c r="A66" s="257" t="s">
        <v>105</v>
      </c>
      <c r="B66" s="251"/>
      <c r="C66" s="251"/>
      <c r="D66" s="222"/>
      <c r="E66" s="222"/>
      <c r="F66" s="337"/>
      <c r="G66" s="223"/>
      <c r="H66" s="223"/>
      <c r="I66" s="223"/>
      <c r="J66" s="119"/>
      <c r="K66" s="223"/>
      <c r="L66" s="223"/>
      <c r="M66" s="223"/>
      <c r="N66" s="223"/>
      <c r="O66" s="119"/>
      <c r="P66" s="223"/>
      <c r="Q66" s="223"/>
      <c r="R66" s="223"/>
      <c r="S66" s="223"/>
      <c r="T66" s="119"/>
      <c r="U66" s="223">
        <f>U7/U$11</f>
        <v>0.28599757484933452</v>
      </c>
      <c r="V66" s="223">
        <f>V7/V$11</f>
        <v>0.31548195030696108</v>
      </c>
      <c r="W66" s="223">
        <f>W7/W$11</f>
        <v>0.36856504540037349</v>
      </c>
      <c r="X66" s="223">
        <f>X7/X$11</f>
        <v>0.38916810926315254</v>
      </c>
      <c r="Y66" s="119"/>
      <c r="Z66" s="223">
        <f>Z7/Z$11</f>
        <v>0.39403161322944247</v>
      </c>
      <c r="AA66" s="223">
        <f>AA7/AA$11</f>
        <v>0.36709942739117202</v>
      </c>
      <c r="AB66" s="223">
        <f>X7/X$11</f>
        <v>0.38916810926315254</v>
      </c>
      <c r="AC66" s="223">
        <f>AC7/AC$11</f>
        <v>0.38257741848791516</v>
      </c>
      <c r="AD66" s="307"/>
      <c r="AE66" s="223">
        <f>AE7/AE$11</f>
        <v>0.36839089890432408</v>
      </c>
      <c r="AF66" s="223">
        <f>AF7/AF$11</f>
        <v>0.43686635102001015</v>
      </c>
      <c r="AG66" s="223">
        <f>AG7/AG$11</f>
        <v>0.45073425924061283</v>
      </c>
      <c r="AH66" s="223">
        <f>AH7/AH$11</f>
        <v>0.36194965149105202</v>
      </c>
      <c r="AI66" s="307"/>
      <c r="AJ66" s="223">
        <f>AJ7/AJ$11</f>
        <v>0.33859544541994469</v>
      </c>
      <c r="AK66" s="223">
        <f>AK7/AK$11</f>
        <v>0.3736803632596763</v>
      </c>
      <c r="AL66" s="223">
        <f>AL7/AL$11</f>
        <v>0.37967618370295686</v>
      </c>
      <c r="AM66" s="223">
        <f>AM7/AM$11</f>
        <v>0.36284883912148169</v>
      </c>
      <c r="AN66" s="307"/>
      <c r="AO66" s="223">
        <f>AO7/AO$11</f>
        <v>0.30259513263842219</v>
      </c>
      <c r="AP66" s="223">
        <f>AP7/AP$11</f>
        <v>0.43178323287425224</v>
      </c>
      <c r="AQ66" s="223">
        <f>AQ7/AQ$11</f>
        <v>0.38223016994510234</v>
      </c>
      <c r="AR66" s="223">
        <f>AR7/AR$11</f>
        <v>0.41264538148705693</v>
      </c>
      <c r="AS66" s="307"/>
      <c r="AT66" s="223">
        <f>AT7/AT$11</f>
        <v>0.3164889374764141</v>
      </c>
      <c r="AU66" s="223">
        <f>AU7/AU$11</f>
        <v>0.41212407986893851</v>
      </c>
      <c r="AV66" s="223">
        <f>AV7/AV$11</f>
        <v>0.4270013364353592</v>
      </c>
      <c r="AW66" s="223">
        <f>AW7/AW$11</f>
        <v>0.45943070302649247</v>
      </c>
      <c r="AX66" s="307"/>
      <c r="AY66" s="223">
        <f>AY7/AY$11</f>
        <v>0.40023704025198042</v>
      </c>
      <c r="AZ66" s="223">
        <f>AZ7/AZ$11</f>
        <v>0.48087534158316858</v>
      </c>
      <c r="BA66" s="223">
        <f>BA7/BA$11</f>
        <v>0.49765543219166852</v>
      </c>
      <c r="BB66" s="223">
        <f>BB7/BB$11</f>
        <v>0.34347038131305169</v>
      </c>
      <c r="BC66" s="307"/>
      <c r="BD66" s="223">
        <f>BD7/BD$11</f>
        <v>0.48722615281637821</v>
      </c>
      <c r="BE66" s="223">
        <f>BE7/BE$11</f>
        <v>0.54770116401052038</v>
      </c>
      <c r="BF66" s="223">
        <f>BF7/BF$11</f>
        <v>0.5375302846734159</v>
      </c>
      <c r="BG66" s="223">
        <f>BG7/BG$11</f>
        <v>0.51409643030394059</v>
      </c>
      <c r="BH66" s="307"/>
      <c r="BI66" s="223">
        <f>BI7/BI$11</f>
        <v>0.4839186894722538</v>
      </c>
      <c r="BJ66" s="223">
        <f>BJ7/BJ$11</f>
        <v>0.55143039437352614</v>
      </c>
      <c r="BK66" s="223">
        <f>BK7/BK$11</f>
        <v>0.53757477653694841</v>
      </c>
      <c r="BL66" s="223">
        <f>BL7/BL$11</f>
        <v>0.51223248631532292</v>
      </c>
      <c r="BM66" s="307"/>
      <c r="BN66" s="223">
        <f>BN7/BN$11</f>
        <v>0.49772825806460802</v>
      </c>
      <c r="BO66" s="223">
        <f>BO7/BO$11</f>
        <v>0.54698288292579922</v>
      </c>
      <c r="BP66" s="223">
        <f>BP7/BP$11</f>
        <v>0.54142768460953883</v>
      </c>
      <c r="BQ66" s="223">
        <f>BQ7/BQ$11</f>
        <v>0.50313034978789817</v>
      </c>
      <c r="BR66" s="307"/>
    </row>
    <row r="67" spans="1:70">
      <c r="A67" s="257" t="s">
        <v>110</v>
      </c>
      <c r="B67" s="251"/>
      <c r="C67" s="251"/>
      <c r="D67" s="222"/>
      <c r="E67" s="222"/>
      <c r="F67" s="337"/>
      <c r="G67" s="223"/>
      <c r="H67" s="223"/>
      <c r="I67" s="223"/>
      <c r="J67" s="119"/>
      <c r="K67" s="223"/>
      <c r="L67" s="223"/>
      <c r="M67" s="223"/>
      <c r="N67" s="223"/>
      <c r="O67" s="119"/>
      <c r="P67" s="223"/>
      <c r="Q67" s="223"/>
      <c r="R67" s="223"/>
      <c r="S67" s="223"/>
      <c r="T67" s="119"/>
      <c r="U67" s="223">
        <f>U8/U$11</f>
        <v>0.30402707950626834</v>
      </c>
      <c r="V67" s="223">
        <f>V8/V$11</f>
        <v>0.26972314149648879</v>
      </c>
      <c r="W67" s="223">
        <f>W8/W$11</f>
        <v>0.2791501842024558</v>
      </c>
      <c r="X67" s="223">
        <f>X8/X$11</f>
        <v>0.28136135017934288</v>
      </c>
      <c r="Y67" s="119"/>
      <c r="Z67" s="223">
        <f>Z8/Z$11</f>
        <v>0.30583637709333744</v>
      </c>
      <c r="AA67" s="223">
        <f>AA8/AA$11</f>
        <v>0.29687047606753281</v>
      </c>
      <c r="AB67" s="223">
        <f>X8/X$11</f>
        <v>0.28136135017934288</v>
      </c>
      <c r="AC67" s="223">
        <f>AC8/AC$11</f>
        <v>0.2756455111463153</v>
      </c>
      <c r="AD67" s="307"/>
      <c r="AE67" s="223">
        <f>AE8/AE$11</f>
        <v>0.27475538343968159</v>
      </c>
      <c r="AF67" s="223">
        <f>AF8/AF$11</f>
        <v>0.24900071470042778</v>
      </c>
      <c r="AG67" s="223">
        <f>AG8/AG$11</f>
        <v>0.24267586756259049</v>
      </c>
      <c r="AH67" s="223">
        <f>AH8/AH$11</f>
        <v>0.23554458166434883</v>
      </c>
      <c r="AI67" s="307"/>
      <c r="AJ67" s="223">
        <f>AJ8/AJ$11</f>
        <v>0.25961032607343676</v>
      </c>
      <c r="AK67" s="223">
        <f>AK8/AK$11</f>
        <v>0.2558849560007414</v>
      </c>
      <c r="AL67" s="223">
        <f>AL8/AL$11</f>
        <v>0.24877604881700971</v>
      </c>
      <c r="AM67" s="223">
        <f>AM8/AM$11</f>
        <v>0.24224550156064617</v>
      </c>
      <c r="AN67" s="307"/>
      <c r="AO67" s="223">
        <f>AO8/AO$11</f>
        <v>0.2825371567470138</v>
      </c>
      <c r="AP67" s="223">
        <f>AP8/AP$11</f>
        <v>0.22597841372465077</v>
      </c>
      <c r="AQ67" s="223">
        <f>AQ8/AQ$11</f>
        <v>0.25855415358835515</v>
      </c>
      <c r="AR67" s="223">
        <f>AR8/AR$11</f>
        <v>0.25649669591339302</v>
      </c>
      <c r="AS67" s="307"/>
      <c r="AT67" s="223">
        <f>AT8/AT$11</f>
        <v>0.26727558852936711</v>
      </c>
      <c r="AU67" s="223">
        <f>AU8/AU$11</f>
        <v>0.24161827004200573</v>
      </c>
      <c r="AV67" s="223">
        <f>AV8/AV$11</f>
        <v>0.21026553305607421</v>
      </c>
      <c r="AW67" s="223">
        <f>AW8/AW$11</f>
        <v>0.19038455687730077</v>
      </c>
      <c r="AX67" s="307"/>
      <c r="AY67" s="223">
        <f>AY8/AY$11</f>
        <v>0.19982221981101461</v>
      </c>
      <c r="AZ67" s="223">
        <f>AZ8/AZ$11</f>
        <v>0.19843949256848328</v>
      </c>
      <c r="BA67" s="223">
        <f>BA8/BA$11</f>
        <v>0.20973981477199635</v>
      </c>
      <c r="BB67" s="223">
        <f>BB8/BB$11</f>
        <v>0.35217358675278754</v>
      </c>
      <c r="BC67" s="307"/>
      <c r="BD67" s="223">
        <f>BD8/BD$11</f>
        <v>0.2353845972502103</v>
      </c>
      <c r="BE67" s="223">
        <f>BE8/BE$11</f>
        <v>0.20191638665041028</v>
      </c>
      <c r="BF67" s="223">
        <f>BF8/BF$11</f>
        <v>0.20986946517247812</v>
      </c>
      <c r="BG67" s="223">
        <f>BG8/BG$11</f>
        <v>0.21345074498500366</v>
      </c>
      <c r="BH67" s="307"/>
      <c r="BI67" s="223">
        <f>BI8/BI$11</f>
        <v>0.23791585208626878</v>
      </c>
      <c r="BJ67" s="223">
        <f>BJ8/BJ$11</f>
        <v>0.1985573312906562</v>
      </c>
      <c r="BK67" s="223">
        <f>BK8/BK$11</f>
        <v>0.21023012154243512</v>
      </c>
      <c r="BL67" s="223">
        <f>BL8/BL$11</f>
        <v>0.21502108929208538</v>
      </c>
      <c r="BM67" s="307"/>
      <c r="BN67" s="223">
        <f>BN8/BN$11</f>
        <v>0.23378539436550405</v>
      </c>
      <c r="BO67" s="223">
        <f>BO8/BO$11</f>
        <v>0.20262734016168993</v>
      </c>
      <c r="BP67" s="223">
        <f>BP8/BP$11</f>
        <v>0.20875199933901178</v>
      </c>
      <c r="BQ67" s="223">
        <f>BQ8/BQ$11</f>
        <v>0.21587395557680855</v>
      </c>
      <c r="BR67" s="307"/>
    </row>
    <row r="68" spans="1:70" ht="12.5" hidden="1" customHeight="1">
      <c r="A68" s="303" t="s">
        <v>123</v>
      </c>
      <c r="B68" s="302"/>
      <c r="C68" s="302"/>
      <c r="D68" s="304"/>
      <c r="E68" s="304"/>
      <c r="F68" s="339"/>
      <c r="G68" s="301"/>
      <c r="H68" s="301"/>
      <c r="I68" s="301"/>
      <c r="J68" s="305"/>
      <c r="K68" s="301"/>
      <c r="L68" s="301"/>
      <c r="M68" s="301"/>
      <c r="N68" s="301"/>
      <c r="O68" s="305"/>
      <c r="P68" s="301"/>
      <c r="Q68" s="301"/>
      <c r="R68" s="301"/>
      <c r="S68" s="301"/>
      <c r="T68" s="305"/>
      <c r="U68" s="301"/>
      <c r="V68" s="301"/>
      <c r="W68" s="301"/>
      <c r="X68" s="301">
        <f>X10</f>
        <v>-26.482000000000653</v>
      </c>
      <c r="Y68" s="305"/>
      <c r="Z68" s="301">
        <f>Z10</f>
        <v>-24.619000000000028</v>
      </c>
      <c r="AA68" s="301">
        <f>AA10</f>
        <v>-25.924999999999955</v>
      </c>
      <c r="AB68" s="301">
        <f>X10</f>
        <v>-26.482000000000653</v>
      </c>
      <c r="AC68" s="301">
        <f>AC10</f>
        <v>-25.585000000000001</v>
      </c>
      <c r="AD68" s="309">
        <f>SUM(Z68:AC68)</f>
        <v>-102.61100000000064</v>
      </c>
      <c r="AE68" s="301">
        <f>AE10</f>
        <v>-35.491</v>
      </c>
      <c r="AF68" s="301">
        <f>AF10</f>
        <v>-59.966999999999999</v>
      </c>
      <c r="AG68" s="301">
        <f>AG10</f>
        <v>-95.201999999999998</v>
      </c>
      <c r="AH68" s="301">
        <f>AH10</f>
        <v>-22.582999999999998</v>
      </c>
      <c r="AI68" s="309">
        <f>SUM(AE68:AH68)</f>
        <v>-213.24299999999999</v>
      </c>
      <c r="AJ68" s="301">
        <f>AJ10</f>
        <v>-51.899000000000001</v>
      </c>
      <c r="AK68" s="301">
        <f>AK10</f>
        <v>-61.859000000000002</v>
      </c>
      <c r="AL68" s="301">
        <f>AL10</f>
        <v>-65.53</v>
      </c>
      <c r="AM68" s="301">
        <f>AM10</f>
        <v>-59.512</v>
      </c>
      <c r="AN68" s="309">
        <f>SUM(AJ68:AM68)</f>
        <v>-238.8</v>
      </c>
      <c r="AO68" s="301">
        <f>AO10</f>
        <v>-51.694000000000003</v>
      </c>
      <c r="AP68" s="308"/>
      <c r="AQ68" s="308"/>
      <c r="AR68" s="308"/>
      <c r="AS68" s="309"/>
      <c r="AT68" s="308"/>
      <c r="AU68" s="308"/>
      <c r="AV68" s="308"/>
      <c r="AW68" s="308"/>
      <c r="AX68" s="309"/>
      <c r="AY68" s="308"/>
      <c r="AZ68" s="308"/>
      <c r="BA68" s="308"/>
      <c r="BB68" s="308"/>
      <c r="BC68" s="309"/>
      <c r="BD68" s="308"/>
      <c r="BE68" s="308"/>
      <c r="BF68" s="308"/>
      <c r="BG68" s="308"/>
      <c r="BH68" s="309"/>
      <c r="BI68" s="308"/>
      <c r="BJ68" s="308"/>
      <c r="BK68" s="308"/>
      <c r="BL68" s="308"/>
      <c r="BM68" s="309"/>
      <c r="BN68" s="308"/>
      <c r="BO68" s="308"/>
      <c r="BP68" s="308"/>
      <c r="BQ68" s="308"/>
      <c r="BR68" s="309"/>
    </row>
    <row r="69" spans="1:70">
      <c r="A69" s="221"/>
      <c r="B69" s="251"/>
      <c r="C69" s="251"/>
      <c r="D69" s="222"/>
      <c r="E69" s="222"/>
      <c r="F69" s="337"/>
      <c r="G69" s="223"/>
      <c r="H69" s="223"/>
      <c r="I69" s="223"/>
      <c r="J69" s="119"/>
      <c r="K69" s="223"/>
      <c r="L69" s="223"/>
      <c r="M69" s="223"/>
      <c r="N69" s="223"/>
      <c r="O69" s="119"/>
      <c r="P69" s="223"/>
      <c r="Q69" s="223"/>
      <c r="R69" s="223"/>
      <c r="S69" s="223"/>
      <c r="T69" s="119"/>
      <c r="U69" s="223"/>
      <c r="V69" s="223"/>
      <c r="W69" s="223"/>
      <c r="X69" s="223"/>
      <c r="Y69" s="119"/>
      <c r="Z69" s="223"/>
      <c r="AA69" s="223"/>
      <c r="AB69" s="223"/>
      <c r="AC69" s="306"/>
      <c r="AD69" s="307"/>
      <c r="AE69" s="306"/>
      <c r="AF69" s="306"/>
      <c r="AG69" s="306"/>
      <c r="AH69" s="306"/>
      <c r="AI69" s="307"/>
      <c r="AJ69" s="306"/>
      <c r="AK69" s="306"/>
      <c r="AL69" s="306"/>
      <c r="AM69" s="306"/>
      <c r="AN69" s="307"/>
      <c r="AO69" s="306"/>
      <c r="AP69" s="306"/>
      <c r="AQ69" s="306"/>
      <c r="AR69" s="306"/>
      <c r="AS69" s="307"/>
      <c r="AT69" s="306"/>
      <c r="AU69" s="306"/>
      <c r="AV69" s="306"/>
      <c r="AW69" s="306"/>
      <c r="AX69" s="307"/>
      <c r="AY69" s="306"/>
      <c r="AZ69" s="306"/>
      <c r="BA69" s="306"/>
      <c r="BB69" s="306"/>
      <c r="BC69" s="307"/>
      <c r="BD69" s="306"/>
      <c r="BE69" s="306"/>
      <c r="BF69" s="306"/>
      <c r="BG69" s="306"/>
      <c r="BH69" s="307"/>
      <c r="BI69" s="306"/>
      <c r="BJ69" s="306"/>
      <c r="BK69" s="306"/>
      <c r="BL69" s="306"/>
      <c r="BM69" s="307"/>
      <c r="BN69" s="306"/>
      <c r="BO69" s="306"/>
      <c r="BP69" s="306"/>
      <c r="BQ69" s="306"/>
      <c r="BR69" s="307"/>
    </row>
    <row r="70" spans="1:70">
      <c r="A70" s="221" t="s">
        <v>117</v>
      </c>
      <c r="B70" s="251"/>
      <c r="C70" s="251"/>
      <c r="D70" s="222"/>
      <c r="E70" s="222"/>
      <c r="F70" s="337"/>
      <c r="G70" s="223"/>
      <c r="H70" s="223"/>
      <c r="I70" s="223"/>
      <c r="J70" s="119"/>
      <c r="K70" s="223"/>
      <c r="L70" s="223"/>
      <c r="M70" s="223"/>
      <c r="N70" s="223"/>
      <c r="O70" s="119"/>
      <c r="P70" s="223"/>
      <c r="Q70" s="223"/>
      <c r="R70" s="223"/>
      <c r="S70" s="223"/>
      <c r="T70" s="119"/>
      <c r="U70" s="223"/>
      <c r="V70" s="223"/>
      <c r="W70" s="223"/>
      <c r="X70" s="223"/>
      <c r="Y70" s="119"/>
      <c r="Z70" s="223"/>
      <c r="AA70" s="223"/>
      <c r="AB70" s="223"/>
      <c r="AC70" s="306"/>
      <c r="AD70" s="309">
        <f>+AD51-0.33</f>
        <v>1.7635597499643674</v>
      </c>
      <c r="AE70" s="306"/>
      <c r="AF70" s="306"/>
      <c r="AG70" s="306"/>
      <c r="AH70" s="306"/>
      <c r="AI70" s="309">
        <f>+AI55+AI51</f>
        <v>1.7619317037812587</v>
      </c>
      <c r="AJ70" s="306"/>
      <c r="AK70" s="306"/>
      <c r="AL70" s="306"/>
      <c r="AM70" s="306"/>
      <c r="AN70" s="307"/>
      <c r="AO70" s="306"/>
      <c r="AP70" s="306"/>
      <c r="AQ70" s="306"/>
      <c r="AR70" s="306"/>
      <c r="AS70" s="307"/>
      <c r="AT70" s="306"/>
      <c r="AU70" s="306"/>
      <c r="AV70" s="306"/>
      <c r="AW70" s="306"/>
      <c r="AX70" s="307"/>
      <c r="AY70" s="306"/>
      <c r="AZ70" s="306"/>
      <c r="BA70" s="306"/>
      <c r="BB70" s="306"/>
      <c r="BC70" s="307"/>
      <c r="BD70" s="306"/>
      <c r="BE70" s="306"/>
      <c r="BF70" s="306"/>
      <c r="BG70" s="306"/>
      <c r="BH70" s="307"/>
      <c r="BI70" s="306"/>
      <c r="BJ70" s="306"/>
      <c r="BK70" s="306"/>
      <c r="BL70" s="306"/>
      <c r="BM70" s="307"/>
      <c r="BN70" s="306"/>
      <c r="BO70" s="306"/>
      <c r="BP70" s="306"/>
      <c r="BQ70" s="306"/>
      <c r="BR70" s="307"/>
    </row>
    <row r="71" spans="1:70">
      <c r="A71" s="268" t="s">
        <v>104</v>
      </c>
      <c r="B71" s="251"/>
      <c r="C71" s="251"/>
      <c r="D71" s="222"/>
      <c r="E71" s="222"/>
      <c r="F71" s="337">
        <f>F14/F6</f>
        <v>4.7079634670194853E-2</v>
      </c>
      <c r="G71" s="223">
        <f>G14/G6</f>
        <v>4.4764663571371481E-2</v>
      </c>
      <c r="H71" s="223">
        <f>H14/H6</f>
        <v>5.4110945299430918E-2</v>
      </c>
      <c r="I71" s="223">
        <f>I14/I6</f>
        <v>1.2447796737788574E-2</v>
      </c>
      <c r="J71" s="119">
        <f>J14/J6</f>
        <v>4.1193736087117204E-2</v>
      </c>
      <c r="K71" s="223">
        <f>K14/K6</f>
        <v>2.9784596382163755E-2</v>
      </c>
      <c r="L71" s="223">
        <f>L14/L6</f>
        <v>4.1536592236035716E-2</v>
      </c>
      <c r="M71" s="223">
        <f>M14/M6</f>
        <v>1.5635679507324599E-2</v>
      </c>
      <c r="N71" s="223">
        <f>N14/N6</f>
        <v>-1.8985428029818379E-3</v>
      </c>
      <c r="O71" s="119">
        <f>O14/O6</f>
        <v>2.3699430848911133E-2</v>
      </c>
      <c r="P71" s="223">
        <f>P14/P6</f>
        <v>-2.5935826538673448E-2</v>
      </c>
      <c r="Q71" s="223">
        <f>Q14/Q6</f>
        <v>-0.89506935322543724</v>
      </c>
      <c r="R71" s="223">
        <f>R14/R6</f>
        <v>5.3244826080182668E-2</v>
      </c>
      <c r="S71" s="223">
        <f>S14/S6</f>
        <v>-3.7887062090122404E-3</v>
      </c>
      <c r="T71" s="119">
        <f>T14/T6</f>
        <v>-0.19391575831852112</v>
      </c>
      <c r="U71" s="223">
        <f>U14/U6</f>
        <v>9.9667383337175442E-3</v>
      </c>
      <c r="V71" s="223">
        <f>V14/V6</f>
        <v>7.1596672080612555E-3</v>
      </c>
      <c r="W71" s="223">
        <f>W14/W6</f>
        <v>3.8436080485663882E-2</v>
      </c>
      <c r="X71" s="223">
        <f>X14/X6</f>
        <v>8.9064174764755637E-3</v>
      </c>
      <c r="Y71" s="119">
        <f>Y14/Y6</f>
        <v>1.5481773349023923E-2</v>
      </c>
      <c r="Z71" s="223">
        <f>Z14/Z6</f>
        <v>5.8558052133690953E-3</v>
      </c>
      <c r="AA71" s="223">
        <f>AA14/AA6</f>
        <v>1.9659129044736431E-2</v>
      </c>
      <c r="AB71" s="223">
        <f>X14/X6</f>
        <v>8.9064174764755637E-3</v>
      </c>
      <c r="AC71" s="223">
        <f>AC14/AC6</f>
        <v>-9.0728047318836096E-3</v>
      </c>
      <c r="AD71" s="119">
        <f>AD14/AD6</f>
        <v>1.5847349032456361E-2</v>
      </c>
      <c r="AE71" s="223">
        <f>AE14/AE6</f>
        <v>-5.4775358539451953E-3</v>
      </c>
      <c r="AF71" s="223">
        <f>AF14/AF6</f>
        <v>-2.6664012688275417E-2</v>
      </c>
      <c r="AG71" s="223">
        <f>AG14/AG6</f>
        <v>1.3358774856348232E-2</v>
      </c>
      <c r="AH71" s="223">
        <f>AH14/AH6</f>
        <v>1.3573184905242685E-2</v>
      </c>
      <c r="AI71" s="119">
        <f>AI14/AI6</f>
        <v>-6.5298846141501206E-4</v>
      </c>
      <c r="AJ71" s="223">
        <f>AJ14/AJ6</f>
        <v>2.5512608761583132E-2</v>
      </c>
      <c r="AK71" s="223">
        <f>AK14/AK6</f>
        <v>2.52578215582565E-2</v>
      </c>
      <c r="AL71" s="223">
        <f>AL14/AL6</f>
        <v>2.3709198548489199E-2</v>
      </c>
      <c r="AM71" s="223">
        <f>AM14/AM6</f>
        <v>2.2827069903824021E-2</v>
      </c>
      <c r="AN71" s="119">
        <f>AN14/AN6</f>
        <v>2.4276038304966174E-2</v>
      </c>
      <c r="AO71" s="223">
        <f>AO14/AO6</f>
        <v>1.0173682341227869E-2</v>
      </c>
      <c r="AP71" s="223">
        <f>AP14/AP6</f>
        <v>1.1274271820806692E-2</v>
      </c>
      <c r="AQ71" s="223">
        <f>AQ14/AQ6</f>
        <v>2.8092402381999119E-2</v>
      </c>
      <c r="AR71" s="223">
        <f>AR14/AR6</f>
        <v>1.9814011212948728E-2</v>
      </c>
      <c r="AS71" s="119">
        <f>AS14/AS6</f>
        <v>1.7212388289335214E-2</v>
      </c>
      <c r="AT71" s="223">
        <f>AT14/AT6</f>
        <v>1.3095754937150567E-2</v>
      </c>
      <c r="AU71" s="306">
        <v>1.4999999999999999E-2</v>
      </c>
      <c r="AV71" s="306">
        <v>1.4999999999999999E-2</v>
      </c>
      <c r="AW71" s="306">
        <v>1.4999999999999999E-2</v>
      </c>
      <c r="AX71" s="119">
        <f>AX14/AX6</f>
        <v>2.3535782810238565E-2</v>
      </c>
      <c r="AY71" s="306">
        <v>0.02</v>
      </c>
      <c r="AZ71" s="306">
        <v>0.02</v>
      </c>
      <c r="BA71" s="306">
        <v>0.02</v>
      </c>
      <c r="BB71" s="306">
        <v>0.02</v>
      </c>
      <c r="BC71" s="119">
        <f>BC14/BC6</f>
        <v>9.4623124550801737E-3</v>
      </c>
      <c r="BD71" s="306">
        <v>0.04</v>
      </c>
      <c r="BE71" s="306">
        <v>0.04</v>
      </c>
      <c r="BF71" s="306">
        <v>0.04</v>
      </c>
      <c r="BG71" s="306">
        <v>0.04</v>
      </c>
      <c r="BH71" s="119">
        <f>BH14/BH6</f>
        <v>3.6663873342830146E-2</v>
      </c>
      <c r="BI71" s="306">
        <v>0.04</v>
      </c>
      <c r="BJ71" s="306">
        <v>0.04</v>
      </c>
      <c r="BK71" s="306">
        <v>0.04</v>
      </c>
      <c r="BL71" s="306">
        <v>0.04</v>
      </c>
      <c r="BM71" s="119">
        <f>BM14/BM6</f>
        <v>3.5726566227173032E-2</v>
      </c>
      <c r="BN71" s="306">
        <v>0.04</v>
      </c>
      <c r="BO71" s="306">
        <v>0.04</v>
      </c>
      <c r="BP71" s="306">
        <v>0.04</v>
      </c>
      <c r="BQ71" s="306">
        <v>0.04</v>
      </c>
      <c r="BR71" s="119">
        <f>BR14/BR6</f>
        <v>3.5494016791700167E-2</v>
      </c>
    </row>
    <row r="72" spans="1:70">
      <c r="A72" s="268" t="s">
        <v>105</v>
      </c>
      <c r="B72" s="251"/>
      <c r="C72" s="251"/>
      <c r="D72" s="222"/>
      <c r="E72" s="222"/>
      <c r="F72" s="337">
        <f>F15/F7</f>
        <v>6.6500882400128344E-2</v>
      </c>
      <c r="G72" s="223">
        <f>G15/G7</f>
        <v>0.15053360414524566</v>
      </c>
      <c r="H72" s="223">
        <f>H15/H7</f>
        <v>0.16068989875206027</v>
      </c>
      <c r="I72" s="223">
        <f>I15/I7</f>
        <v>0.12788719250226199</v>
      </c>
      <c r="J72" s="119">
        <f>J15/J7</f>
        <v>0.13146843511496112</v>
      </c>
      <c r="K72" s="223">
        <f>K15/K7</f>
        <v>9.4034542984669137E-2</v>
      </c>
      <c r="L72" s="223">
        <f>L15/L7</f>
        <v>0.1080513567398651</v>
      </c>
      <c r="M72" s="223">
        <f>M15/M7</f>
        <v>8.460841285919922E-2</v>
      </c>
      <c r="N72" s="223">
        <f>N15/N7</f>
        <v>7.9195074057125669E-2</v>
      </c>
      <c r="O72" s="119">
        <f>O15/O7</f>
        <v>8.7575371057513923E-2</v>
      </c>
      <c r="P72" s="223">
        <f>P15/P7</f>
        <v>6.7209654055046308E-2</v>
      </c>
      <c r="Q72" s="223">
        <f>Q15/Q7</f>
        <v>-0.12150535661872615</v>
      </c>
      <c r="R72" s="223">
        <f>R15/R7</f>
        <v>7.4969618476530636E-2</v>
      </c>
      <c r="S72" s="223">
        <f>S15/S7</f>
        <v>0.12058265982721085</v>
      </c>
      <c r="T72" s="119">
        <f>T15/T7</f>
        <v>3.6479649158150031E-2</v>
      </c>
      <c r="U72" s="223">
        <f>U15/U7</f>
        <v>7.5901047627431981E-2</v>
      </c>
      <c r="V72" s="223">
        <f>V15/V7</f>
        <v>8.7889760793202154E-2</v>
      </c>
      <c r="W72" s="223">
        <f>W15/W7</f>
        <v>0.12516161310283991</v>
      </c>
      <c r="X72" s="223">
        <f>X15/X7</f>
        <v>0.16264968712673175</v>
      </c>
      <c r="Y72" s="119">
        <f>Y15/Y7</f>
        <v>0.11790370930177023</v>
      </c>
      <c r="Z72" s="223">
        <f>Z15/Z7</f>
        <v>0.11781600034007099</v>
      </c>
      <c r="AA72" s="223">
        <f>AA15/AA7</f>
        <v>0.14568864396179071</v>
      </c>
      <c r="AB72" s="223">
        <f>X15/X7</f>
        <v>0.16264968712673175</v>
      </c>
      <c r="AC72" s="223">
        <f>AC15/AC7</f>
        <v>0.14032504659523151</v>
      </c>
      <c r="AD72" s="119">
        <f>AD15/AD7</f>
        <v>0.12745338255315905</v>
      </c>
      <c r="AE72" s="223">
        <f>AE15/AE7</f>
        <v>7.7869353180138268E-2</v>
      </c>
      <c r="AF72" s="223">
        <f>AF15/AF7</f>
        <v>8.0802637086647131E-2</v>
      </c>
      <c r="AG72" s="223">
        <f>AG15/AG7</f>
        <v>7.1457529740186029E-2</v>
      </c>
      <c r="AH72" s="223">
        <f>AH15/AH7</f>
        <v>5.7765046935394811E-2</v>
      </c>
      <c r="AI72" s="119">
        <f>AI15/AI7</f>
        <v>7.2417966749335358E-2</v>
      </c>
      <c r="AJ72" s="223">
        <f>AJ15/AJ7</f>
        <v>9.1605192911039704E-2</v>
      </c>
      <c r="AK72" s="223">
        <f>AK15/AK7</f>
        <v>9.6747525804851547E-2</v>
      </c>
      <c r="AL72" s="223">
        <f>AL15/AL7</f>
        <v>9.940130409010077E-2</v>
      </c>
      <c r="AM72" s="223">
        <f>AM15/AM7</f>
        <v>9.647887479633098E-2</v>
      </c>
      <c r="AN72" s="119">
        <f>AN15/AN7</f>
        <v>9.6374540573275255E-2</v>
      </c>
      <c r="AO72" s="223">
        <f>AO15/AO7</f>
        <v>9.4313059732393206E-2</v>
      </c>
      <c r="AP72" s="223">
        <f>AP15/AP7</f>
        <v>0.10796357640487826</v>
      </c>
      <c r="AQ72" s="223">
        <f>AQ15/AQ7</f>
        <v>8.3195379585462609E-2</v>
      </c>
      <c r="AR72" s="223">
        <f>AR15/AR7</f>
        <v>0.13006130233956378</v>
      </c>
      <c r="AS72" s="119">
        <f>AS15/AS7</f>
        <v>0.10517707354630275</v>
      </c>
      <c r="AT72" s="223">
        <f>AT15/AT7</f>
        <v>8.7246465888137677E-3</v>
      </c>
      <c r="AU72" s="306">
        <f t="shared" ref="AU72:AW72" si="135">AT72</f>
        <v>8.7246465888137677E-3</v>
      </c>
      <c r="AV72" s="306">
        <f t="shared" si="135"/>
        <v>8.7246465888137677E-3</v>
      </c>
      <c r="AW72" s="306">
        <f t="shared" si="135"/>
        <v>8.7246465888137677E-3</v>
      </c>
      <c r="AX72" s="119">
        <f>AX15/AX7</f>
        <v>9.2947202347544403E-2</v>
      </c>
      <c r="AY72" s="306">
        <v>0.105</v>
      </c>
      <c r="AZ72" s="306">
        <f t="shared" ref="AZ72" si="136">AY72</f>
        <v>0.105</v>
      </c>
      <c r="BA72" s="306">
        <f t="shared" ref="BA72" si="137">AZ72</f>
        <v>0.105</v>
      </c>
      <c r="BB72" s="306">
        <f t="shared" ref="BB72" si="138">BA72</f>
        <v>0.105</v>
      </c>
      <c r="BC72" s="119">
        <f>BC15/BC7</f>
        <v>-7.5293936578692197E-3</v>
      </c>
      <c r="BD72" s="306">
        <v>0.105</v>
      </c>
      <c r="BE72" s="306">
        <f t="shared" ref="BE72" si="139">BD72</f>
        <v>0.105</v>
      </c>
      <c r="BF72" s="306">
        <f t="shared" ref="BF72" si="140">BE72</f>
        <v>0.105</v>
      </c>
      <c r="BG72" s="306">
        <f t="shared" ref="BG72" si="141">BF72</f>
        <v>0.105</v>
      </c>
      <c r="BH72" s="119">
        <f>BH15/BH7</f>
        <v>8.9224823810829773E-2</v>
      </c>
      <c r="BI72" s="306">
        <v>0.105</v>
      </c>
      <c r="BJ72" s="306">
        <f t="shared" ref="BJ72" si="142">BI72</f>
        <v>0.105</v>
      </c>
      <c r="BK72" s="306">
        <f t="shared" ref="BK72" si="143">BJ72</f>
        <v>0.105</v>
      </c>
      <c r="BL72" s="306">
        <f t="shared" ref="BL72" si="144">BK72</f>
        <v>0.105</v>
      </c>
      <c r="BM72" s="119">
        <f>BM15/BM7</f>
        <v>6.9171414170179024E-2</v>
      </c>
      <c r="BN72" s="306">
        <v>0.105</v>
      </c>
      <c r="BO72" s="306">
        <f t="shared" ref="BO72" si="145">BN72</f>
        <v>0.105</v>
      </c>
      <c r="BP72" s="306">
        <f t="shared" ref="BP72" si="146">BO72</f>
        <v>0.105</v>
      </c>
      <c r="BQ72" s="306">
        <f t="shared" ref="BQ72" si="147">BP72</f>
        <v>0.105</v>
      </c>
      <c r="BR72" s="119">
        <f>BR15/BR7</f>
        <v>5.6826338355836004E-2</v>
      </c>
    </row>
    <row r="73" spans="1:70">
      <c r="A73" s="257" t="s">
        <v>110</v>
      </c>
      <c r="B73" s="251"/>
      <c r="C73" s="251"/>
      <c r="D73" s="222"/>
      <c r="E73" s="222"/>
      <c r="F73" s="337" t="e">
        <f>F16/F8</f>
        <v>#DIV/0!</v>
      </c>
      <c r="G73" s="223" t="e">
        <f>G16/G8</f>
        <v>#DIV/0!</v>
      </c>
      <c r="H73" s="223" t="e">
        <f>H16/H8</f>
        <v>#DIV/0!</v>
      </c>
      <c r="I73" s="223" t="e">
        <f>I16/I8</f>
        <v>#DIV/0!</v>
      </c>
      <c r="J73" s="119"/>
      <c r="K73" s="223" t="e">
        <f>K16/K8</f>
        <v>#DIV/0!</v>
      </c>
      <c r="L73" s="223" t="e">
        <f>L16/L8</f>
        <v>#DIV/0!</v>
      </c>
      <c r="M73" s="223">
        <f>M16/M8</f>
        <v>9.8630332727039985E-2</v>
      </c>
      <c r="N73" s="223">
        <f>N16/N8</f>
        <v>6.9543562773513007E-2</v>
      </c>
      <c r="O73" s="119">
        <f>O16/O8</f>
        <v>8.1718554330963755E-2</v>
      </c>
      <c r="P73" s="223">
        <f>P16/P8</f>
        <v>7.3759225505722059E-2</v>
      </c>
      <c r="Q73" s="223">
        <f>Q16/Q8</f>
        <v>3.0369479017912156E-2</v>
      </c>
      <c r="R73" s="223">
        <f>R16/R8</f>
        <v>4.5154946553747584E-2</v>
      </c>
      <c r="S73" s="223">
        <f>S16/S8</f>
        <v>7.7717876836819536E-2</v>
      </c>
      <c r="T73" s="119">
        <f>T16/T8</f>
        <v>5.7110242514266781E-2</v>
      </c>
      <c r="U73" s="223">
        <f>U16/U8</f>
        <v>6.3886947332854119E-2</v>
      </c>
      <c r="V73" s="223">
        <f>V16/V8</f>
        <v>5.6278077426805052E-2</v>
      </c>
      <c r="W73" s="223">
        <f>W16/W8</f>
        <v>3.2374588451255591E-2</v>
      </c>
      <c r="X73" s="223">
        <f>X16/X8</f>
        <v>1.4306591054581682E-2</v>
      </c>
      <c r="Y73" s="119">
        <f>Y16/Y8</f>
        <v>4.1432344417353432E-2</v>
      </c>
      <c r="Z73" s="223">
        <f>Z16/Z8</f>
        <v>2.6757260949186193E-2</v>
      </c>
      <c r="AA73" s="223">
        <f>AA16/AA8</f>
        <v>3.923791538674179E-2</v>
      </c>
      <c r="AB73" s="223">
        <f>X16/X8</f>
        <v>1.4306591054581682E-2</v>
      </c>
      <c r="AC73" s="223">
        <f>AC16/AC8</f>
        <v>5.9379640921000211E-2</v>
      </c>
      <c r="AD73" s="119">
        <f>AD16/AD8</f>
        <v>3.9189197496711056E-2</v>
      </c>
      <c r="AE73" s="223">
        <f>AE16/AE8</f>
        <v>3.5916004873437372E-2</v>
      </c>
      <c r="AF73" s="223">
        <f>AF16/AF8</f>
        <v>4.2053500939418231E-2</v>
      </c>
      <c r="AG73" s="223">
        <f>AG16/AG8</f>
        <v>1.4571327585941941E-2</v>
      </c>
      <c r="AH73" s="223">
        <f>AH16/AH8</f>
        <v>-4.7113477509201029E-2</v>
      </c>
      <c r="AI73" s="119">
        <f>AI16/AI8</f>
        <v>1.2770056733187896E-2</v>
      </c>
      <c r="AJ73" s="223">
        <f>AJ16/AJ8</f>
        <v>3.3406323529933668E-2</v>
      </c>
      <c r="AK73" s="223">
        <f>AK16/AK8</f>
        <v>1.6973866579701603E-2</v>
      </c>
      <c r="AL73" s="223">
        <f>AL16/AL8</f>
        <v>3.3424503864444399E-2</v>
      </c>
      <c r="AM73" s="223">
        <f>AM16/AM8</f>
        <v>3.973402476298335E-2</v>
      </c>
      <c r="AN73" s="119">
        <f>AN16/AN8</f>
        <v>3.0713676332021086E-2</v>
      </c>
      <c r="AO73" s="223">
        <f>AO16/AO8</f>
        <v>4.6760174344939433E-2</v>
      </c>
      <c r="AP73" s="223">
        <f>AP16/AP8</f>
        <v>-4.9695412922155555E-2</v>
      </c>
      <c r="AQ73" s="223">
        <f>AQ16/AQ8</f>
        <v>4.6995360115045931E-2</v>
      </c>
      <c r="AR73" s="223">
        <f>AR16/AR8</f>
        <v>1.1790156134606463E-2</v>
      </c>
      <c r="AS73" s="119">
        <f>AS16/AS8</f>
        <v>1.5603423558219932E-2</v>
      </c>
      <c r="AT73" s="223">
        <f>AT16/AT8</f>
        <v>2.63281429106881E-2</v>
      </c>
      <c r="AU73" s="306">
        <v>0.04</v>
      </c>
      <c r="AV73" s="306">
        <v>0.04</v>
      </c>
      <c r="AW73" s="306">
        <v>0.04</v>
      </c>
      <c r="AX73" s="119">
        <f>AX16/AX8</f>
        <v>4.3133671675588708E-2</v>
      </c>
      <c r="AY73" s="306">
        <v>0.05</v>
      </c>
      <c r="AZ73" s="306">
        <v>0.05</v>
      </c>
      <c r="BA73" s="306">
        <v>0.05</v>
      </c>
      <c r="BB73" s="306">
        <v>0.05</v>
      </c>
      <c r="BC73" s="119">
        <v>0.04</v>
      </c>
      <c r="BD73" s="306">
        <v>0.05</v>
      </c>
      <c r="BE73" s="306">
        <v>0.05</v>
      </c>
      <c r="BF73" s="306">
        <v>0.05</v>
      </c>
      <c r="BG73" s="306">
        <v>0.05</v>
      </c>
      <c r="BH73" s="119">
        <v>0.04</v>
      </c>
      <c r="BI73" s="306">
        <v>0.05</v>
      </c>
      <c r="BJ73" s="306">
        <v>0.05</v>
      </c>
      <c r="BK73" s="306">
        <v>0.05</v>
      </c>
      <c r="BL73" s="306">
        <v>0.05</v>
      </c>
      <c r="BM73" s="119">
        <v>0.04</v>
      </c>
      <c r="BN73" s="306">
        <v>0.05</v>
      </c>
      <c r="BO73" s="306">
        <v>0.05</v>
      </c>
      <c r="BP73" s="306">
        <v>0.05</v>
      </c>
      <c r="BQ73" s="306">
        <v>0.05</v>
      </c>
      <c r="BR73" s="119">
        <v>0.04</v>
      </c>
    </row>
    <row r="74" spans="1:70" ht="12.5" hidden="1" customHeight="1">
      <c r="A74" s="268" t="s">
        <v>106</v>
      </c>
      <c r="B74" s="251"/>
      <c r="C74" s="251"/>
      <c r="D74" s="222"/>
      <c r="E74" s="222"/>
      <c r="F74" s="337">
        <f>F17/F9</f>
        <v>5.7139162402320295E-2</v>
      </c>
      <c r="G74" s="223">
        <f>G17/G9</f>
        <v>0.1273146426712278</v>
      </c>
      <c r="H74" s="223">
        <f>H17/H9</f>
        <v>7.1118652284571565E-2</v>
      </c>
      <c r="I74" s="223">
        <f>I17/I9</f>
        <v>0.16761815291227047</v>
      </c>
      <c r="J74" s="119">
        <f>J17/J9</f>
        <v>0.10831385740688224</v>
      </c>
      <c r="K74" s="223">
        <f>K17/K9</f>
        <v>5.7369392853263826E-2</v>
      </c>
      <c r="L74" s="223">
        <f>L17/L9</f>
        <v>8.3109167633447653E-2</v>
      </c>
      <c r="M74" s="223">
        <f>M17/M9</f>
        <v>6.2972321658360822E-2</v>
      </c>
      <c r="N74" s="223">
        <f>N17/N9</f>
        <v>0.11782971568790797</v>
      </c>
      <c r="O74" s="119">
        <f>O17/O9</f>
        <v>8.0884138055983323E-2</v>
      </c>
      <c r="P74" s="223">
        <f>P17/P9</f>
        <v>2.7689687573408506E-2</v>
      </c>
      <c r="Q74" s="223">
        <f>Q17/Q9</f>
        <v>-0.2334614731446745</v>
      </c>
      <c r="R74" s="223">
        <f>R17/R9</f>
        <v>5.4904916512059372E-2</v>
      </c>
      <c r="S74" s="223">
        <f>S17/S9</f>
        <v>0.10046786505786749</v>
      </c>
      <c r="T74" s="119">
        <f>T17/T9</f>
        <v>-1.9392669463274847E-2</v>
      </c>
      <c r="U74" s="223">
        <f>U17/U9</f>
        <v>5.9237053769342823E-2</v>
      </c>
      <c r="V74" s="223">
        <f>V17/V9</f>
        <v>4.6169989506820566E-2</v>
      </c>
      <c r="W74" s="223">
        <f>W17/W9</f>
        <v>3.6293915908293055E-2</v>
      </c>
      <c r="X74" s="223">
        <f>X17/X9</f>
        <v>8.4760072253200383E-2</v>
      </c>
      <c r="Y74" s="119">
        <f>Y17/Y9</f>
        <v>5.8422982615034577E-2</v>
      </c>
      <c r="Z74" s="223" t="e">
        <f>Z17/Z9</f>
        <v>#DIV/0!</v>
      </c>
      <c r="AA74" s="223" t="e">
        <f>AA17/AA9</f>
        <v>#DIV/0!</v>
      </c>
      <c r="AB74" s="223">
        <f>X17/X9</f>
        <v>8.4760072253200383E-2</v>
      </c>
      <c r="AC74" s="223" t="e">
        <f>AC17/AC9</f>
        <v>#DIV/0!</v>
      </c>
      <c r="AD74" s="119" t="e">
        <f>AD17/AD9</f>
        <v>#DIV/0!</v>
      </c>
      <c r="AE74" s="223" t="e">
        <f>AE17/AE9</f>
        <v>#DIV/0!</v>
      </c>
      <c r="AF74" s="223" t="e">
        <f>AF17/AF9</f>
        <v>#DIV/0!</v>
      </c>
      <c r="AG74" s="223" t="e">
        <f>AG17/AG9</f>
        <v>#DIV/0!</v>
      </c>
      <c r="AH74" s="223" t="e">
        <f>AH17/AH9</f>
        <v>#DIV/0!</v>
      </c>
      <c r="AI74" s="119" t="e">
        <f>AI17/AI9</f>
        <v>#DIV/0!</v>
      </c>
      <c r="AJ74" s="223" t="e">
        <f>AJ17/AJ9</f>
        <v>#DIV/0!</v>
      </c>
      <c r="AK74" s="223" t="e">
        <f>AK17/AK9</f>
        <v>#DIV/0!</v>
      </c>
      <c r="AL74" s="223" t="e">
        <f>AL17/AL9</f>
        <v>#DIV/0!</v>
      </c>
      <c r="AM74" s="223" t="e">
        <f>AM17/AM9</f>
        <v>#DIV/0!</v>
      </c>
      <c r="AN74" s="119" t="e">
        <f>AN17/AN9</f>
        <v>#DIV/0!</v>
      </c>
      <c r="AO74" s="223" t="e">
        <f>AO17/AO9</f>
        <v>#DIV/0!</v>
      </c>
      <c r="AP74" s="223" t="e">
        <f>AP17/AP9</f>
        <v>#DIV/0!</v>
      </c>
      <c r="AQ74" s="223" t="e">
        <f>AQ17/AQ9</f>
        <v>#DIV/0!</v>
      </c>
      <c r="AR74" s="223" t="e">
        <f>AR17/AR9</f>
        <v>#DIV/0!</v>
      </c>
      <c r="AS74" s="119" t="e">
        <f>AS17/AS9</f>
        <v>#DIV/0!</v>
      </c>
      <c r="AT74" s="223" t="e">
        <f>AT17/AT9</f>
        <v>#DIV/0!</v>
      </c>
      <c r="AU74" s="306" t="e">
        <f t="shared" ref="AU74:AU75" si="148">+AT74</f>
        <v>#DIV/0!</v>
      </c>
      <c r="AV74" s="306" t="e">
        <f t="shared" ref="AV74:AV75" si="149">+AU74</f>
        <v>#DIV/0!</v>
      </c>
      <c r="AW74" s="306" t="e">
        <f t="shared" ref="AW74:AW75" si="150">+AV74</f>
        <v>#DIV/0!</v>
      </c>
      <c r="AX74" s="119" t="e">
        <f>AX17/AX9</f>
        <v>#DIV/0!</v>
      </c>
      <c r="AY74" s="306"/>
      <c r="AZ74" s="306">
        <f t="shared" ref="AZ74:AZ75" si="151">+AY74</f>
        <v>0</v>
      </c>
      <c r="BA74" s="306">
        <f t="shared" ref="BA74:BA75" si="152">+AZ74</f>
        <v>0</v>
      </c>
      <c r="BB74" s="306">
        <f t="shared" ref="BB74:BB75" si="153">+BA74</f>
        <v>0</v>
      </c>
      <c r="BC74" s="119" t="e">
        <f>BC17/BC9</f>
        <v>#DIV/0!</v>
      </c>
      <c r="BD74" s="306"/>
      <c r="BE74" s="306">
        <f t="shared" ref="BE74:BE75" si="154">+BD74</f>
        <v>0</v>
      </c>
      <c r="BF74" s="306">
        <f t="shared" ref="BF74:BF75" si="155">+BE74</f>
        <v>0</v>
      </c>
      <c r="BG74" s="306">
        <f t="shared" ref="BG74:BG75" si="156">+BF74</f>
        <v>0</v>
      </c>
      <c r="BH74" s="119" t="e">
        <f>BH17/BH9</f>
        <v>#DIV/0!</v>
      </c>
      <c r="BI74" s="306"/>
      <c r="BJ74" s="306">
        <f t="shared" ref="BJ74:BJ75" si="157">+BI74</f>
        <v>0</v>
      </c>
      <c r="BK74" s="306">
        <f t="shared" ref="BK74:BK75" si="158">+BJ74</f>
        <v>0</v>
      </c>
      <c r="BL74" s="306">
        <f t="shared" ref="BL74:BL75" si="159">+BK74</f>
        <v>0</v>
      </c>
      <c r="BM74" s="119" t="e">
        <f>BM17/BM9</f>
        <v>#DIV/0!</v>
      </c>
      <c r="BN74" s="306"/>
      <c r="BO74" s="306">
        <f t="shared" ref="BO74:BO75" si="160">+BN74</f>
        <v>0</v>
      </c>
      <c r="BP74" s="306">
        <f t="shared" ref="BP74:BP75" si="161">+BO74</f>
        <v>0</v>
      </c>
      <c r="BQ74" s="306">
        <f t="shared" ref="BQ74:BQ75" si="162">+BP74</f>
        <v>0</v>
      </c>
      <c r="BR74" s="119" t="e">
        <f>BR17/BR9</f>
        <v>#DIV/0!</v>
      </c>
    </row>
    <row r="75" spans="1:70">
      <c r="A75" s="268" t="s">
        <v>118</v>
      </c>
      <c r="B75" s="251"/>
      <c r="C75" s="251"/>
      <c r="D75" s="222"/>
      <c r="E75" s="222"/>
      <c r="F75" s="337">
        <f>-F18/F11</f>
        <v>1.1023321677311215E-2</v>
      </c>
      <c r="G75" s="223">
        <f>-G18/G11</f>
        <v>1.1377157755671628E-2</v>
      </c>
      <c r="H75" s="223">
        <f>-H18/H11</f>
        <v>1.1541310128640649E-2</v>
      </c>
      <c r="I75" s="223">
        <f>-I18/I11</f>
        <v>7.4060291909476359E-3</v>
      </c>
      <c r="J75" s="119">
        <f>-J18/J11</f>
        <v>1.0465083567505726E-2</v>
      </c>
      <c r="K75" s="223">
        <f>-K18/K11</f>
        <v>1.5212363620997612E-2</v>
      </c>
      <c r="L75" s="223">
        <f>-L18/L11</f>
        <v>1.1816680449541263E-2</v>
      </c>
      <c r="M75" s="223">
        <f>-M18/M11</f>
        <v>7.8531562658070483E-3</v>
      </c>
      <c r="N75" s="223">
        <f>-N18/N11</f>
        <v>1.4467688112239403E-2</v>
      </c>
      <c r="O75" s="119">
        <f>-O18/O11</f>
        <v>1.1930091001386587E-2</v>
      </c>
      <c r="P75" s="223">
        <f>-P18/P11</f>
        <v>1.3825238292491019E-2</v>
      </c>
      <c r="Q75" s="223">
        <f>-Q18/Q11</f>
        <v>1.0752568133427244E-2</v>
      </c>
      <c r="R75" s="223">
        <f>-R18/R11</f>
        <v>8.6666005695870355E-3</v>
      </c>
      <c r="S75" s="223">
        <f>-S18/S11</f>
        <v>1.1088693392018303E-2</v>
      </c>
      <c r="T75" s="119">
        <f>-T18/T11</f>
        <v>1.0967850679233785E-2</v>
      </c>
      <c r="U75" s="223">
        <f>-U18/U11</f>
        <v>1.1888072448354766E-2</v>
      </c>
      <c r="V75" s="223">
        <f>-V18/V11</f>
        <v>1.0299459197675357E-2</v>
      </c>
      <c r="W75" s="223">
        <f>-W18/W11</f>
        <v>1.3222203674732239E-2</v>
      </c>
      <c r="X75" s="223">
        <f>-X18/X11</f>
        <v>1.015017861512557E-2</v>
      </c>
      <c r="Y75" s="119">
        <f>-Y18/Y11</f>
        <v>1.1359129740075372E-2</v>
      </c>
      <c r="Z75" s="223">
        <f>-Z18/Z11</f>
        <v>1.307325019131458E-2</v>
      </c>
      <c r="AA75" s="223">
        <f>-AA18/AA11</f>
        <v>1.1863422190666752E-2</v>
      </c>
      <c r="AB75" s="223">
        <f>-X18/X11</f>
        <v>1.015017861512557E-2</v>
      </c>
      <c r="AC75" s="223">
        <f>-AC18/AC11</f>
        <v>1.317938524491275E-2</v>
      </c>
      <c r="AD75" s="119">
        <f>-AD18/AD11</f>
        <v>1.2157680158017088E-2</v>
      </c>
      <c r="AE75" s="223">
        <f>-AE18/AE11</f>
        <v>1.7585199701818627E-2</v>
      </c>
      <c r="AF75" s="223">
        <f>-AF18/AF11</f>
        <v>1.2647454584521328E-2</v>
      </c>
      <c r="AG75" s="223">
        <f>-AG18/AG11</f>
        <v>1.1719656100105986E-2</v>
      </c>
      <c r="AH75" s="223">
        <f>-AH18/AH11</f>
        <v>2.6431718061674008E-3</v>
      </c>
      <c r="AI75" s="119">
        <f>-AI18/AI11</f>
        <v>1.1023332720925962E-2</v>
      </c>
      <c r="AJ75" s="223">
        <f>-AJ18/AJ11</f>
        <v>1.4194250987452193E-2</v>
      </c>
      <c r="AK75" s="223">
        <f>-AK18/AK11</f>
        <v>1.1925977576305634E-2</v>
      </c>
      <c r="AL75" s="223">
        <f>-AL18/AL11</f>
        <v>1.0328752612571251E-2</v>
      </c>
      <c r="AM75" s="223">
        <f>-AM18/AM11</f>
        <v>1.2983325030743644E-2</v>
      </c>
      <c r="AN75" s="119">
        <f>-AN18/AN11</f>
        <v>1.2262133805124063E-2</v>
      </c>
      <c r="AO75" s="223">
        <f>-AO18/AO11</f>
        <v>1.3312617855822785E-2</v>
      </c>
      <c r="AP75" s="223">
        <f>-AP18/AP11</f>
        <v>1.2690074514501225E-2</v>
      </c>
      <c r="AQ75" s="223">
        <f>-AQ18/AQ11</f>
        <v>1.476025527196635E-2</v>
      </c>
      <c r="AR75" s="223">
        <f>-AR18/AR11</f>
        <v>1.4634538852772851E-2</v>
      </c>
      <c r="AS75" s="119">
        <f>-AS18/AS11</f>
        <v>1.3845936524112463E-2</v>
      </c>
      <c r="AT75" s="223">
        <f>-AT18/AT11</f>
        <v>1.6946844642252733E-2</v>
      </c>
      <c r="AU75" s="306">
        <f t="shared" si="148"/>
        <v>1.6946844642252733E-2</v>
      </c>
      <c r="AV75" s="306">
        <f t="shared" si="149"/>
        <v>1.6946844642252733E-2</v>
      </c>
      <c r="AW75" s="306">
        <f t="shared" si="150"/>
        <v>1.6946844642252733E-2</v>
      </c>
      <c r="AX75" s="119">
        <f>-AX18/AX11</f>
        <v>1.4310625587306062E-2</v>
      </c>
      <c r="AY75" s="306">
        <v>1.23E-2</v>
      </c>
      <c r="AZ75" s="306">
        <f t="shared" si="151"/>
        <v>1.23E-2</v>
      </c>
      <c r="BA75" s="306">
        <f t="shared" si="152"/>
        <v>1.23E-2</v>
      </c>
      <c r="BB75" s="306">
        <f t="shared" si="153"/>
        <v>1.23E-2</v>
      </c>
      <c r="BC75" s="119">
        <f>-BC18/BC11</f>
        <v>1.3465338214307135E-2</v>
      </c>
      <c r="BD75" s="306">
        <v>1.23E-2</v>
      </c>
      <c r="BE75" s="306">
        <f t="shared" si="154"/>
        <v>1.23E-2</v>
      </c>
      <c r="BF75" s="306">
        <f t="shared" si="155"/>
        <v>1.23E-2</v>
      </c>
      <c r="BG75" s="306">
        <f t="shared" si="156"/>
        <v>1.23E-2</v>
      </c>
      <c r="BH75" s="119">
        <f>-BH18/BH11</f>
        <v>1.23E-2</v>
      </c>
      <c r="BI75" s="306">
        <v>1.23E-2</v>
      </c>
      <c r="BJ75" s="306">
        <f t="shared" si="157"/>
        <v>1.23E-2</v>
      </c>
      <c r="BK75" s="306">
        <f t="shared" si="158"/>
        <v>1.23E-2</v>
      </c>
      <c r="BL75" s="306">
        <f t="shared" si="159"/>
        <v>1.23E-2</v>
      </c>
      <c r="BM75" s="119">
        <f>-BM18/BM11</f>
        <v>1.23E-2</v>
      </c>
      <c r="BN75" s="306">
        <v>1.23E-2</v>
      </c>
      <c r="BO75" s="306">
        <f t="shared" si="160"/>
        <v>1.23E-2</v>
      </c>
      <c r="BP75" s="306">
        <f t="shared" si="161"/>
        <v>1.23E-2</v>
      </c>
      <c r="BQ75" s="306">
        <f t="shared" si="162"/>
        <v>1.23E-2</v>
      </c>
      <c r="BR75" s="119">
        <f>-BR18/BR11</f>
        <v>1.23E-2</v>
      </c>
    </row>
    <row r="76" spans="1:70">
      <c r="A76" s="282" t="s">
        <v>141</v>
      </c>
      <c r="B76" s="281"/>
      <c r="C76" s="281"/>
      <c r="D76" s="283"/>
      <c r="E76" s="283"/>
      <c r="F76" s="338">
        <f>+F19/F11</f>
        <v>3.9484437765511651E-2</v>
      </c>
      <c r="G76" s="284">
        <f>+G19/G11</f>
        <v>6.1080999501299256E-2</v>
      </c>
      <c r="H76" s="284">
        <f>+H19/H11</f>
        <v>6.8269459392243284E-2</v>
      </c>
      <c r="I76" s="284">
        <f>+I19/I11</f>
        <v>4.7014839676547654E-2</v>
      </c>
      <c r="J76" s="285">
        <f>+J19/J11</f>
        <v>5.3860796884230795E-2</v>
      </c>
      <c r="K76" s="284">
        <f>+K19/K11</f>
        <v>3.0088299969607775E-2</v>
      </c>
      <c r="L76" s="284">
        <f>+L19/L11</f>
        <v>4.517245669372013E-2</v>
      </c>
      <c r="M76" s="284">
        <f>+M19/M11</f>
        <v>5.3185415077031215E-2</v>
      </c>
      <c r="N76" s="284">
        <f>+N19/N11</f>
        <v>4.5563170547920619E-2</v>
      </c>
      <c r="O76" s="285">
        <f>+O19/O11</f>
        <v>4.5307222177225458E-2</v>
      </c>
      <c r="P76" s="284">
        <f>+P19/P11</f>
        <v>1.8588896413722664E-2</v>
      </c>
      <c r="Q76" s="284">
        <f>+Q19/Q11</f>
        <v>-0.3594412521083965</v>
      </c>
      <c r="R76" s="284">
        <f>+R19/R11</f>
        <v>4.9732898062840127E-2</v>
      </c>
      <c r="S76" s="284">
        <f>+S19/S11</f>
        <v>5.4500187578868431E-2</v>
      </c>
      <c r="T76" s="285">
        <f>+T19/T11</f>
        <v>-5.3949304275768939E-2</v>
      </c>
      <c r="U76" s="284">
        <f>+U19/U11</f>
        <v>3.6335967965451667E-2</v>
      </c>
      <c r="V76" s="284">
        <f>+V19/V11</f>
        <v>3.7484865606586489E-2</v>
      </c>
      <c r="W76" s="284">
        <f>+W19/W11</f>
        <v>5.6380703191419149E-2</v>
      </c>
      <c r="X76" s="284">
        <f>+X19/X11</f>
        <v>6.3836600135905794E-2</v>
      </c>
      <c r="Y76" s="285">
        <f>+Y19/Y11</f>
        <v>4.8811784067330964E-2</v>
      </c>
      <c r="Z76" s="284">
        <f>+Z19/Z11</f>
        <v>4.3441757141974791E-2</v>
      </c>
      <c r="AA76" s="284">
        <f>+AA19/AA11</f>
        <v>6.0343380881688502E-2</v>
      </c>
      <c r="AB76" s="284">
        <f>+X19/X11</f>
        <v>6.3836600135905794E-2</v>
      </c>
      <c r="AC76" s="284">
        <f>+AC19/AC11</f>
        <v>5.3579526024709674E-2</v>
      </c>
      <c r="AD76" s="285">
        <f>+AD19/AD11</f>
        <v>5.3817216089790225E-2</v>
      </c>
      <c r="AE76" s="284">
        <f>+AE19/AE11</f>
        <v>1.8832310483700827E-2</v>
      </c>
      <c r="AF76" s="284">
        <f>+AF19/AF11</f>
        <v>2.3529492440785778E-2</v>
      </c>
      <c r="AG76" s="284">
        <f>+AG19/AG11</f>
        <v>2.9069043266437385E-2</v>
      </c>
      <c r="AH76" s="284">
        <f>+AH19/AH11</f>
        <v>1.2886087123073209E-2</v>
      </c>
      <c r="AI76" s="285">
        <f>+AI19/AI11</f>
        <v>2.1423351255733192E-2</v>
      </c>
      <c r="AJ76" s="284">
        <f>+AJ19/AJ11</f>
        <v>3.696622991812E-2</v>
      </c>
      <c r="AK76" s="284">
        <f>+AK19/AK11</f>
        <v>3.9180082020684098E-2</v>
      </c>
      <c r="AL76" s="284">
        <f>+AL19/AL11</f>
        <v>4.5701429430943345E-2</v>
      </c>
      <c r="AM76" s="284">
        <f>+AM19/AM11</f>
        <v>4.1753603203596334E-2</v>
      </c>
      <c r="AN76" s="285">
        <f>+AN19/AN11</f>
        <v>4.1114045663223596E-2</v>
      </c>
      <c r="AO76" s="284">
        <f>+AO19/AO11</f>
        <v>3.3128952952537281E-2</v>
      </c>
      <c r="AP76" s="284">
        <f>+AP19/AP11</f>
        <v>2.7295526083282427E-2</v>
      </c>
      <c r="AQ76" s="284">
        <f>+AQ19/AQ11</f>
        <v>4.0910208794461049E-2</v>
      </c>
      <c r="AR76" s="284">
        <f>+AR19/AR11</f>
        <v>4.9739830420395162E-2</v>
      </c>
      <c r="AS76" s="285">
        <f>+AS19/AS11</f>
        <v>3.7727381270694922E-2</v>
      </c>
      <c r="AT76" s="284">
        <f>+AT19/AT11</f>
        <v>-8.9966892183676486E-4</v>
      </c>
      <c r="AU76" s="284">
        <f>+AU19/AU11</f>
        <v>4.8938250222081356E-2</v>
      </c>
      <c r="AV76" s="284">
        <f>+AV19/AV11</f>
        <v>4.2119527715674933E-2</v>
      </c>
      <c r="AW76" s="284">
        <f>+AW19/AW11</f>
        <v>7.663418080528428E-2</v>
      </c>
      <c r="AX76" s="285">
        <f>+AX19/AX11</f>
        <v>4.3073077149287646E-2</v>
      </c>
      <c r="AY76" s="284">
        <f>+AY19/AY11</f>
        <v>2.3936683543960429E-2</v>
      </c>
      <c r="AZ76" s="284">
        <f>+AZ19/AZ11</f>
        <v>-0.30367421297016289</v>
      </c>
      <c r="BA76" s="284">
        <f>+BA19/BA11</f>
        <v>4.0310422963900291E-2</v>
      </c>
      <c r="BB76" s="284">
        <f>+BB19/BB11</f>
        <v>4.8940722622955457E-2</v>
      </c>
      <c r="BC76" s="285">
        <f>+BC19/BC11</f>
        <v>-4.3957972711823938E-2</v>
      </c>
      <c r="BD76" s="284">
        <f>+BD19/BD11</f>
        <v>6.4485038576327966E-2</v>
      </c>
      <c r="BE76" s="284">
        <f>+BE19/BE11</f>
        <v>6.7364537043950928E-2</v>
      </c>
      <c r="BF76" s="284">
        <f>+BF19/BF11</f>
        <v>6.674964044612329E-2</v>
      </c>
      <c r="BG76" s="284">
        <f>+BG19/BG11</f>
        <v>6.5205064812236493E-2</v>
      </c>
      <c r="BH76" s="285">
        <f>+BH19/BH11</f>
        <v>6.604550306634227E-2</v>
      </c>
      <c r="BI76" s="284">
        <f>+BI19/BI11</f>
        <v>6.437097094986359E-2</v>
      </c>
      <c r="BJ76" s="284">
        <f>+BJ19/BJ11</f>
        <v>6.7559732990172233E-2</v>
      </c>
      <c r="BK76" s="284">
        <f>+BK19/BK11</f>
        <v>6.6771602253244508E-2</v>
      </c>
      <c r="BL76" s="284">
        <f>+BL19/BL11</f>
        <v>6.5061545178255631E-2</v>
      </c>
      <c r="BM76" s="285">
        <f>+BM19/BM11</f>
        <v>6.6045503066342257E-2</v>
      </c>
      <c r="BN76" s="284">
        <f>+BN19/BN11</f>
        <v>6.5350527624790822E-2</v>
      </c>
      <c r="BO76" s="284">
        <f>+BO19/BO11</f>
        <v>6.7324568411007923E-2</v>
      </c>
      <c r="BP76" s="284">
        <f>+BP19/BP11</f>
        <v>6.6982706114047608E-2</v>
      </c>
      <c r="BQ76" s="284">
        <f>+BQ19/BQ11</f>
        <v>6.4436035499865915E-2</v>
      </c>
      <c r="BR76" s="285">
        <f>+BR19/BR11</f>
        <v>6.6045503066342257E-2</v>
      </c>
    </row>
    <row r="77" spans="1:70" ht="12.5" hidden="1" customHeight="1">
      <c r="A77" s="219" t="s">
        <v>102</v>
      </c>
      <c r="B77" s="252"/>
      <c r="C77" s="252"/>
      <c r="D77" s="225"/>
      <c r="E77" s="225"/>
      <c r="F77" s="340">
        <f>F22/F11</f>
        <v>0</v>
      </c>
      <c r="G77" s="219">
        <f>G22/G11</f>
        <v>0</v>
      </c>
      <c r="H77" s="219">
        <f>H22/H11</f>
        <v>0</v>
      </c>
      <c r="I77" s="219">
        <f>I22/I11</f>
        <v>0</v>
      </c>
      <c r="J77" s="220"/>
      <c r="K77" s="219">
        <f>K22/K11</f>
        <v>0</v>
      </c>
      <c r="L77" s="219">
        <f>L22/L11</f>
        <v>0</v>
      </c>
      <c r="M77" s="219">
        <f>M22/M11</f>
        <v>0</v>
      </c>
      <c r="N77" s="219">
        <f>N22/N11</f>
        <v>0</v>
      </c>
      <c r="O77" s="220"/>
      <c r="P77" s="219">
        <f>P22/P11</f>
        <v>0</v>
      </c>
      <c r="Q77" s="219">
        <f>Q22/Q11</f>
        <v>0</v>
      </c>
      <c r="R77" s="219">
        <f>R22/R11</f>
        <v>0</v>
      </c>
      <c r="S77" s="219">
        <f>S22/S11</f>
        <v>0</v>
      </c>
      <c r="T77" s="220"/>
      <c r="U77" s="219">
        <f>U22/U11</f>
        <v>0</v>
      </c>
      <c r="V77" s="219">
        <f>V22/V11</f>
        <v>0</v>
      </c>
      <c r="W77" s="219">
        <f>W22/W11</f>
        <v>0</v>
      </c>
      <c r="X77" s="219">
        <f>X22/X11</f>
        <v>0</v>
      </c>
      <c r="Y77" s="220"/>
      <c r="Z77" s="219">
        <f>Z22/Z11</f>
        <v>0</v>
      </c>
      <c r="AA77" s="219">
        <f>AA22/AA11</f>
        <v>0</v>
      </c>
      <c r="AB77" s="219">
        <f>X22/X11</f>
        <v>0</v>
      </c>
      <c r="AC77" s="219"/>
      <c r="AD77" s="311"/>
      <c r="AE77" s="219">
        <f>AE22/AE11</f>
        <v>0</v>
      </c>
      <c r="AF77" s="219">
        <f>AF22/AF11</f>
        <v>0</v>
      </c>
      <c r="AG77" s="219">
        <f>AG22/AG11</f>
        <v>0</v>
      </c>
      <c r="AH77" s="219">
        <f>AH22/AH11</f>
        <v>0</v>
      </c>
      <c r="AI77" s="311"/>
      <c r="AJ77" s="219">
        <f>AJ22/AJ11</f>
        <v>0</v>
      </c>
      <c r="AK77" s="219">
        <f>AK22/AK11</f>
        <v>0</v>
      </c>
      <c r="AL77" s="219">
        <f>AL22/AL11</f>
        <v>0</v>
      </c>
      <c r="AM77" s="219">
        <f>AM22/AM11</f>
        <v>0</v>
      </c>
      <c r="AN77" s="311"/>
      <c r="AO77" s="219">
        <f>AO22/AO11</f>
        <v>0</v>
      </c>
      <c r="AP77" s="219">
        <f>AP22/AP11</f>
        <v>0</v>
      </c>
      <c r="AQ77" s="219">
        <f>AQ22/AQ11</f>
        <v>0</v>
      </c>
      <c r="AR77" s="219">
        <f>AR22/AR11</f>
        <v>0</v>
      </c>
      <c r="AS77" s="311"/>
      <c r="AT77" s="310">
        <v>0.06</v>
      </c>
      <c r="AU77" s="310">
        <v>0.06</v>
      </c>
      <c r="AV77" s="310">
        <v>0.06</v>
      </c>
      <c r="AW77" s="310">
        <v>0.06</v>
      </c>
      <c r="AX77" s="311"/>
      <c r="AY77" s="310">
        <v>0.06</v>
      </c>
      <c r="AZ77" s="310">
        <v>0.06</v>
      </c>
      <c r="BA77" s="310">
        <v>0.06</v>
      </c>
      <c r="BB77" s="310">
        <v>0.06</v>
      </c>
      <c r="BC77" s="311"/>
      <c r="BD77" s="310">
        <v>0.06</v>
      </c>
      <c r="BE77" s="310">
        <v>0.06</v>
      </c>
      <c r="BF77" s="310">
        <v>0.06</v>
      </c>
      <c r="BG77" s="310">
        <v>0.06</v>
      </c>
      <c r="BH77" s="311"/>
      <c r="BI77" s="310">
        <v>0.06</v>
      </c>
      <c r="BJ77" s="310">
        <v>0.06</v>
      </c>
      <c r="BK77" s="310">
        <v>0.06</v>
      </c>
      <c r="BL77" s="310">
        <v>0.06</v>
      </c>
      <c r="BM77" s="311"/>
      <c r="BN77" s="310">
        <v>0.06</v>
      </c>
      <c r="BO77" s="310">
        <v>0.06</v>
      </c>
      <c r="BP77" s="310">
        <v>0.06</v>
      </c>
      <c r="BQ77" s="310">
        <v>0.06</v>
      </c>
      <c r="BR77" s="311"/>
    </row>
    <row r="78" spans="1:70">
      <c r="A78" s="118" t="s">
        <v>101</v>
      </c>
      <c r="B78" s="248"/>
      <c r="C78" s="248"/>
      <c r="D78" s="118"/>
      <c r="E78" s="118"/>
      <c r="F78" s="337">
        <f>F45/F44</f>
        <v>-0.16073215310111122</v>
      </c>
      <c r="G78" s="118">
        <f>G45/G44</f>
        <v>-0.19859145993274557</v>
      </c>
      <c r="H78" s="118">
        <f>H45/H44</f>
        <v>-0.19897360211988041</v>
      </c>
      <c r="I78" s="118">
        <f>I45/I44</f>
        <v>-0.11120196238757189</v>
      </c>
      <c r="J78" s="119"/>
      <c r="K78" s="118">
        <f>K45/K44</f>
        <v>-7.2583438143672241E-2</v>
      </c>
      <c r="L78" s="118">
        <f>L45/L44</f>
        <v>-0.13943835447715247</v>
      </c>
      <c r="M78" s="118">
        <f>M45/M44</f>
        <v>-0.18190698810312947</v>
      </c>
      <c r="N78" s="118">
        <f>N45/N44</f>
        <v>-0.13008675392069463</v>
      </c>
      <c r="O78" s="119"/>
      <c r="P78" s="118">
        <f>P45/P44</f>
        <v>-6.5632343442949603E-2</v>
      </c>
      <c r="Q78" s="118">
        <f>Q45/Q44</f>
        <v>-5.1071115659088943E-2</v>
      </c>
      <c r="R78" s="118">
        <f>R45/R44</f>
        <v>-1.5156855833627058E-2</v>
      </c>
      <c r="S78" s="118">
        <f>S45/S44</f>
        <v>-5.6781142651309922E-2</v>
      </c>
      <c r="T78" s="119"/>
      <c r="U78" s="118">
        <f>U45/U44</f>
        <v>-0.10335600907029481</v>
      </c>
      <c r="V78" s="118">
        <f>V45/V44</f>
        <v>-0.10562212182718954</v>
      </c>
      <c r="W78" s="118">
        <f>W45/W44</f>
        <v>-0.13302871801038099</v>
      </c>
      <c r="X78" s="118">
        <f>X45/X44</f>
        <v>-0.16453628688211572</v>
      </c>
      <c r="Y78" s="118">
        <f>Y45/Y44</f>
        <v>-0.12992150425754367</v>
      </c>
      <c r="Z78" s="118">
        <f>Z45/Z44</f>
        <v>-0.41600410361631179</v>
      </c>
      <c r="AA78" s="118">
        <f>AA45/AA44</f>
        <v>-0.40046626900781318</v>
      </c>
      <c r="AB78" s="118">
        <f>X45/X44</f>
        <v>-0.16453628688211572</v>
      </c>
      <c r="AC78" s="118">
        <f>AC45/AC44</f>
        <v>-0.48583934566092346</v>
      </c>
      <c r="AD78" s="118">
        <f>AD45/AD44</f>
        <v>-0.43605030632449016</v>
      </c>
      <c r="AE78" s="118">
        <f>AE45/AE44</f>
        <v>-0.3752589884216942</v>
      </c>
      <c r="AF78" s="118">
        <f>AF45/AF44</f>
        <v>-0.41091436574629842</v>
      </c>
      <c r="AG78" s="118">
        <f>AG45/AG44</f>
        <v>-0.42049771756736859</v>
      </c>
      <c r="AH78" s="118">
        <f>AH45/AH44</f>
        <v>-0.25455634465645588</v>
      </c>
      <c r="AI78" s="118">
        <f>AI45/AI44</f>
        <v>-0.38661141131380444</v>
      </c>
      <c r="AJ78" s="118">
        <f>AJ45/AJ44</f>
        <v>-0.42373896123334837</v>
      </c>
      <c r="AK78" s="118">
        <f>AK45/AK44</f>
        <v>-0.40299049748462834</v>
      </c>
      <c r="AL78" s="118">
        <f>AL45/AL44</f>
        <v>-0.39905270625547717</v>
      </c>
      <c r="AM78" s="118">
        <f>AM45/AM44</f>
        <v>-0.21778467106113486</v>
      </c>
      <c r="AN78" s="118">
        <f>AN45/AN44</f>
        <v>-0.35739529893035576</v>
      </c>
      <c r="AO78" s="118">
        <f>AO45/AO44</f>
        <v>-0.37064471879286687</v>
      </c>
      <c r="AP78" s="118">
        <f>AP45/AP44</f>
        <v>-0.37860842409932211</v>
      </c>
      <c r="AQ78" s="118">
        <f>AQ45/AQ44</f>
        <v>-0.26444935457611352</v>
      </c>
      <c r="AR78" s="118">
        <f>AR45/AR44</f>
        <v>0.83318212997588104</v>
      </c>
      <c r="AS78" s="118">
        <f>AS45/AS44</f>
        <v>3.6954050982302947E-3</v>
      </c>
      <c r="AT78" s="312">
        <v>-0.28999999999999998</v>
      </c>
      <c r="AU78" s="312">
        <v>-0.28999999999999998</v>
      </c>
      <c r="AV78" s="312">
        <v>-0.28999999999999998</v>
      </c>
      <c r="AW78" s="312">
        <v>-0.28999999999999998</v>
      </c>
      <c r="AX78" s="118">
        <f>AX45/AX44</f>
        <v>-0.2626590153303221</v>
      </c>
      <c r="AY78" s="312">
        <v>-0.28999999999999998</v>
      </c>
      <c r="AZ78" s="312">
        <v>-0.28999999999999998</v>
      </c>
      <c r="BA78" s="312">
        <v>-0.28999999999999998</v>
      </c>
      <c r="BB78" s="312">
        <v>-0.28999999999999998</v>
      </c>
      <c r="BC78" s="118">
        <f>BC45/BC44</f>
        <v>-7.4630440151341945E-2</v>
      </c>
      <c r="BD78" s="312">
        <v>-0.28999999999999998</v>
      </c>
      <c r="BE78" s="312">
        <v>-0.28999999999999998</v>
      </c>
      <c r="BF78" s="312">
        <v>-0.28999999999999998</v>
      </c>
      <c r="BG78" s="312">
        <v>-0.28999999999999998</v>
      </c>
      <c r="BH78" s="118">
        <f>BH45/BH44</f>
        <v>-0.28999999999999998</v>
      </c>
      <c r="BI78" s="312">
        <v>-0.28999999999999998</v>
      </c>
      <c r="BJ78" s="312">
        <v>-0.28999999999999998</v>
      </c>
      <c r="BK78" s="312">
        <v>-0.28999999999999998</v>
      </c>
      <c r="BL78" s="312">
        <v>-0.28999999999999998</v>
      </c>
      <c r="BM78" s="118">
        <f>BM45/BM44</f>
        <v>-0.28999999999999998</v>
      </c>
      <c r="BN78" s="312">
        <v>-0.28999999999999998</v>
      </c>
      <c r="BO78" s="312">
        <v>-0.28999999999999998</v>
      </c>
      <c r="BP78" s="312">
        <v>-0.28999999999999998</v>
      </c>
      <c r="BQ78" s="312">
        <v>-0.28999999999999998</v>
      </c>
      <c r="BR78" s="118">
        <f>BR45/BR44</f>
        <v>-0.28999999999999998</v>
      </c>
    </row>
    <row r="79" spans="1:70">
      <c r="A79" s="118"/>
      <c r="B79" s="248"/>
      <c r="C79" s="248"/>
      <c r="D79" s="118"/>
      <c r="E79" s="118"/>
      <c r="F79" s="337"/>
      <c r="G79" s="118"/>
      <c r="H79" s="118"/>
      <c r="I79" s="118"/>
      <c r="J79" s="119"/>
      <c r="K79" s="118"/>
      <c r="L79" s="118"/>
      <c r="M79" s="118"/>
      <c r="N79" s="118"/>
      <c r="O79" s="119"/>
      <c r="P79" s="118"/>
      <c r="Q79" s="118"/>
      <c r="R79" s="118"/>
      <c r="S79" s="118"/>
      <c r="T79" s="119"/>
      <c r="U79" s="118"/>
      <c r="V79" s="118"/>
      <c r="W79" s="118"/>
      <c r="X79" s="118"/>
      <c r="Y79" s="119"/>
      <c r="Z79" s="118"/>
      <c r="AA79" s="118"/>
      <c r="AB79" s="118"/>
      <c r="AC79" s="118"/>
      <c r="AD79" s="307"/>
      <c r="AE79" s="312"/>
      <c r="AF79" s="312"/>
      <c r="AG79" s="312"/>
      <c r="AH79" s="312"/>
      <c r="AI79" s="307"/>
      <c r="AJ79" s="312"/>
      <c r="AK79" s="312"/>
      <c r="AL79" s="312"/>
      <c r="AM79" s="312"/>
      <c r="AN79" s="307"/>
      <c r="AO79" s="312"/>
      <c r="AP79" s="312"/>
      <c r="AQ79" s="312"/>
      <c r="AR79" s="312"/>
      <c r="AS79" s="307"/>
      <c r="AT79" s="312"/>
      <c r="AU79" s="312"/>
      <c r="AV79" s="312"/>
      <c r="AW79" s="312"/>
      <c r="AX79" s="307"/>
      <c r="AY79" s="312"/>
      <c r="AZ79" s="312"/>
      <c r="BA79" s="312"/>
      <c r="BB79" s="312"/>
      <c r="BC79" s="307"/>
      <c r="BD79" s="312"/>
      <c r="BE79" s="312"/>
      <c r="BF79" s="312"/>
      <c r="BG79" s="312"/>
      <c r="BH79" s="307"/>
      <c r="BI79" s="312"/>
      <c r="BJ79" s="312"/>
      <c r="BK79" s="312"/>
      <c r="BL79" s="312"/>
      <c r="BM79" s="307"/>
      <c r="BN79" s="312"/>
      <c r="BO79" s="312"/>
      <c r="BP79" s="312"/>
      <c r="BQ79" s="312"/>
      <c r="BR79" s="307"/>
    </row>
    <row r="80" spans="1:70">
      <c r="A80" s="118" t="s">
        <v>120</v>
      </c>
      <c r="B80" s="248"/>
      <c r="C80" s="248"/>
      <c r="D80" s="118"/>
      <c r="E80" s="118"/>
      <c r="F80" s="337"/>
      <c r="G80" s="118"/>
      <c r="H80" s="118"/>
      <c r="I80" s="118"/>
      <c r="J80" s="119"/>
      <c r="K80" s="118"/>
      <c r="L80" s="118"/>
      <c r="M80" s="118"/>
      <c r="N80" s="118"/>
      <c r="O80" s="119"/>
      <c r="P80" s="118"/>
      <c r="Q80" s="118"/>
      <c r="R80" s="118"/>
      <c r="S80" s="118"/>
      <c r="T80" s="119"/>
      <c r="U80" s="118"/>
      <c r="V80" s="118"/>
      <c r="W80" s="118"/>
      <c r="X80" s="118"/>
      <c r="Y80" s="119"/>
      <c r="Z80" s="118"/>
      <c r="AA80" s="118"/>
      <c r="AB80" s="118"/>
      <c r="AC80" s="118"/>
      <c r="AD80" s="307"/>
      <c r="AE80" s="312"/>
      <c r="AF80" s="312"/>
      <c r="AG80" s="312"/>
      <c r="AH80" s="312"/>
      <c r="AI80" s="307"/>
      <c r="AJ80" s="312"/>
      <c r="AK80" s="312"/>
      <c r="AL80" s="312"/>
      <c r="AM80" s="312"/>
      <c r="AN80" s="307"/>
      <c r="AO80" s="312"/>
      <c r="AP80" s="312"/>
      <c r="AQ80" s="312"/>
      <c r="AR80" s="312"/>
      <c r="AS80" s="307"/>
      <c r="AT80" s="312"/>
      <c r="AU80" s="312"/>
      <c r="AV80" s="312"/>
      <c r="AW80" s="312"/>
      <c r="AX80" s="307"/>
      <c r="AY80" s="312"/>
      <c r="AZ80" s="312"/>
      <c r="BA80" s="312"/>
      <c r="BB80" s="312"/>
      <c r="BC80" s="307"/>
      <c r="BD80" s="312"/>
      <c r="BE80" s="312"/>
      <c r="BF80" s="312"/>
      <c r="BG80" s="312"/>
      <c r="BH80" s="307"/>
      <c r="BI80" s="312"/>
      <c r="BJ80" s="312"/>
      <c r="BK80" s="312"/>
      <c r="BL80" s="312"/>
      <c r="BM80" s="307"/>
      <c r="BN80" s="312"/>
      <c r="BO80" s="312"/>
      <c r="BP80" s="312"/>
      <c r="BQ80" s="312"/>
      <c r="BR80" s="307"/>
    </row>
    <row r="81" spans="1:70">
      <c r="A81" s="257" t="s">
        <v>104</v>
      </c>
      <c r="B81" s="248"/>
      <c r="C81" s="248"/>
      <c r="D81" s="118"/>
      <c r="E81" s="118"/>
      <c r="F81" s="337">
        <f>F6/J6</f>
        <v>0.29492475225399445</v>
      </c>
      <c r="G81" s="118">
        <f>G6/J6</f>
        <v>0.28498611934782425</v>
      </c>
      <c r="H81" s="118">
        <f>H6/J6</f>
        <v>0.22375396436583042</v>
      </c>
      <c r="I81" s="118">
        <f>I6/J6</f>
        <v>0.19633516403235096</v>
      </c>
      <c r="J81" s="119"/>
      <c r="K81" s="118">
        <f>K6/O6</f>
        <v>0.22562614304083439</v>
      </c>
      <c r="L81" s="118">
        <f>L6/O6</f>
        <v>0.30736054261461143</v>
      </c>
      <c r="M81" s="118">
        <f>M6/O6</f>
        <v>0.2908131534863706</v>
      </c>
      <c r="N81" s="118">
        <f>N6/O6</f>
        <v>0.17620016085818346</v>
      </c>
      <c r="O81" s="119"/>
      <c r="P81" s="118">
        <f>P6/T6</f>
        <v>0.23201700633341177</v>
      </c>
      <c r="Q81" s="118">
        <f>Q6/T6</f>
        <v>0.224499292530037</v>
      </c>
      <c r="R81" s="118">
        <f>R6/T6</f>
        <v>0.26481493505615122</v>
      </c>
      <c r="S81" s="118">
        <f>S6/T6</f>
        <v>0.27866876608040003</v>
      </c>
      <c r="T81" s="119"/>
      <c r="U81" s="118">
        <f>U6/Y6</f>
        <v>0.2765460143492145</v>
      </c>
      <c r="V81" s="118">
        <f>V6/Y6</f>
        <v>0.2747583798619202</v>
      </c>
      <c r="W81" s="118">
        <f>W6/Y6</f>
        <v>0.2289922047947375</v>
      </c>
      <c r="X81" s="118">
        <f>X6/Y6</f>
        <v>0.21970340099412786</v>
      </c>
      <c r="Y81" s="119"/>
      <c r="Z81" s="118">
        <f>Z6/AD6</f>
        <v>0.19976181171960772</v>
      </c>
      <c r="AA81" s="118">
        <f>AA6/AD6</f>
        <v>0.25047820532317439</v>
      </c>
      <c r="AB81" s="118">
        <f>X6/AD6</f>
        <v>0.2167141182381512</v>
      </c>
      <c r="AC81" s="118">
        <f>AC6/AD6</f>
        <v>0.27999892199269649</v>
      </c>
      <c r="AD81" s="119">
        <v>1</v>
      </c>
      <c r="AE81" s="118">
        <f>AE6/AI6</f>
        <v>0.21892372137124419</v>
      </c>
      <c r="AF81" s="118">
        <f>AF6/$AI6</f>
        <v>0.24848657690399281</v>
      </c>
      <c r="AG81" s="118">
        <f>AG6/$AI6</f>
        <v>0.26638298588839843</v>
      </c>
      <c r="AH81" s="118">
        <f>AH6/AI6</f>
        <v>0.26620671583636457</v>
      </c>
      <c r="AI81" s="119">
        <v>1</v>
      </c>
      <c r="AJ81" s="118">
        <f>AJ6/AN6</f>
        <v>0.22974034784434527</v>
      </c>
      <c r="AK81" s="118">
        <f>AK6/AN6</f>
        <v>0.24646593327749822</v>
      </c>
      <c r="AL81" s="118">
        <f>AL6/$AN6</f>
        <v>0.2640139804369922</v>
      </c>
      <c r="AM81" s="118">
        <f>AM6/$AN6</f>
        <v>0.25977973844116437</v>
      </c>
      <c r="AN81" s="307">
        <v>1</v>
      </c>
      <c r="AO81" s="118">
        <f>AO6/$AS6</f>
        <v>0.25931872159263913</v>
      </c>
      <c r="AP81" s="118">
        <f>AP6/$AS6</f>
        <v>0.25605642039698212</v>
      </c>
      <c r="AQ81" s="118">
        <f>AQ6/$AS6</f>
        <v>0.25185448385231368</v>
      </c>
      <c r="AR81" s="118">
        <f>AR6/$AS6</f>
        <v>0.23277037415806506</v>
      </c>
      <c r="AS81" s="307">
        <v>1</v>
      </c>
      <c r="AT81" s="312">
        <v>0.15</v>
      </c>
      <c r="AU81" s="312">
        <f t="shared" ref="AU81:AU83" si="163">+AVERAGE(AA81,AF81,AK81,AP81)</f>
        <v>0.25037178397541188</v>
      </c>
      <c r="AV81" s="312">
        <f>+AVERAGE(X81,AG81,AL81,AQ81)</f>
        <v>0.25048871279295803</v>
      </c>
      <c r="AW81" s="312">
        <f>AX81-SUM(AT81:AV81)</f>
        <v>0.34913950323163012</v>
      </c>
      <c r="AX81" s="307">
        <v>1</v>
      </c>
      <c r="AY81" s="312">
        <f>+AVERAGE(AE81,AJ81,AO81,AT81)</f>
        <v>0.21449569770205715</v>
      </c>
      <c r="AZ81" s="312">
        <f t="shared" ref="AZ81:AZ83" si="164">+AVERAGE(AF81,AK81,AP81,AU81)</f>
        <v>0.25034517863847122</v>
      </c>
      <c r="BA81" s="312">
        <f t="shared" ref="BA81:BA83" si="165">+AVERAGE(AG81,AL81,AQ81,AV81)</f>
        <v>0.25818504074266557</v>
      </c>
      <c r="BB81" s="312">
        <f>BC81-SUM(AY81:BA81)</f>
        <v>0.27697408291680603</v>
      </c>
      <c r="BC81" s="307">
        <v>1</v>
      </c>
      <c r="BD81" s="312">
        <f>+AVERAGE(AJ81,AO81,AT81,AY81)</f>
        <v>0.21338869178476039</v>
      </c>
      <c r="BE81" s="312">
        <f t="shared" ref="BE81:BE83" si="166">+AVERAGE(AK81,AP81,AU81,AZ81)</f>
        <v>0.25080982907209082</v>
      </c>
      <c r="BF81" s="312">
        <f t="shared" ref="BF81:BF83" si="167">+AVERAGE(AL81,AQ81,AV81,BA81)</f>
        <v>0.25613555445623237</v>
      </c>
      <c r="BG81" s="312">
        <f>BH81-SUM(BD81:BF81)</f>
        <v>0.27966592468691642</v>
      </c>
      <c r="BH81" s="307">
        <v>1</v>
      </c>
      <c r="BI81" s="312">
        <f>+AVERAGE(AO81,AT81,AY81,BD81)</f>
        <v>0.20930077776986417</v>
      </c>
      <c r="BJ81" s="312">
        <f t="shared" ref="BJ81:BJ83" si="168">+AVERAGE(AP81,AU81,AZ81,BE81)</f>
        <v>0.251895803020739</v>
      </c>
      <c r="BK81" s="312">
        <f t="shared" ref="BK81:BK83" si="169">+AVERAGE(AQ81,AV81,BA81,BF81)</f>
        <v>0.25416594796104242</v>
      </c>
      <c r="BL81" s="312">
        <f>BM81-SUM(BI81:BK81)</f>
        <v>0.28463747124835437</v>
      </c>
      <c r="BM81" s="307">
        <v>1</v>
      </c>
      <c r="BN81" s="312">
        <f>+AVERAGE(AT81,AY81,BD81,BI81)</f>
        <v>0.19679629181417041</v>
      </c>
      <c r="BO81" s="312">
        <f t="shared" ref="BO81:BO83" si="170">+AVERAGE(AU81,AZ81,BE81,BJ81)</f>
        <v>0.2508556486766782</v>
      </c>
      <c r="BP81" s="312">
        <f t="shared" ref="BP81:BP83" si="171">+AVERAGE(AV81,BA81,BF81,BK81)</f>
        <v>0.2547438139882246</v>
      </c>
      <c r="BQ81" s="312">
        <f>BR81-SUM(BN81:BP81)</f>
        <v>0.29760424552092679</v>
      </c>
      <c r="BR81" s="307">
        <v>1</v>
      </c>
    </row>
    <row r="82" spans="1:70">
      <c r="A82" s="257" t="s">
        <v>105</v>
      </c>
      <c r="B82" s="248"/>
      <c r="C82" s="248"/>
      <c r="D82" s="118"/>
      <c r="E82" s="118"/>
      <c r="F82" s="337">
        <f>F7/J7</f>
        <v>0.18669949558486995</v>
      </c>
      <c r="G82" s="118">
        <f>G7/J7</f>
        <v>0.2956864119430167</v>
      </c>
      <c r="H82" s="118">
        <f>H7/J7</f>
        <v>0.25442411607538673</v>
      </c>
      <c r="I82" s="118">
        <f>I7/J7</f>
        <v>0.26318997639672659</v>
      </c>
      <c r="J82" s="119"/>
      <c r="K82" s="118">
        <f>K7/O7</f>
        <v>0.14363426751819608</v>
      </c>
      <c r="L82" s="118">
        <f>L7/O7</f>
        <v>0.15770167332667334</v>
      </c>
      <c r="M82" s="118">
        <f>M7/O7</f>
        <v>0.3136985782075068</v>
      </c>
      <c r="N82" s="118">
        <f>N7/O7</f>
        <v>0.38496548094762378</v>
      </c>
      <c r="O82" s="119"/>
      <c r="P82" s="118">
        <f>P7/T7</f>
        <v>0.19416322514159973</v>
      </c>
      <c r="Q82" s="118">
        <f>Q7/T7</f>
        <v>0.25342434972609851</v>
      </c>
      <c r="R82" s="118">
        <f>R7/T7</f>
        <v>0.2716095489729663</v>
      </c>
      <c r="S82" s="118">
        <f>S7/T7</f>
        <v>0.28080287615933552</v>
      </c>
      <c r="T82" s="119"/>
      <c r="U82" s="118">
        <f>U7/Y7</f>
        <v>0.19945258089076062</v>
      </c>
      <c r="V82" s="118">
        <f>V7/Y7</f>
        <v>0.23334002916197258</v>
      </c>
      <c r="W82" s="118">
        <f>W7/Y7</f>
        <v>0.26673161152206953</v>
      </c>
      <c r="X82" s="118">
        <f>X7/Y7</f>
        <v>0.30047577842519735</v>
      </c>
      <c r="Y82" s="119"/>
      <c r="Z82" s="118">
        <f>Z7/AD7</f>
        <v>0.21750878952976885</v>
      </c>
      <c r="AA82" s="118">
        <f>AA7/AD7</f>
        <v>0.23006666404695147</v>
      </c>
      <c r="AB82" s="118">
        <f>X7/AD7</f>
        <v>0.24722156087255015</v>
      </c>
      <c r="AC82" s="118">
        <f>AC7/AD7</f>
        <v>0.26571482396669571</v>
      </c>
      <c r="AD82" s="119">
        <v>1</v>
      </c>
      <c r="AE82" s="118">
        <f>AE7/AI7</f>
        <v>0.19592926965135027</v>
      </c>
      <c r="AF82" s="118">
        <f>AF7/$AI7</f>
        <v>0.28593756311736579</v>
      </c>
      <c r="AG82" s="118">
        <f>AG7/$AI7</f>
        <v>0.30137597727500548</v>
      </c>
      <c r="AH82" s="118">
        <f>AH7/AI7</f>
        <v>0.21675718995627855</v>
      </c>
      <c r="AI82" s="119">
        <v>1</v>
      </c>
      <c r="AJ82" s="118">
        <f>AJ7/AN7</f>
        <v>0.20512046259422259</v>
      </c>
      <c r="AK82" s="118">
        <f>AK7/AN7</f>
        <v>0.25993408255587774</v>
      </c>
      <c r="AL82" s="118">
        <f>AL7/$AN7</f>
        <v>0.28247941126401305</v>
      </c>
      <c r="AM82" s="118">
        <f>AM7/$AN7</f>
        <v>0.25246604358588665</v>
      </c>
      <c r="AN82" s="307">
        <v>1</v>
      </c>
      <c r="AO82" s="118">
        <f>AO7/$AS7</f>
        <v>0.18501516585032454</v>
      </c>
      <c r="AP82" s="118">
        <f>AP7/$AS7</f>
        <v>0.29469958592823592</v>
      </c>
      <c r="AQ82" s="118">
        <f>AQ7/$AS7</f>
        <v>0.25088743343907199</v>
      </c>
      <c r="AR82" s="118">
        <f>AR7/$AS7</f>
        <v>0.26939781478236741</v>
      </c>
      <c r="AS82" s="307">
        <v>1</v>
      </c>
      <c r="AT82" s="312">
        <v>0.15</v>
      </c>
      <c r="AU82" s="312">
        <f t="shared" si="163"/>
        <v>0.26765947391210776</v>
      </c>
      <c r="AV82" s="312">
        <f>+AVERAGE(X82,AG82,AL82,AQ82)</f>
        <v>0.28380465010082195</v>
      </c>
      <c r="AW82" s="312">
        <f>AX82-SUM(AT82:AV82)</f>
        <v>0.29853587598707021</v>
      </c>
      <c r="AX82" s="307">
        <v>1</v>
      </c>
      <c r="AY82" s="312">
        <f t="shared" ref="AY82:AY83" si="172">+AVERAGE(AE82,AJ82,AO82,AT82)</f>
        <v>0.18401622452397434</v>
      </c>
      <c r="AZ82" s="312">
        <f t="shared" si="164"/>
        <v>0.27705767637839684</v>
      </c>
      <c r="BA82" s="312">
        <f t="shared" si="165"/>
        <v>0.27963686801972815</v>
      </c>
      <c r="BB82" s="312">
        <f>BC82-SUM(AY82:BA82)</f>
        <v>0.25928923107790069</v>
      </c>
      <c r="BC82" s="307">
        <v>1</v>
      </c>
      <c r="BD82" s="312">
        <f t="shared" ref="BD82:BD83" si="173">+AVERAGE(AJ82,AO82,AT82,AY82)</f>
        <v>0.18103796324213037</v>
      </c>
      <c r="BE82" s="312">
        <f t="shared" si="166"/>
        <v>0.27483770469365454</v>
      </c>
      <c r="BF82" s="312">
        <f t="shared" si="167"/>
        <v>0.27420209070590879</v>
      </c>
      <c r="BG82" s="312">
        <f>BH82-SUM(BD82:BF82)</f>
        <v>0.26992224135830623</v>
      </c>
      <c r="BH82" s="307">
        <v>1</v>
      </c>
      <c r="BI82" s="312">
        <f t="shared" ref="BI82:BI83" si="174">+AVERAGE(AO82,AT82,AY82,BD82)</f>
        <v>0.17501733840410733</v>
      </c>
      <c r="BJ82" s="312">
        <f t="shared" si="168"/>
        <v>0.27856361022809872</v>
      </c>
      <c r="BK82" s="312">
        <f t="shared" si="169"/>
        <v>0.27213276056638275</v>
      </c>
      <c r="BL82" s="312">
        <f>BM82-SUM(BI82:BK82)</f>
        <v>0.2742862908014112</v>
      </c>
      <c r="BM82" s="307">
        <v>1</v>
      </c>
      <c r="BN82" s="312">
        <f t="shared" ref="BN82:BN83" si="175">+AVERAGE(AT82,AY82,BD82,BI82)</f>
        <v>0.17251788154255299</v>
      </c>
      <c r="BO82" s="312">
        <f t="shared" si="170"/>
        <v>0.27452961630306449</v>
      </c>
      <c r="BP82" s="312">
        <f t="shared" si="171"/>
        <v>0.27744409234821044</v>
      </c>
      <c r="BQ82" s="312">
        <f>BR82-SUM(BN82:BP82)</f>
        <v>0.27550840980617208</v>
      </c>
      <c r="BR82" s="307">
        <v>1</v>
      </c>
    </row>
    <row r="83" spans="1:70">
      <c r="A83" s="257" t="s">
        <v>110</v>
      </c>
      <c r="B83" s="248"/>
      <c r="C83" s="248"/>
      <c r="D83" s="118"/>
      <c r="E83" s="118"/>
      <c r="F83" s="337" t="e">
        <f>F8/J8</f>
        <v>#DIV/0!</v>
      </c>
      <c r="G83" s="118" t="e">
        <f>G8/J8</f>
        <v>#DIV/0!</v>
      </c>
      <c r="H83" s="118" t="e">
        <f>H8/J8</f>
        <v>#DIV/0!</v>
      </c>
      <c r="I83" s="118" t="e">
        <f>I8/J8</f>
        <v>#DIV/0!</v>
      </c>
      <c r="J83" s="119"/>
      <c r="K83" s="118">
        <f>K8/O8</f>
        <v>0</v>
      </c>
      <c r="L83" s="118">
        <f>L8/O8</f>
        <v>0</v>
      </c>
      <c r="M83" s="118">
        <f>M8/O8</f>
        <v>0.41857489081473082</v>
      </c>
      <c r="N83" s="118">
        <f>N8/O8</f>
        <v>0.58142510918526913</v>
      </c>
      <c r="O83" s="119"/>
      <c r="P83" s="118">
        <f>P8/T8</f>
        <v>0.22622047150951652</v>
      </c>
      <c r="Q83" s="118">
        <f>Q8/T8</f>
        <v>0.23312023982736213</v>
      </c>
      <c r="R83" s="118">
        <f>R8/T8</f>
        <v>0.26638378123526635</v>
      </c>
      <c r="S83" s="118">
        <f>S8/T8</f>
        <v>0.27427550742785495</v>
      </c>
      <c r="T83" s="119"/>
      <c r="U83" s="118">
        <f>U8/Y8</f>
        <v>0.25521285985303216</v>
      </c>
      <c r="V83" s="118">
        <f>V8/Y8</f>
        <v>0.24012972124811047</v>
      </c>
      <c r="W83" s="118">
        <f>W8/Y8</f>
        <v>0.24317069706571617</v>
      </c>
      <c r="X83" s="118">
        <f>X8/Y8</f>
        <v>0.26148672183314109</v>
      </c>
      <c r="Y83" s="119"/>
      <c r="Z83" s="118">
        <f>Z8/AD8</f>
        <v>0.22449759015405799</v>
      </c>
      <c r="AA83" s="118">
        <f>AA8/AD8</f>
        <v>0.24740803240996889</v>
      </c>
      <c r="AB83" s="118">
        <f>X8/AD8</f>
        <v>0.23767874048664131</v>
      </c>
      <c r="AC83" s="118">
        <f>AC8/AD8</f>
        <v>0.25457993680301966</v>
      </c>
      <c r="AD83" s="119">
        <v>1</v>
      </c>
      <c r="AE83" s="118">
        <f>AE8/AI8</f>
        <v>0.23860755731338593</v>
      </c>
      <c r="AF83" s="118">
        <f>AF8/$AI8</f>
        <v>0.26611586534194226</v>
      </c>
      <c r="AG83" s="118">
        <f>AG8/$AI8</f>
        <v>0.26494895478852698</v>
      </c>
      <c r="AH83" s="118">
        <f>AH8/AI8</f>
        <v>0.23032762255614483</v>
      </c>
      <c r="AI83" s="119">
        <v>1</v>
      </c>
      <c r="AJ83" s="118">
        <f>AJ8/AN8</f>
        <v>0.22829103171021603</v>
      </c>
      <c r="AK83" s="118">
        <f>AK8/AN8</f>
        <v>0.25837275606410587</v>
      </c>
      <c r="AL83" s="118">
        <f>AL8/$AN8</f>
        <v>0.26867114272311349</v>
      </c>
      <c r="AM83" s="118">
        <f>AM8/$AN8</f>
        <v>0.2446650695025647</v>
      </c>
      <c r="AN83" s="307">
        <v>1</v>
      </c>
      <c r="AO83" s="118">
        <f>AO8/$AS8</f>
        <v>0.26010869171168022</v>
      </c>
      <c r="AP83" s="118">
        <f t="shared" ref="AP83:AR83" si="176">AP8/$AS8</f>
        <v>0.23222801530516402</v>
      </c>
      <c r="AQ83" s="118">
        <f t="shared" si="176"/>
        <v>0.25552851262412374</v>
      </c>
      <c r="AR83" s="118">
        <f t="shared" si="176"/>
        <v>0.25213478035903197</v>
      </c>
      <c r="AS83" s="307">
        <v>1</v>
      </c>
      <c r="AT83" s="312">
        <v>0.15</v>
      </c>
      <c r="AU83" s="312">
        <f t="shared" si="163"/>
        <v>0.25103116728029529</v>
      </c>
      <c r="AV83" s="312">
        <f>+AVERAGE(X83,AG83,AL83,AQ83)</f>
        <v>0.26265883299222631</v>
      </c>
      <c r="AW83" s="312">
        <f>AX83-SUM(AT83:AV83)</f>
        <v>0.33630999972747833</v>
      </c>
      <c r="AX83" s="307">
        <v>1</v>
      </c>
      <c r="AY83" s="312">
        <f t="shared" si="172"/>
        <v>0.21925182018382053</v>
      </c>
      <c r="AZ83" s="312">
        <f t="shared" si="164"/>
        <v>0.25193695099787683</v>
      </c>
      <c r="BA83" s="312">
        <f t="shared" si="165"/>
        <v>0.26295186078199767</v>
      </c>
      <c r="BB83" s="312">
        <f>BC83-SUM(AY83:BA83)</f>
        <v>0.26585936803630505</v>
      </c>
      <c r="BC83" s="307">
        <v>1</v>
      </c>
      <c r="BD83" s="312">
        <f t="shared" si="173"/>
        <v>0.21441288590142918</v>
      </c>
      <c r="BE83" s="312">
        <f t="shared" si="166"/>
        <v>0.24839222241186049</v>
      </c>
      <c r="BF83" s="312">
        <f t="shared" si="167"/>
        <v>0.2624525872803653</v>
      </c>
      <c r="BG83" s="312">
        <f>BH83-SUM(BD83:BF83)</f>
        <v>0.27474230440634506</v>
      </c>
      <c r="BH83" s="307">
        <v>1</v>
      </c>
      <c r="BI83" s="312">
        <f t="shared" si="174"/>
        <v>0.21094334944923246</v>
      </c>
      <c r="BJ83" s="312">
        <f t="shared" si="168"/>
        <v>0.24589708899879914</v>
      </c>
      <c r="BK83" s="312">
        <f t="shared" si="169"/>
        <v>0.26089794841967828</v>
      </c>
      <c r="BL83" s="312">
        <f>BM83-SUM(BI83:BK83)</f>
        <v>0.28226161313229015</v>
      </c>
      <c r="BM83" s="307">
        <v>1</v>
      </c>
      <c r="BN83" s="312">
        <f t="shared" si="175"/>
        <v>0.19865201388362053</v>
      </c>
      <c r="BO83" s="312">
        <f t="shared" si="170"/>
        <v>0.24931435742220795</v>
      </c>
      <c r="BP83" s="312">
        <f t="shared" si="171"/>
        <v>0.26224030736856691</v>
      </c>
      <c r="BQ83" s="312">
        <f>BR83-SUM(BN83:BP83)</f>
        <v>0.28979332132560454</v>
      </c>
      <c r="BR83" s="307">
        <v>1</v>
      </c>
    </row>
    <row r="84" spans="1:70">
      <c r="A84" s="118"/>
      <c r="B84" s="248"/>
      <c r="C84" s="248"/>
      <c r="D84" s="118"/>
      <c r="E84" s="118"/>
      <c r="F84" s="337"/>
      <c r="G84" s="118"/>
      <c r="H84" s="118"/>
      <c r="I84" s="118"/>
      <c r="J84" s="119"/>
      <c r="K84" s="118"/>
      <c r="L84" s="118"/>
      <c r="M84" s="118"/>
      <c r="N84" s="118"/>
      <c r="O84" s="119"/>
      <c r="P84" s="118"/>
      <c r="Q84" s="118"/>
      <c r="R84" s="118"/>
      <c r="S84" s="118"/>
      <c r="T84" s="119"/>
      <c r="U84" s="118"/>
      <c r="V84" s="118"/>
      <c r="W84" s="118"/>
      <c r="X84" s="118"/>
      <c r="Y84" s="119"/>
      <c r="Z84" s="118"/>
      <c r="AA84" s="118"/>
      <c r="AB84" s="118"/>
      <c r="AC84" s="118"/>
      <c r="AD84" s="124"/>
      <c r="AE84" s="123"/>
      <c r="AF84" s="123"/>
      <c r="AG84" s="123"/>
      <c r="AH84" s="123"/>
      <c r="AI84" s="124"/>
      <c r="AJ84" s="123"/>
      <c r="AK84" s="123"/>
      <c r="AL84" s="123"/>
      <c r="AM84" s="123"/>
      <c r="AN84" s="119"/>
      <c r="AO84" s="123"/>
      <c r="AP84" s="123"/>
      <c r="AQ84" s="123"/>
      <c r="AR84" s="123"/>
      <c r="AS84" s="119"/>
      <c r="AT84" s="123"/>
      <c r="AU84" s="123"/>
      <c r="AV84" s="123"/>
      <c r="AW84" s="123"/>
      <c r="AX84" s="119"/>
      <c r="AY84" s="123"/>
      <c r="AZ84" s="123"/>
      <c r="BA84" s="123"/>
      <c r="BB84" s="123"/>
      <c r="BC84" s="119"/>
      <c r="BD84" s="123"/>
      <c r="BE84" s="123"/>
      <c r="BF84" s="123"/>
      <c r="BG84" s="123"/>
      <c r="BH84" s="119"/>
      <c r="BI84" s="123"/>
      <c r="BJ84" s="123"/>
      <c r="BK84" s="123"/>
      <c r="BL84" s="123"/>
      <c r="BM84" s="119"/>
      <c r="BN84" s="123"/>
      <c r="BO84" s="123"/>
      <c r="BP84" s="123"/>
      <c r="BQ84" s="123"/>
      <c r="BR84" s="119"/>
    </row>
    <row r="85" spans="1:70">
      <c r="A85" s="249"/>
      <c r="B85" s="247"/>
      <c r="C85" s="247"/>
      <c r="D85" s="256"/>
      <c r="E85" s="65"/>
      <c r="F85" s="341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</row>
    <row r="86" spans="1:70">
      <c r="A86" s="249"/>
      <c r="B86" s="247"/>
      <c r="C86" s="247"/>
      <c r="D86" s="256"/>
      <c r="E86" s="65"/>
      <c r="F86" s="341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</row>
    <row r="87" spans="1:70">
      <c r="A87" s="249"/>
      <c r="B87" s="247"/>
      <c r="C87" s="247"/>
      <c r="D87" s="256"/>
      <c r="E87" s="65"/>
      <c r="F87" s="341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</row>
    <row r="88" spans="1:70">
      <c r="A88" s="249"/>
      <c r="B88" s="247"/>
      <c r="C88" s="247"/>
      <c r="D88" s="256"/>
      <c r="E88" s="65"/>
      <c r="F88" s="341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</row>
    <row r="89" spans="1:70">
      <c r="A89" s="249"/>
      <c r="B89" s="247"/>
      <c r="C89" s="247"/>
      <c r="D89" s="256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</row>
    <row r="90" spans="1:70">
      <c r="A90" s="249"/>
      <c r="B90" s="247"/>
      <c r="C90" s="247"/>
      <c r="D90" s="256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</row>
    <row r="91" spans="1:70">
      <c r="A91" s="249"/>
      <c r="B91" s="247"/>
      <c r="C91" s="247"/>
      <c r="D91" s="256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</row>
    <row r="92" spans="1:70">
      <c r="A92" s="249"/>
      <c r="B92" s="247"/>
      <c r="C92" s="247"/>
      <c r="D92" s="256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</row>
    <row r="93" spans="1:70">
      <c r="A93" s="249"/>
      <c r="B93" s="247"/>
      <c r="C93" s="247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1:70">
      <c r="A94" s="249"/>
      <c r="B94" s="247"/>
      <c r="C94" s="247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1:70">
      <c r="A95" s="249"/>
      <c r="B95" s="247"/>
      <c r="C95" s="247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spans="1:70">
      <c r="A96" s="249"/>
      <c r="B96" s="247"/>
      <c r="C96" s="247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1:55">
      <c r="A97" s="249"/>
      <c r="B97" s="247"/>
      <c r="C97" s="247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 spans="1:55">
      <c r="A98" s="249"/>
      <c r="B98" s="247"/>
      <c r="C98" s="247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spans="1:55">
      <c r="A99" s="249"/>
      <c r="B99" s="250"/>
      <c r="C99" s="250"/>
    </row>
    <row r="100" spans="1:55">
      <c r="A100" s="249"/>
      <c r="B100" s="250"/>
      <c r="C100" s="250"/>
    </row>
    <row r="101" spans="1:55">
      <c r="A101" s="249"/>
      <c r="B101" s="250"/>
      <c r="C101" s="250"/>
    </row>
    <row r="102" spans="1:55">
      <c r="A102" s="249"/>
      <c r="B102" s="250"/>
      <c r="C102" s="250"/>
    </row>
    <row r="103" spans="1:55">
      <c r="A103" s="249"/>
      <c r="B103" s="250"/>
      <c r="C103" s="250"/>
    </row>
    <row r="104" spans="1:55">
      <c r="A104" s="249"/>
      <c r="B104" s="250"/>
      <c r="C104" s="250"/>
    </row>
    <row r="105" spans="1:55">
      <c r="A105" s="249"/>
      <c r="B105" s="250"/>
      <c r="C105" s="250"/>
    </row>
    <row r="106" spans="1:55">
      <c r="A106" s="249"/>
      <c r="B106" s="250"/>
      <c r="C106" s="250"/>
    </row>
    <row r="107" spans="1:55">
      <c r="A107" s="249"/>
      <c r="B107" s="250"/>
      <c r="C107" s="250"/>
    </row>
    <row r="108" spans="1:55">
      <c r="A108" s="249"/>
      <c r="B108" s="250"/>
      <c r="C108" s="250"/>
    </row>
    <row r="109" spans="1:55">
      <c r="A109" s="249"/>
      <c r="B109" s="250"/>
      <c r="C109" s="250"/>
    </row>
    <row r="110" spans="1:55">
      <c r="A110" s="249"/>
      <c r="B110" s="250"/>
      <c r="C110" s="250"/>
    </row>
    <row r="111" spans="1:55">
      <c r="A111" s="249"/>
      <c r="B111" s="250"/>
      <c r="C111" s="250"/>
    </row>
    <row r="112" spans="1:55">
      <c r="A112" s="249"/>
      <c r="B112" s="250"/>
      <c r="C112" s="250"/>
    </row>
    <row r="113" spans="1:3">
      <c r="A113" s="249"/>
      <c r="B113" s="250"/>
      <c r="C113" s="250"/>
    </row>
    <row r="114" spans="1:3">
      <c r="A114" s="249"/>
      <c r="B114" s="250"/>
      <c r="C114" s="250"/>
    </row>
    <row r="115" spans="1:3">
      <c r="A115" s="249"/>
      <c r="B115" s="250"/>
      <c r="C115" s="250"/>
    </row>
    <row r="116" spans="1:3">
      <c r="A116" s="249"/>
      <c r="B116" s="250"/>
      <c r="C116" s="250"/>
    </row>
    <row r="117" spans="1:3">
      <c r="A117" s="249"/>
      <c r="B117" s="250"/>
      <c r="C117" s="250"/>
    </row>
    <row r="118" spans="1:3">
      <c r="A118" s="249"/>
      <c r="B118" s="250"/>
      <c r="C118" s="250"/>
    </row>
    <row r="119" spans="1:3">
      <c r="A119" s="249"/>
      <c r="B119" s="250"/>
      <c r="C119" s="250"/>
    </row>
    <row r="120" spans="1:3">
      <c r="A120" s="249"/>
      <c r="B120" s="250"/>
      <c r="C120" s="250"/>
    </row>
    <row r="121" spans="1:3">
      <c r="A121" s="249"/>
      <c r="B121" s="250"/>
      <c r="C121" s="250"/>
    </row>
    <row r="122" spans="1:3">
      <c r="A122" s="249"/>
      <c r="B122" s="250"/>
      <c r="C122" s="250"/>
    </row>
    <row r="123" spans="1:3">
      <c r="A123" s="249"/>
      <c r="B123" s="250"/>
      <c r="C123" s="250"/>
    </row>
    <row r="124" spans="1:3">
      <c r="A124" s="249"/>
      <c r="B124" s="250"/>
      <c r="C124" s="250"/>
    </row>
    <row r="125" spans="1:3">
      <c r="A125" s="249"/>
      <c r="B125" s="250"/>
      <c r="C125" s="250"/>
    </row>
    <row r="126" spans="1:3">
      <c r="A126" s="249"/>
      <c r="B126" s="250"/>
      <c r="C126" s="250"/>
    </row>
    <row r="127" spans="1:3">
      <c r="A127" s="249"/>
      <c r="B127" s="250"/>
      <c r="C127" s="250"/>
    </row>
    <row r="128" spans="1:3">
      <c r="A128" s="249"/>
      <c r="B128" s="250"/>
      <c r="C128" s="250"/>
    </row>
    <row r="129" spans="1:3">
      <c r="A129" s="249"/>
      <c r="B129" s="250"/>
      <c r="C129" s="250"/>
    </row>
    <row r="130" spans="1:3">
      <c r="A130" s="249"/>
      <c r="B130" s="250"/>
      <c r="C130" s="250"/>
    </row>
    <row r="131" spans="1:3">
      <c r="A131" s="249"/>
      <c r="B131" s="250"/>
      <c r="C131" s="250"/>
    </row>
    <row r="132" spans="1:3">
      <c r="A132" s="249"/>
      <c r="B132" s="250"/>
      <c r="C132" s="250"/>
    </row>
    <row r="133" spans="1:3">
      <c r="A133" s="249"/>
      <c r="B133" s="250"/>
      <c r="C133" s="250"/>
    </row>
    <row r="134" spans="1:3">
      <c r="A134" s="249"/>
      <c r="B134" s="250"/>
      <c r="C134" s="250"/>
    </row>
    <row r="135" spans="1:3">
      <c r="A135" s="249"/>
      <c r="B135" s="250"/>
      <c r="C135" s="250"/>
    </row>
    <row r="136" spans="1:3">
      <c r="A136" s="249"/>
      <c r="B136" s="250"/>
      <c r="C136" s="250"/>
    </row>
    <row r="137" spans="1:3">
      <c r="A137" s="249"/>
      <c r="B137" s="250"/>
      <c r="C137" s="250"/>
    </row>
    <row r="138" spans="1:3">
      <c r="A138" s="249"/>
      <c r="B138" s="250"/>
      <c r="C138" s="250"/>
    </row>
    <row r="139" spans="1:3">
      <c r="A139" s="249"/>
      <c r="B139" s="250"/>
      <c r="C139" s="250"/>
    </row>
    <row r="140" spans="1:3">
      <c r="A140" s="249"/>
      <c r="B140" s="250"/>
      <c r="C140" s="250"/>
    </row>
    <row r="141" spans="1:3">
      <c r="A141" s="249"/>
      <c r="B141" s="250"/>
      <c r="C141" s="250"/>
    </row>
    <row r="142" spans="1:3">
      <c r="A142" s="249"/>
      <c r="B142" s="250"/>
      <c r="C142" s="250"/>
    </row>
    <row r="143" spans="1:3">
      <c r="A143" s="249"/>
      <c r="B143" s="250"/>
      <c r="C143" s="250"/>
    </row>
    <row r="144" spans="1:3">
      <c r="A144" s="249"/>
      <c r="B144" s="250"/>
      <c r="C144" s="250"/>
    </row>
    <row r="145" spans="1:3">
      <c r="A145" s="249"/>
      <c r="B145" s="250"/>
      <c r="C145" s="250"/>
    </row>
    <row r="146" spans="1:3">
      <c r="A146" s="249"/>
      <c r="B146" s="250"/>
      <c r="C146" s="250"/>
    </row>
    <row r="147" spans="1:3">
      <c r="A147" s="249"/>
      <c r="B147" s="250"/>
      <c r="C147" s="250"/>
    </row>
    <row r="148" spans="1:3">
      <c r="A148" s="249"/>
      <c r="B148" s="250"/>
      <c r="C148" s="250"/>
    </row>
    <row r="149" spans="1:3">
      <c r="A149" s="249"/>
      <c r="B149" s="250"/>
      <c r="C149" s="250"/>
    </row>
  </sheetData>
  <mergeCells count="13">
    <mergeCell ref="BI3:BL3"/>
    <mergeCell ref="BN3:BQ3"/>
    <mergeCell ref="AE3:AH3"/>
    <mergeCell ref="F3:I3"/>
    <mergeCell ref="K3:N3"/>
    <mergeCell ref="P3:S3"/>
    <mergeCell ref="U3:X3"/>
    <mergeCell ref="Z3:AC3"/>
    <mergeCell ref="BD3:BG3"/>
    <mergeCell ref="AY3:BB3"/>
    <mergeCell ref="AT3:AW3"/>
    <mergeCell ref="AJ3:AM3"/>
    <mergeCell ref="AO3:AR3"/>
  </mergeCells>
  <pageMargins left="0.7" right="0.7" top="0.75" bottom="0.75" header="0.3" footer="0.3"/>
  <pageSetup orientation="portrait" r:id="rId1"/>
  <ignoredErrors>
    <ignoredError sqref="AD12:AS12 AF11:AH11 AD20:AS20 AF19:AS19 AN44 AD25:AS39 AD42:AS42 AI40 AE50:AL50 AD47:AO47 AD49:AH49 AE48:AO48 AE51:AS51 AD17:AS17 AI14 AI16 AI18 AI21 AE23:AS23 AE24:AS24 AN21 AS21 AN15 AE13:AK13 AJ49:AM49 AO49:AR49 AJ11:AM11 AQ54 AQ53 AN14 AN16 AN18 AN40 AM13:AS13 AN50:AS50 AO11:AR11 AS18 AS14 AS15 AS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05"/>
  <sheetViews>
    <sheetView showGridLines="0" zoomScale="71" zoomScaleNormal="145" workbookViewId="0">
      <pane xSplit="4" ySplit="4" topLeftCell="AD5" activePane="bottomRight" state="frozen"/>
      <selection pane="topRight" activeCell="E1" sqref="E1"/>
      <selection pane="bottomLeft" activeCell="A5" sqref="A5"/>
      <selection pane="bottomRight" activeCell="AI23" sqref="AI23"/>
    </sheetView>
  </sheetViews>
  <sheetFormatPr defaultRowHeight="12.5" outlineLevelCol="1"/>
  <cols>
    <col min="1" max="1" width="3.453125" style="31" customWidth="1"/>
    <col min="2" max="2" width="3.7265625" style="31" customWidth="1"/>
    <col min="3" max="3" width="4.1796875" style="31" customWidth="1"/>
    <col min="4" max="4" width="28.1796875" style="31" customWidth="1"/>
    <col min="5" max="5" width="9.1796875" style="31" customWidth="1"/>
    <col min="6" max="9" width="9.1796875" style="1" hidden="1" customWidth="1" outlineLevel="1"/>
    <col min="10" max="10" width="9.1796875" style="1" customWidth="1" collapsed="1"/>
    <col min="11" max="14" width="9.1796875" style="1" hidden="1" customWidth="1" outlineLevel="1"/>
    <col min="15" max="15" width="9.1796875" style="1" customWidth="1" collapsed="1"/>
    <col min="16" max="19" width="9.1796875" style="1" hidden="1" customWidth="1" outlineLevel="1"/>
    <col min="20" max="20" width="9.1796875" style="1" customWidth="1" collapsed="1"/>
    <col min="21" max="24" width="9.1796875" style="1" hidden="1" customWidth="1" outlineLevel="1"/>
    <col min="25" max="25" width="9.1796875" style="1" customWidth="1" collapsed="1"/>
    <col min="26" max="29" width="9.1796875" style="1" hidden="1" customWidth="1" outlineLevel="1"/>
    <col min="30" max="30" width="9.1796875" style="1" collapsed="1"/>
    <col min="31" max="34" width="9.1796875" style="1" hidden="1" customWidth="1" outlineLevel="1"/>
    <col min="35" max="35" width="9.1796875" style="1" collapsed="1"/>
    <col min="36" max="39" width="9.1796875" style="1" hidden="1" customWidth="1" outlineLevel="1"/>
    <col min="40" max="40" width="9.1796875" style="1" collapsed="1"/>
    <col min="41" max="43" width="9.1796875" style="1" hidden="1" customWidth="1" outlineLevel="1"/>
    <col min="44" max="44" width="8.26953125" style="1" hidden="1" customWidth="1" outlineLevel="1"/>
    <col min="45" max="45" width="9.1796875" style="1" collapsed="1"/>
    <col min="46" max="49" width="9.1796875" style="1" hidden="1" customWidth="1" outlineLevel="1"/>
    <col min="50" max="50" width="9.1796875" style="1" collapsed="1"/>
    <col min="51" max="54" width="9.1796875" style="1" customWidth="1" outlineLevel="1"/>
    <col min="55" max="60" width="9.1796875" style="1"/>
    <col min="61" max="70" width="8.7265625" style="1"/>
    <col min="71" max="16339" width="9.1796875" style="1"/>
    <col min="16340" max="16384" width="9.1796875" style="250"/>
  </cols>
  <sheetData>
    <row r="1" spans="1:70 16340:16384" s="8" customFormat="1" ht="15.5">
      <c r="A1" s="26" t="s">
        <v>55</v>
      </c>
      <c r="B1" s="27"/>
      <c r="C1" s="27"/>
      <c r="D1" s="27"/>
      <c r="E1" s="28"/>
      <c r="F1" s="7"/>
      <c r="G1" s="7"/>
      <c r="H1" s="7"/>
      <c r="I1" s="7"/>
      <c r="J1" s="7"/>
      <c r="K1" s="7"/>
      <c r="L1" s="7"/>
      <c r="M1" s="7"/>
      <c r="N1" s="7"/>
      <c r="O1" s="9"/>
      <c r="P1" s="7"/>
      <c r="Q1" s="7"/>
      <c r="R1" s="7"/>
      <c r="S1" s="7"/>
      <c r="T1" s="9"/>
      <c r="U1" s="7"/>
      <c r="V1" s="7"/>
      <c r="W1" s="7"/>
      <c r="X1" s="10"/>
      <c r="Y1" s="11"/>
      <c r="Z1" s="7"/>
      <c r="AA1" s="7"/>
      <c r="AB1" s="7"/>
      <c r="AC1" s="246">
        <f>CF!AC17</f>
        <v>-8.3500000000000227</v>
      </c>
      <c r="AD1" s="246">
        <f>CF!AD17</f>
        <v>51.70999999999998</v>
      </c>
      <c r="AE1" s="246">
        <f>CF!AE17</f>
        <v>-33.254000000000019</v>
      </c>
      <c r="AF1" s="246">
        <f>CF!AF17</f>
        <v>-22.641999999999996</v>
      </c>
      <c r="AG1" s="246">
        <f>CF!AG17</f>
        <v>23.16500000000002</v>
      </c>
      <c r="AH1" s="246">
        <f>CF!AH17</f>
        <v>1.7459999999999809</v>
      </c>
      <c r="AI1" s="246">
        <f>CF!AI17</f>
        <v>-30.985000000000014</v>
      </c>
      <c r="AJ1" s="246">
        <f>CF!AJ17</f>
        <v>-2.728999999999985</v>
      </c>
      <c r="AK1" s="246">
        <f>CF!AK17</f>
        <v>39.708000000000027</v>
      </c>
      <c r="AL1" s="246">
        <f>CF!AL17</f>
        <v>8.7649999999999864</v>
      </c>
      <c r="AM1" s="246">
        <f>CF!AM17</f>
        <v>-2.9429999999999836</v>
      </c>
      <c r="AN1" s="246">
        <f>CF!AN17</f>
        <v>42.801000000000045</v>
      </c>
      <c r="AO1" s="246">
        <f>CF!AO17</f>
        <v>-42.317000000000007</v>
      </c>
      <c r="AP1" s="246">
        <f>CF!AP17</f>
        <v>51.012999999999977</v>
      </c>
      <c r="AQ1" s="246">
        <f>CF!AQ17</f>
        <v>63.826999999999998</v>
      </c>
      <c r="AR1" s="246">
        <f>CF!AR17</f>
        <v>53.234000000000037</v>
      </c>
      <c r="AS1" s="246">
        <f>CF!AS17</f>
        <v>125.75700000000001</v>
      </c>
      <c r="AT1" s="246">
        <f>CF!BD17</f>
        <v>9.845657298560468</v>
      </c>
      <c r="AU1" s="246">
        <f>CF!BE17</f>
        <v>23.446051780894891</v>
      </c>
      <c r="AV1" s="246">
        <f>CF!BF17</f>
        <v>21.108651191168917</v>
      </c>
      <c r="AW1" s="246">
        <f>CF!BG17</f>
        <v>13.181523365165674</v>
      </c>
      <c r="AX1" s="246">
        <f>CF!BH17</f>
        <v>67.58188363578995</v>
      </c>
      <c r="AY1" s="246">
        <f>CF!BI17</f>
        <v>-1.7949194290237074</v>
      </c>
      <c r="AZ1" s="246">
        <f>CF!BJ17</f>
        <v>0.60965244266850505</v>
      </c>
      <c r="BA1" s="246">
        <f>CF!BK17</f>
        <v>-0.70543694388339873</v>
      </c>
      <c r="BB1" s="246">
        <f>CF!BL17</f>
        <v>1.8907039302386011</v>
      </c>
      <c r="BC1" s="246">
        <f>CF!BM17</f>
        <v>0</v>
      </c>
      <c r="XDL1" s="250"/>
      <c r="XDM1" s="250"/>
      <c r="XDN1" s="250"/>
      <c r="XDO1" s="250"/>
      <c r="XDP1" s="250"/>
      <c r="XDQ1" s="250"/>
      <c r="XDR1" s="250"/>
      <c r="XDS1" s="250"/>
      <c r="XDT1" s="250"/>
      <c r="XDU1" s="250"/>
      <c r="XDV1" s="250"/>
      <c r="XDW1" s="250"/>
      <c r="XDX1" s="250"/>
      <c r="XDY1" s="250"/>
      <c r="XDZ1" s="250"/>
      <c r="XEA1" s="250"/>
      <c r="XEB1" s="250"/>
      <c r="XEC1" s="250"/>
      <c r="XED1" s="250"/>
      <c r="XEE1" s="250"/>
      <c r="XEF1" s="250"/>
      <c r="XEG1" s="250"/>
      <c r="XEH1" s="250"/>
      <c r="XEI1" s="250"/>
      <c r="XEJ1" s="250"/>
      <c r="XEK1" s="250"/>
      <c r="XEL1" s="250"/>
      <c r="XEM1" s="250"/>
      <c r="XEN1" s="250"/>
      <c r="XEO1" s="250"/>
      <c r="XEP1" s="250"/>
      <c r="XEQ1" s="250"/>
      <c r="XER1" s="250"/>
      <c r="XES1" s="250"/>
      <c r="XET1" s="250"/>
      <c r="XEU1" s="250"/>
      <c r="XEV1" s="250"/>
      <c r="XEW1" s="250"/>
      <c r="XEX1" s="250"/>
      <c r="XEY1" s="250"/>
      <c r="XEZ1" s="250"/>
      <c r="XFA1" s="250"/>
      <c r="XFB1" s="250"/>
      <c r="XFC1" s="250"/>
      <c r="XFD1" s="250"/>
    </row>
    <row r="2" spans="1:70 16340:16384" s="8" customFormat="1">
      <c r="A2" s="29" t="s">
        <v>40</v>
      </c>
      <c r="B2" s="29"/>
      <c r="C2" s="29"/>
      <c r="D2" s="30"/>
      <c r="E2" s="28"/>
      <c r="F2" s="14">
        <v>40268</v>
      </c>
      <c r="G2" s="14">
        <f>+EOMONTH(F2,3)</f>
        <v>40359</v>
      </c>
      <c r="H2" s="14">
        <f t="shared" ref="H2:I2" si="0">+EOMONTH(G2,3)</f>
        <v>40451</v>
      </c>
      <c r="I2" s="14">
        <f t="shared" si="0"/>
        <v>40543</v>
      </c>
      <c r="J2" s="14"/>
      <c r="K2" s="14">
        <f>+EOMONTH(F2,12)</f>
        <v>40633</v>
      </c>
      <c r="L2" s="14">
        <f>+EOMONTH(G2,12)</f>
        <v>40724</v>
      </c>
      <c r="M2" s="14">
        <f>+EOMONTH(H2,12)</f>
        <v>40816</v>
      </c>
      <c r="N2" s="14">
        <f>+EOMONTH(I2,12)</f>
        <v>40908</v>
      </c>
      <c r="O2" s="15"/>
      <c r="P2" s="16">
        <f>EOMONTH(K2,12)</f>
        <v>40999</v>
      </c>
      <c r="Q2" s="16">
        <f t="shared" ref="Q2:S2" si="1">EOMONTH(L2,12)</f>
        <v>41090</v>
      </c>
      <c r="R2" s="16">
        <f t="shared" si="1"/>
        <v>41182</v>
      </c>
      <c r="S2" s="16">
        <f t="shared" si="1"/>
        <v>41274</v>
      </c>
      <c r="T2" s="15"/>
      <c r="U2" s="16">
        <f>EOMONTH(P2,12)</f>
        <v>41364</v>
      </c>
      <c r="V2" s="16">
        <f t="shared" ref="V2" si="2">EOMONTH(Q2,12)</f>
        <v>41455</v>
      </c>
      <c r="W2" s="16">
        <f t="shared" ref="W2" si="3">EOMONTH(R2,12)</f>
        <v>41547</v>
      </c>
      <c r="X2" s="16">
        <f t="shared" ref="X2" si="4">EOMONTH(S2,12)</f>
        <v>41639</v>
      </c>
      <c r="Y2" s="15"/>
      <c r="Z2" s="16">
        <f>EOMONTH(U2,12)</f>
        <v>41729</v>
      </c>
      <c r="AA2" s="16">
        <f t="shared" ref="AA2" si="5">EOMONTH(V2,12)</f>
        <v>41820</v>
      </c>
      <c r="AB2" s="16">
        <f t="shared" ref="AB2" si="6">EOMONTH(W2,12)</f>
        <v>41912</v>
      </c>
      <c r="AC2" s="16">
        <f t="shared" ref="AC2" si="7">EOMONTH(X2,12)</f>
        <v>42004</v>
      </c>
      <c r="AD2" s="15"/>
      <c r="AE2" s="16">
        <f>EOMONTH(Z2,12)</f>
        <v>42094</v>
      </c>
      <c r="AF2" s="16">
        <f t="shared" ref="AF2" si="8">EOMONTH(AA2,12)</f>
        <v>42185</v>
      </c>
      <c r="AG2" s="16">
        <f t="shared" ref="AG2" si="9">EOMONTH(AB2,12)</f>
        <v>42277</v>
      </c>
      <c r="AH2" s="16">
        <f t="shared" ref="AH2" si="10">EOMONTH(AC2,12)</f>
        <v>42369</v>
      </c>
      <c r="AI2" s="18"/>
      <c r="AJ2" s="16">
        <f>EOMONTH(AE2,12)</f>
        <v>42460</v>
      </c>
      <c r="AK2" s="16">
        <f t="shared" ref="AK2" si="11">EOMONTH(AF2,12)</f>
        <v>42551</v>
      </c>
      <c r="AL2" s="16">
        <f t="shared" ref="AL2" si="12">EOMONTH(AG2,12)</f>
        <v>42643</v>
      </c>
      <c r="AM2" s="16">
        <f t="shared" ref="AM2" si="13">EOMONTH(AH2,12)</f>
        <v>42735</v>
      </c>
      <c r="AO2" s="16">
        <f>EOMONTH(AJ2,12)</f>
        <v>42825</v>
      </c>
      <c r="AP2" s="16">
        <f t="shared" ref="AP2" si="14">EOMONTH(AK2,12)</f>
        <v>42916</v>
      </c>
      <c r="AQ2" s="16">
        <f t="shared" ref="AQ2" si="15">EOMONTH(AL2,12)</f>
        <v>43008</v>
      </c>
      <c r="AR2" s="16">
        <f t="shared" ref="AR2" si="16">EOMONTH(AM2,12)</f>
        <v>43100</v>
      </c>
      <c r="AT2" s="16">
        <f>EOMONTH(AO2,12)</f>
        <v>43190</v>
      </c>
      <c r="AU2" s="16">
        <f t="shared" ref="AU2" si="17">EOMONTH(AP2,12)</f>
        <v>43281</v>
      </c>
      <c r="AV2" s="16">
        <f t="shared" ref="AV2" si="18">EOMONTH(AQ2,12)</f>
        <v>43373</v>
      </c>
      <c r="AW2" s="16">
        <f t="shared" ref="AW2" si="19">EOMONTH(AR2,12)</f>
        <v>43465</v>
      </c>
      <c r="AY2" s="16">
        <f>EOMONTH(AT2,12)</f>
        <v>43555</v>
      </c>
      <c r="AZ2" s="16">
        <f t="shared" ref="AZ2" si="20">EOMONTH(AU2,12)</f>
        <v>43646</v>
      </c>
      <c r="BA2" s="16">
        <f t="shared" ref="BA2" si="21">EOMONTH(AV2,12)</f>
        <v>43738</v>
      </c>
      <c r="BB2" s="16">
        <f t="shared" ref="BB2" si="22">EOMONTH(AW2,12)</f>
        <v>43830</v>
      </c>
      <c r="BD2" s="16">
        <f>EOMONTH(AY2,12)</f>
        <v>43921</v>
      </c>
      <c r="BE2" s="16">
        <f t="shared" ref="BE2" si="23">EOMONTH(AZ2,12)</f>
        <v>44012</v>
      </c>
      <c r="BF2" s="16">
        <f t="shared" ref="BF2" si="24">EOMONTH(BA2,12)</f>
        <v>44104</v>
      </c>
      <c r="BG2" s="16">
        <f t="shared" ref="BG2" si="25">EOMONTH(BB2,12)</f>
        <v>44196</v>
      </c>
      <c r="BI2" s="16">
        <f>EOMONTH(BD2,12)</f>
        <v>44286</v>
      </c>
      <c r="BJ2" s="16">
        <f t="shared" ref="BJ2" si="26">EOMONTH(BE2,12)</f>
        <v>44377</v>
      </c>
      <c r="BK2" s="16">
        <f t="shared" ref="BK2" si="27">EOMONTH(BF2,12)</f>
        <v>44469</v>
      </c>
      <c r="BL2" s="16">
        <f t="shared" ref="BL2" si="28">EOMONTH(BG2,12)</f>
        <v>44561</v>
      </c>
      <c r="BN2" s="16">
        <f>EOMONTH(BI2,12)</f>
        <v>44651</v>
      </c>
      <c r="BO2" s="16">
        <f t="shared" ref="BO2" si="29">EOMONTH(BJ2,12)</f>
        <v>44742</v>
      </c>
      <c r="BP2" s="16">
        <f t="shared" ref="BP2" si="30">EOMONTH(BK2,12)</f>
        <v>44834</v>
      </c>
      <c r="BQ2" s="16">
        <f t="shared" ref="BQ2" si="31">EOMONTH(BL2,12)</f>
        <v>44926</v>
      </c>
      <c r="XDL2" s="250"/>
      <c r="XDM2" s="250"/>
      <c r="XDN2" s="250"/>
      <c r="XDO2" s="250"/>
      <c r="XDP2" s="250"/>
      <c r="XDQ2" s="250"/>
      <c r="XDR2" s="250"/>
      <c r="XDS2" s="250"/>
      <c r="XDT2" s="250"/>
      <c r="XDU2" s="250"/>
      <c r="XDV2" s="250"/>
      <c r="XDW2" s="250"/>
      <c r="XDX2" s="250"/>
      <c r="XDY2" s="250"/>
      <c r="XDZ2" s="250"/>
      <c r="XEA2" s="250"/>
      <c r="XEB2" s="250"/>
      <c r="XEC2" s="250"/>
      <c r="XED2" s="250"/>
      <c r="XEE2" s="250"/>
      <c r="XEF2" s="250"/>
      <c r="XEG2" s="250"/>
      <c r="XEH2" s="250"/>
      <c r="XEI2" s="250"/>
      <c r="XEJ2" s="250"/>
      <c r="XEK2" s="250"/>
      <c r="XEL2" s="250"/>
      <c r="XEM2" s="250"/>
      <c r="XEN2" s="250"/>
      <c r="XEO2" s="250"/>
      <c r="XEP2" s="250"/>
      <c r="XEQ2" s="250"/>
      <c r="XER2" s="250"/>
      <c r="XES2" s="250"/>
      <c r="XET2" s="250"/>
      <c r="XEU2" s="250"/>
      <c r="XEV2" s="250"/>
      <c r="XEW2" s="250"/>
      <c r="XEX2" s="250"/>
      <c r="XEY2" s="250"/>
      <c r="XEZ2" s="250"/>
      <c r="XFA2" s="250"/>
      <c r="XFB2" s="250"/>
      <c r="XFC2" s="250"/>
      <c r="XFD2" s="250"/>
    </row>
    <row r="3" spans="1:70 16340:16384" s="8" customFormat="1">
      <c r="A3" s="29" t="s">
        <v>56</v>
      </c>
      <c r="B3" s="29"/>
      <c r="C3" s="29"/>
      <c r="D3" s="29"/>
      <c r="E3" s="28"/>
      <c r="F3" s="470">
        <v>2010</v>
      </c>
      <c r="G3" s="470"/>
      <c r="H3" s="470"/>
      <c r="I3" s="472"/>
      <c r="J3" s="19">
        <f>+F3</f>
        <v>2010</v>
      </c>
      <c r="K3" s="471">
        <v>2011</v>
      </c>
      <c r="L3" s="470"/>
      <c r="M3" s="470"/>
      <c r="N3" s="472"/>
      <c r="O3" s="19">
        <f>+K3</f>
        <v>2011</v>
      </c>
      <c r="P3" s="471">
        <v>2012</v>
      </c>
      <c r="Q3" s="470"/>
      <c r="R3" s="470"/>
      <c r="S3" s="472"/>
      <c r="T3" s="19">
        <f>+P3</f>
        <v>2012</v>
      </c>
      <c r="U3" s="471">
        <v>2013</v>
      </c>
      <c r="V3" s="470"/>
      <c r="W3" s="470"/>
      <c r="X3" s="472"/>
      <c r="Y3" s="19">
        <f>+U3</f>
        <v>2013</v>
      </c>
      <c r="Z3" s="471">
        <v>2014</v>
      </c>
      <c r="AA3" s="470"/>
      <c r="AB3" s="470"/>
      <c r="AC3" s="472"/>
      <c r="AD3" s="19">
        <f>+Z3</f>
        <v>2014</v>
      </c>
      <c r="AE3" s="471">
        <v>2015</v>
      </c>
      <c r="AF3" s="470"/>
      <c r="AG3" s="470"/>
      <c r="AH3" s="472"/>
      <c r="AI3" s="19">
        <f>+AE3</f>
        <v>2015</v>
      </c>
      <c r="AJ3" s="471">
        <v>2016</v>
      </c>
      <c r="AK3" s="470"/>
      <c r="AL3" s="470"/>
      <c r="AM3" s="472"/>
      <c r="AN3" s="19">
        <f>+AJ3</f>
        <v>2016</v>
      </c>
      <c r="AO3" s="471">
        <v>2017</v>
      </c>
      <c r="AP3" s="470"/>
      <c r="AQ3" s="470"/>
      <c r="AR3" s="472"/>
      <c r="AS3" s="19">
        <f>+AO3</f>
        <v>2017</v>
      </c>
      <c r="AT3" s="471">
        <v>2018</v>
      </c>
      <c r="AU3" s="470"/>
      <c r="AV3" s="470"/>
      <c r="AW3" s="472"/>
      <c r="AX3" s="19">
        <f>+AT3</f>
        <v>2018</v>
      </c>
      <c r="AY3" s="471" t="s">
        <v>146</v>
      </c>
      <c r="AZ3" s="470"/>
      <c r="BA3" s="470"/>
      <c r="BB3" s="472"/>
      <c r="BC3" s="19" t="str">
        <f>+AY3</f>
        <v>2019E</v>
      </c>
      <c r="BD3" s="471" t="s">
        <v>148</v>
      </c>
      <c r="BE3" s="470"/>
      <c r="BF3" s="470"/>
      <c r="BG3" s="472"/>
      <c r="BH3" s="19" t="str">
        <f>+BD3</f>
        <v>2020E</v>
      </c>
      <c r="BI3" s="471" t="s">
        <v>149</v>
      </c>
      <c r="BJ3" s="470"/>
      <c r="BK3" s="470"/>
      <c r="BL3" s="472"/>
      <c r="BM3" s="19" t="str">
        <f>+BI3</f>
        <v>2021E</v>
      </c>
      <c r="BN3" s="471" t="s">
        <v>150</v>
      </c>
      <c r="BO3" s="470"/>
      <c r="BP3" s="470"/>
      <c r="BQ3" s="472"/>
      <c r="BR3" s="19" t="str">
        <f>+BN3</f>
        <v>2022E</v>
      </c>
      <c r="XDL3" s="250"/>
      <c r="XDM3" s="250"/>
      <c r="XDN3" s="250"/>
      <c r="XDO3" s="250"/>
      <c r="XDP3" s="250"/>
      <c r="XDQ3" s="250"/>
      <c r="XDR3" s="250"/>
      <c r="XDS3" s="250"/>
      <c r="XDT3" s="250"/>
      <c r="XDU3" s="250"/>
      <c r="XDV3" s="250"/>
      <c r="XDW3" s="250"/>
      <c r="XDX3" s="250"/>
      <c r="XDY3" s="250"/>
      <c r="XDZ3" s="250"/>
      <c r="XEA3" s="250"/>
      <c r="XEB3" s="250"/>
      <c r="XEC3" s="250"/>
      <c r="XED3" s="250"/>
      <c r="XEE3" s="250"/>
      <c r="XEF3" s="250"/>
      <c r="XEG3" s="250"/>
      <c r="XEH3" s="250"/>
      <c r="XEI3" s="250"/>
      <c r="XEJ3" s="250"/>
      <c r="XEK3" s="250"/>
      <c r="XEL3" s="250"/>
      <c r="XEM3" s="250"/>
      <c r="XEN3" s="250"/>
      <c r="XEO3" s="250"/>
      <c r="XEP3" s="250"/>
      <c r="XEQ3" s="250"/>
      <c r="XER3" s="250"/>
      <c r="XES3" s="250"/>
      <c r="XET3" s="250"/>
      <c r="XEU3" s="250"/>
      <c r="XEV3" s="250"/>
      <c r="XEW3" s="250"/>
      <c r="XEX3" s="250"/>
      <c r="XEY3" s="250"/>
      <c r="XEZ3" s="250"/>
      <c r="XFA3" s="250"/>
      <c r="XFB3" s="250"/>
      <c r="XFC3" s="250"/>
      <c r="XFD3" s="250"/>
    </row>
    <row r="4" spans="1:70 16340:16384" s="8" customFormat="1">
      <c r="A4" s="29" t="s">
        <v>28</v>
      </c>
      <c r="B4" s="29"/>
      <c r="C4" s="29"/>
      <c r="D4" s="29"/>
      <c r="E4" s="28"/>
      <c r="F4" s="20" t="s">
        <v>29</v>
      </c>
      <c r="G4" s="20" t="s">
        <v>30</v>
      </c>
      <c r="H4" s="20" t="s">
        <v>31</v>
      </c>
      <c r="I4" s="20" t="s">
        <v>32</v>
      </c>
      <c r="J4" s="21" t="s">
        <v>33</v>
      </c>
      <c r="K4" s="20" t="s">
        <v>29</v>
      </c>
      <c r="L4" s="20" t="s">
        <v>30</v>
      </c>
      <c r="M4" s="20" t="s">
        <v>31</v>
      </c>
      <c r="N4" s="20" t="s">
        <v>32</v>
      </c>
      <c r="O4" s="21" t="s">
        <v>33</v>
      </c>
      <c r="P4" s="20" t="s">
        <v>29</v>
      </c>
      <c r="Q4" s="20" t="s">
        <v>30</v>
      </c>
      <c r="R4" s="20" t="s">
        <v>31</v>
      </c>
      <c r="S4" s="20" t="s">
        <v>32</v>
      </c>
      <c r="T4" s="21" t="s">
        <v>33</v>
      </c>
      <c r="U4" s="20" t="s">
        <v>29</v>
      </c>
      <c r="V4" s="20" t="s">
        <v>34</v>
      </c>
      <c r="W4" s="20" t="s">
        <v>35</v>
      </c>
      <c r="X4" s="20" t="s">
        <v>36</v>
      </c>
      <c r="Y4" s="21" t="s">
        <v>33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29</v>
      </c>
      <c r="AF4" s="20" t="s">
        <v>30</v>
      </c>
      <c r="AG4" s="20" t="s">
        <v>31</v>
      </c>
      <c r="AH4" s="20" t="s">
        <v>32</v>
      </c>
      <c r="AI4" s="21" t="s">
        <v>33</v>
      </c>
      <c r="AJ4" s="20" t="s">
        <v>29</v>
      </c>
      <c r="AK4" s="20" t="s">
        <v>30</v>
      </c>
      <c r="AL4" s="20" t="s">
        <v>31</v>
      </c>
      <c r="AM4" s="20" t="s">
        <v>32</v>
      </c>
      <c r="AN4" s="21" t="s">
        <v>33</v>
      </c>
      <c r="AO4" s="20" t="s">
        <v>29</v>
      </c>
      <c r="AP4" s="20" t="s">
        <v>30</v>
      </c>
      <c r="AQ4" s="20" t="s">
        <v>31</v>
      </c>
      <c r="AR4" s="20" t="s">
        <v>32</v>
      </c>
      <c r="AS4" s="21" t="s">
        <v>33</v>
      </c>
      <c r="AT4" s="20" t="s">
        <v>29</v>
      </c>
      <c r="AU4" s="20" t="s">
        <v>30</v>
      </c>
      <c r="AV4" s="20" t="s">
        <v>31</v>
      </c>
      <c r="AW4" s="20" t="s">
        <v>32</v>
      </c>
      <c r="AX4" s="21" t="s">
        <v>33</v>
      </c>
      <c r="AY4" s="20" t="s">
        <v>29</v>
      </c>
      <c r="AZ4" s="20" t="s">
        <v>30</v>
      </c>
      <c r="BA4" s="20" t="s">
        <v>31</v>
      </c>
      <c r="BB4" s="20" t="s">
        <v>36</v>
      </c>
      <c r="BC4" s="21" t="s">
        <v>33</v>
      </c>
      <c r="BD4" s="20" t="s">
        <v>37</v>
      </c>
      <c r="BE4" s="20" t="s">
        <v>34</v>
      </c>
      <c r="BF4" s="20" t="s">
        <v>35</v>
      </c>
      <c r="BG4" s="20" t="s">
        <v>36</v>
      </c>
      <c r="BH4" s="21" t="s">
        <v>33</v>
      </c>
      <c r="BI4" s="20" t="s">
        <v>37</v>
      </c>
      <c r="BJ4" s="20" t="s">
        <v>34</v>
      </c>
      <c r="BK4" s="20" t="s">
        <v>35</v>
      </c>
      <c r="BL4" s="20" t="s">
        <v>36</v>
      </c>
      <c r="BM4" s="21" t="s">
        <v>33</v>
      </c>
      <c r="BN4" s="20" t="s">
        <v>37</v>
      </c>
      <c r="BO4" s="20" t="s">
        <v>34</v>
      </c>
      <c r="BP4" s="20" t="s">
        <v>35</v>
      </c>
      <c r="BQ4" s="20" t="s">
        <v>36</v>
      </c>
      <c r="BR4" s="21" t="s">
        <v>33</v>
      </c>
      <c r="XDL4" s="250"/>
      <c r="XDM4" s="250"/>
      <c r="XDN4" s="250"/>
      <c r="XDO4" s="250"/>
      <c r="XDP4" s="250"/>
      <c r="XDQ4" s="250"/>
      <c r="XDR4" s="250"/>
      <c r="XDS4" s="250"/>
      <c r="XDT4" s="250"/>
      <c r="XDU4" s="250"/>
      <c r="XDV4" s="250"/>
      <c r="XDW4" s="250"/>
      <c r="XDX4" s="250"/>
      <c r="XDY4" s="250"/>
      <c r="XDZ4" s="250"/>
      <c r="XEA4" s="250"/>
      <c r="XEB4" s="250"/>
      <c r="XEC4" s="250"/>
      <c r="XED4" s="250"/>
      <c r="XEE4" s="250"/>
      <c r="XEF4" s="250"/>
      <c r="XEG4" s="250"/>
      <c r="XEH4" s="250"/>
      <c r="XEI4" s="250"/>
      <c r="XEJ4" s="250"/>
      <c r="XEK4" s="250"/>
      <c r="XEL4" s="250"/>
      <c r="XEM4" s="250"/>
      <c r="XEN4" s="250"/>
      <c r="XEO4" s="250"/>
      <c r="XEP4" s="250"/>
      <c r="XEQ4" s="250"/>
      <c r="XER4" s="250"/>
      <c r="XES4" s="250"/>
      <c r="XET4" s="250"/>
      <c r="XEU4" s="250"/>
      <c r="XEV4" s="250"/>
      <c r="XEW4" s="250"/>
      <c r="XEX4" s="250"/>
      <c r="XEY4" s="250"/>
      <c r="XEZ4" s="250"/>
      <c r="XFA4" s="250"/>
      <c r="XFB4" s="250"/>
      <c r="XFC4" s="250"/>
      <c r="XFD4" s="250"/>
    </row>
    <row r="5" spans="1:70 16340:16384" ht="12.75" customHeight="1">
      <c r="A5" s="109" t="s">
        <v>0</v>
      </c>
      <c r="B5" s="109"/>
      <c r="C5" s="109"/>
      <c r="D5" s="109"/>
      <c r="E5" s="109"/>
      <c r="F5" s="162"/>
      <c r="G5" s="163"/>
      <c r="H5" s="164"/>
      <c r="I5" s="164"/>
      <c r="J5" s="165"/>
      <c r="K5" s="166"/>
      <c r="L5" s="164"/>
      <c r="M5" s="164"/>
      <c r="N5" s="164"/>
      <c r="O5" s="167"/>
      <c r="P5" s="166"/>
      <c r="Q5" s="164"/>
      <c r="R5" s="164"/>
      <c r="S5" s="164"/>
      <c r="T5" s="167"/>
      <c r="U5" s="166"/>
      <c r="V5" s="164"/>
      <c r="W5" s="164"/>
      <c r="X5" s="164"/>
      <c r="Y5" s="167"/>
      <c r="Z5" s="166"/>
      <c r="AA5" s="164"/>
      <c r="AB5" s="164"/>
      <c r="AC5" s="164"/>
      <c r="AD5" s="167"/>
      <c r="AE5" s="166"/>
      <c r="AF5" s="164"/>
      <c r="AG5" s="164"/>
      <c r="AH5" s="164"/>
      <c r="AI5" s="167"/>
      <c r="AJ5" s="166"/>
      <c r="AK5" s="164"/>
      <c r="AL5" s="164"/>
      <c r="AM5" s="164"/>
      <c r="AN5" s="167"/>
      <c r="AO5" s="166"/>
      <c r="AP5" s="164"/>
      <c r="AQ5" s="164"/>
      <c r="AR5" s="164"/>
      <c r="AS5" s="167"/>
      <c r="AT5" s="166"/>
      <c r="AU5" s="164"/>
      <c r="AV5" s="164"/>
      <c r="AW5" s="164"/>
      <c r="AX5" s="167"/>
      <c r="AY5" s="166"/>
      <c r="AZ5" s="164"/>
      <c r="BA5" s="164"/>
      <c r="BB5" s="164"/>
      <c r="BC5" s="167"/>
      <c r="BD5" s="166"/>
      <c r="BE5" s="164"/>
      <c r="BF5" s="164"/>
      <c r="BG5" s="164"/>
      <c r="BH5" s="167"/>
      <c r="BI5" s="166"/>
      <c r="BJ5" s="164"/>
      <c r="BK5" s="164"/>
      <c r="BL5" s="164"/>
      <c r="BM5" s="167"/>
      <c r="BN5" s="166"/>
      <c r="BO5" s="164"/>
      <c r="BP5" s="164"/>
      <c r="BQ5" s="164"/>
      <c r="BR5" s="167"/>
    </row>
    <row r="6" spans="1:70 16340:16384" ht="12.75" customHeight="1">
      <c r="A6" s="110" t="s">
        <v>1</v>
      </c>
      <c r="B6" s="110"/>
      <c r="C6" s="110"/>
      <c r="D6" s="110"/>
      <c r="E6" s="110"/>
      <c r="F6" s="163"/>
      <c r="G6" s="163"/>
      <c r="H6" s="164"/>
      <c r="I6" s="164"/>
      <c r="J6" s="168"/>
      <c r="K6" s="166"/>
      <c r="L6" s="164"/>
      <c r="M6" s="164"/>
      <c r="N6" s="164"/>
      <c r="O6" s="169"/>
      <c r="P6" s="166"/>
      <c r="Q6" s="164"/>
      <c r="R6" s="164"/>
      <c r="S6" s="164"/>
      <c r="T6" s="169"/>
      <c r="U6" s="166"/>
      <c r="V6" s="164"/>
      <c r="W6" s="164"/>
      <c r="X6" s="164"/>
      <c r="Y6" s="169"/>
      <c r="Z6" s="166"/>
      <c r="AA6" s="164"/>
      <c r="AB6" s="164"/>
      <c r="AC6" s="385"/>
      <c r="AD6" s="169"/>
      <c r="AE6" s="166"/>
      <c r="AF6" s="385"/>
      <c r="AG6" s="385"/>
      <c r="AH6" s="385"/>
      <c r="AI6" s="169"/>
      <c r="AJ6" s="166"/>
      <c r="AK6" s="164"/>
      <c r="AL6" s="164"/>
      <c r="AM6" s="164"/>
      <c r="AN6" s="169"/>
      <c r="AO6" s="166"/>
      <c r="AP6" s="164"/>
      <c r="AQ6" s="164"/>
      <c r="AR6" s="164"/>
      <c r="AS6" s="169"/>
      <c r="AT6" s="166"/>
      <c r="AU6" s="164"/>
      <c r="AV6" s="164"/>
      <c r="AW6" s="164"/>
      <c r="AX6" s="169"/>
      <c r="AY6" s="166"/>
      <c r="AZ6" s="164"/>
      <c r="BA6" s="164"/>
      <c r="BB6" s="164"/>
      <c r="BC6" s="169"/>
      <c r="BD6" s="166"/>
      <c r="BE6" s="164"/>
      <c r="BF6" s="164"/>
      <c r="BG6" s="164"/>
      <c r="BH6" s="169"/>
      <c r="BI6" s="166"/>
      <c r="BJ6" s="164"/>
      <c r="BK6" s="164"/>
      <c r="BL6" s="164"/>
      <c r="BM6" s="169"/>
      <c r="BN6" s="166"/>
      <c r="BO6" s="164"/>
      <c r="BP6" s="164"/>
      <c r="BQ6" s="164"/>
      <c r="BR6" s="169"/>
    </row>
    <row r="7" spans="1:70 16340:16384" ht="12.75" customHeight="1">
      <c r="A7" s="110"/>
      <c r="B7" s="199" t="s">
        <v>2</v>
      </c>
      <c r="C7" s="110"/>
      <c r="D7" s="110"/>
      <c r="E7" s="110"/>
      <c r="F7" s="170">
        <v>256.92700000000002</v>
      </c>
      <c r="G7" s="170">
        <v>303.21199999999999</v>
      </c>
      <c r="H7" s="171">
        <v>213.077</v>
      </c>
      <c r="I7" s="171">
        <f>J7</f>
        <v>471.37799999999999</v>
      </c>
      <c r="J7" s="172">
        <v>471.37799999999999</v>
      </c>
      <c r="K7" s="171">
        <v>367.10599999999999</v>
      </c>
      <c r="L7" s="171">
        <v>420.97800000000001</v>
      </c>
      <c r="M7" s="171">
        <v>273.32100000000003</v>
      </c>
      <c r="N7" s="171">
        <f>O7</f>
        <v>204.24</v>
      </c>
      <c r="O7" s="172">
        <v>204.24</v>
      </c>
      <c r="P7" s="171">
        <v>190.41399999999999</v>
      </c>
      <c r="Q7" s="171">
        <v>185.386</v>
      </c>
      <c r="R7" s="171">
        <v>180.77699999999999</v>
      </c>
      <c r="S7" s="171">
        <f>T7</f>
        <v>168.05600000000001</v>
      </c>
      <c r="T7" s="172">
        <v>168.05600000000001</v>
      </c>
      <c r="U7" s="171">
        <v>132.31800000000001</v>
      </c>
      <c r="V7" s="171">
        <v>142.678</v>
      </c>
      <c r="W7" s="171">
        <v>127.902</v>
      </c>
      <c r="X7" s="171">
        <f>Y7</f>
        <v>119.923</v>
      </c>
      <c r="Y7" s="172">
        <v>119.923</v>
      </c>
      <c r="Z7" s="171">
        <v>133.06399999999999</v>
      </c>
      <c r="AA7" s="171">
        <v>139.858</v>
      </c>
      <c r="AB7" s="171">
        <v>137.22800000000001</v>
      </c>
      <c r="AC7" s="386">
        <v>135.583</v>
      </c>
      <c r="AD7" s="172">
        <f>AC7</f>
        <v>135.583</v>
      </c>
      <c r="AE7" s="409">
        <v>145.958</v>
      </c>
      <c r="AF7" s="409">
        <v>106.917</v>
      </c>
      <c r="AG7" s="409">
        <v>96.894000000000005</v>
      </c>
      <c r="AH7" s="409">
        <v>75.451999999999998</v>
      </c>
      <c r="AI7" s="172">
        <f>AH7</f>
        <v>75.451999999999998</v>
      </c>
      <c r="AJ7" s="409">
        <v>90.581999999999994</v>
      </c>
      <c r="AK7" s="409">
        <v>93.622</v>
      </c>
      <c r="AL7" s="409">
        <v>170.744</v>
      </c>
      <c r="AM7" s="409">
        <v>146.10300000000001</v>
      </c>
      <c r="AN7" s="450">
        <f>AM7</f>
        <v>146.10300000000001</v>
      </c>
      <c r="AO7" s="409">
        <v>104.81699999999999</v>
      </c>
      <c r="AP7" s="409">
        <v>172.92699999999999</v>
      </c>
      <c r="AQ7" s="409">
        <v>221.87799999999999</v>
      </c>
      <c r="AR7" s="392">
        <v>192.86799999999999</v>
      </c>
      <c r="AS7" s="172">
        <f>AR7</f>
        <v>192.86799999999999</v>
      </c>
      <c r="AT7" s="233">
        <v>174.34</v>
      </c>
      <c r="AU7" s="233">
        <v>138.56899999999999</v>
      </c>
      <c r="AV7" s="233">
        <v>118.258</v>
      </c>
      <c r="AW7" s="233">
        <v>116.075</v>
      </c>
      <c r="AX7" s="172">
        <f>AW7</f>
        <v>116.075</v>
      </c>
      <c r="AY7" s="233">
        <v>101.482</v>
      </c>
      <c r="AZ7" s="233">
        <v>149.881</v>
      </c>
      <c r="BA7" s="233">
        <v>207.13</v>
      </c>
      <c r="BB7" s="233">
        <f>CF!BB41</f>
        <v>362.24289043384726</v>
      </c>
      <c r="BC7" s="172">
        <f>BB7</f>
        <v>362.24289043384726</v>
      </c>
      <c r="BD7" s="233">
        <f>CF!BD41</f>
        <v>426.76476647381497</v>
      </c>
      <c r="BE7" s="233">
        <f>CF!BE41</f>
        <v>527.2773168915279</v>
      </c>
      <c r="BF7" s="233">
        <f>CF!BF41</f>
        <v>617.77956337350361</v>
      </c>
      <c r="BG7" s="233">
        <f>CF!BG41</f>
        <v>683.33369908378791</v>
      </c>
      <c r="BH7" s="172">
        <f>BG7</f>
        <v>683.33369908378791</v>
      </c>
      <c r="BI7" s="233">
        <f>CF!BI41</f>
        <v>711.88308367558943</v>
      </c>
      <c r="BJ7" s="233">
        <f>CF!BJ41</f>
        <v>741.59167052060707</v>
      </c>
      <c r="BK7" s="233">
        <f>CF!BK41</f>
        <v>767.09411759147156</v>
      </c>
      <c r="BL7" s="233">
        <f>CF!BL41</f>
        <v>801.43882646126804</v>
      </c>
      <c r="BM7" s="172">
        <f>BL7</f>
        <v>801.43882646126804</v>
      </c>
      <c r="BN7" s="233">
        <f>CF!BN41</f>
        <v>826.74709009106243</v>
      </c>
      <c r="BO7" s="233">
        <f>CF!BO41</f>
        <v>852.7454289196902</v>
      </c>
      <c r="BP7" s="233">
        <f>CF!BP41</f>
        <v>884.00147247141456</v>
      </c>
      <c r="BQ7" s="233">
        <f>CF!BQ41</f>
        <v>919.54395383874805</v>
      </c>
      <c r="BR7" s="172">
        <f>BQ7</f>
        <v>919.54395383874805</v>
      </c>
    </row>
    <row r="8" spans="1:70 16340:16384" s="22" customFormat="1" ht="13.5" customHeight="1">
      <c r="A8" s="110"/>
      <c r="B8" s="199" t="s">
        <v>67</v>
      </c>
      <c r="C8" s="110"/>
      <c r="D8" s="110"/>
      <c r="E8" s="110"/>
      <c r="F8" s="170">
        <v>23.523</v>
      </c>
      <c r="G8" s="170">
        <v>23.523</v>
      </c>
      <c r="H8" s="171">
        <v>23.541</v>
      </c>
      <c r="I8" s="171">
        <f t="shared" ref="I8:I12" si="32">J8</f>
        <v>23.55</v>
      </c>
      <c r="J8" s="172">
        <v>23.55</v>
      </c>
      <c r="K8" s="171">
        <v>28.007999999999999</v>
      </c>
      <c r="L8" s="171">
        <v>32.442999999999998</v>
      </c>
      <c r="M8" s="171">
        <v>35.817</v>
      </c>
      <c r="N8" s="171">
        <f>O8</f>
        <v>35.436999999999998</v>
      </c>
      <c r="O8" s="172">
        <v>35.436999999999998</v>
      </c>
      <c r="P8" s="171">
        <v>35.450000000000003</v>
      </c>
      <c r="Q8" s="171">
        <v>38.683999999999997</v>
      </c>
      <c r="R8" s="171">
        <v>38.700000000000003</v>
      </c>
      <c r="S8" s="171">
        <f>T8</f>
        <v>38.716999999999999</v>
      </c>
      <c r="T8" s="172">
        <v>38.716999999999999</v>
      </c>
      <c r="U8" s="171">
        <v>45.231000000000002</v>
      </c>
      <c r="V8" s="171">
        <v>47.018999999999998</v>
      </c>
      <c r="W8" s="171">
        <v>47.466000000000001</v>
      </c>
      <c r="X8" s="171">
        <f>Y8</f>
        <v>42.594000000000001</v>
      </c>
      <c r="Y8" s="172">
        <v>42.594000000000001</v>
      </c>
      <c r="Z8" s="171">
        <v>43.268999999999998</v>
      </c>
      <c r="AA8" s="171">
        <v>42.627000000000002</v>
      </c>
      <c r="AB8" s="171">
        <v>46.988</v>
      </c>
      <c r="AC8" s="386">
        <v>44.37</v>
      </c>
      <c r="AD8" s="172">
        <f t="shared" ref="AD8:AD12" si="33">AC8</f>
        <v>44.37</v>
      </c>
      <c r="AE8" s="409">
        <v>44.093000000000004</v>
      </c>
      <c r="AF8" s="409">
        <v>39.493000000000002</v>
      </c>
      <c r="AG8" s="409">
        <v>38.572000000000003</v>
      </c>
      <c r="AH8" s="409">
        <v>45.853000000000002</v>
      </c>
      <c r="AI8" s="172">
        <f t="shared" ref="AI8:AI12" si="34">AH8</f>
        <v>45.853000000000002</v>
      </c>
      <c r="AJ8" s="409">
        <v>49.158000000000001</v>
      </c>
      <c r="AK8" s="409">
        <v>49.451999999999998</v>
      </c>
      <c r="AL8" s="409">
        <v>48.725000000000001</v>
      </c>
      <c r="AM8" s="409">
        <v>50.503999999999998</v>
      </c>
      <c r="AN8" s="450">
        <f t="shared" ref="AN8:AN12" si="35">AM8</f>
        <v>50.503999999999998</v>
      </c>
      <c r="AO8" s="409">
        <v>60.158000000000001</v>
      </c>
      <c r="AP8" s="409">
        <v>52.051000000000002</v>
      </c>
      <c r="AQ8" s="409">
        <f>17.424+48.775</f>
        <v>66.198999999999998</v>
      </c>
      <c r="AR8" s="392">
        <f>4.78+53.014</f>
        <v>57.794000000000004</v>
      </c>
      <c r="AS8" s="172">
        <f t="shared" ref="AS8:AS12" si="36">AR8</f>
        <v>57.794000000000004</v>
      </c>
      <c r="AT8" s="233">
        <v>57.251000000000005</v>
      </c>
      <c r="AU8" s="233">
        <v>56.333999999999996</v>
      </c>
      <c r="AV8" s="233">
        <v>56.552</v>
      </c>
      <c r="AW8" s="233">
        <v>61.93</v>
      </c>
      <c r="AX8" s="172">
        <f t="shared" ref="AX8:AX12" si="37">AW8</f>
        <v>61.93</v>
      </c>
      <c r="AY8" s="233">
        <v>69.031999999999996</v>
      </c>
      <c r="AZ8" s="233">
        <f>4.742+65.287</f>
        <v>70.029000000000011</v>
      </c>
      <c r="BA8" s="233">
        <f>6.261+67.728</f>
        <v>73.98899999999999</v>
      </c>
      <c r="BB8" s="233">
        <f t="shared" ref="BB8" si="38">BA8</f>
        <v>73.98899999999999</v>
      </c>
      <c r="BC8" s="172">
        <f t="shared" ref="BC8:BC12" si="39">BB8</f>
        <v>73.98899999999999</v>
      </c>
      <c r="BD8" s="233">
        <f>BB8</f>
        <v>73.98899999999999</v>
      </c>
      <c r="BE8" s="233">
        <f>BD8</f>
        <v>73.98899999999999</v>
      </c>
      <c r="BF8" s="233">
        <f t="shared" ref="BF8" si="40">BE8</f>
        <v>73.98899999999999</v>
      </c>
      <c r="BG8" s="233">
        <f t="shared" ref="BG8" si="41">BF8</f>
        <v>73.98899999999999</v>
      </c>
      <c r="BH8" s="172">
        <f t="shared" ref="BH8:BH10" si="42">BG8</f>
        <v>73.98899999999999</v>
      </c>
      <c r="BI8" s="233">
        <f>BG8</f>
        <v>73.98899999999999</v>
      </c>
      <c r="BJ8" s="233">
        <f>BI8</f>
        <v>73.98899999999999</v>
      </c>
      <c r="BK8" s="233">
        <f t="shared" ref="BK8" si="43">BJ8</f>
        <v>73.98899999999999</v>
      </c>
      <c r="BL8" s="233">
        <f t="shared" ref="BL8" si="44">BK8</f>
        <v>73.98899999999999</v>
      </c>
      <c r="BM8" s="172">
        <f t="shared" ref="BM8:BM10" si="45">BL8</f>
        <v>73.98899999999999</v>
      </c>
      <c r="BN8" s="233">
        <f>BL8</f>
        <v>73.98899999999999</v>
      </c>
      <c r="BO8" s="233">
        <f>BN8</f>
        <v>73.98899999999999</v>
      </c>
      <c r="BP8" s="233">
        <f t="shared" ref="BP8" si="46">BO8</f>
        <v>73.98899999999999</v>
      </c>
      <c r="BQ8" s="233">
        <f t="shared" ref="BQ8" si="47">BP8</f>
        <v>73.98899999999999</v>
      </c>
      <c r="BR8" s="172">
        <f t="shared" ref="BR8:BR10" si="48">BQ8</f>
        <v>73.98899999999999</v>
      </c>
      <c r="XDL8" s="437"/>
      <c r="XDM8" s="437"/>
      <c r="XDN8" s="437"/>
      <c r="XDO8" s="437"/>
      <c r="XDP8" s="437"/>
      <c r="XDQ8" s="437"/>
      <c r="XDR8" s="437"/>
      <c r="XDS8" s="437"/>
      <c r="XDT8" s="437"/>
      <c r="XDU8" s="437"/>
      <c r="XDV8" s="437"/>
      <c r="XDW8" s="437"/>
      <c r="XDX8" s="437"/>
      <c r="XDY8" s="437"/>
      <c r="XDZ8" s="437"/>
      <c r="XEA8" s="437"/>
      <c r="XEB8" s="437"/>
      <c r="XEC8" s="437"/>
      <c r="XED8" s="437"/>
      <c r="XEE8" s="437"/>
      <c r="XEF8" s="437"/>
      <c r="XEG8" s="437"/>
      <c r="XEH8" s="437"/>
      <c r="XEI8" s="437"/>
      <c r="XEJ8" s="437"/>
      <c r="XEK8" s="437"/>
      <c r="XEL8" s="437"/>
      <c r="XEM8" s="437"/>
      <c r="XEN8" s="437"/>
      <c r="XEO8" s="437"/>
      <c r="XEP8" s="437"/>
      <c r="XEQ8" s="437"/>
      <c r="XER8" s="437"/>
      <c r="XES8" s="437"/>
      <c r="XET8" s="437"/>
      <c r="XEU8" s="437"/>
      <c r="XEV8" s="437"/>
      <c r="XEW8" s="437"/>
      <c r="XEX8" s="437"/>
      <c r="XEY8" s="437"/>
      <c r="XEZ8" s="437"/>
      <c r="XFA8" s="437"/>
      <c r="XFB8" s="437"/>
      <c r="XFC8" s="437"/>
      <c r="XFD8" s="437"/>
    </row>
    <row r="9" spans="1:70 16340:16384" ht="12.75" customHeight="1">
      <c r="A9" s="110"/>
      <c r="B9" s="199" t="s">
        <v>68</v>
      </c>
      <c r="C9" s="110"/>
      <c r="D9" s="110"/>
      <c r="E9" s="110"/>
      <c r="F9" s="170">
        <v>1115.9970000000001</v>
      </c>
      <c r="G9" s="170">
        <v>1193.3150000000001</v>
      </c>
      <c r="H9" s="170">
        <v>1121.6569999999999</v>
      </c>
      <c r="I9" s="171">
        <f t="shared" si="32"/>
        <v>880.61400000000003</v>
      </c>
      <c r="J9" s="169">
        <v>880.61400000000003</v>
      </c>
      <c r="K9" s="170">
        <v>911.17200000000003</v>
      </c>
      <c r="L9" s="170">
        <v>1021.27</v>
      </c>
      <c r="M9" s="170">
        <v>1312.36</v>
      </c>
      <c r="N9" s="171">
        <f t="shared" ref="N9:N12" si="49">O9</f>
        <v>1275.0309999999999</v>
      </c>
      <c r="O9" s="169">
        <v>1275.0309999999999</v>
      </c>
      <c r="P9" s="170">
        <v>1184.213</v>
      </c>
      <c r="Q9" s="170">
        <v>1198.7639999999999</v>
      </c>
      <c r="R9" s="170">
        <v>1249.787</v>
      </c>
      <c r="S9" s="171">
        <f t="shared" ref="S9:S12" si="50">T9</f>
        <v>1224.6130000000001</v>
      </c>
      <c r="T9" s="169">
        <v>1224.6130000000001</v>
      </c>
      <c r="U9" s="170">
        <v>1331.5550000000001</v>
      </c>
      <c r="V9" s="170">
        <v>1389.511</v>
      </c>
      <c r="W9" s="170">
        <v>1397.857</v>
      </c>
      <c r="X9" s="171">
        <f t="shared" ref="X9:X12" si="51">Y9</f>
        <v>1291.2460000000001</v>
      </c>
      <c r="Y9" s="169">
        <v>1291.2460000000001</v>
      </c>
      <c r="Z9" s="170">
        <v>1263.3900000000001</v>
      </c>
      <c r="AA9" s="170">
        <v>1454.0450000000001</v>
      </c>
      <c r="AB9" s="170">
        <v>1580.5940000000001</v>
      </c>
      <c r="AC9" s="386">
        <v>1479.5039999999999</v>
      </c>
      <c r="AD9" s="172">
        <f t="shared" si="33"/>
        <v>1479.5039999999999</v>
      </c>
      <c r="AE9" s="386">
        <v>1394.12</v>
      </c>
      <c r="AF9" s="386">
        <v>1553.5139999999999</v>
      </c>
      <c r="AG9" s="386">
        <v>1550.865</v>
      </c>
      <c r="AH9" s="386">
        <v>1473.615</v>
      </c>
      <c r="AI9" s="172">
        <f t="shared" si="34"/>
        <v>1473.615</v>
      </c>
      <c r="AJ9" s="386">
        <v>1615.6610000000001</v>
      </c>
      <c r="AK9" s="386">
        <v>1739.3430000000001</v>
      </c>
      <c r="AL9" s="386">
        <v>1718.6849999999999</v>
      </c>
      <c r="AM9" s="386">
        <v>1743.3</v>
      </c>
      <c r="AN9" s="450">
        <f t="shared" si="35"/>
        <v>1743.3</v>
      </c>
      <c r="AO9" s="386">
        <v>1749.6020000000001</v>
      </c>
      <c r="AP9" s="386">
        <v>1838.3589999999999</v>
      </c>
      <c r="AQ9" s="386">
        <v>1857.87</v>
      </c>
      <c r="AR9" s="368">
        <v>1801.6559999999999</v>
      </c>
      <c r="AS9" s="172">
        <f t="shared" si="36"/>
        <v>1801.6559999999999</v>
      </c>
      <c r="AT9" s="233">
        <v>1767.7150000000001</v>
      </c>
      <c r="AU9" s="171">
        <v>1763.683</v>
      </c>
      <c r="AV9" s="171">
        <v>1818.402</v>
      </c>
      <c r="AW9" s="171">
        <f>1261.072+478.744</f>
        <v>1739.8159999999998</v>
      </c>
      <c r="AX9" s="172">
        <f t="shared" si="37"/>
        <v>1739.8159999999998</v>
      </c>
      <c r="AY9" s="233">
        <v>1838.0130000000001</v>
      </c>
      <c r="AZ9" s="171">
        <f>1469.213+508.423</f>
        <v>1977.636</v>
      </c>
      <c r="BA9" s="171">
        <f>1460.45+542.274</f>
        <v>2002.7240000000002</v>
      </c>
      <c r="BB9" s="171">
        <f t="shared" ref="BB9" si="52">BB60*BB$50</f>
        <v>2082.770319152025</v>
      </c>
      <c r="BC9" s="172">
        <f t="shared" si="39"/>
        <v>2082.770319152025</v>
      </c>
      <c r="BD9" s="171">
        <f>BD60*BD$50</f>
        <v>2154.0311692357659</v>
      </c>
      <c r="BE9" s="171">
        <f t="shared" ref="BE9:BG9" si="53">BE60*BE$50</f>
        <v>2326.6559829966659</v>
      </c>
      <c r="BF9" s="171">
        <f t="shared" si="53"/>
        <v>2481.4606208540249</v>
      </c>
      <c r="BG9" s="171">
        <f t="shared" si="53"/>
        <v>2576.8689086205982</v>
      </c>
      <c r="BH9" s="172">
        <f t="shared" si="42"/>
        <v>2576.8689086205982</v>
      </c>
      <c r="BI9" s="171">
        <f>BI60*BI$50</f>
        <v>2560.631544161708</v>
      </c>
      <c r="BJ9" s="171">
        <f t="shared" ref="BJ9:BL9" si="54">BJ60*BJ$50</f>
        <v>2562.2942684606819</v>
      </c>
      <c r="BK9" s="171">
        <f t="shared" si="54"/>
        <v>2554.1843773696619</v>
      </c>
      <c r="BL9" s="171">
        <f t="shared" si="54"/>
        <v>2565.3368406296372</v>
      </c>
      <c r="BM9" s="172">
        <f t="shared" si="45"/>
        <v>2565.3368406296372</v>
      </c>
      <c r="BN9" s="171">
        <f>BN60*BN$50</f>
        <v>2542.2387966360179</v>
      </c>
      <c r="BO9" s="171">
        <f t="shared" ref="BO9:BQ9" si="55">BO60*BO$50</f>
        <v>2534.996408274159</v>
      </c>
      <c r="BP9" s="171">
        <f t="shared" si="55"/>
        <v>2540.4566878657847</v>
      </c>
      <c r="BQ9" s="171">
        <f t="shared" si="55"/>
        <v>2553.8047726386762</v>
      </c>
      <c r="BR9" s="172">
        <f t="shared" si="48"/>
        <v>2553.8047726386762</v>
      </c>
    </row>
    <row r="10" spans="1:70 16340:16384" ht="12.75" customHeight="1">
      <c r="A10" s="110"/>
      <c r="B10" s="199" t="s">
        <v>69</v>
      </c>
      <c r="C10" s="110"/>
      <c r="D10" s="110"/>
      <c r="E10" s="110"/>
      <c r="F10" s="170">
        <v>134.82499999999999</v>
      </c>
      <c r="G10" s="170">
        <v>120.28</v>
      </c>
      <c r="H10" s="170">
        <v>123.497</v>
      </c>
      <c r="I10" s="171">
        <f t="shared" si="32"/>
        <v>139.44900000000001</v>
      </c>
      <c r="J10" s="169">
        <v>139.44900000000001</v>
      </c>
      <c r="K10" s="170">
        <v>172.54</v>
      </c>
      <c r="L10" s="170">
        <v>215.11699999999999</v>
      </c>
      <c r="M10" s="170">
        <v>374.32499999999999</v>
      </c>
      <c r="N10" s="171">
        <f t="shared" si="49"/>
        <v>358.39800000000002</v>
      </c>
      <c r="O10" s="169">
        <v>358.39800000000002</v>
      </c>
      <c r="P10" s="170">
        <v>377.59899999999999</v>
      </c>
      <c r="Q10" s="170">
        <v>374.93599999999998</v>
      </c>
      <c r="R10" s="170">
        <v>411.66199999999998</v>
      </c>
      <c r="S10" s="171">
        <f t="shared" si="50"/>
        <v>465.00200000000001</v>
      </c>
      <c r="T10" s="169">
        <v>465.00200000000001</v>
      </c>
      <c r="U10" s="170">
        <v>479.36099999999999</v>
      </c>
      <c r="V10" s="170">
        <v>504.911</v>
      </c>
      <c r="W10" s="170">
        <v>538.42100000000005</v>
      </c>
      <c r="X10" s="171">
        <f t="shared" si="51"/>
        <v>573.24800000000005</v>
      </c>
      <c r="Y10" s="169">
        <v>573.24800000000005</v>
      </c>
      <c r="Z10" s="170">
        <v>698.423</v>
      </c>
      <c r="AA10" s="170">
        <v>660.952</v>
      </c>
      <c r="AB10" s="170">
        <v>720.17700000000002</v>
      </c>
      <c r="AC10" s="386">
        <v>726.40200000000004</v>
      </c>
      <c r="AD10" s="172">
        <f t="shared" si="33"/>
        <v>726.40200000000004</v>
      </c>
      <c r="AE10" s="386">
        <v>795.51</v>
      </c>
      <c r="AF10" s="386">
        <v>816.48</v>
      </c>
      <c r="AG10" s="386">
        <v>883.80899999999997</v>
      </c>
      <c r="AH10" s="386">
        <v>905.17499999999995</v>
      </c>
      <c r="AI10" s="172">
        <f t="shared" si="34"/>
        <v>905.17499999999995</v>
      </c>
      <c r="AJ10" s="386">
        <v>858.35599999999999</v>
      </c>
      <c r="AK10" s="386">
        <v>811.40599999999995</v>
      </c>
      <c r="AL10" s="386">
        <v>820.24300000000005</v>
      </c>
      <c r="AM10" s="386">
        <v>831.82600000000002</v>
      </c>
      <c r="AN10" s="450">
        <f t="shared" si="35"/>
        <v>831.82600000000002</v>
      </c>
      <c r="AO10" s="386">
        <v>840.76</v>
      </c>
      <c r="AP10" s="386">
        <v>850.63400000000001</v>
      </c>
      <c r="AQ10" s="386">
        <v>902.31200000000001</v>
      </c>
      <c r="AR10" s="368">
        <v>932.75800000000004</v>
      </c>
      <c r="AS10" s="172">
        <f t="shared" si="36"/>
        <v>932.75800000000004</v>
      </c>
      <c r="AT10" s="233">
        <v>980.89599999999996</v>
      </c>
      <c r="AU10" s="171">
        <v>1044.2329999999999</v>
      </c>
      <c r="AV10" s="171">
        <v>1085.6510000000001</v>
      </c>
      <c r="AW10" s="171">
        <v>1142.2950000000001</v>
      </c>
      <c r="AX10" s="172">
        <f t="shared" si="37"/>
        <v>1142.2950000000001</v>
      </c>
      <c r="AY10" s="233">
        <v>1168.675</v>
      </c>
      <c r="AZ10" s="171">
        <v>1165.4079999999999</v>
      </c>
      <c r="BA10" s="171">
        <v>1159.3330000000001</v>
      </c>
      <c r="BB10" s="171">
        <f t="shared" ref="BB10" si="56">BB61*BB$50</f>
        <v>556.76031218607091</v>
      </c>
      <c r="BC10" s="172">
        <f t="shared" si="39"/>
        <v>556.76031218607091</v>
      </c>
      <c r="BD10" s="171">
        <f t="shared" ref="BD10:BG10" si="57">BD61*BD$50</f>
        <v>576.45162678319184</v>
      </c>
      <c r="BE10" s="171">
        <f t="shared" si="57"/>
        <v>623.34373034498162</v>
      </c>
      <c r="BF10" s="171">
        <f t="shared" si="57"/>
        <v>665.56103272731946</v>
      </c>
      <c r="BG10" s="171">
        <f t="shared" si="57"/>
        <v>691.92407945765081</v>
      </c>
      <c r="BH10" s="172">
        <f t="shared" si="42"/>
        <v>691.92407945765081</v>
      </c>
      <c r="BI10" s="171">
        <f t="shared" ref="BI10:BL10" si="58">BI61*BI$50</f>
        <v>688.33424059960339</v>
      </c>
      <c r="BJ10" s="171">
        <f t="shared" si="58"/>
        <v>689.5535454849404</v>
      </c>
      <c r="BK10" s="171">
        <f t="shared" si="58"/>
        <v>688.1426715971736</v>
      </c>
      <c r="BL10" s="171">
        <f t="shared" si="58"/>
        <v>691.92407945765081</v>
      </c>
      <c r="BM10" s="172">
        <f t="shared" si="45"/>
        <v>691.92407945765081</v>
      </c>
      <c r="BN10" s="171">
        <f t="shared" ref="BN10:BQ10" si="59">BN61*BN$50</f>
        <v>686.46553662798522</v>
      </c>
      <c r="BO10" s="171">
        <f t="shared" si="59"/>
        <v>685.28092744193191</v>
      </c>
      <c r="BP10" s="171">
        <f t="shared" si="59"/>
        <v>687.53140773732912</v>
      </c>
      <c r="BQ10" s="171">
        <f t="shared" si="59"/>
        <v>691.92407945765081</v>
      </c>
      <c r="BR10" s="172">
        <f t="shared" si="48"/>
        <v>691.92407945765081</v>
      </c>
    </row>
    <row r="11" spans="1:70 16340:16384" ht="12.75" customHeight="1">
      <c r="A11" s="110"/>
      <c r="B11" s="199" t="s">
        <v>70</v>
      </c>
      <c r="C11" s="110"/>
      <c r="D11" s="110"/>
      <c r="E11" s="110"/>
      <c r="F11" s="170">
        <v>1.393</v>
      </c>
      <c r="G11" s="170">
        <v>1.369</v>
      </c>
      <c r="H11" s="170">
        <v>1.41</v>
      </c>
      <c r="I11" s="171">
        <f t="shared" si="32"/>
        <v>3.7370000000000001</v>
      </c>
      <c r="J11" s="169">
        <v>3.7370000000000001</v>
      </c>
      <c r="K11" s="170">
        <v>3.782</v>
      </c>
      <c r="L11" s="170">
        <v>11.44</v>
      </c>
      <c r="M11" s="170">
        <v>18.559000000000001</v>
      </c>
      <c r="N11" s="171">
        <f t="shared" si="49"/>
        <v>0</v>
      </c>
      <c r="O11" s="169">
        <v>0</v>
      </c>
      <c r="P11" s="170">
        <v>1.958</v>
      </c>
      <c r="Q11" s="170">
        <v>2.931</v>
      </c>
      <c r="R11" s="170">
        <v>3.246</v>
      </c>
      <c r="S11" s="171">
        <f t="shared" si="50"/>
        <v>10.071</v>
      </c>
      <c r="T11" s="169">
        <v>10.071</v>
      </c>
      <c r="U11" s="170">
        <v>9.7210000000000001</v>
      </c>
      <c r="V11" s="170">
        <v>9.452</v>
      </c>
      <c r="W11" s="170">
        <v>9.6310000000000002</v>
      </c>
      <c r="X11" s="171">
        <f t="shared" si="51"/>
        <v>8.24</v>
      </c>
      <c r="Y11" s="169">
        <v>8.24</v>
      </c>
      <c r="Z11" s="170">
        <v>8.1950000000000003</v>
      </c>
      <c r="AA11" s="170">
        <v>7.9820000000000002</v>
      </c>
      <c r="AB11" s="170">
        <v>7.9509999999999996</v>
      </c>
      <c r="AC11" s="386">
        <v>17.962</v>
      </c>
      <c r="AD11" s="172">
        <f t="shared" si="33"/>
        <v>17.962</v>
      </c>
      <c r="AE11" s="386">
        <v>17.962</v>
      </c>
      <c r="AF11" s="386">
        <v>17.952000000000002</v>
      </c>
      <c r="AG11" s="386">
        <v>18.873000000000001</v>
      </c>
      <c r="AH11" s="386">
        <v>26.306000000000001</v>
      </c>
      <c r="AI11" s="172">
        <f t="shared" si="34"/>
        <v>26.306000000000001</v>
      </c>
      <c r="AJ11" s="386">
        <v>26.55</v>
      </c>
      <c r="AK11" s="386">
        <v>19.097999999999999</v>
      </c>
      <c r="AL11" s="386">
        <v>26.029</v>
      </c>
      <c r="AM11" s="386">
        <v>0</v>
      </c>
      <c r="AN11" s="450">
        <f t="shared" si="35"/>
        <v>0</v>
      </c>
      <c r="AO11" s="386">
        <v>0</v>
      </c>
      <c r="AP11" s="386">
        <v>0</v>
      </c>
      <c r="AQ11" s="386">
        <v>0</v>
      </c>
      <c r="AR11" s="368"/>
      <c r="AS11" s="172">
        <f t="shared" si="36"/>
        <v>0</v>
      </c>
      <c r="AT11" s="233"/>
      <c r="AU11" s="171"/>
      <c r="AV11" s="171"/>
      <c r="AW11" s="171"/>
      <c r="AX11" s="172"/>
      <c r="AY11" s="233"/>
      <c r="AZ11" s="171"/>
      <c r="BA11" s="171"/>
      <c r="BB11" s="171"/>
      <c r="BC11" s="172"/>
      <c r="BD11" s="171"/>
      <c r="BE11" s="171"/>
      <c r="BF11" s="171"/>
      <c r="BG11" s="171"/>
      <c r="BH11" s="172"/>
      <c r="BI11" s="171"/>
      <c r="BJ11" s="171"/>
      <c r="BK11" s="171"/>
      <c r="BL11" s="171"/>
      <c r="BM11" s="172"/>
      <c r="BN11" s="171"/>
      <c r="BO11" s="171"/>
      <c r="BP11" s="171"/>
      <c r="BQ11" s="171"/>
      <c r="BR11" s="172"/>
    </row>
    <row r="12" spans="1:70 16340:16384" ht="13.5" customHeight="1">
      <c r="A12" s="110"/>
      <c r="B12" s="199" t="s">
        <v>50</v>
      </c>
      <c r="C12" s="110"/>
      <c r="D12" s="110"/>
      <c r="E12" s="110"/>
      <c r="F12" s="170">
        <v>33.527000000000001</v>
      </c>
      <c r="G12" s="170">
        <v>37.344999999999999</v>
      </c>
      <c r="H12" s="170">
        <v>44.866999999999997</v>
      </c>
      <c r="I12" s="171">
        <f t="shared" si="32"/>
        <v>42.314</v>
      </c>
      <c r="J12" s="169">
        <v>42.314</v>
      </c>
      <c r="K12" s="170">
        <v>35.372</v>
      </c>
      <c r="L12" s="170">
        <v>52.86</v>
      </c>
      <c r="M12" s="170">
        <v>93.766999999999996</v>
      </c>
      <c r="N12" s="171">
        <f t="shared" si="49"/>
        <v>76.927999999999997</v>
      </c>
      <c r="O12" s="169">
        <v>76.927999999999997</v>
      </c>
      <c r="P12" s="170">
        <v>87.861999999999995</v>
      </c>
      <c r="Q12" s="170">
        <v>101.684</v>
      </c>
      <c r="R12" s="170">
        <v>76.021000000000001</v>
      </c>
      <c r="S12" s="171">
        <f t="shared" si="50"/>
        <v>75.388000000000005</v>
      </c>
      <c r="T12" s="169">
        <v>75.388000000000005</v>
      </c>
      <c r="U12" s="170">
        <v>74.5</v>
      </c>
      <c r="V12" s="170">
        <v>53.814</v>
      </c>
      <c r="W12" s="170">
        <v>48.36</v>
      </c>
      <c r="X12" s="171">
        <f t="shared" si="51"/>
        <v>50.668999999999997</v>
      </c>
      <c r="Y12" s="169">
        <v>50.668999999999997</v>
      </c>
      <c r="Z12" s="170">
        <v>54.857999999999997</v>
      </c>
      <c r="AA12" s="170">
        <v>52.42</v>
      </c>
      <c r="AB12" s="170">
        <v>69.317999999999998</v>
      </c>
      <c r="AC12" s="386">
        <v>68.734999999999999</v>
      </c>
      <c r="AD12" s="172">
        <f t="shared" si="33"/>
        <v>68.734999999999999</v>
      </c>
      <c r="AE12" s="386">
        <v>74.367000000000004</v>
      </c>
      <c r="AF12" s="386">
        <v>103.24299999999999</v>
      </c>
      <c r="AG12" s="386">
        <v>86.733999999999995</v>
      </c>
      <c r="AH12" s="386">
        <v>108.84399999999999</v>
      </c>
      <c r="AI12" s="172">
        <f t="shared" si="34"/>
        <v>108.84399999999999</v>
      </c>
      <c r="AJ12" s="386">
        <v>91.99</v>
      </c>
      <c r="AK12" s="386">
        <v>76.959999999999994</v>
      </c>
      <c r="AL12" s="386">
        <v>65.510999999999996</v>
      </c>
      <c r="AM12" s="386">
        <v>66.022999999999996</v>
      </c>
      <c r="AN12" s="450">
        <f t="shared" si="35"/>
        <v>66.022999999999996</v>
      </c>
      <c r="AO12" s="386">
        <v>58.481999999999999</v>
      </c>
      <c r="AP12" s="386">
        <v>77.736000000000004</v>
      </c>
      <c r="AQ12" s="386">
        <v>70.781000000000006</v>
      </c>
      <c r="AR12" s="368">
        <v>89.316000000000003</v>
      </c>
      <c r="AS12" s="172">
        <f t="shared" si="36"/>
        <v>89.316000000000003</v>
      </c>
      <c r="AT12" s="233">
        <v>132.298</v>
      </c>
      <c r="AU12" s="171">
        <v>141.47200000000001</v>
      </c>
      <c r="AV12" s="171">
        <v>130.023</v>
      </c>
      <c r="AW12" s="171">
        <v>115.527</v>
      </c>
      <c r="AX12" s="172">
        <f t="shared" si="37"/>
        <v>115.527</v>
      </c>
      <c r="AY12" s="233">
        <v>124.303</v>
      </c>
      <c r="AZ12" s="171">
        <v>165.68799999999999</v>
      </c>
      <c r="BA12" s="171">
        <v>162.40600000000001</v>
      </c>
      <c r="BB12" s="171">
        <f t="shared" ref="BB12" si="60">BB63*BB$50</f>
        <v>73.264894922591665</v>
      </c>
      <c r="BC12" s="172">
        <f t="shared" si="39"/>
        <v>73.264894922591665</v>
      </c>
      <c r="BD12" s="171">
        <f t="shared" ref="BD12:BG12" si="61">BD63*BD$50</f>
        <v>75.856103497034042</v>
      </c>
      <c r="BE12" s="171">
        <f t="shared" si="61"/>
        <v>82.026703241589189</v>
      </c>
      <c r="BF12" s="171">
        <f t="shared" si="61"/>
        <v>87.582139136099485</v>
      </c>
      <c r="BG12" s="171">
        <f t="shared" si="61"/>
        <v>91.051290593668895</v>
      </c>
      <c r="BH12" s="172">
        <f t="shared" ref="BH12" si="62">BG12</f>
        <v>91.051290593668895</v>
      </c>
      <c r="BI12" s="171">
        <f t="shared" ref="BI12:BL12" si="63">BI63*BI$50</f>
        <v>90.578898505067613</v>
      </c>
      <c r="BJ12" s="171">
        <f t="shared" si="63"/>
        <v>90.73934859884686</v>
      </c>
      <c r="BK12" s="171">
        <f t="shared" si="63"/>
        <v>90.553689662902954</v>
      </c>
      <c r="BL12" s="171">
        <f t="shared" si="63"/>
        <v>91.051290593668895</v>
      </c>
      <c r="BM12" s="172">
        <f t="shared" ref="BM12" si="64">BL12</f>
        <v>91.051290593668895</v>
      </c>
      <c r="BN12" s="171">
        <f t="shared" ref="BN12:BQ12" si="65">BN63*BN$50</f>
        <v>90.332993046065937</v>
      </c>
      <c r="BO12" s="171">
        <f t="shared" si="65"/>
        <v>90.177108609548242</v>
      </c>
      <c r="BP12" s="171">
        <f t="shared" si="65"/>
        <v>90.473252567295972</v>
      </c>
      <c r="BQ12" s="171">
        <f t="shared" si="65"/>
        <v>91.051290593668895</v>
      </c>
      <c r="BR12" s="172">
        <f t="shared" ref="BR12" si="66">BQ12</f>
        <v>91.051290593668895</v>
      </c>
    </row>
    <row r="13" spans="1:70 16340:16384" s="36" customFormat="1" ht="13">
      <c r="A13" s="111"/>
      <c r="B13" s="111"/>
      <c r="C13" s="111"/>
      <c r="D13" s="111" t="s">
        <v>51</v>
      </c>
      <c r="E13" s="111"/>
      <c r="F13" s="173">
        <f>SUM(F7:F12)</f>
        <v>1566.1920000000002</v>
      </c>
      <c r="G13" s="173">
        <f t="shared" ref="G13:I13" si="67">SUM(G7:G12)</f>
        <v>1679.0440000000001</v>
      </c>
      <c r="H13" s="173">
        <f t="shared" si="67"/>
        <v>1528.049</v>
      </c>
      <c r="I13" s="173">
        <f t="shared" si="67"/>
        <v>1561.0420000000001</v>
      </c>
      <c r="J13" s="174">
        <f>SUM(J7:J12)</f>
        <v>1561.0420000000001</v>
      </c>
      <c r="K13" s="173">
        <f>SUM(K7:K12)</f>
        <v>1517.98</v>
      </c>
      <c r="L13" s="173">
        <f t="shared" ref="L13:N13" si="68">SUM(L7:L12)</f>
        <v>1754.1079999999999</v>
      </c>
      <c r="M13" s="173">
        <f t="shared" si="68"/>
        <v>2108.1489999999999</v>
      </c>
      <c r="N13" s="173">
        <f t="shared" si="68"/>
        <v>1950.0340000000001</v>
      </c>
      <c r="O13" s="174">
        <f>SUM(O7:O12)</f>
        <v>1950.0340000000001</v>
      </c>
      <c r="P13" s="173">
        <f>SUM(P7:P12)</f>
        <v>1877.4960000000001</v>
      </c>
      <c r="Q13" s="173">
        <f t="shared" ref="Q13:S13" si="69">SUM(Q7:Q12)</f>
        <v>1902.3849999999998</v>
      </c>
      <c r="R13" s="173">
        <f t="shared" si="69"/>
        <v>1960.1930000000002</v>
      </c>
      <c r="S13" s="173">
        <f t="shared" si="69"/>
        <v>1981.8469999999998</v>
      </c>
      <c r="T13" s="174">
        <f>SUM(T7:T12)</f>
        <v>1981.8469999999998</v>
      </c>
      <c r="U13" s="173">
        <f>SUM(U7:U12)</f>
        <v>2072.6860000000001</v>
      </c>
      <c r="V13" s="173">
        <f t="shared" ref="V13:X13" si="70">SUM(V7:V12)</f>
        <v>2147.3850000000002</v>
      </c>
      <c r="W13" s="173">
        <f t="shared" si="70"/>
        <v>2169.6369999999997</v>
      </c>
      <c r="X13" s="173">
        <f t="shared" si="70"/>
        <v>2085.92</v>
      </c>
      <c r="Y13" s="174">
        <f>SUM(Y7:Y12)</f>
        <v>2085.92</v>
      </c>
      <c r="Z13" s="173">
        <f>SUM(Z7:Z12)</f>
        <v>2201.1990000000005</v>
      </c>
      <c r="AA13" s="173">
        <f t="shared" ref="AA13:AB13" si="71">SUM(AA7:AA12)</f>
        <v>2357.884</v>
      </c>
      <c r="AB13" s="173">
        <f t="shared" si="71"/>
        <v>2562.2560000000003</v>
      </c>
      <c r="AC13" s="387">
        <f>SUM(AC7:AC12)</f>
        <v>2472.556</v>
      </c>
      <c r="AD13" s="174">
        <f>SUM(AD7:AD12)</f>
        <v>2472.556</v>
      </c>
      <c r="AE13" s="387">
        <f>SUM(AE7:AE12)</f>
        <v>2472.0099999999998</v>
      </c>
      <c r="AF13" s="387">
        <f t="shared" ref="AF13:AH13" si="72">SUM(AF7:AF12)</f>
        <v>2637.5990000000002</v>
      </c>
      <c r="AG13" s="387">
        <f t="shared" si="72"/>
        <v>2675.7470000000003</v>
      </c>
      <c r="AH13" s="387">
        <f t="shared" si="72"/>
        <v>2635.2450000000003</v>
      </c>
      <c r="AI13" s="174">
        <f>SUM(AI7:AI12)</f>
        <v>2635.2450000000003</v>
      </c>
      <c r="AJ13" s="387">
        <f>SUM(AJ7:AJ12)</f>
        <v>2732.297</v>
      </c>
      <c r="AK13" s="387">
        <f t="shared" ref="AK13:AM13" si="73">SUM(AK7:AK12)</f>
        <v>2789.8810000000003</v>
      </c>
      <c r="AL13" s="387">
        <f t="shared" si="73"/>
        <v>2849.9369999999999</v>
      </c>
      <c r="AM13" s="387">
        <f t="shared" si="73"/>
        <v>2837.7560000000003</v>
      </c>
      <c r="AN13" s="451">
        <f>SUM(AN7:AN12)</f>
        <v>2837.7560000000003</v>
      </c>
      <c r="AO13" s="387">
        <f>SUM(AO7:AO12)</f>
        <v>2813.819</v>
      </c>
      <c r="AP13" s="387">
        <f t="shared" ref="AP13:AR13" si="74">SUM(AP7:AP12)</f>
        <v>2991.7069999999999</v>
      </c>
      <c r="AQ13" s="387">
        <f t="shared" si="74"/>
        <v>3119.04</v>
      </c>
      <c r="AR13" s="369">
        <f t="shared" si="74"/>
        <v>3074.3919999999998</v>
      </c>
      <c r="AS13" s="174">
        <f>SUM(AS7:AS12)</f>
        <v>3074.3919999999998</v>
      </c>
      <c r="AT13" s="173">
        <f>SUM(AT7:AT12)</f>
        <v>3112.5</v>
      </c>
      <c r="AU13" s="173">
        <f t="shared" ref="AU13:AW13" si="75">SUM(AU7:AU12)</f>
        <v>3144.2910000000002</v>
      </c>
      <c r="AV13" s="173">
        <f t="shared" si="75"/>
        <v>3208.8860000000004</v>
      </c>
      <c r="AW13" s="173">
        <f t="shared" si="75"/>
        <v>3175.643</v>
      </c>
      <c r="AX13" s="174">
        <f>SUM(AX7:AX12)</f>
        <v>3175.643</v>
      </c>
      <c r="AY13" s="173">
        <f>SUM(AY7:AY12)</f>
        <v>3301.5050000000001</v>
      </c>
      <c r="AZ13" s="173">
        <f t="shared" ref="AZ13:BB13" si="76">SUM(AZ7:AZ12)</f>
        <v>3528.6419999999998</v>
      </c>
      <c r="BA13" s="173">
        <f t="shared" si="76"/>
        <v>3605.5820000000003</v>
      </c>
      <c r="BB13" s="173">
        <f t="shared" si="76"/>
        <v>3149.0274166945351</v>
      </c>
      <c r="BC13" s="174">
        <f>SUM(BC7:BC12)</f>
        <v>3149.0274166945351</v>
      </c>
      <c r="BD13" s="173">
        <f>SUM(BD7:BD12)</f>
        <v>3307.0926659898068</v>
      </c>
      <c r="BE13" s="173">
        <f t="shared" ref="BE13:BG13" si="77">SUM(BE7:BE12)</f>
        <v>3633.2927334747642</v>
      </c>
      <c r="BF13" s="173">
        <f t="shared" si="77"/>
        <v>3926.3723560909475</v>
      </c>
      <c r="BG13" s="173">
        <f t="shared" si="77"/>
        <v>4117.1669777557054</v>
      </c>
      <c r="BH13" s="174">
        <f>SUM(BH7:BH12)</f>
        <v>4117.1669777557054</v>
      </c>
      <c r="BI13" s="173">
        <f>SUM(BI7:BI12)</f>
        <v>4125.4167669419685</v>
      </c>
      <c r="BJ13" s="173">
        <f t="shared" ref="BJ13:BL13" si="78">SUM(BJ7:BJ12)</f>
        <v>4158.1678330650766</v>
      </c>
      <c r="BK13" s="173">
        <f t="shared" si="78"/>
        <v>4173.9638562212103</v>
      </c>
      <c r="BL13" s="173">
        <f t="shared" si="78"/>
        <v>4223.7400371422245</v>
      </c>
      <c r="BM13" s="174">
        <f>SUM(BM7:BM12)</f>
        <v>4223.7400371422245</v>
      </c>
      <c r="BN13" s="173">
        <f>SUM(BN7:BN12)</f>
        <v>4219.7734164011317</v>
      </c>
      <c r="BO13" s="173">
        <f t="shared" ref="BO13:BQ13" si="79">SUM(BO7:BO12)</f>
        <v>4237.1888732453299</v>
      </c>
      <c r="BP13" s="173">
        <f t="shared" si="79"/>
        <v>4276.4518206418243</v>
      </c>
      <c r="BQ13" s="173">
        <f t="shared" si="79"/>
        <v>4330.3130965287437</v>
      </c>
      <c r="BR13" s="174">
        <f>SUM(BR7:BR12)</f>
        <v>4330.3130965287437</v>
      </c>
      <c r="XDL13" s="438"/>
      <c r="XDM13" s="438"/>
      <c r="XDN13" s="438"/>
      <c r="XDO13" s="438"/>
      <c r="XDP13" s="438"/>
      <c r="XDQ13" s="438"/>
      <c r="XDR13" s="438"/>
      <c r="XDS13" s="438"/>
      <c r="XDT13" s="438"/>
      <c r="XDU13" s="438"/>
      <c r="XDV13" s="438"/>
      <c r="XDW13" s="438"/>
      <c r="XDX13" s="438"/>
      <c r="XDY13" s="438"/>
      <c r="XDZ13" s="438"/>
      <c r="XEA13" s="438"/>
      <c r="XEB13" s="438"/>
      <c r="XEC13" s="438"/>
      <c r="XED13" s="438"/>
      <c r="XEE13" s="438"/>
      <c r="XEF13" s="438"/>
      <c r="XEG13" s="438"/>
      <c r="XEH13" s="438"/>
      <c r="XEI13" s="438"/>
      <c r="XEJ13" s="438"/>
      <c r="XEK13" s="438"/>
      <c r="XEL13" s="438"/>
      <c r="XEM13" s="438"/>
      <c r="XEN13" s="438"/>
      <c r="XEO13" s="438"/>
      <c r="XEP13" s="438"/>
      <c r="XEQ13" s="438"/>
      <c r="XER13" s="438"/>
      <c r="XES13" s="438"/>
      <c r="XET13" s="438"/>
      <c r="XEU13" s="438"/>
      <c r="XEV13" s="438"/>
      <c r="XEW13" s="438"/>
      <c r="XEX13" s="438"/>
      <c r="XEY13" s="438"/>
      <c r="XEZ13" s="438"/>
      <c r="XFA13" s="438"/>
      <c r="XFB13" s="438"/>
      <c r="XFC13" s="438"/>
      <c r="XFD13" s="438"/>
    </row>
    <row r="14" spans="1:70 16340:16384" ht="12.75" customHeight="1">
      <c r="A14" s="110" t="s">
        <v>4</v>
      </c>
      <c r="B14" s="110"/>
      <c r="C14" s="110"/>
      <c r="D14" s="110"/>
      <c r="E14" s="110"/>
      <c r="F14" s="175"/>
      <c r="G14" s="175"/>
      <c r="H14" s="176"/>
      <c r="I14" s="176"/>
      <c r="J14" s="168"/>
      <c r="K14" s="177"/>
      <c r="L14" s="176"/>
      <c r="M14" s="176"/>
      <c r="N14" s="176"/>
      <c r="O14" s="168"/>
      <c r="P14" s="177"/>
      <c r="Q14" s="176"/>
      <c r="R14" s="176"/>
      <c r="S14" s="176"/>
      <c r="T14" s="168"/>
      <c r="U14" s="177"/>
      <c r="V14" s="176"/>
      <c r="W14" s="176"/>
      <c r="X14" s="176"/>
      <c r="Y14" s="168"/>
      <c r="Z14" s="177"/>
      <c r="AA14" s="176"/>
      <c r="AB14" s="176"/>
      <c r="AC14" s="388"/>
      <c r="AD14" s="168"/>
      <c r="AE14" s="410"/>
      <c r="AF14" s="388"/>
      <c r="AG14" s="388"/>
      <c r="AH14" s="388"/>
      <c r="AI14" s="168"/>
      <c r="AJ14" s="410"/>
      <c r="AK14" s="388"/>
      <c r="AL14" s="388"/>
      <c r="AM14" s="388"/>
      <c r="AN14" s="452"/>
      <c r="AO14" s="410"/>
      <c r="AP14" s="388"/>
      <c r="AQ14" s="388"/>
      <c r="AR14" s="370"/>
      <c r="AS14" s="168"/>
      <c r="AT14" s="177"/>
      <c r="AU14" s="176"/>
      <c r="AV14" s="176"/>
      <c r="AW14" s="176"/>
      <c r="AX14" s="168"/>
      <c r="AY14" s="177"/>
      <c r="AZ14" s="176"/>
      <c r="BA14" s="176"/>
      <c r="BB14" s="176"/>
      <c r="BC14" s="168"/>
      <c r="BD14" s="177"/>
      <c r="BE14" s="176"/>
      <c r="BF14" s="176"/>
      <c r="BG14" s="176"/>
      <c r="BH14" s="168"/>
      <c r="BI14" s="177"/>
      <c r="BJ14" s="176"/>
      <c r="BK14" s="176"/>
      <c r="BL14" s="176"/>
      <c r="BM14" s="168"/>
      <c r="BN14" s="177"/>
      <c r="BO14" s="176"/>
      <c r="BP14" s="176"/>
      <c r="BQ14" s="176"/>
      <c r="BR14" s="168"/>
    </row>
    <row r="15" spans="1:70 16340:16384" ht="12.75" customHeight="1">
      <c r="A15" s="110"/>
      <c r="B15" s="199" t="s">
        <v>73</v>
      </c>
      <c r="C15" s="110"/>
      <c r="D15" s="110"/>
      <c r="E15" s="110"/>
      <c r="F15" s="175">
        <v>100.82599999999999</v>
      </c>
      <c r="G15" s="175">
        <v>100.316</v>
      </c>
      <c r="H15" s="175">
        <v>94.022999999999996</v>
      </c>
      <c r="I15" s="175">
        <f>J15</f>
        <v>88.129000000000005</v>
      </c>
      <c r="J15" s="168">
        <v>88.129000000000005</v>
      </c>
      <c r="K15" s="175">
        <v>88.129000000000005</v>
      </c>
      <c r="L15" s="175">
        <v>88.129000000000005</v>
      </c>
      <c r="M15" s="175">
        <v>67.061000000000007</v>
      </c>
      <c r="N15" s="175">
        <f>O15</f>
        <v>62.311</v>
      </c>
      <c r="O15" s="168">
        <v>62.311</v>
      </c>
      <c r="P15" s="175">
        <v>46.283000000000001</v>
      </c>
      <c r="Q15" s="175">
        <v>46.283000000000001</v>
      </c>
      <c r="R15" s="175">
        <v>46.283000000000001</v>
      </c>
      <c r="S15" s="175">
        <f>T15</f>
        <v>46.283000000000001</v>
      </c>
      <c r="T15" s="168">
        <v>46.283000000000001</v>
      </c>
      <c r="U15" s="175">
        <v>46.283000000000001</v>
      </c>
      <c r="V15" s="175">
        <v>46.283000000000001</v>
      </c>
      <c r="W15" s="175">
        <v>46.283000000000001</v>
      </c>
      <c r="X15" s="175">
        <f>Y15</f>
        <v>46.283000000000001</v>
      </c>
      <c r="Y15" s="168">
        <v>46.283000000000001</v>
      </c>
      <c r="Z15" s="175">
        <v>46.283000000000001</v>
      </c>
      <c r="AA15" s="175">
        <v>0</v>
      </c>
      <c r="AB15" s="175">
        <v>0</v>
      </c>
      <c r="AC15" s="386">
        <v>0</v>
      </c>
      <c r="AD15" s="168">
        <f>AC15</f>
        <v>0</v>
      </c>
      <c r="AE15" s="386">
        <v>0</v>
      </c>
      <c r="AF15" s="386">
        <v>0</v>
      </c>
      <c r="AG15" s="386">
        <v>0</v>
      </c>
      <c r="AH15" s="386">
        <v>0</v>
      </c>
      <c r="AI15" s="168">
        <f>AH15</f>
        <v>0</v>
      </c>
      <c r="AJ15" s="386"/>
      <c r="AK15" s="386"/>
      <c r="AL15" s="386"/>
      <c r="AM15" s="386"/>
      <c r="AN15" s="452"/>
      <c r="AO15" s="386"/>
      <c r="AP15" s="386"/>
      <c r="AQ15" s="386"/>
      <c r="AR15" s="368"/>
      <c r="AS15" s="168"/>
      <c r="AT15" s="171"/>
      <c r="AU15" s="171"/>
      <c r="AV15" s="171"/>
      <c r="AW15" s="171"/>
      <c r="AX15" s="168"/>
      <c r="AY15" s="171"/>
      <c r="AZ15" s="171"/>
      <c r="BA15" s="171"/>
      <c r="BB15" s="171"/>
      <c r="BC15" s="168"/>
      <c r="BD15" s="171"/>
      <c r="BE15" s="171"/>
      <c r="BF15" s="171"/>
      <c r="BG15" s="171"/>
      <c r="BH15" s="168"/>
      <c r="BI15" s="171"/>
      <c r="BJ15" s="171"/>
      <c r="BK15" s="171"/>
      <c r="BL15" s="171"/>
      <c r="BM15" s="168"/>
      <c r="BN15" s="171"/>
      <c r="BO15" s="171"/>
      <c r="BP15" s="171"/>
      <c r="BQ15" s="171"/>
      <c r="BR15" s="168"/>
    </row>
    <row r="16" spans="1:70 16340:16384" ht="13.5" hidden="1" customHeight="1">
      <c r="A16" s="110"/>
      <c r="B16" s="199"/>
      <c r="C16" s="110" t="s">
        <v>5</v>
      </c>
      <c r="D16" s="110"/>
      <c r="E16" s="110"/>
      <c r="F16" s="175"/>
      <c r="G16" s="175"/>
      <c r="H16" s="175"/>
      <c r="I16" s="175">
        <f t="shared" ref="I16:I21" si="80">J16</f>
        <v>0</v>
      </c>
      <c r="J16" s="168"/>
      <c r="K16" s="175"/>
      <c r="L16" s="175"/>
      <c r="M16" s="175"/>
      <c r="N16" s="175">
        <f t="shared" ref="N16:N21" si="81">O16</f>
        <v>0</v>
      </c>
      <c r="O16" s="168"/>
      <c r="P16" s="175"/>
      <c r="Q16" s="175"/>
      <c r="R16" s="175"/>
      <c r="S16" s="175">
        <f t="shared" ref="S16:S21" si="82">T16</f>
        <v>0</v>
      </c>
      <c r="T16" s="168"/>
      <c r="U16" s="175"/>
      <c r="V16" s="175"/>
      <c r="W16" s="175"/>
      <c r="X16" s="175">
        <f t="shared" ref="X16:X21" si="83">Y16</f>
        <v>0</v>
      </c>
      <c r="Y16" s="168"/>
      <c r="Z16" s="175"/>
      <c r="AA16" s="175"/>
      <c r="AB16" s="175"/>
      <c r="AC16" s="386"/>
      <c r="AD16" s="168">
        <f t="shared" ref="AD16:AD21" si="84">AC16</f>
        <v>0</v>
      </c>
      <c r="AE16" s="386"/>
      <c r="AF16" s="386"/>
      <c r="AG16" s="386"/>
      <c r="AH16" s="386"/>
      <c r="AI16" s="168">
        <f t="shared" ref="AI16:AI21" si="85">AH16</f>
        <v>0</v>
      </c>
      <c r="AJ16" s="386"/>
      <c r="AK16" s="386"/>
      <c r="AL16" s="386"/>
      <c r="AM16" s="386"/>
      <c r="AN16" s="452">
        <f t="shared" ref="AN16:AN21" si="86">AM16</f>
        <v>0</v>
      </c>
      <c r="AO16" s="386"/>
      <c r="AP16" s="386"/>
      <c r="AQ16" s="386"/>
      <c r="AR16" s="368"/>
      <c r="AS16" s="168">
        <f t="shared" ref="AS16:AS21" si="87">AR16</f>
        <v>0</v>
      </c>
      <c r="AT16" s="171"/>
      <c r="AU16" s="171"/>
      <c r="AV16" s="171"/>
      <c r="AW16" s="171"/>
      <c r="AX16" s="168">
        <f t="shared" ref="AX16:AX17" si="88">AW16</f>
        <v>0</v>
      </c>
      <c r="AY16" s="171"/>
      <c r="AZ16" s="171"/>
      <c r="BA16" s="171"/>
      <c r="BB16" s="171"/>
      <c r="BC16" s="168">
        <f t="shared" ref="BC16:BC17" si="89">BB16</f>
        <v>0</v>
      </c>
      <c r="BD16" s="171"/>
      <c r="BE16" s="171"/>
      <c r="BF16" s="171"/>
      <c r="BG16" s="171"/>
      <c r="BH16" s="168">
        <f t="shared" ref="BH16:BH17" si="90">BG16</f>
        <v>0</v>
      </c>
      <c r="BI16" s="171"/>
      <c r="BJ16" s="171"/>
      <c r="BK16" s="171"/>
      <c r="BL16" s="171"/>
      <c r="BM16" s="168">
        <f t="shared" ref="BM16:BM17" si="91">BL16</f>
        <v>0</v>
      </c>
      <c r="BN16" s="171"/>
      <c r="BO16" s="171"/>
      <c r="BP16" s="171"/>
      <c r="BQ16" s="171"/>
      <c r="BR16" s="168">
        <f t="shared" ref="BR16:BR17" si="92">BQ16</f>
        <v>0</v>
      </c>
    </row>
    <row r="17" spans="1:70 16340:16384" ht="13.5" hidden="1" customHeight="1">
      <c r="A17" s="110"/>
      <c r="B17" s="199"/>
      <c r="C17" s="110" t="s">
        <v>42</v>
      </c>
      <c r="D17" s="110"/>
      <c r="E17" s="110"/>
      <c r="F17" s="175"/>
      <c r="G17" s="175"/>
      <c r="H17" s="175"/>
      <c r="I17" s="175">
        <f t="shared" si="80"/>
        <v>0</v>
      </c>
      <c r="J17" s="168"/>
      <c r="K17" s="175"/>
      <c r="L17" s="175"/>
      <c r="M17" s="175"/>
      <c r="N17" s="175">
        <f t="shared" si="81"/>
        <v>0</v>
      </c>
      <c r="O17" s="168"/>
      <c r="P17" s="175"/>
      <c r="Q17" s="175"/>
      <c r="R17" s="175"/>
      <c r="S17" s="175">
        <f t="shared" si="82"/>
        <v>0</v>
      </c>
      <c r="T17" s="168"/>
      <c r="U17" s="175"/>
      <c r="V17" s="175"/>
      <c r="W17" s="175"/>
      <c r="X17" s="175">
        <f t="shared" si="83"/>
        <v>0</v>
      </c>
      <c r="Y17" s="168"/>
      <c r="Z17" s="175"/>
      <c r="AA17" s="175"/>
      <c r="AB17" s="175"/>
      <c r="AC17" s="386"/>
      <c r="AD17" s="168">
        <f t="shared" si="84"/>
        <v>0</v>
      </c>
      <c r="AE17" s="386"/>
      <c r="AF17" s="386"/>
      <c r="AG17" s="386"/>
      <c r="AH17" s="386"/>
      <c r="AI17" s="168">
        <f t="shared" si="85"/>
        <v>0</v>
      </c>
      <c r="AJ17" s="386"/>
      <c r="AK17" s="386"/>
      <c r="AL17" s="386"/>
      <c r="AM17" s="386"/>
      <c r="AN17" s="452">
        <f t="shared" si="86"/>
        <v>0</v>
      </c>
      <c r="AO17" s="386"/>
      <c r="AP17" s="386"/>
      <c r="AQ17" s="386"/>
      <c r="AR17" s="368"/>
      <c r="AS17" s="168">
        <f t="shared" si="87"/>
        <v>0</v>
      </c>
      <c r="AT17" s="171"/>
      <c r="AU17" s="171"/>
      <c r="AV17" s="171"/>
      <c r="AW17" s="171"/>
      <c r="AX17" s="168">
        <f t="shared" si="88"/>
        <v>0</v>
      </c>
      <c r="AY17" s="171"/>
      <c r="AZ17" s="171"/>
      <c r="BA17" s="171"/>
      <c r="BB17" s="171"/>
      <c r="BC17" s="168">
        <f t="shared" si="89"/>
        <v>0</v>
      </c>
      <c r="BD17" s="171"/>
      <c r="BE17" s="171"/>
      <c r="BF17" s="171"/>
      <c r="BG17" s="171"/>
      <c r="BH17" s="168">
        <f t="shared" si="90"/>
        <v>0</v>
      </c>
      <c r="BI17" s="171"/>
      <c r="BJ17" s="171"/>
      <c r="BK17" s="171"/>
      <c r="BL17" s="171"/>
      <c r="BM17" s="168">
        <f t="shared" si="91"/>
        <v>0</v>
      </c>
      <c r="BN17" s="171"/>
      <c r="BO17" s="171"/>
      <c r="BP17" s="171"/>
      <c r="BQ17" s="171"/>
      <c r="BR17" s="168">
        <f t="shared" si="92"/>
        <v>0</v>
      </c>
    </row>
    <row r="18" spans="1:70 16340:16384" ht="12.75" customHeight="1">
      <c r="A18" s="110"/>
      <c r="B18" s="199" t="s">
        <v>71</v>
      </c>
      <c r="C18" s="110"/>
      <c r="D18" s="110"/>
      <c r="E18" s="110"/>
      <c r="F18" s="175">
        <v>351.39800000000002</v>
      </c>
      <c r="G18" s="175">
        <v>353.50599999999997</v>
      </c>
      <c r="H18" s="175">
        <v>354.995</v>
      </c>
      <c r="I18" s="175">
        <f t="shared" si="80"/>
        <v>362.43700000000001</v>
      </c>
      <c r="J18" s="168">
        <v>362.43700000000001</v>
      </c>
      <c r="K18" s="175">
        <v>373.45</v>
      </c>
      <c r="L18" s="175">
        <v>424.86900000000003</v>
      </c>
      <c r="M18" s="175">
        <v>472.52800000000002</v>
      </c>
      <c r="N18" s="175">
        <f t="shared" si="81"/>
        <v>491.37700000000001</v>
      </c>
      <c r="O18" s="168">
        <v>491.37700000000001</v>
      </c>
      <c r="P18" s="175">
        <v>490.01100000000002</v>
      </c>
      <c r="Q18" s="175">
        <v>488.49099999999999</v>
      </c>
      <c r="R18" s="175">
        <v>488.11399999999998</v>
      </c>
      <c r="S18" s="175">
        <f t="shared" si="82"/>
        <v>485.09500000000003</v>
      </c>
      <c r="T18" s="168">
        <v>485.09500000000003</v>
      </c>
      <c r="U18" s="175">
        <v>487.38499999999999</v>
      </c>
      <c r="V18" s="175">
        <v>491.45699999999999</v>
      </c>
      <c r="W18" s="175">
        <v>493.32600000000002</v>
      </c>
      <c r="X18" s="175">
        <f t="shared" si="83"/>
        <v>498.125</v>
      </c>
      <c r="Y18" s="168">
        <v>498.125</v>
      </c>
      <c r="Z18" s="175">
        <v>516.68299999999999</v>
      </c>
      <c r="AA18" s="175">
        <v>529.54499999999996</v>
      </c>
      <c r="AB18" s="175">
        <v>526.98099999999999</v>
      </c>
      <c r="AC18" s="386">
        <v>527.60199999999998</v>
      </c>
      <c r="AD18" s="168">
        <f t="shared" si="84"/>
        <v>527.60199999999998</v>
      </c>
      <c r="AE18" s="386">
        <v>523.62199999999996</v>
      </c>
      <c r="AF18" s="386">
        <v>537.83299999999997</v>
      </c>
      <c r="AG18" s="386">
        <v>531.43799999999999</v>
      </c>
      <c r="AH18" s="386">
        <v>523.52499999999998</v>
      </c>
      <c r="AI18" s="168">
        <f t="shared" si="85"/>
        <v>523.52499999999998</v>
      </c>
      <c r="AJ18" s="386">
        <v>519.89</v>
      </c>
      <c r="AK18" s="386">
        <v>507.39499999999998</v>
      </c>
      <c r="AL18" s="386">
        <v>492.32799999999997</v>
      </c>
      <c r="AM18" s="386">
        <v>477.62599999999998</v>
      </c>
      <c r="AN18" s="452">
        <f t="shared" si="86"/>
        <v>477.62599999999998</v>
      </c>
      <c r="AO18" s="386">
        <v>462.69499999999999</v>
      </c>
      <c r="AP18" s="386">
        <v>456.00099999999998</v>
      </c>
      <c r="AQ18" s="386">
        <v>447.58800000000002</v>
      </c>
      <c r="AR18" s="368">
        <v>467.49900000000002</v>
      </c>
      <c r="AS18" s="168">
        <f>AR18</f>
        <v>467.49900000000002</v>
      </c>
      <c r="AT18" s="171">
        <v>473.178</v>
      </c>
      <c r="AU18" s="171">
        <v>490.61399999999998</v>
      </c>
      <c r="AV18" s="171">
        <v>494.49799999999999</v>
      </c>
      <c r="AW18" s="171">
        <v>490.66899999999998</v>
      </c>
      <c r="AX18" s="168">
        <f>AW18</f>
        <v>490.66899999999998</v>
      </c>
      <c r="AY18" s="171">
        <v>492.92899999999997</v>
      </c>
      <c r="AZ18" s="171">
        <v>502.67500000000001</v>
      </c>
      <c r="BA18" s="171">
        <v>509.98599999999999</v>
      </c>
      <c r="BB18" s="171">
        <f>BA18-CF!BL22-CF!BL8</f>
        <v>499.98599999999999</v>
      </c>
      <c r="BC18" s="168">
        <f>BB18</f>
        <v>499.98599999999999</v>
      </c>
      <c r="BD18" s="171">
        <f>BC18-CF!BN22-CF!BN8</f>
        <v>489.98599999999999</v>
      </c>
      <c r="BE18" s="171">
        <f>BD18-CF!BO22-CF!BO8</f>
        <v>479.98599999999999</v>
      </c>
      <c r="BF18" s="171">
        <f>BE18-CF!BP22-CF!BP8</f>
        <v>469.98599999999999</v>
      </c>
      <c r="BG18" s="171">
        <f>BF18-CF!BQ22-CF!BQ8</f>
        <v>459.98599999999999</v>
      </c>
      <c r="BH18" s="168">
        <f>BG18</f>
        <v>459.98599999999999</v>
      </c>
      <c r="BI18" s="171">
        <f>BH18-CF!BS22-CF!BS8</f>
        <v>459.98599999999999</v>
      </c>
      <c r="BJ18" s="171">
        <f>BI18-CF!BT22-CF!BT8</f>
        <v>459.98599999999999</v>
      </c>
      <c r="BK18" s="171">
        <f>BJ18-CF!BU22-CF!BU8</f>
        <v>459.98599999999999</v>
      </c>
      <c r="BL18" s="171">
        <f>BK18-CF!BV22-CF!BV8</f>
        <v>459.98599999999999</v>
      </c>
      <c r="BM18" s="168">
        <f>BL18</f>
        <v>459.98599999999999</v>
      </c>
      <c r="BN18" s="171">
        <f>BM18-CF!BX22-CF!BX8</f>
        <v>459.98599999999999</v>
      </c>
      <c r="BO18" s="171">
        <f>BN18-CF!BY22-CF!BY8</f>
        <v>459.98599999999999</v>
      </c>
      <c r="BP18" s="171">
        <f>BO18-CF!BZ22-CF!BZ8</f>
        <v>459.98599999999999</v>
      </c>
      <c r="BQ18" s="171">
        <f>BP18-CF!CA22-CF!CA8</f>
        <v>459.98599999999999</v>
      </c>
      <c r="BR18" s="168">
        <f>BQ18</f>
        <v>459.98599999999999</v>
      </c>
    </row>
    <row r="19" spans="1:70 16340:16384" ht="12.75" customHeight="1">
      <c r="A19" s="110"/>
      <c r="B19" s="199" t="s">
        <v>6</v>
      </c>
      <c r="C19" s="110"/>
      <c r="D19" s="110"/>
      <c r="E19" s="110"/>
      <c r="F19" s="175">
        <v>602.471</v>
      </c>
      <c r="G19" s="175">
        <v>602.471</v>
      </c>
      <c r="H19" s="175">
        <v>602.471</v>
      </c>
      <c r="I19" s="175">
        <f t="shared" si="80"/>
        <v>621.91999999999996</v>
      </c>
      <c r="J19" s="168">
        <v>621.91999999999996</v>
      </c>
      <c r="K19" s="175">
        <v>651.42899999999997</v>
      </c>
      <c r="L19" s="175">
        <v>691.077</v>
      </c>
      <c r="M19" s="175">
        <v>881.53800000000001</v>
      </c>
      <c r="N19" s="175">
        <f t="shared" si="81"/>
        <v>892.60199999999998</v>
      </c>
      <c r="O19" s="168">
        <v>892.60199999999998</v>
      </c>
      <c r="P19" s="175">
        <v>893.79</v>
      </c>
      <c r="Q19" s="175">
        <v>570.64599999999996</v>
      </c>
      <c r="R19" s="175">
        <v>570.64599999999996</v>
      </c>
      <c r="S19" s="175">
        <f t="shared" si="82"/>
        <v>570.64599999999996</v>
      </c>
      <c r="T19" s="168">
        <v>570.64599999999996</v>
      </c>
      <c r="U19" s="175">
        <v>570.64599999999996</v>
      </c>
      <c r="V19" s="175">
        <v>570.64599999999996</v>
      </c>
      <c r="W19" s="175">
        <v>571.93200000000002</v>
      </c>
      <c r="X19" s="175">
        <f t="shared" si="83"/>
        <v>577.75599999999997</v>
      </c>
      <c r="Y19" s="168">
        <v>577.75599999999997</v>
      </c>
      <c r="Z19" s="175">
        <v>577.75599999999997</v>
      </c>
      <c r="AA19" s="175">
        <v>585.00599999999997</v>
      </c>
      <c r="AB19" s="175">
        <v>585.00599999999997</v>
      </c>
      <c r="AC19" s="386">
        <v>585.00599999999997</v>
      </c>
      <c r="AD19" s="168">
        <f t="shared" si="84"/>
        <v>585.00599999999997</v>
      </c>
      <c r="AE19" s="386">
        <v>585.00599999999997</v>
      </c>
      <c r="AF19" s="386">
        <v>585.00599999999997</v>
      </c>
      <c r="AG19" s="386">
        <v>585.00599999999997</v>
      </c>
      <c r="AH19" s="386">
        <v>585.00599999999997</v>
      </c>
      <c r="AI19" s="168">
        <f t="shared" si="85"/>
        <v>585.00599999999997</v>
      </c>
      <c r="AJ19" s="386">
        <v>585.00599999999997</v>
      </c>
      <c r="AK19" s="386">
        <v>585.00599999999997</v>
      </c>
      <c r="AL19" s="386">
        <v>585.00599999999997</v>
      </c>
      <c r="AM19" s="386">
        <v>585.00599999999997</v>
      </c>
      <c r="AN19" s="452">
        <f t="shared" si="86"/>
        <v>585.00599999999997</v>
      </c>
      <c r="AO19" s="386">
        <v>585.00599999999997</v>
      </c>
      <c r="AP19" s="386">
        <v>585.00599999999997</v>
      </c>
      <c r="AQ19" s="386">
        <v>585.00599999999997</v>
      </c>
      <c r="AR19" s="368">
        <v>585.00599999999997</v>
      </c>
      <c r="AS19" s="168">
        <f t="shared" si="87"/>
        <v>585.00599999999997</v>
      </c>
      <c r="AT19" s="171">
        <v>585.00599999999997</v>
      </c>
      <c r="AU19" s="171">
        <v>585.00599999999997</v>
      </c>
      <c r="AV19" s="171">
        <v>585.00599999999997</v>
      </c>
      <c r="AW19" s="171">
        <v>585.00599999999997</v>
      </c>
      <c r="AX19" s="168">
        <f t="shared" ref="AX19" si="93">AW19</f>
        <v>585.00599999999997</v>
      </c>
      <c r="AY19" s="171">
        <v>585.00599999999997</v>
      </c>
      <c r="AZ19" s="171">
        <v>205.143</v>
      </c>
      <c r="BA19" s="171">
        <v>205.143</v>
      </c>
      <c r="BB19" s="171">
        <f t="shared" ref="BB19:BB20" si="94">BA19</f>
        <v>205.143</v>
      </c>
      <c r="BC19" s="168">
        <f t="shared" ref="BC19" si="95">BB19</f>
        <v>205.143</v>
      </c>
      <c r="BD19" s="171">
        <f>BB19</f>
        <v>205.143</v>
      </c>
      <c r="BE19" s="171">
        <f>BD19</f>
        <v>205.143</v>
      </c>
      <c r="BF19" s="171">
        <f t="shared" ref="BF19:BF20" si="96">BE19</f>
        <v>205.143</v>
      </c>
      <c r="BG19" s="171">
        <f t="shared" ref="BG19:BG20" si="97">BF19</f>
        <v>205.143</v>
      </c>
      <c r="BH19" s="168">
        <f t="shared" ref="BH19" si="98">BG19</f>
        <v>205.143</v>
      </c>
      <c r="BI19" s="171">
        <f>BG19</f>
        <v>205.143</v>
      </c>
      <c r="BJ19" s="171">
        <f>BI19</f>
        <v>205.143</v>
      </c>
      <c r="BK19" s="171">
        <f t="shared" ref="BK19:BK20" si="99">BJ19</f>
        <v>205.143</v>
      </c>
      <c r="BL19" s="171">
        <f t="shared" ref="BL19:BL20" si="100">BK19</f>
        <v>205.143</v>
      </c>
      <c r="BM19" s="168">
        <f t="shared" ref="BM19" si="101">BL19</f>
        <v>205.143</v>
      </c>
      <c r="BN19" s="171">
        <f>BL19</f>
        <v>205.143</v>
      </c>
      <c r="BO19" s="171">
        <f>BN19</f>
        <v>205.143</v>
      </c>
      <c r="BP19" s="171">
        <f t="shared" ref="BP19:BP20" si="102">BO19</f>
        <v>205.143</v>
      </c>
      <c r="BQ19" s="171">
        <f t="shared" ref="BQ19:BQ20" si="103">BP19</f>
        <v>205.143</v>
      </c>
      <c r="BR19" s="168">
        <f t="shared" ref="BR19" si="104">BQ19</f>
        <v>205.143</v>
      </c>
    </row>
    <row r="20" spans="1:70 16340:16384" ht="12.75" customHeight="1">
      <c r="A20" s="110"/>
      <c r="B20" s="199" t="s">
        <v>72</v>
      </c>
      <c r="C20" s="110"/>
      <c r="D20" s="110"/>
      <c r="E20" s="110"/>
      <c r="F20" s="175">
        <v>132.089</v>
      </c>
      <c r="G20" s="175">
        <v>130.05099999999999</v>
      </c>
      <c r="H20" s="175">
        <v>128.10499999999999</v>
      </c>
      <c r="I20" s="175">
        <f t="shared" si="80"/>
        <v>132.55099999999999</v>
      </c>
      <c r="J20" s="168">
        <v>132.55099999999999</v>
      </c>
      <c r="K20" s="175">
        <v>151.08099999999999</v>
      </c>
      <c r="L20" s="175">
        <v>160.20599999999999</v>
      </c>
      <c r="M20" s="175">
        <v>203.07499999999999</v>
      </c>
      <c r="N20" s="175">
        <f t="shared" si="81"/>
        <v>197.999</v>
      </c>
      <c r="O20" s="168">
        <v>197.999</v>
      </c>
      <c r="P20" s="175">
        <v>192.96</v>
      </c>
      <c r="Q20" s="175">
        <v>133.715</v>
      </c>
      <c r="R20" s="175">
        <v>130.09200000000001</v>
      </c>
      <c r="S20" s="175">
        <f t="shared" si="82"/>
        <v>126.821</v>
      </c>
      <c r="T20" s="168">
        <v>126.821</v>
      </c>
      <c r="U20" s="175">
        <v>123.551</v>
      </c>
      <c r="V20" s="175">
        <v>120.28100000000001</v>
      </c>
      <c r="W20" s="175">
        <v>117.01</v>
      </c>
      <c r="X20" s="175">
        <f t="shared" si="83"/>
        <v>113.74</v>
      </c>
      <c r="Y20" s="168">
        <v>113.74</v>
      </c>
      <c r="Z20" s="175">
        <v>110.071</v>
      </c>
      <c r="AA20" s="175">
        <v>106.40300000000001</v>
      </c>
      <c r="AB20" s="175">
        <v>103.32899999999999</v>
      </c>
      <c r="AC20" s="386">
        <v>100.254</v>
      </c>
      <c r="AD20" s="168">
        <f t="shared" si="84"/>
        <v>100.254</v>
      </c>
      <c r="AE20" s="386">
        <v>99.311000000000007</v>
      </c>
      <c r="AF20" s="386">
        <v>98.367999999999995</v>
      </c>
      <c r="AG20" s="386">
        <v>97.424999999999997</v>
      </c>
      <c r="AH20" s="386">
        <v>96.54</v>
      </c>
      <c r="AI20" s="168">
        <f t="shared" si="85"/>
        <v>96.54</v>
      </c>
      <c r="AJ20" s="386">
        <v>95.653999999999996</v>
      </c>
      <c r="AK20" s="386">
        <v>94.768000000000001</v>
      </c>
      <c r="AL20" s="386">
        <v>93.882999999999996</v>
      </c>
      <c r="AM20" s="386">
        <v>92.997</v>
      </c>
      <c r="AN20" s="452">
        <f t="shared" si="86"/>
        <v>92.997</v>
      </c>
      <c r="AO20" s="386">
        <v>92.111000000000004</v>
      </c>
      <c r="AP20" s="386">
        <v>91.225999999999999</v>
      </c>
      <c r="AQ20" s="386">
        <v>90.34</v>
      </c>
      <c r="AR20" s="368">
        <v>89.453999999999994</v>
      </c>
      <c r="AS20" s="168">
        <f>AR20</f>
        <v>89.453999999999994</v>
      </c>
      <c r="AT20" s="171">
        <v>88.567999999999998</v>
      </c>
      <c r="AU20" s="171">
        <v>87.683000000000007</v>
      </c>
      <c r="AV20" s="171">
        <v>86.796999999999997</v>
      </c>
      <c r="AW20" s="171">
        <v>85.911000000000001</v>
      </c>
      <c r="AX20" s="168">
        <f>AW20</f>
        <v>85.911000000000001</v>
      </c>
      <c r="AY20" s="171">
        <v>85.025999999999996</v>
      </c>
      <c r="AZ20" s="171">
        <v>84.14</v>
      </c>
      <c r="BA20" s="171">
        <v>83.254000000000005</v>
      </c>
      <c r="BB20" s="171">
        <f t="shared" si="94"/>
        <v>83.254000000000005</v>
      </c>
      <c r="BC20" s="168">
        <f>BB20</f>
        <v>83.254000000000005</v>
      </c>
      <c r="BD20" s="171">
        <f>BB20</f>
        <v>83.254000000000005</v>
      </c>
      <c r="BE20" s="171">
        <f>BD20</f>
        <v>83.254000000000005</v>
      </c>
      <c r="BF20" s="171">
        <f t="shared" si="96"/>
        <v>83.254000000000005</v>
      </c>
      <c r="BG20" s="171">
        <f t="shared" si="97"/>
        <v>83.254000000000005</v>
      </c>
      <c r="BH20" s="168">
        <f>BG20</f>
        <v>83.254000000000005</v>
      </c>
      <c r="BI20" s="171">
        <f>BG20</f>
        <v>83.254000000000005</v>
      </c>
      <c r="BJ20" s="171">
        <f>BI20</f>
        <v>83.254000000000005</v>
      </c>
      <c r="BK20" s="171">
        <f t="shared" si="99"/>
        <v>83.254000000000005</v>
      </c>
      <c r="BL20" s="171">
        <f t="shared" si="100"/>
        <v>83.254000000000005</v>
      </c>
      <c r="BM20" s="168">
        <f>BL20</f>
        <v>83.254000000000005</v>
      </c>
      <c r="BN20" s="171">
        <f>BL20</f>
        <v>83.254000000000005</v>
      </c>
      <c r="BO20" s="171">
        <f>BN20</f>
        <v>83.254000000000005</v>
      </c>
      <c r="BP20" s="171">
        <f t="shared" si="102"/>
        <v>83.254000000000005</v>
      </c>
      <c r="BQ20" s="171">
        <f t="shared" si="103"/>
        <v>83.254000000000005</v>
      </c>
      <c r="BR20" s="168">
        <f>BQ20</f>
        <v>83.254000000000005</v>
      </c>
    </row>
    <row r="21" spans="1:70 16340:16384" ht="13.5" customHeight="1">
      <c r="A21" s="110"/>
      <c r="B21" s="199" t="s">
        <v>7</v>
      </c>
      <c r="C21" s="110"/>
      <c r="D21" s="110"/>
      <c r="E21" s="110"/>
      <c r="F21" s="175">
        <v>20.209</v>
      </c>
      <c r="G21" s="175">
        <v>17.303000000000001</v>
      </c>
      <c r="H21" s="175">
        <v>18.306000000000001</v>
      </c>
      <c r="I21" s="175">
        <f t="shared" si="80"/>
        <v>13.141</v>
      </c>
      <c r="J21" s="168">
        <v>13.141</v>
      </c>
      <c r="K21" s="175">
        <v>15.644</v>
      </c>
      <c r="L21" s="175">
        <v>20.968</v>
      </c>
      <c r="M21" s="175">
        <v>21.385999999999999</v>
      </c>
      <c r="N21" s="175">
        <f t="shared" si="81"/>
        <v>18.803999999999998</v>
      </c>
      <c r="O21" s="168">
        <v>18.803999999999998</v>
      </c>
      <c r="P21" s="175">
        <v>18.04</v>
      </c>
      <c r="Q21" s="175">
        <v>35.052</v>
      </c>
      <c r="R21" s="175">
        <v>40.130000000000003</v>
      </c>
      <c r="S21" s="175">
        <f t="shared" si="82"/>
        <v>85.718000000000004</v>
      </c>
      <c r="T21" s="168">
        <v>85.718000000000004</v>
      </c>
      <c r="U21" s="175">
        <v>86.887</v>
      </c>
      <c r="V21" s="175">
        <v>81.432000000000002</v>
      </c>
      <c r="W21" s="175">
        <v>80.759</v>
      </c>
      <c r="X21" s="175">
        <f t="shared" si="83"/>
        <v>75.614000000000004</v>
      </c>
      <c r="Y21" s="168">
        <v>75.614000000000004</v>
      </c>
      <c r="Z21" s="175">
        <v>73.356999999999999</v>
      </c>
      <c r="AA21" s="175">
        <v>75.685000000000002</v>
      </c>
      <c r="AB21" s="175">
        <v>57.948</v>
      </c>
      <c r="AC21" s="386">
        <v>87.897000000000006</v>
      </c>
      <c r="AD21" s="168">
        <f t="shared" si="84"/>
        <v>87.897000000000006</v>
      </c>
      <c r="AE21" s="386">
        <v>86.531000000000006</v>
      </c>
      <c r="AF21" s="386">
        <v>84.83</v>
      </c>
      <c r="AG21" s="386">
        <v>80.638999999999996</v>
      </c>
      <c r="AH21" s="386">
        <v>202.125</v>
      </c>
      <c r="AI21" s="168">
        <f t="shared" si="85"/>
        <v>202.125</v>
      </c>
      <c r="AJ21" s="386">
        <v>198.63499999999999</v>
      </c>
      <c r="AK21" s="386">
        <v>218.535</v>
      </c>
      <c r="AL21" s="386">
        <v>199.81200000000001</v>
      </c>
      <c r="AM21" s="386">
        <v>45.234999999999999</v>
      </c>
      <c r="AN21" s="452">
        <f t="shared" si="86"/>
        <v>45.234999999999999</v>
      </c>
      <c r="AO21" s="386">
        <v>44.851999999999997</v>
      </c>
      <c r="AP21" s="386">
        <v>40.926000000000002</v>
      </c>
      <c r="AQ21" s="386">
        <v>40.811</v>
      </c>
      <c r="AR21" s="368">
        <v>47.771999999999998</v>
      </c>
      <c r="AS21" s="168">
        <f t="shared" si="87"/>
        <v>47.771999999999998</v>
      </c>
      <c r="AT21" s="171">
        <v>48.877000000000002</v>
      </c>
      <c r="AU21" s="171">
        <v>50.170999999999999</v>
      </c>
      <c r="AV21" s="171">
        <v>49.981000000000002</v>
      </c>
      <c r="AW21" s="171">
        <v>50.523000000000003</v>
      </c>
      <c r="AX21" s="168">
        <f t="shared" ref="AX21" si="105">AW21</f>
        <v>50.523000000000003</v>
      </c>
      <c r="AY21" s="171">
        <v>91.804000000000002</v>
      </c>
      <c r="AZ21" s="171">
        <v>92.896000000000001</v>
      </c>
      <c r="BA21" s="171">
        <v>90.942999999999998</v>
      </c>
      <c r="BB21" s="171">
        <f>+BA21</f>
        <v>90.942999999999998</v>
      </c>
      <c r="BC21" s="168">
        <f t="shared" ref="BC21" si="106">BB21</f>
        <v>90.942999999999998</v>
      </c>
      <c r="BD21" s="171">
        <f>+BB21</f>
        <v>90.942999999999998</v>
      </c>
      <c r="BE21" s="171">
        <f>+BD21</f>
        <v>90.942999999999998</v>
      </c>
      <c r="BF21" s="171">
        <f>+BE21</f>
        <v>90.942999999999998</v>
      </c>
      <c r="BG21" s="171">
        <f>+BF21</f>
        <v>90.942999999999998</v>
      </c>
      <c r="BH21" s="168">
        <f t="shared" ref="BH21" si="107">BG21</f>
        <v>90.942999999999998</v>
      </c>
      <c r="BI21" s="171">
        <f>+BG21</f>
        <v>90.942999999999998</v>
      </c>
      <c r="BJ21" s="171">
        <f>+BI21</f>
        <v>90.942999999999998</v>
      </c>
      <c r="BK21" s="171">
        <f>+BJ21</f>
        <v>90.942999999999998</v>
      </c>
      <c r="BL21" s="171">
        <f>+BK21</f>
        <v>90.942999999999998</v>
      </c>
      <c r="BM21" s="168">
        <f t="shared" ref="BM21" si="108">BL21</f>
        <v>90.942999999999998</v>
      </c>
      <c r="BN21" s="171">
        <f>+BL21</f>
        <v>90.942999999999998</v>
      </c>
      <c r="BO21" s="171">
        <f>+BN21</f>
        <v>90.942999999999998</v>
      </c>
      <c r="BP21" s="171">
        <f>+BO21</f>
        <v>90.942999999999998</v>
      </c>
      <c r="BQ21" s="171">
        <f>+BP21</f>
        <v>90.942999999999998</v>
      </c>
      <c r="BR21" s="168">
        <f t="shared" ref="BR21" si="109">BQ21</f>
        <v>90.942999999999998</v>
      </c>
    </row>
    <row r="22" spans="1:70 16340:16384" s="24" customFormat="1" ht="13.5" customHeight="1" thickBot="1">
      <c r="A22" s="112" t="s">
        <v>8</v>
      </c>
      <c r="B22" s="112"/>
      <c r="C22" s="112"/>
      <c r="D22" s="112"/>
      <c r="E22" s="112"/>
      <c r="F22" s="178">
        <f>SUM(F15:F21)+F13</f>
        <v>2773.1850000000004</v>
      </c>
      <c r="G22" s="178">
        <f t="shared" ref="G22:I22" si="110">SUM(G15:G21)+G13</f>
        <v>2882.6910000000003</v>
      </c>
      <c r="H22" s="178">
        <f t="shared" si="110"/>
        <v>2725.9490000000001</v>
      </c>
      <c r="I22" s="178">
        <f t="shared" si="110"/>
        <v>2779.2200000000003</v>
      </c>
      <c r="J22" s="179">
        <f>SUM(J15:J21)+J13</f>
        <v>2779.2200000000003</v>
      </c>
      <c r="K22" s="178">
        <f>SUM(K15:K21)+K13</f>
        <v>2797.7129999999997</v>
      </c>
      <c r="L22" s="178">
        <f t="shared" ref="L22:N22" si="111">SUM(L15:L21)+L13</f>
        <v>3139.357</v>
      </c>
      <c r="M22" s="178">
        <f t="shared" si="111"/>
        <v>3753.7370000000001</v>
      </c>
      <c r="N22" s="178">
        <f t="shared" si="111"/>
        <v>3613.1270000000004</v>
      </c>
      <c r="O22" s="179">
        <f>SUM(O15:O21)+O13</f>
        <v>3613.1270000000004</v>
      </c>
      <c r="P22" s="178">
        <f>SUM(P15:P21)+P13</f>
        <v>3518.58</v>
      </c>
      <c r="Q22" s="178">
        <f t="shared" ref="Q22:S22" si="112">SUM(Q15:Q21)+Q13</f>
        <v>3176.5719999999997</v>
      </c>
      <c r="R22" s="178">
        <f t="shared" si="112"/>
        <v>3235.4580000000005</v>
      </c>
      <c r="S22" s="178">
        <f t="shared" si="112"/>
        <v>3296.41</v>
      </c>
      <c r="T22" s="179">
        <f>SUM(T15:T21)+T13</f>
        <v>3296.41</v>
      </c>
      <c r="U22" s="178">
        <f>SUM(U15:U21)+U13</f>
        <v>3387.4380000000001</v>
      </c>
      <c r="V22" s="178">
        <f t="shared" ref="V22:X22" si="113">SUM(V15:V21)+V13</f>
        <v>3457.4840000000004</v>
      </c>
      <c r="W22" s="178">
        <f t="shared" si="113"/>
        <v>3478.9470000000001</v>
      </c>
      <c r="X22" s="178">
        <f t="shared" si="113"/>
        <v>3397.4380000000001</v>
      </c>
      <c r="Y22" s="179">
        <f>SUM(Y15:Y21)+Y13</f>
        <v>3397.4380000000001</v>
      </c>
      <c r="Z22" s="178">
        <f>SUM(Z15:Z21)+Z13</f>
        <v>3525.3490000000002</v>
      </c>
      <c r="AA22" s="178">
        <f t="shared" ref="AA22" si="114">SUM(AA15:AA21)+AA13</f>
        <v>3654.5230000000001</v>
      </c>
      <c r="AB22" s="178">
        <f>SUM(AB15:AB21)+AB13</f>
        <v>3835.5200000000004</v>
      </c>
      <c r="AC22" s="389">
        <f>SUM(AC15:AC21)+AC13</f>
        <v>3773.3149999999996</v>
      </c>
      <c r="AD22" s="179">
        <f>SUM(AD15:AD21)+AD13</f>
        <v>3773.3149999999996</v>
      </c>
      <c r="AE22" s="389">
        <f>SUM(AE15:AE21)+AE13</f>
        <v>3766.4799999999996</v>
      </c>
      <c r="AF22" s="389">
        <f t="shared" ref="AF22:AH22" si="115">SUM(AF15:AF21)+AF13</f>
        <v>3943.636</v>
      </c>
      <c r="AG22" s="389">
        <f t="shared" si="115"/>
        <v>3970.2550000000001</v>
      </c>
      <c r="AH22" s="389">
        <f t="shared" si="115"/>
        <v>4042.4410000000003</v>
      </c>
      <c r="AI22" s="179">
        <f>SUM(AI15:AI21)+AI13</f>
        <v>4042.4410000000003</v>
      </c>
      <c r="AJ22" s="389">
        <f>SUM(AJ15:AJ21)+AJ13</f>
        <v>4131.482</v>
      </c>
      <c r="AK22" s="389">
        <f t="shared" ref="AK22:AM22" si="116">SUM(AK15:AK21)+AK13</f>
        <v>4195.585</v>
      </c>
      <c r="AL22" s="389">
        <f t="shared" si="116"/>
        <v>4220.9660000000003</v>
      </c>
      <c r="AM22" s="389">
        <f t="shared" si="116"/>
        <v>4038.6200000000003</v>
      </c>
      <c r="AN22" s="453">
        <f>SUM(AN15:AN21)+AN13</f>
        <v>4038.6200000000003</v>
      </c>
      <c r="AO22" s="389">
        <f>SUM(AO15:AO21)+AO13</f>
        <v>3998.4830000000002</v>
      </c>
      <c r="AP22" s="389">
        <f t="shared" ref="AP22:AQ22" si="117">SUM(AP15:AP21)+AP13</f>
        <v>4164.866</v>
      </c>
      <c r="AQ22" s="389">
        <f t="shared" si="117"/>
        <v>4282.7849999999999</v>
      </c>
      <c r="AR22" s="371">
        <f>SUM(AR15:AR21)+AR13</f>
        <v>4264.1229999999996</v>
      </c>
      <c r="AS22" s="179">
        <f>SUM(AS15:AS21)+AS13</f>
        <v>4264.1229999999996</v>
      </c>
      <c r="AT22" s="178">
        <f>SUM(AT15:AT21)+AT13</f>
        <v>4308.1289999999999</v>
      </c>
      <c r="AU22" s="178">
        <f t="shared" ref="AU22:AW22" si="118">SUM(AU15:AU21)+AU13</f>
        <v>4357.7650000000003</v>
      </c>
      <c r="AV22" s="178">
        <f t="shared" si="118"/>
        <v>4425.1680000000006</v>
      </c>
      <c r="AW22" s="178">
        <f t="shared" si="118"/>
        <v>4387.7520000000004</v>
      </c>
      <c r="AX22" s="179">
        <f>SUM(AX15:AX21)+AX13</f>
        <v>4387.7520000000004</v>
      </c>
      <c r="AY22" s="178">
        <f>SUM(AY15:AY21)+AY13</f>
        <v>4556.2700000000004</v>
      </c>
      <c r="AZ22" s="178">
        <f t="shared" ref="AZ22:BB22" si="119">SUM(AZ15:AZ21)+AZ13</f>
        <v>4413.4960000000001</v>
      </c>
      <c r="BA22" s="178">
        <f t="shared" si="119"/>
        <v>4494.9080000000004</v>
      </c>
      <c r="BB22" s="178">
        <f t="shared" si="119"/>
        <v>4028.3534166945351</v>
      </c>
      <c r="BC22" s="179">
        <f>SUM(BC15:BC21)+BC13</f>
        <v>4028.3534166945351</v>
      </c>
      <c r="BD22" s="178">
        <f>SUM(BD15:BD21)+BD13</f>
        <v>4176.4186659898069</v>
      </c>
      <c r="BE22" s="178">
        <f t="shared" ref="BE22:BG22" si="120">SUM(BE15:BE21)+BE13</f>
        <v>4492.6187334747647</v>
      </c>
      <c r="BF22" s="178">
        <f t="shared" si="120"/>
        <v>4775.6983560909475</v>
      </c>
      <c r="BG22" s="178">
        <f t="shared" si="120"/>
        <v>4956.4929777557054</v>
      </c>
      <c r="BH22" s="179">
        <f>SUM(BH15:BH21)+BH13</f>
        <v>4956.4929777557054</v>
      </c>
      <c r="BI22" s="178">
        <f>SUM(BI15:BI21)+BI13</f>
        <v>4964.7427669419685</v>
      </c>
      <c r="BJ22" s="178">
        <f t="shared" ref="BJ22:BL22" si="121">SUM(BJ15:BJ21)+BJ13</f>
        <v>4997.4938330650766</v>
      </c>
      <c r="BK22" s="178">
        <f t="shared" si="121"/>
        <v>5013.2898562212104</v>
      </c>
      <c r="BL22" s="178">
        <f t="shared" si="121"/>
        <v>5063.0660371422246</v>
      </c>
      <c r="BM22" s="179">
        <f>SUM(BM15:BM21)+BM13</f>
        <v>5063.0660371422246</v>
      </c>
      <c r="BN22" s="178">
        <f>SUM(BN15:BN21)+BN13</f>
        <v>5059.0994164011317</v>
      </c>
      <c r="BO22" s="178">
        <f t="shared" ref="BO22:BQ22" si="122">SUM(BO15:BO21)+BO13</f>
        <v>5076.5148732453299</v>
      </c>
      <c r="BP22" s="178">
        <f t="shared" si="122"/>
        <v>5115.7778206418243</v>
      </c>
      <c r="BQ22" s="178">
        <f t="shared" si="122"/>
        <v>5169.6390965287437</v>
      </c>
      <c r="BR22" s="179">
        <f>SUM(BR15:BR21)+BR13</f>
        <v>5169.6390965287437</v>
      </c>
      <c r="XDL22" s="438"/>
      <c r="XDM22" s="438"/>
      <c r="XDN22" s="438"/>
      <c r="XDO22" s="438"/>
      <c r="XDP22" s="438"/>
      <c r="XDQ22" s="438"/>
      <c r="XDR22" s="438"/>
      <c r="XDS22" s="438"/>
      <c r="XDT22" s="438"/>
      <c r="XDU22" s="438"/>
      <c r="XDV22" s="438"/>
      <c r="XDW22" s="438"/>
      <c r="XDX22" s="438"/>
      <c r="XDY22" s="438"/>
      <c r="XDZ22" s="438"/>
      <c r="XEA22" s="438"/>
      <c r="XEB22" s="438"/>
      <c r="XEC22" s="438"/>
      <c r="XED22" s="438"/>
      <c r="XEE22" s="438"/>
      <c r="XEF22" s="438"/>
      <c r="XEG22" s="438"/>
      <c r="XEH22" s="438"/>
      <c r="XEI22" s="438"/>
      <c r="XEJ22" s="438"/>
      <c r="XEK22" s="438"/>
      <c r="XEL22" s="438"/>
      <c r="XEM22" s="438"/>
      <c r="XEN22" s="438"/>
      <c r="XEO22" s="438"/>
      <c r="XEP22" s="438"/>
      <c r="XEQ22" s="438"/>
      <c r="XER22" s="438"/>
      <c r="XES22" s="438"/>
      <c r="XET22" s="438"/>
      <c r="XEU22" s="438"/>
      <c r="XEV22" s="438"/>
      <c r="XEW22" s="438"/>
      <c r="XEX22" s="438"/>
      <c r="XEY22" s="438"/>
      <c r="XEZ22" s="438"/>
      <c r="XFA22" s="438"/>
      <c r="XFB22" s="438"/>
      <c r="XFC22" s="438"/>
      <c r="XFD22" s="438"/>
    </row>
    <row r="23" spans="1:70 16340:16384" ht="13" thickTop="1">
      <c r="A23" s="110"/>
      <c r="B23" s="110"/>
      <c r="C23" s="110"/>
      <c r="D23" s="110"/>
      <c r="E23" s="110"/>
      <c r="F23" s="164"/>
      <c r="G23" s="164"/>
      <c r="H23" s="164"/>
      <c r="I23" s="164"/>
      <c r="J23" s="169"/>
      <c r="K23" s="164"/>
      <c r="L23" s="164"/>
      <c r="M23" s="164"/>
      <c r="N23" s="164"/>
      <c r="O23" s="169"/>
      <c r="P23" s="164"/>
      <c r="Q23" s="164"/>
      <c r="R23" s="164"/>
      <c r="S23" s="164"/>
      <c r="T23" s="169"/>
      <c r="U23" s="164"/>
      <c r="V23" s="164"/>
      <c r="W23" s="164"/>
      <c r="X23" s="164"/>
      <c r="Y23" s="169"/>
      <c r="Z23" s="164"/>
      <c r="AA23" s="164"/>
      <c r="AB23" s="164"/>
      <c r="AC23" s="385"/>
      <c r="AD23" s="169"/>
      <c r="AE23" s="385"/>
      <c r="AF23" s="385"/>
      <c r="AG23" s="385"/>
      <c r="AH23" s="385"/>
      <c r="AI23" s="169"/>
      <c r="AJ23" s="385"/>
      <c r="AK23" s="385"/>
      <c r="AL23" s="385"/>
      <c r="AM23" s="385"/>
      <c r="AN23" s="454"/>
      <c r="AO23" s="385"/>
      <c r="AP23" s="385"/>
      <c r="AQ23" s="385"/>
      <c r="AR23" s="374"/>
      <c r="AS23" s="169"/>
      <c r="AT23" s="164"/>
      <c r="AU23" s="164"/>
      <c r="AV23" s="164"/>
      <c r="AW23" s="164"/>
      <c r="AX23" s="169"/>
      <c r="AY23" s="164"/>
      <c r="AZ23" s="164"/>
      <c r="BA23" s="164"/>
      <c r="BB23" s="164"/>
      <c r="BC23" s="169"/>
      <c r="BD23" s="164"/>
      <c r="BE23" s="164"/>
      <c r="BF23" s="164"/>
      <c r="BG23" s="164"/>
      <c r="BH23" s="169"/>
      <c r="BI23" s="164"/>
      <c r="BJ23" s="164"/>
      <c r="BK23" s="164"/>
      <c r="BL23" s="164"/>
      <c r="BM23" s="169"/>
      <c r="BN23" s="164"/>
      <c r="BO23" s="164"/>
      <c r="BP23" s="164"/>
      <c r="BQ23" s="164"/>
      <c r="BR23" s="169"/>
    </row>
    <row r="24" spans="1:70 16340:16384" ht="12.75" customHeight="1">
      <c r="A24" s="109" t="s">
        <v>9</v>
      </c>
      <c r="B24" s="109"/>
      <c r="C24" s="109"/>
      <c r="D24" s="109"/>
      <c r="E24" s="109"/>
      <c r="F24" s="162"/>
      <c r="G24" s="163"/>
      <c r="H24" s="164"/>
      <c r="I24" s="164"/>
      <c r="J24" s="168"/>
      <c r="K24" s="166"/>
      <c r="L24" s="164"/>
      <c r="M24" s="164"/>
      <c r="N24" s="164"/>
      <c r="O24" s="168"/>
      <c r="P24" s="166"/>
      <c r="Q24" s="164"/>
      <c r="R24" s="164"/>
      <c r="S24" s="164"/>
      <c r="T24" s="168"/>
      <c r="U24" s="166"/>
      <c r="V24" s="164"/>
      <c r="W24" s="164"/>
      <c r="X24" s="164"/>
      <c r="Y24" s="168"/>
      <c r="Z24" s="166"/>
      <c r="AA24" s="164"/>
      <c r="AB24" s="164"/>
      <c r="AC24" s="385"/>
      <c r="AD24" s="168"/>
      <c r="AE24" s="411"/>
      <c r="AF24" s="385"/>
      <c r="AG24" s="385"/>
      <c r="AH24" s="385"/>
      <c r="AI24" s="168"/>
      <c r="AJ24" s="410"/>
      <c r="AK24" s="385"/>
      <c r="AL24" s="385"/>
      <c r="AM24" s="385"/>
      <c r="AN24" s="452"/>
      <c r="AO24" s="411"/>
      <c r="AP24" s="385"/>
      <c r="AQ24" s="385"/>
      <c r="AR24" s="461"/>
      <c r="AS24" s="168"/>
      <c r="AT24" s="166"/>
      <c r="AU24" s="164"/>
      <c r="AV24" s="164"/>
      <c r="AW24" s="164"/>
      <c r="AX24" s="168"/>
      <c r="AY24" s="166"/>
      <c r="AZ24" s="164"/>
      <c r="BA24" s="164"/>
      <c r="BB24" s="164"/>
      <c r="BC24" s="168"/>
      <c r="BD24" s="166"/>
      <c r="BE24" s="164"/>
      <c r="BF24" s="164"/>
      <c r="BG24" s="164"/>
      <c r="BH24" s="168"/>
      <c r="BI24" s="166"/>
      <c r="BJ24" s="164"/>
      <c r="BK24" s="164"/>
      <c r="BL24" s="164"/>
      <c r="BM24" s="168"/>
      <c r="BN24" s="166"/>
      <c r="BO24" s="164"/>
      <c r="BP24" s="164"/>
      <c r="BQ24" s="164"/>
      <c r="BR24" s="168"/>
    </row>
    <row r="25" spans="1:70 16340:16384" ht="12.75" customHeight="1">
      <c r="A25" s="110" t="s">
        <v>10</v>
      </c>
      <c r="B25" s="110"/>
      <c r="C25" s="110"/>
      <c r="D25" s="110"/>
      <c r="E25" s="110"/>
      <c r="F25" s="175"/>
      <c r="G25" s="175"/>
      <c r="H25" s="176"/>
      <c r="I25" s="176"/>
      <c r="J25" s="168"/>
      <c r="K25" s="177"/>
      <c r="L25" s="176"/>
      <c r="M25" s="176"/>
      <c r="N25" s="176"/>
      <c r="O25" s="168"/>
      <c r="P25" s="177"/>
      <c r="Q25" s="176"/>
      <c r="R25" s="176"/>
      <c r="S25" s="176"/>
      <c r="T25" s="168"/>
      <c r="U25" s="177"/>
      <c r="V25" s="176"/>
      <c r="W25" s="176"/>
      <c r="X25" s="176"/>
      <c r="Y25" s="168"/>
      <c r="Z25" s="177"/>
      <c r="AA25" s="176"/>
      <c r="AB25" s="176"/>
      <c r="AC25" s="388"/>
      <c r="AD25" s="168"/>
      <c r="AE25" s="410"/>
      <c r="AF25" s="388"/>
      <c r="AG25" s="388"/>
      <c r="AH25" s="388"/>
      <c r="AI25" s="168"/>
      <c r="AJ25" s="410"/>
      <c r="AK25" s="388"/>
      <c r="AL25" s="388"/>
      <c r="AM25" s="388"/>
      <c r="AN25" s="452"/>
      <c r="AO25" s="410"/>
      <c r="AP25" s="388"/>
      <c r="AQ25" s="388"/>
      <c r="AR25" s="462"/>
      <c r="AS25" s="168"/>
      <c r="AT25" s="177"/>
      <c r="AU25" s="176"/>
      <c r="AV25" s="176"/>
      <c r="AW25" s="176"/>
      <c r="AX25" s="168"/>
      <c r="AY25" s="177"/>
      <c r="AZ25" s="176"/>
      <c r="BA25" s="176"/>
      <c r="BB25" s="176"/>
      <c r="BC25" s="168"/>
      <c r="BD25" s="177"/>
      <c r="BE25" s="176"/>
      <c r="BF25" s="176"/>
      <c r="BG25" s="176"/>
      <c r="BH25" s="168"/>
      <c r="BI25" s="177"/>
      <c r="BJ25" s="176"/>
      <c r="BK25" s="176"/>
      <c r="BL25" s="176"/>
      <c r="BM25" s="168"/>
      <c r="BN25" s="177"/>
      <c r="BO25" s="176"/>
      <c r="BP25" s="176"/>
      <c r="BQ25" s="176"/>
      <c r="BR25" s="168"/>
    </row>
    <row r="26" spans="1:70 16340:16384" ht="12.75" customHeight="1">
      <c r="A26" s="110"/>
      <c r="B26" s="110" t="s">
        <v>11</v>
      </c>
      <c r="C26" s="110"/>
      <c r="D26" s="110"/>
      <c r="E26" s="110"/>
      <c r="F26" s="175">
        <v>29.879000000000001</v>
      </c>
      <c r="G26" s="175">
        <v>31.013999999999999</v>
      </c>
      <c r="H26" s="175">
        <v>21.855</v>
      </c>
      <c r="I26" s="175">
        <f>J26</f>
        <v>21.334</v>
      </c>
      <c r="J26" s="168">
        <v>21.334</v>
      </c>
      <c r="K26" s="175">
        <v>14.217000000000001</v>
      </c>
      <c r="L26" s="175">
        <v>32.412999999999997</v>
      </c>
      <c r="M26" s="175">
        <v>73.835999999999999</v>
      </c>
      <c r="N26" s="175">
        <f>O26</f>
        <v>59.959000000000003</v>
      </c>
      <c r="O26" s="168">
        <v>59.959000000000003</v>
      </c>
      <c r="P26" s="175">
        <v>60.915999999999997</v>
      </c>
      <c r="Q26" s="175">
        <v>65.039000000000001</v>
      </c>
      <c r="R26" s="175">
        <v>63.832000000000001</v>
      </c>
      <c r="S26" s="175">
        <f>T26</f>
        <v>67.709999999999994</v>
      </c>
      <c r="T26" s="168">
        <v>67.709999999999994</v>
      </c>
      <c r="U26" s="175">
        <v>67.33</v>
      </c>
      <c r="V26" s="175">
        <v>108.134</v>
      </c>
      <c r="W26" s="175">
        <v>107.821</v>
      </c>
      <c r="X26" s="175">
        <f>Y26</f>
        <v>114.658</v>
      </c>
      <c r="Y26" s="168">
        <v>114.658</v>
      </c>
      <c r="Z26" s="175">
        <v>122.947</v>
      </c>
      <c r="AA26" s="175">
        <v>68.231999999999999</v>
      </c>
      <c r="AB26" s="175">
        <v>65.406999999999996</v>
      </c>
      <c r="AC26" s="386">
        <v>81.292000000000002</v>
      </c>
      <c r="AD26" s="168">
        <f t="shared" ref="AD26:AD29" si="123">AC26</f>
        <v>81.292000000000002</v>
      </c>
      <c r="AE26" s="386">
        <v>87.6</v>
      </c>
      <c r="AF26" s="386">
        <v>86.100999999999999</v>
      </c>
      <c r="AG26" s="386">
        <v>85.897000000000006</v>
      </c>
      <c r="AH26" s="386">
        <v>88.917000000000002</v>
      </c>
      <c r="AI26" s="168">
        <f t="shared" ref="AI26:AI29" si="124">AH26</f>
        <v>88.917000000000002</v>
      </c>
      <c r="AJ26" s="386">
        <v>99.97</v>
      </c>
      <c r="AK26" s="386">
        <v>120.256</v>
      </c>
      <c r="AL26" s="386">
        <v>108.89700000000001</v>
      </c>
      <c r="AM26" s="386">
        <v>85.89</v>
      </c>
      <c r="AN26" s="452">
        <f t="shared" ref="AN26:AN29" si="125">AM26</f>
        <v>85.89</v>
      </c>
      <c r="AO26" s="386">
        <v>27.597999999999999</v>
      </c>
      <c r="AP26" s="386">
        <v>30.332999999999998</v>
      </c>
      <c r="AQ26" s="386">
        <v>30.951000000000001</v>
      </c>
      <c r="AR26" s="368">
        <v>30.748000000000001</v>
      </c>
      <c r="AS26" s="168">
        <f t="shared" ref="AS26:AS29" si="126">AR26</f>
        <v>30.748000000000001</v>
      </c>
      <c r="AT26" s="171">
        <v>27.164999999999999</v>
      </c>
      <c r="AU26" s="171">
        <v>28.105</v>
      </c>
      <c r="AV26" s="171">
        <v>20.600999999999999</v>
      </c>
      <c r="AW26" s="171">
        <v>16.766999999999999</v>
      </c>
      <c r="AX26" s="168">
        <f t="shared" ref="AX26:AX29" si="127">AW26</f>
        <v>16.766999999999999</v>
      </c>
      <c r="AY26" s="171">
        <v>11.920999999999999</v>
      </c>
      <c r="AZ26" s="171">
        <v>14.414</v>
      </c>
      <c r="BA26" s="171">
        <v>10.862</v>
      </c>
      <c r="BB26" s="171">
        <f t="shared" ref="BB26" si="128">BB75*BB$50</f>
        <v>69.13120664476692</v>
      </c>
      <c r="BC26" s="168">
        <f t="shared" ref="BC26:BC29" si="129">BB26</f>
        <v>69.13120664476692</v>
      </c>
      <c r="BD26" s="171">
        <f t="shared" ref="BD26:BG26" si="130">BD75*BD$50</f>
        <v>71.576216299236933</v>
      </c>
      <c r="BE26" s="171">
        <f t="shared" si="130"/>
        <v>77.39866382357576</v>
      </c>
      <c r="BF26" s="171">
        <f t="shared" si="130"/>
        <v>82.640655738406466</v>
      </c>
      <c r="BG26" s="171">
        <f t="shared" si="130"/>
        <v>85.914073745060463</v>
      </c>
      <c r="BH26" s="168">
        <f t="shared" ref="BH26:BH29" si="131">BG26</f>
        <v>85.914073745060463</v>
      </c>
      <c r="BI26" s="171">
        <f t="shared" ref="BI26:BL26" si="132">BI75*BI$50</f>
        <v>85.468334552655264</v>
      </c>
      <c r="BJ26" s="171">
        <f t="shared" si="132"/>
        <v>85.619731870578732</v>
      </c>
      <c r="BK26" s="171">
        <f t="shared" si="132"/>
        <v>85.444548021891762</v>
      </c>
      <c r="BL26" s="171">
        <f t="shared" si="132"/>
        <v>85.914073745060463</v>
      </c>
      <c r="BM26" s="168">
        <f t="shared" ref="BM26:BM29" si="133">BL26</f>
        <v>85.914073745060463</v>
      </c>
      <c r="BN26" s="171">
        <f t="shared" ref="BN26:BQ26" si="134">BN75*BN$50</f>
        <v>85.236303357916185</v>
      </c>
      <c r="BO26" s="171">
        <f t="shared" si="134"/>
        <v>85.089214097705096</v>
      </c>
      <c r="BP26" s="171">
        <f t="shared" si="134"/>
        <v>85.36864927824125</v>
      </c>
      <c r="BQ26" s="171">
        <f t="shared" si="134"/>
        <v>85.914073745060463</v>
      </c>
      <c r="BR26" s="168">
        <f t="shared" ref="BR26:BR29" si="135">BQ26</f>
        <v>85.914073745060463</v>
      </c>
    </row>
    <row r="27" spans="1:70 16340:16384" ht="12.75" customHeight="1">
      <c r="A27" s="110"/>
      <c r="B27" s="110" t="s">
        <v>74</v>
      </c>
      <c r="C27" s="110"/>
      <c r="D27" s="110"/>
      <c r="E27" s="110"/>
      <c r="F27" s="175">
        <v>911.18399999999997</v>
      </c>
      <c r="G27" s="175">
        <v>950.49199999999996</v>
      </c>
      <c r="H27" s="175">
        <v>829.80899999999997</v>
      </c>
      <c r="I27" s="175">
        <f t="shared" ref="I27:I29" si="136">J27</f>
        <v>653.54200000000003</v>
      </c>
      <c r="J27" s="168">
        <v>653.54200000000003</v>
      </c>
      <c r="K27" s="175">
        <v>597.65899999999999</v>
      </c>
      <c r="L27" s="175">
        <v>630.178</v>
      </c>
      <c r="M27" s="175">
        <v>766.77099999999996</v>
      </c>
      <c r="N27" s="175">
        <f t="shared" ref="N27:N29" si="137">O27</f>
        <v>785.72500000000002</v>
      </c>
      <c r="O27" s="168">
        <v>785.72500000000002</v>
      </c>
      <c r="P27" s="175">
        <v>684.327</v>
      </c>
      <c r="Q27" s="175">
        <v>692.94</v>
      </c>
      <c r="R27" s="175">
        <v>750.697</v>
      </c>
      <c r="S27" s="175">
        <f t="shared" ref="S27:S29" si="138">T27</f>
        <v>696.47299999999996</v>
      </c>
      <c r="T27" s="168">
        <v>696.47299999999996</v>
      </c>
      <c r="U27" s="175">
        <v>705.91600000000005</v>
      </c>
      <c r="V27" s="175">
        <v>760.51199999999994</v>
      </c>
      <c r="W27" s="175">
        <v>797.12900000000002</v>
      </c>
      <c r="X27" s="175">
        <f t="shared" ref="X27:X29" si="139">Y27</f>
        <v>758.22500000000002</v>
      </c>
      <c r="Y27" s="168">
        <v>758.22500000000002</v>
      </c>
      <c r="Z27" s="175">
        <v>791.63800000000003</v>
      </c>
      <c r="AA27" s="175">
        <v>849.62800000000004</v>
      </c>
      <c r="AB27" s="175">
        <v>863.64300000000003</v>
      </c>
      <c r="AC27" s="386">
        <v>798.17399999999998</v>
      </c>
      <c r="AD27" s="168">
        <f t="shared" si="123"/>
        <v>798.17399999999998</v>
      </c>
      <c r="AE27" s="386">
        <v>802.19100000000003</v>
      </c>
      <c r="AF27" s="386">
        <v>963.23</v>
      </c>
      <c r="AG27" s="386">
        <v>985.21699999999998</v>
      </c>
      <c r="AH27" s="386">
        <v>937.46400000000006</v>
      </c>
      <c r="AI27" s="168">
        <f t="shared" si="124"/>
        <v>937.46400000000006</v>
      </c>
      <c r="AJ27" s="386">
        <v>1005.9059999999999</v>
      </c>
      <c r="AK27" s="386">
        <v>968.19299999999998</v>
      </c>
      <c r="AL27" s="386">
        <v>949.64800000000002</v>
      </c>
      <c r="AM27" s="386">
        <v>994.01599999999996</v>
      </c>
      <c r="AN27" s="452">
        <f t="shared" si="125"/>
        <v>994.01599999999996</v>
      </c>
      <c r="AO27" s="386">
        <v>965.93100000000004</v>
      </c>
      <c r="AP27" s="386">
        <v>899.28399999999999</v>
      </c>
      <c r="AQ27" s="386">
        <v>949.67499999999995</v>
      </c>
      <c r="AR27" s="368">
        <v>961.79100000000005</v>
      </c>
      <c r="AS27" s="168">
        <f t="shared" si="126"/>
        <v>961.79100000000005</v>
      </c>
      <c r="AT27" s="171">
        <v>905.32299999999998</v>
      </c>
      <c r="AU27" s="171">
        <f>625.436+236.545</f>
        <v>861.98099999999999</v>
      </c>
      <c r="AV27" s="171">
        <v>824.53</v>
      </c>
      <c r="AW27" s="171">
        <f>621.728+211.956</f>
        <v>833.68399999999997</v>
      </c>
      <c r="AX27" s="168">
        <f t="shared" si="127"/>
        <v>833.68399999999997</v>
      </c>
      <c r="AY27" s="171">
        <f>597.498+221.028</f>
        <v>818.52600000000007</v>
      </c>
      <c r="AZ27" s="171">
        <f>685.745+227.884</f>
        <v>913.62900000000002</v>
      </c>
      <c r="BA27" s="171">
        <v>902.66699999999992</v>
      </c>
      <c r="BB27" s="171">
        <f t="shared" ref="BB27" si="140">BB76*BB$50</f>
        <v>788.74377559693392</v>
      </c>
      <c r="BC27" s="168">
        <f t="shared" si="129"/>
        <v>788.74377559693392</v>
      </c>
      <c r="BD27" s="171">
        <f t="shared" ref="BD27:BG27" si="141">BD76*BD$50</f>
        <v>816.63980460952189</v>
      </c>
      <c r="BE27" s="171">
        <f t="shared" si="141"/>
        <v>883.07028465539076</v>
      </c>
      <c r="BF27" s="171">
        <f t="shared" si="141"/>
        <v>942.87812969703589</v>
      </c>
      <c r="BG27" s="171">
        <f t="shared" si="141"/>
        <v>980.22577923167216</v>
      </c>
      <c r="BH27" s="168">
        <f t="shared" si="131"/>
        <v>980.22577923167216</v>
      </c>
      <c r="BI27" s="171">
        <f t="shared" ref="BI27:BL27" si="142">BI76*BI$50</f>
        <v>975.1401741827716</v>
      </c>
      <c r="BJ27" s="171">
        <f t="shared" si="142"/>
        <v>976.86752277033236</v>
      </c>
      <c r="BK27" s="171">
        <f t="shared" si="142"/>
        <v>974.8687847626627</v>
      </c>
      <c r="BL27" s="171">
        <f t="shared" si="142"/>
        <v>980.22577923167216</v>
      </c>
      <c r="BM27" s="168">
        <f t="shared" si="133"/>
        <v>980.22577923167216</v>
      </c>
      <c r="BN27" s="171">
        <f t="shared" ref="BN27:BQ27" si="143">BN76*BN$50</f>
        <v>972.49284355631255</v>
      </c>
      <c r="BO27" s="171">
        <f t="shared" si="143"/>
        <v>970.81464720940357</v>
      </c>
      <c r="BP27" s="171">
        <f t="shared" si="143"/>
        <v>974.00282762788299</v>
      </c>
      <c r="BQ27" s="171">
        <f t="shared" si="143"/>
        <v>980.22577923167216</v>
      </c>
      <c r="BR27" s="168">
        <f t="shared" si="135"/>
        <v>980.22577923167216</v>
      </c>
    </row>
    <row r="28" spans="1:70 16340:16384" ht="12.75" customHeight="1">
      <c r="A28" s="110"/>
      <c r="B28" s="199" t="s">
        <v>75</v>
      </c>
      <c r="C28" s="110"/>
      <c r="D28" s="110"/>
      <c r="E28" s="110"/>
      <c r="F28" s="175">
        <v>209.32300000000001</v>
      </c>
      <c r="G28" s="175">
        <v>259.96300000000002</v>
      </c>
      <c r="H28" s="175">
        <v>225.072</v>
      </c>
      <c r="I28" s="175">
        <f t="shared" si="136"/>
        <v>199.75</v>
      </c>
      <c r="J28" s="168">
        <v>199.75</v>
      </c>
      <c r="K28" s="175">
        <v>235.87299999999999</v>
      </c>
      <c r="L28" s="175">
        <v>295.01299999999998</v>
      </c>
      <c r="M28" s="175">
        <v>381.464</v>
      </c>
      <c r="N28" s="175">
        <f t="shared" si="137"/>
        <v>384.28199999999998</v>
      </c>
      <c r="O28" s="168">
        <v>384.28199999999998</v>
      </c>
      <c r="P28" s="175">
        <v>376.39100000000002</v>
      </c>
      <c r="Q28" s="175">
        <v>362.67899999999997</v>
      </c>
      <c r="R28" s="175">
        <v>345.428</v>
      </c>
      <c r="S28" s="175">
        <f t="shared" si="138"/>
        <v>301.76100000000002</v>
      </c>
      <c r="T28" s="168">
        <v>301.76100000000002</v>
      </c>
      <c r="U28" s="175">
        <v>295.26499999999999</v>
      </c>
      <c r="V28" s="175">
        <v>306.39100000000002</v>
      </c>
      <c r="W28" s="175">
        <v>282.26100000000002</v>
      </c>
      <c r="X28" s="175">
        <f t="shared" si="139"/>
        <v>267.58600000000001</v>
      </c>
      <c r="Y28" s="168">
        <v>267.58600000000001</v>
      </c>
      <c r="Z28" s="175">
        <v>264.11799999999999</v>
      </c>
      <c r="AA28" s="175">
        <v>299.38900000000001</v>
      </c>
      <c r="AB28" s="175">
        <v>327.64600000000002</v>
      </c>
      <c r="AC28" s="386">
        <v>319.29599999999999</v>
      </c>
      <c r="AD28" s="168">
        <f t="shared" si="123"/>
        <v>319.29599999999999</v>
      </c>
      <c r="AE28" s="386">
        <v>286.04199999999997</v>
      </c>
      <c r="AF28" s="386">
        <v>263.39999999999998</v>
      </c>
      <c r="AG28" s="386">
        <v>286.565</v>
      </c>
      <c r="AH28" s="386">
        <v>288.31099999999998</v>
      </c>
      <c r="AI28" s="168">
        <f t="shared" si="124"/>
        <v>288.31099999999998</v>
      </c>
      <c r="AJ28" s="386">
        <v>285.58199999999999</v>
      </c>
      <c r="AK28" s="386">
        <v>325.29000000000002</v>
      </c>
      <c r="AL28" s="386">
        <v>334.05500000000001</v>
      </c>
      <c r="AM28" s="386">
        <v>331.11200000000002</v>
      </c>
      <c r="AN28" s="452">
        <f t="shared" si="125"/>
        <v>331.11200000000002</v>
      </c>
      <c r="AO28" s="386">
        <v>288.79500000000002</v>
      </c>
      <c r="AP28" s="386">
        <v>339.80799999999999</v>
      </c>
      <c r="AQ28" s="386">
        <v>403.63499999999999</v>
      </c>
      <c r="AR28" s="368">
        <v>456.86900000000003</v>
      </c>
      <c r="AS28" s="168">
        <f t="shared" si="126"/>
        <v>456.86900000000003</v>
      </c>
      <c r="AT28" s="171">
        <v>508.61599999999999</v>
      </c>
      <c r="AU28" s="171">
        <v>574.39200000000005</v>
      </c>
      <c r="AV28" s="171">
        <v>648.28700000000003</v>
      </c>
      <c r="AW28" s="171">
        <v>573.19000000000005</v>
      </c>
      <c r="AX28" s="168">
        <f t="shared" si="127"/>
        <v>573.19000000000005</v>
      </c>
      <c r="AY28" s="171">
        <v>579</v>
      </c>
      <c r="AZ28" s="171">
        <v>635.92399999999998</v>
      </c>
      <c r="BA28" s="171">
        <v>818.80600000000004</v>
      </c>
      <c r="BB28" s="171">
        <f t="shared" ref="BB28" si="144">BB77*BB$50</f>
        <v>278.38015609303545</v>
      </c>
      <c r="BC28" s="168">
        <f t="shared" si="129"/>
        <v>278.38015609303545</v>
      </c>
      <c r="BD28" s="171">
        <f t="shared" ref="BD28:BG28" si="145">BD77*BD$50</f>
        <v>288.22581339159592</v>
      </c>
      <c r="BE28" s="171">
        <f t="shared" si="145"/>
        <v>311.67186517249081</v>
      </c>
      <c r="BF28" s="171">
        <f t="shared" si="145"/>
        <v>332.78051636365973</v>
      </c>
      <c r="BG28" s="171">
        <f t="shared" si="145"/>
        <v>345.9620397288254</v>
      </c>
      <c r="BH28" s="168">
        <f t="shared" si="131"/>
        <v>345.9620397288254</v>
      </c>
      <c r="BI28" s="171">
        <f t="shared" ref="BI28:BL28" si="146">BI77*BI$50</f>
        <v>344.1671202998017</v>
      </c>
      <c r="BJ28" s="171">
        <f t="shared" si="146"/>
        <v>344.7767727424702</v>
      </c>
      <c r="BK28" s="171">
        <f t="shared" si="146"/>
        <v>344.0713357985868</v>
      </c>
      <c r="BL28" s="171">
        <f t="shared" si="146"/>
        <v>345.9620397288254</v>
      </c>
      <c r="BM28" s="168">
        <f t="shared" si="133"/>
        <v>345.9620397288254</v>
      </c>
      <c r="BN28" s="171">
        <f t="shared" ref="BN28:BQ28" si="147">BN77*BN$50</f>
        <v>343.23276831399261</v>
      </c>
      <c r="BO28" s="171">
        <f t="shared" si="147"/>
        <v>342.64046372096595</v>
      </c>
      <c r="BP28" s="171">
        <f t="shared" si="147"/>
        <v>343.76570386866456</v>
      </c>
      <c r="BQ28" s="171">
        <f t="shared" si="147"/>
        <v>345.9620397288254</v>
      </c>
      <c r="BR28" s="168">
        <f t="shared" si="135"/>
        <v>345.9620397288254</v>
      </c>
    </row>
    <row r="29" spans="1:70 16340:16384" ht="13.5" customHeight="1">
      <c r="A29" s="110"/>
      <c r="B29" s="110" t="s">
        <v>76</v>
      </c>
      <c r="C29" s="110"/>
      <c r="D29" s="110"/>
      <c r="E29" s="110"/>
      <c r="F29" s="175">
        <v>91.831999999999994</v>
      </c>
      <c r="G29" s="175">
        <v>92.864000000000004</v>
      </c>
      <c r="H29" s="175">
        <v>100.09699999999999</v>
      </c>
      <c r="I29" s="175">
        <f t="shared" si="136"/>
        <v>93.488</v>
      </c>
      <c r="J29" s="168">
        <v>93.488</v>
      </c>
      <c r="K29" s="175">
        <v>93.843999999999994</v>
      </c>
      <c r="L29" s="175">
        <v>97.111000000000004</v>
      </c>
      <c r="M29" s="175">
        <v>204.08500000000001</v>
      </c>
      <c r="N29" s="175">
        <f t="shared" si="137"/>
        <v>163.268</v>
      </c>
      <c r="O29" s="168">
        <v>163.268</v>
      </c>
      <c r="P29" s="175">
        <v>159.61199999999999</v>
      </c>
      <c r="Q29" s="175">
        <v>190.09200000000001</v>
      </c>
      <c r="R29" s="175">
        <v>161.495</v>
      </c>
      <c r="S29" s="175">
        <f t="shared" si="138"/>
        <v>168.32599999999999</v>
      </c>
      <c r="T29" s="168">
        <v>168.32599999999999</v>
      </c>
      <c r="U29" s="175">
        <v>176.249</v>
      </c>
      <c r="V29" s="175">
        <v>180.54499999999999</v>
      </c>
      <c r="W29" s="175">
        <v>161.649</v>
      </c>
      <c r="X29" s="175">
        <f t="shared" si="139"/>
        <v>158.017</v>
      </c>
      <c r="Y29" s="168">
        <v>158.017</v>
      </c>
      <c r="Z29" s="175">
        <v>148.98599999999999</v>
      </c>
      <c r="AA29" s="175">
        <v>136.774</v>
      </c>
      <c r="AB29" s="175">
        <v>145.33600000000001</v>
      </c>
      <c r="AC29" s="386">
        <v>159.81399999999999</v>
      </c>
      <c r="AD29" s="168">
        <f t="shared" si="123"/>
        <v>159.81399999999999</v>
      </c>
      <c r="AE29" s="386">
        <v>152.916</v>
      </c>
      <c r="AF29" s="386">
        <v>166.19800000000001</v>
      </c>
      <c r="AG29" s="386">
        <v>185.76400000000001</v>
      </c>
      <c r="AH29" s="386">
        <v>159.01599999999999</v>
      </c>
      <c r="AI29" s="168">
        <f t="shared" si="124"/>
        <v>159.01599999999999</v>
      </c>
      <c r="AJ29" s="386">
        <v>160.964</v>
      </c>
      <c r="AK29" s="386">
        <v>171.15</v>
      </c>
      <c r="AL29" s="386">
        <v>209.34299999999999</v>
      </c>
      <c r="AM29" s="386">
        <v>107.925</v>
      </c>
      <c r="AN29" s="452">
        <f t="shared" si="125"/>
        <v>107.925</v>
      </c>
      <c r="AO29" s="386">
        <v>112.44799999999999</v>
      </c>
      <c r="AP29" s="386">
        <v>176.148</v>
      </c>
      <c r="AQ29" s="386">
        <v>124.38500000000001</v>
      </c>
      <c r="AR29" s="368">
        <v>132.43799999999999</v>
      </c>
      <c r="AS29" s="168">
        <f t="shared" si="126"/>
        <v>132.43799999999999</v>
      </c>
      <c r="AT29" s="171">
        <v>118.334</v>
      </c>
      <c r="AU29" s="171">
        <v>134.26400000000001</v>
      </c>
      <c r="AV29" s="171">
        <v>162.102</v>
      </c>
      <c r="AW29" s="171">
        <v>174.32499999999999</v>
      </c>
      <c r="AX29" s="168">
        <f t="shared" si="127"/>
        <v>174.32499999999999</v>
      </c>
      <c r="AY29" s="171">
        <v>173.827</v>
      </c>
      <c r="AZ29" s="171">
        <v>175.52500000000001</v>
      </c>
      <c r="BA29" s="171">
        <v>188.37299999999999</v>
      </c>
      <c r="BB29" s="171">
        <f t="shared" ref="BB29" si="148">BB78*BB$50</f>
        <v>153.61128088620248</v>
      </c>
      <c r="BC29" s="168">
        <f t="shared" si="129"/>
        <v>153.61128088620248</v>
      </c>
      <c r="BD29" s="171">
        <f t="shared" ref="BD29:BG29" si="149">BD78*BD$50</f>
        <v>159.0441538683306</v>
      </c>
      <c r="BE29" s="171">
        <f t="shared" si="149"/>
        <v>171.98177879222726</v>
      </c>
      <c r="BF29" s="171">
        <f t="shared" si="149"/>
        <v>183.62961674433996</v>
      </c>
      <c r="BG29" s="171">
        <f t="shared" si="149"/>
        <v>190.90323393233308</v>
      </c>
      <c r="BH29" s="168">
        <f t="shared" si="131"/>
        <v>190.90323393233308</v>
      </c>
      <c r="BI29" s="171">
        <f t="shared" ref="BI29:BL29" si="150">BI78*BI$50</f>
        <v>189.91279022955808</v>
      </c>
      <c r="BJ29" s="171">
        <f t="shared" si="150"/>
        <v>190.24919887997359</v>
      </c>
      <c r="BK29" s="171">
        <f t="shared" si="150"/>
        <v>189.85993595960161</v>
      </c>
      <c r="BL29" s="171">
        <f t="shared" si="150"/>
        <v>190.90323393233308</v>
      </c>
      <c r="BM29" s="168">
        <f t="shared" si="133"/>
        <v>190.90323393233308</v>
      </c>
      <c r="BN29" s="171">
        <f t="shared" ref="BN29:BQ29" si="151">BN78*BN$50</f>
        <v>189.39721107566635</v>
      </c>
      <c r="BO29" s="171">
        <f t="shared" si="151"/>
        <v>189.07037503790221</v>
      </c>
      <c r="BP29" s="171">
        <f t="shared" si="151"/>
        <v>189.69128704118017</v>
      </c>
      <c r="BQ29" s="171">
        <f t="shared" si="151"/>
        <v>190.90323393233308</v>
      </c>
      <c r="BR29" s="168">
        <f t="shared" si="135"/>
        <v>190.90323393233308</v>
      </c>
    </row>
    <row r="30" spans="1:70 16340:16384" s="36" customFormat="1" ht="13">
      <c r="A30" s="111"/>
      <c r="B30" s="111"/>
      <c r="C30" s="111"/>
      <c r="D30" s="111" t="s">
        <v>52</v>
      </c>
      <c r="E30" s="111"/>
      <c r="F30" s="173">
        <f>SUM(F26:F29)</f>
        <v>1242.2179999999998</v>
      </c>
      <c r="G30" s="173">
        <f t="shared" ref="G30:I30" si="152">SUM(G26:G29)</f>
        <v>1334.3330000000001</v>
      </c>
      <c r="H30" s="173">
        <f t="shared" si="152"/>
        <v>1176.8329999999999</v>
      </c>
      <c r="I30" s="173">
        <f t="shared" si="152"/>
        <v>968.11400000000003</v>
      </c>
      <c r="J30" s="181">
        <f>SUM(J26:J29)</f>
        <v>968.11400000000003</v>
      </c>
      <c r="K30" s="173">
        <f>SUM(K26:K29)</f>
        <v>941.59300000000007</v>
      </c>
      <c r="L30" s="173">
        <f t="shared" ref="L30:N30" si="153">SUM(L26:L29)</f>
        <v>1054.7150000000001</v>
      </c>
      <c r="M30" s="173">
        <f t="shared" si="153"/>
        <v>1426.1559999999999</v>
      </c>
      <c r="N30" s="173">
        <f t="shared" si="153"/>
        <v>1393.2339999999999</v>
      </c>
      <c r="O30" s="181">
        <f>SUM(O26:O29)</f>
        <v>1393.2339999999999</v>
      </c>
      <c r="P30" s="173">
        <f>SUM(P26:P29)</f>
        <v>1281.2460000000001</v>
      </c>
      <c r="Q30" s="173">
        <f t="shared" ref="Q30:S30" si="154">SUM(Q26:Q29)</f>
        <v>1310.75</v>
      </c>
      <c r="R30" s="173">
        <f t="shared" si="154"/>
        <v>1321.4519999999998</v>
      </c>
      <c r="S30" s="173">
        <f t="shared" si="154"/>
        <v>1234.27</v>
      </c>
      <c r="T30" s="181">
        <f>SUM(T26:T29)</f>
        <v>1234.27</v>
      </c>
      <c r="U30" s="173">
        <f>SUM(U26:U29)</f>
        <v>1244.76</v>
      </c>
      <c r="V30" s="173">
        <f t="shared" ref="V30:X30" si="155">SUM(V26:V29)</f>
        <v>1355.5820000000001</v>
      </c>
      <c r="W30" s="173">
        <f t="shared" si="155"/>
        <v>1348.8600000000001</v>
      </c>
      <c r="X30" s="173">
        <f t="shared" si="155"/>
        <v>1298.4860000000001</v>
      </c>
      <c r="Y30" s="181">
        <f>SUM(Y26:Y29)</f>
        <v>1298.4860000000001</v>
      </c>
      <c r="Z30" s="173">
        <f>SUM(Z26:Z29)</f>
        <v>1327.6889999999999</v>
      </c>
      <c r="AA30" s="173">
        <f t="shared" ref="AA30:AC30" si="156">SUM(AA26:AA29)</f>
        <v>1354.0230000000001</v>
      </c>
      <c r="AB30" s="173">
        <f t="shared" si="156"/>
        <v>1402.0320000000002</v>
      </c>
      <c r="AC30" s="387">
        <f t="shared" si="156"/>
        <v>1358.576</v>
      </c>
      <c r="AD30" s="181">
        <f>SUM(AD26:AD29)</f>
        <v>1358.576</v>
      </c>
      <c r="AE30" s="387">
        <f>SUM(AE26:AE29)</f>
        <v>1328.749</v>
      </c>
      <c r="AF30" s="387">
        <f t="shared" ref="AF30:AH30" si="157">SUM(AF26:AF29)</f>
        <v>1478.9290000000003</v>
      </c>
      <c r="AG30" s="387">
        <f t="shared" si="157"/>
        <v>1543.4430000000002</v>
      </c>
      <c r="AH30" s="387">
        <f t="shared" si="157"/>
        <v>1473.7080000000001</v>
      </c>
      <c r="AI30" s="181">
        <f>SUM(AI26:AI29)</f>
        <v>1473.7080000000001</v>
      </c>
      <c r="AJ30" s="387">
        <f>SUM(AJ26:AJ29)</f>
        <v>1552.422</v>
      </c>
      <c r="AK30" s="387">
        <f t="shared" ref="AK30:AM30" si="158">SUM(AK26:AK29)</f>
        <v>1584.8890000000001</v>
      </c>
      <c r="AL30" s="387">
        <f t="shared" si="158"/>
        <v>1601.9430000000002</v>
      </c>
      <c r="AM30" s="387">
        <f t="shared" si="158"/>
        <v>1518.943</v>
      </c>
      <c r="AN30" s="455">
        <f>SUM(AN26:AN29)</f>
        <v>1518.943</v>
      </c>
      <c r="AO30" s="387">
        <f>SUM(AO26:AO29)</f>
        <v>1394.7720000000002</v>
      </c>
      <c r="AP30" s="387">
        <f t="shared" ref="AP30:AR30" si="159">SUM(AP26:AP29)</f>
        <v>1445.5729999999999</v>
      </c>
      <c r="AQ30" s="387">
        <f t="shared" si="159"/>
        <v>1508.646</v>
      </c>
      <c r="AR30" s="369">
        <f t="shared" si="159"/>
        <v>1581.846</v>
      </c>
      <c r="AS30" s="181">
        <f>SUM(AS26:AS29)</f>
        <v>1581.846</v>
      </c>
      <c r="AT30" s="173">
        <f>SUM(AT26:AT29)</f>
        <v>1559.4379999999999</v>
      </c>
      <c r="AU30" s="173">
        <f t="shared" ref="AU30:AW30" si="160">SUM(AU26:AU29)</f>
        <v>1598.7420000000002</v>
      </c>
      <c r="AV30" s="173">
        <f t="shared" si="160"/>
        <v>1655.5200000000002</v>
      </c>
      <c r="AW30" s="173">
        <f t="shared" si="160"/>
        <v>1597.9660000000001</v>
      </c>
      <c r="AX30" s="181">
        <f>SUM(AX26:AX29)</f>
        <v>1597.9660000000001</v>
      </c>
      <c r="AY30" s="173">
        <f>SUM(AY26:AY29)</f>
        <v>1583.2740000000001</v>
      </c>
      <c r="AZ30" s="173">
        <f t="shared" ref="AZ30:BB30" si="161">SUM(AZ26:AZ29)</f>
        <v>1739.4920000000002</v>
      </c>
      <c r="BA30" s="173">
        <f t="shared" si="161"/>
        <v>1920.7080000000001</v>
      </c>
      <c r="BB30" s="173">
        <f t="shared" si="161"/>
        <v>1289.8664192209387</v>
      </c>
      <c r="BC30" s="181">
        <f>SUM(BC26:BC29)</f>
        <v>1289.8664192209387</v>
      </c>
      <c r="BD30" s="173">
        <f>SUM(BD26:BD29)</f>
        <v>1335.4859881686853</v>
      </c>
      <c r="BE30" s="173">
        <f t="shared" ref="BE30:BG30" si="162">SUM(BE26:BE29)</f>
        <v>1444.1225924436847</v>
      </c>
      <c r="BF30" s="173">
        <f t="shared" si="162"/>
        <v>1541.928918543442</v>
      </c>
      <c r="BG30" s="173">
        <f t="shared" si="162"/>
        <v>1603.005126637891</v>
      </c>
      <c r="BH30" s="181">
        <f>SUM(BH26:BH29)</f>
        <v>1603.005126637891</v>
      </c>
      <c r="BI30" s="173">
        <f>SUM(BI26:BI29)</f>
        <v>1594.6884192647867</v>
      </c>
      <c r="BJ30" s="173">
        <f t="shared" ref="BJ30:BL30" si="163">SUM(BJ26:BJ29)</f>
        <v>1597.5132262633549</v>
      </c>
      <c r="BK30" s="173">
        <f t="shared" si="163"/>
        <v>1594.244604542743</v>
      </c>
      <c r="BL30" s="173">
        <f t="shared" si="163"/>
        <v>1603.005126637891</v>
      </c>
      <c r="BM30" s="181">
        <f>SUM(BM26:BM29)</f>
        <v>1603.005126637891</v>
      </c>
      <c r="BN30" s="173">
        <f>SUM(BN26:BN29)</f>
        <v>1590.3591263038877</v>
      </c>
      <c r="BO30" s="173">
        <f t="shared" ref="BO30:BQ30" si="164">SUM(BO26:BO29)</f>
        <v>1587.6147000659769</v>
      </c>
      <c r="BP30" s="173">
        <f t="shared" si="164"/>
        <v>1592.8284678159689</v>
      </c>
      <c r="BQ30" s="173">
        <f t="shared" si="164"/>
        <v>1603.005126637891</v>
      </c>
      <c r="BR30" s="181">
        <f>SUM(BR26:BR29)</f>
        <v>1603.005126637891</v>
      </c>
      <c r="XDL30" s="438"/>
      <c r="XDM30" s="438"/>
      <c r="XDN30" s="438"/>
      <c r="XDO30" s="438"/>
      <c r="XDP30" s="438"/>
      <c r="XDQ30" s="438"/>
      <c r="XDR30" s="438"/>
      <c r="XDS30" s="438"/>
      <c r="XDT30" s="438"/>
      <c r="XDU30" s="438"/>
      <c r="XDV30" s="438"/>
      <c r="XDW30" s="438"/>
      <c r="XDX30" s="438"/>
      <c r="XDY30" s="438"/>
      <c r="XDZ30" s="438"/>
      <c r="XEA30" s="438"/>
      <c r="XEB30" s="438"/>
      <c r="XEC30" s="438"/>
      <c r="XED30" s="438"/>
      <c r="XEE30" s="438"/>
      <c r="XEF30" s="438"/>
      <c r="XEG30" s="438"/>
      <c r="XEH30" s="438"/>
      <c r="XEI30" s="438"/>
      <c r="XEJ30" s="438"/>
      <c r="XEK30" s="438"/>
      <c r="XEL30" s="438"/>
      <c r="XEM30" s="438"/>
      <c r="XEN30" s="438"/>
      <c r="XEO30" s="438"/>
      <c r="XEP30" s="438"/>
      <c r="XEQ30" s="438"/>
      <c r="XER30" s="438"/>
      <c r="XES30" s="438"/>
      <c r="XET30" s="438"/>
      <c r="XEU30" s="438"/>
      <c r="XEV30" s="438"/>
      <c r="XEW30" s="438"/>
      <c r="XEX30" s="438"/>
      <c r="XEY30" s="438"/>
      <c r="XEZ30" s="438"/>
      <c r="XFA30" s="438"/>
      <c r="XFB30" s="438"/>
      <c r="XFC30" s="438"/>
      <c r="XFD30" s="438"/>
    </row>
    <row r="31" spans="1:70 16340:16384" ht="12.75" customHeight="1">
      <c r="A31" s="110" t="s">
        <v>12</v>
      </c>
      <c r="B31" s="110"/>
      <c r="C31" s="110"/>
      <c r="D31" s="110"/>
      <c r="E31" s="110"/>
      <c r="F31" s="175"/>
      <c r="G31" s="175"/>
      <c r="H31" s="176"/>
      <c r="I31" s="176"/>
      <c r="J31" s="169"/>
      <c r="K31" s="176"/>
      <c r="L31" s="176"/>
      <c r="M31" s="176"/>
      <c r="N31" s="176"/>
      <c r="O31" s="169"/>
      <c r="P31" s="176"/>
      <c r="Q31" s="176"/>
      <c r="R31" s="176"/>
      <c r="S31" s="176"/>
      <c r="T31" s="169"/>
      <c r="U31" s="176"/>
      <c r="V31" s="176"/>
      <c r="W31" s="176"/>
      <c r="X31" s="176"/>
      <c r="Y31" s="169"/>
      <c r="Z31" s="176"/>
      <c r="AA31" s="176"/>
      <c r="AB31" s="176"/>
      <c r="AC31" s="388"/>
      <c r="AD31" s="169"/>
      <c r="AE31" s="388"/>
      <c r="AF31" s="388"/>
      <c r="AG31" s="388"/>
      <c r="AH31" s="388"/>
      <c r="AI31" s="169"/>
      <c r="AJ31" s="388"/>
      <c r="AK31" s="388"/>
      <c r="AL31" s="388"/>
      <c r="AM31" s="388"/>
      <c r="AN31" s="454"/>
      <c r="AO31" s="388"/>
      <c r="AP31" s="388"/>
      <c r="AQ31" s="388"/>
      <c r="AR31" s="370"/>
      <c r="AS31" s="169"/>
      <c r="AT31" s="176"/>
      <c r="AU31" s="176"/>
      <c r="AV31" s="176"/>
      <c r="AW31" s="176"/>
      <c r="AX31" s="169"/>
      <c r="AY31" s="176"/>
      <c r="AZ31" s="176"/>
      <c r="BA31" s="176"/>
      <c r="BB31" s="176"/>
      <c r="BC31" s="169"/>
      <c r="BD31" s="176"/>
      <c r="BE31" s="176"/>
      <c r="BF31" s="176"/>
      <c r="BG31" s="176"/>
      <c r="BH31" s="169"/>
      <c r="BI31" s="176"/>
      <c r="BJ31" s="176"/>
      <c r="BK31" s="176"/>
      <c r="BL31" s="176"/>
      <c r="BM31" s="169"/>
      <c r="BN31" s="176"/>
      <c r="BO31" s="176"/>
      <c r="BP31" s="176"/>
      <c r="BQ31" s="176"/>
      <c r="BR31" s="169"/>
    </row>
    <row r="32" spans="1:70 16340:16384" ht="12.75" customHeight="1">
      <c r="A32" s="110"/>
      <c r="B32" s="110" t="s">
        <v>80</v>
      </c>
      <c r="C32" s="110"/>
      <c r="D32" s="110"/>
      <c r="E32" s="110"/>
      <c r="F32" s="175">
        <v>87.733000000000004</v>
      </c>
      <c r="G32" s="175">
        <v>82.938999999999993</v>
      </c>
      <c r="H32" s="175">
        <v>79.396000000000001</v>
      </c>
      <c r="I32" s="175">
        <f>J32</f>
        <v>374.35</v>
      </c>
      <c r="J32" s="168">
        <v>374.35</v>
      </c>
      <c r="K32" s="175">
        <v>408.17899999999997</v>
      </c>
      <c r="L32" s="175">
        <v>605.96900000000005</v>
      </c>
      <c r="M32" s="175">
        <v>758.97</v>
      </c>
      <c r="N32" s="175">
        <f>O32</f>
        <v>612.548</v>
      </c>
      <c r="O32" s="168">
        <v>612.548</v>
      </c>
      <c r="P32" s="175">
        <v>617.09500000000003</v>
      </c>
      <c r="Q32" s="175">
        <v>625.29700000000003</v>
      </c>
      <c r="R32" s="175">
        <v>636.93200000000002</v>
      </c>
      <c r="S32" s="175">
        <f>T32</f>
        <v>669.38</v>
      </c>
      <c r="T32" s="168">
        <v>669.38</v>
      </c>
      <c r="U32" s="175">
        <v>737.08299999999997</v>
      </c>
      <c r="V32" s="175">
        <v>675.64200000000005</v>
      </c>
      <c r="W32" s="175">
        <v>669.71</v>
      </c>
      <c r="X32" s="175">
        <f>Y32</f>
        <v>619.226</v>
      </c>
      <c r="Y32" s="168">
        <v>619.226</v>
      </c>
      <c r="Z32" s="175">
        <v>697.82299999999998</v>
      </c>
      <c r="AA32" s="175">
        <v>761.03399999999999</v>
      </c>
      <c r="AB32" s="175">
        <v>880.12099999999998</v>
      </c>
      <c r="AC32" s="386">
        <v>784.06700000000001</v>
      </c>
      <c r="AD32" s="168">
        <f t="shared" ref="AD32:AD35" si="165">AC32</f>
        <v>784.06700000000001</v>
      </c>
      <c r="AE32" s="386">
        <v>795.74199999999996</v>
      </c>
      <c r="AF32" s="386">
        <v>806.65200000000004</v>
      </c>
      <c r="AG32" s="386">
        <v>746.28300000000002</v>
      </c>
      <c r="AH32" s="386">
        <v>734.53099999999995</v>
      </c>
      <c r="AI32" s="168">
        <f t="shared" ref="AI32:AI35" si="166">AH32</f>
        <v>734.53099999999995</v>
      </c>
      <c r="AJ32" s="386">
        <v>725.76300000000003</v>
      </c>
      <c r="AK32" s="386">
        <v>680.26499999999999</v>
      </c>
      <c r="AL32" s="386">
        <v>684.202</v>
      </c>
      <c r="AM32" s="386">
        <v>673.62900000000002</v>
      </c>
      <c r="AN32" s="452">
        <f t="shared" ref="AN32:AN34" si="167">AM32</f>
        <v>673.62900000000002</v>
      </c>
      <c r="AO32" s="386">
        <v>753.19100000000003</v>
      </c>
      <c r="AP32" s="386">
        <v>832.327</v>
      </c>
      <c r="AQ32" s="386">
        <v>855.32500000000005</v>
      </c>
      <c r="AR32" s="368">
        <v>705.52800000000002</v>
      </c>
      <c r="AS32" s="168">
        <f t="shared" ref="AS32:AS34" si="168">AR32</f>
        <v>705.52800000000002</v>
      </c>
      <c r="AT32" s="171">
        <v>790.11900000000003</v>
      </c>
      <c r="AU32" s="171">
        <v>794.50900000000001</v>
      </c>
      <c r="AV32" s="171">
        <v>780.72299999999996</v>
      </c>
      <c r="AW32" s="171">
        <v>744.73699999999997</v>
      </c>
      <c r="AX32" s="168">
        <f t="shared" ref="AX32:AX34" si="169">AW32</f>
        <v>744.73699999999997</v>
      </c>
      <c r="AY32" s="171">
        <v>886.70500000000004</v>
      </c>
      <c r="AZ32" s="171">
        <v>941.76300000000003</v>
      </c>
      <c r="BA32" s="171">
        <v>825.38199999999995</v>
      </c>
      <c r="BB32" s="171">
        <f t="shared" ref="BB32" si="170">BB81*BB$50</f>
        <v>836.12919021028381</v>
      </c>
      <c r="BC32" s="168">
        <f t="shared" ref="BC32:BC34" si="171">BB32</f>
        <v>836.12919021028381</v>
      </c>
      <c r="BD32" s="171">
        <f>BD81*BD$50</f>
        <v>865.70113089625033</v>
      </c>
      <c r="BE32" s="171">
        <f t="shared" ref="BE32:BG32" si="172">BE81*BE$50</f>
        <v>910.14990407679591</v>
      </c>
      <c r="BF32" s="171">
        <f t="shared" si="172"/>
        <v>944.06006521792585</v>
      </c>
      <c r="BG32" s="171">
        <f t="shared" si="172"/>
        <v>952.62436155053786</v>
      </c>
      <c r="BH32" s="168">
        <f t="shared" ref="BH32:BH34" si="173">BG32</f>
        <v>952.62436155053786</v>
      </c>
      <c r="BI32" s="171">
        <f>BI81*BI$50</f>
        <v>947.68195811099099</v>
      </c>
      <c r="BJ32" s="171">
        <f t="shared" ref="BJ32:BL32" si="174">BJ81*BJ$50</f>
        <v>920.62926990046731</v>
      </c>
      <c r="BK32" s="171">
        <f t="shared" si="174"/>
        <v>890.07298790203822</v>
      </c>
      <c r="BL32" s="171">
        <f t="shared" si="174"/>
        <v>866.13385161833139</v>
      </c>
      <c r="BM32" s="168">
        <f t="shared" ref="BM32:BM34" si="175">BL32</f>
        <v>866.13385161833139</v>
      </c>
      <c r="BN32" s="171">
        <f>BN81*BN$50</f>
        <v>859.30097953648726</v>
      </c>
      <c r="BO32" s="171">
        <f t="shared" ref="BO32:BQ32" si="176">BO81*BO$50</f>
        <v>829.26474239079971</v>
      </c>
      <c r="BP32" s="171">
        <f t="shared" si="176"/>
        <v>803.3409272706017</v>
      </c>
      <c r="BQ32" s="171">
        <f t="shared" si="176"/>
        <v>779.64334168612493</v>
      </c>
      <c r="BR32" s="168">
        <f t="shared" ref="BR32:BR34" si="177">BQ32</f>
        <v>779.64334168612493</v>
      </c>
    </row>
    <row r="33" spans="1:70 16340:16384" ht="12.75" customHeight="1">
      <c r="A33" s="110"/>
      <c r="B33" s="110" t="s">
        <v>77</v>
      </c>
      <c r="C33" s="110"/>
      <c r="D33" s="110"/>
      <c r="E33" s="110"/>
      <c r="F33" s="175">
        <v>77.644999999999996</v>
      </c>
      <c r="G33" s="175">
        <v>78.150000000000006</v>
      </c>
      <c r="H33" s="175">
        <v>77.923000000000002</v>
      </c>
      <c r="I33" s="175">
        <f t="shared" ref="I33:I35" si="178">J33</f>
        <v>79.081999999999994</v>
      </c>
      <c r="J33" s="168">
        <v>79.081999999999994</v>
      </c>
      <c r="K33" s="175">
        <v>78.715999999999994</v>
      </c>
      <c r="L33" s="175">
        <v>83.597999999999999</v>
      </c>
      <c r="M33" s="175">
        <v>94.444999999999993</v>
      </c>
      <c r="N33" s="175">
        <f t="shared" ref="N33:N35" si="179">O33</f>
        <v>97.921000000000006</v>
      </c>
      <c r="O33" s="168">
        <v>97.921000000000006</v>
      </c>
      <c r="P33" s="175">
        <v>105.68300000000001</v>
      </c>
      <c r="Q33" s="175">
        <v>58.981000000000002</v>
      </c>
      <c r="R33" s="175">
        <v>59.78</v>
      </c>
      <c r="S33" s="175">
        <f t="shared" ref="S33:S35" si="180">T33</f>
        <v>109.9</v>
      </c>
      <c r="T33" s="168">
        <v>109.9</v>
      </c>
      <c r="U33" s="175">
        <v>109.988</v>
      </c>
      <c r="V33" s="175">
        <v>109.9</v>
      </c>
      <c r="W33" s="175">
        <v>109.922</v>
      </c>
      <c r="X33" s="175">
        <f t="shared" ref="X33:X35" si="181">Y33</f>
        <v>114.333</v>
      </c>
      <c r="Y33" s="168">
        <v>114.333</v>
      </c>
      <c r="Z33" s="175">
        <v>114.18600000000001</v>
      </c>
      <c r="AA33" s="175">
        <v>115.536</v>
      </c>
      <c r="AB33" s="175">
        <v>115.325</v>
      </c>
      <c r="AC33" s="386">
        <v>150.37100000000001</v>
      </c>
      <c r="AD33" s="168">
        <f t="shared" si="165"/>
        <v>150.37100000000001</v>
      </c>
      <c r="AE33" s="386">
        <v>150.018</v>
      </c>
      <c r="AF33" s="386">
        <v>150.19300000000001</v>
      </c>
      <c r="AG33" s="386">
        <v>149.02099999999999</v>
      </c>
      <c r="AH33" s="386">
        <v>273.31</v>
      </c>
      <c r="AI33" s="168">
        <f t="shared" si="166"/>
        <v>273.31</v>
      </c>
      <c r="AJ33" s="386">
        <v>274.23200000000003</v>
      </c>
      <c r="AK33" s="386">
        <v>296.72800000000001</v>
      </c>
      <c r="AL33" s="386">
        <v>283.81099999999998</v>
      </c>
      <c r="AM33" s="386">
        <v>131.00700000000001</v>
      </c>
      <c r="AN33" s="452">
        <f t="shared" si="167"/>
        <v>131.00700000000001</v>
      </c>
      <c r="AO33" s="386">
        <v>130.61600000000001</v>
      </c>
      <c r="AP33" s="386">
        <v>131.292</v>
      </c>
      <c r="AQ33" s="386">
        <v>132.33500000000001</v>
      </c>
      <c r="AR33" s="368">
        <v>108.504</v>
      </c>
      <c r="AS33" s="168">
        <f t="shared" si="168"/>
        <v>108.504</v>
      </c>
      <c r="AT33" s="171">
        <v>106.76300000000001</v>
      </c>
      <c r="AU33" s="171">
        <v>106.28400000000001</v>
      </c>
      <c r="AV33" s="171">
        <v>106.636</v>
      </c>
      <c r="AW33" s="171">
        <v>105.521</v>
      </c>
      <c r="AX33" s="168">
        <f t="shared" si="169"/>
        <v>105.521</v>
      </c>
      <c r="AY33" s="171">
        <v>106.113</v>
      </c>
      <c r="AZ33" s="171">
        <v>56.247999999999998</v>
      </c>
      <c r="BA33" s="171">
        <v>58.305</v>
      </c>
      <c r="BB33" s="171">
        <f t="shared" ref="BB33" si="182">+BA33</f>
        <v>58.305</v>
      </c>
      <c r="BC33" s="168">
        <f t="shared" si="171"/>
        <v>58.305</v>
      </c>
      <c r="BD33" s="171">
        <f>+BB33</f>
        <v>58.305</v>
      </c>
      <c r="BE33" s="171">
        <f>+BD33</f>
        <v>58.305</v>
      </c>
      <c r="BF33" s="171">
        <f t="shared" ref="BF33" si="183">+BE33</f>
        <v>58.305</v>
      </c>
      <c r="BG33" s="171">
        <f t="shared" ref="BG33" si="184">+BF33</f>
        <v>58.305</v>
      </c>
      <c r="BH33" s="168">
        <f t="shared" si="173"/>
        <v>58.305</v>
      </c>
      <c r="BI33" s="171">
        <f>+BG33</f>
        <v>58.305</v>
      </c>
      <c r="BJ33" s="171">
        <f>+BI33</f>
        <v>58.305</v>
      </c>
      <c r="BK33" s="171">
        <f t="shared" ref="BK33" si="185">+BJ33</f>
        <v>58.305</v>
      </c>
      <c r="BL33" s="171">
        <f t="shared" ref="BL33" si="186">+BK33</f>
        <v>58.305</v>
      </c>
      <c r="BM33" s="168">
        <f t="shared" si="175"/>
        <v>58.305</v>
      </c>
      <c r="BN33" s="171">
        <f>+BL33</f>
        <v>58.305</v>
      </c>
      <c r="BO33" s="171">
        <f>+BN33</f>
        <v>58.305</v>
      </c>
      <c r="BP33" s="171">
        <f t="shared" ref="BP33" si="187">+BO33</f>
        <v>58.305</v>
      </c>
      <c r="BQ33" s="171">
        <f t="shared" ref="BQ33" si="188">+BP33</f>
        <v>58.305</v>
      </c>
      <c r="BR33" s="168">
        <f t="shared" si="177"/>
        <v>58.305</v>
      </c>
    </row>
    <row r="34" spans="1:70 16340:16384" ht="12.75" customHeight="1">
      <c r="A34" s="110"/>
      <c r="B34" s="110" t="s">
        <v>78</v>
      </c>
      <c r="C34" s="110"/>
      <c r="D34" s="110"/>
      <c r="E34" s="110"/>
      <c r="F34" s="175">
        <v>52.896000000000001</v>
      </c>
      <c r="G34" s="175">
        <v>50.789000000000001</v>
      </c>
      <c r="H34" s="175">
        <v>50.081000000000003</v>
      </c>
      <c r="I34" s="175">
        <f t="shared" si="178"/>
        <v>44.68</v>
      </c>
      <c r="J34" s="168">
        <v>44.68</v>
      </c>
      <c r="K34" s="175">
        <v>45.625</v>
      </c>
      <c r="L34" s="175">
        <v>48.04</v>
      </c>
      <c r="M34" s="175">
        <v>92.971000000000004</v>
      </c>
      <c r="N34" s="175">
        <f t="shared" si="179"/>
        <v>109.59699999999999</v>
      </c>
      <c r="O34" s="168">
        <v>109.59699999999999</v>
      </c>
      <c r="P34" s="175">
        <v>111.169</v>
      </c>
      <c r="Q34" s="175">
        <v>125.093</v>
      </c>
      <c r="R34" s="175">
        <v>116.557</v>
      </c>
      <c r="S34" s="175">
        <f t="shared" si="180"/>
        <v>138.99600000000001</v>
      </c>
      <c r="T34" s="168">
        <v>138.99600000000001</v>
      </c>
      <c r="U34" s="175">
        <v>133.90899999999999</v>
      </c>
      <c r="V34" s="175">
        <v>135.505</v>
      </c>
      <c r="W34" s="175">
        <v>146.48400000000001</v>
      </c>
      <c r="X34" s="175">
        <f t="shared" si="181"/>
        <v>117.858</v>
      </c>
      <c r="Y34" s="168">
        <v>117.858</v>
      </c>
      <c r="Z34" s="175">
        <v>118.631</v>
      </c>
      <c r="AA34" s="175">
        <v>122.46299999999999</v>
      </c>
      <c r="AB34" s="175">
        <v>97.114999999999995</v>
      </c>
      <c r="AC34" s="386">
        <v>114.79600000000001</v>
      </c>
      <c r="AD34" s="168">
        <f t="shared" si="165"/>
        <v>114.79600000000001</v>
      </c>
      <c r="AE34" s="386">
        <v>113.50700000000001</v>
      </c>
      <c r="AF34" s="386">
        <v>113.28400000000001</v>
      </c>
      <c r="AG34" s="386">
        <v>114.902</v>
      </c>
      <c r="AH34" s="386">
        <v>140.66499999999999</v>
      </c>
      <c r="AI34" s="168">
        <f t="shared" si="166"/>
        <v>140.66499999999999</v>
      </c>
      <c r="AJ34" s="386">
        <v>138.73400000000001</v>
      </c>
      <c r="AK34" s="386">
        <v>140.87</v>
      </c>
      <c r="AL34" s="386">
        <v>126.96599999999999</v>
      </c>
      <c r="AM34" s="386">
        <v>162.018</v>
      </c>
      <c r="AN34" s="452">
        <f t="shared" si="167"/>
        <v>162.018</v>
      </c>
      <c r="AO34" s="386">
        <v>159.77699999999999</v>
      </c>
      <c r="AP34" s="386">
        <v>155.81</v>
      </c>
      <c r="AQ34" s="386">
        <v>155.553</v>
      </c>
      <c r="AR34" s="368">
        <v>163.465</v>
      </c>
      <c r="AS34" s="168">
        <f t="shared" si="168"/>
        <v>163.465</v>
      </c>
      <c r="AT34" s="171">
        <v>166.20500000000001</v>
      </c>
      <c r="AU34" s="171">
        <v>145.76400000000001</v>
      </c>
      <c r="AV34" s="171">
        <v>148.917</v>
      </c>
      <c r="AW34" s="171">
        <v>151.63900000000001</v>
      </c>
      <c r="AX34" s="168">
        <f t="shared" si="169"/>
        <v>151.63900000000001</v>
      </c>
      <c r="AY34" s="171">
        <v>184.999</v>
      </c>
      <c r="AZ34" s="171">
        <v>186.434</v>
      </c>
      <c r="BA34" s="171">
        <v>186.965</v>
      </c>
      <c r="BB34" s="171">
        <f>BB22-BB30-BB45-BB32-BB33-BB35</f>
        <v>291.62285703974902</v>
      </c>
      <c r="BC34" s="168">
        <f t="shared" si="171"/>
        <v>291.62285703974902</v>
      </c>
      <c r="BD34" s="171">
        <f>BD22-BD30-BD45-BD32-BD33-BD35</f>
        <v>326.86241134730614</v>
      </c>
      <c r="BE34" s="171">
        <f>BE22-BE30-BE45-BE32-BE33-BE35</f>
        <v>431.2290741395513</v>
      </c>
      <c r="BF34" s="171">
        <f>BF22-BF30-BF45-BF32-BF33-BF35</f>
        <v>523.31587417400169</v>
      </c>
      <c r="BG34" s="171">
        <f>BG22-BG30-BG45-BG32-BG33-BG35</f>
        <v>574.79590203402608</v>
      </c>
      <c r="BH34" s="168">
        <f t="shared" si="173"/>
        <v>574.79590203402608</v>
      </c>
      <c r="BI34" s="171">
        <f>BI22-BI30-BI45-BI32-BI33-BI35</f>
        <v>560.128764001592</v>
      </c>
      <c r="BJ34" s="171">
        <f>BJ22-BJ30-BJ45-BJ32-BJ33-BJ35</f>
        <v>557.66218628111403</v>
      </c>
      <c r="BK34" s="171">
        <f>BK22-BK30-BK45-BK32-BK33-BK35</f>
        <v>548.54013408699518</v>
      </c>
      <c r="BL34" s="171">
        <f>BL22-BL30-BL45-BL32-BL33-BL35</f>
        <v>552.52683404306515</v>
      </c>
      <c r="BM34" s="168">
        <f t="shared" si="175"/>
        <v>552.52683404306515</v>
      </c>
      <c r="BN34" s="171">
        <f>BN22-BN30-BN45-BN32-BN33-BN35</f>
        <v>533.21370000618094</v>
      </c>
      <c r="BO34" s="171">
        <f>BO22-BO30-BO45-BO32-BO33-BO35</f>
        <v>524.69099425966249</v>
      </c>
      <c r="BP34" s="171">
        <f>BP22-BP30-BP45-BP32-BP33-BP35</f>
        <v>524.79988035444001</v>
      </c>
      <c r="BQ34" s="171">
        <f>BQ22-BQ30-BQ45-BQ32-BQ33-BQ35</f>
        <v>530.25776605210422</v>
      </c>
      <c r="BR34" s="168">
        <f t="shared" si="177"/>
        <v>530.25776605210422</v>
      </c>
    </row>
    <row r="35" spans="1:70 16340:16384" ht="13.5" customHeight="1">
      <c r="A35" s="110"/>
      <c r="B35" s="110" t="s">
        <v>79</v>
      </c>
      <c r="C35" s="110"/>
      <c r="D35" s="110"/>
      <c r="E35" s="110"/>
      <c r="F35" s="175">
        <v>0</v>
      </c>
      <c r="G35" s="175">
        <v>0</v>
      </c>
      <c r="H35" s="175">
        <v>0</v>
      </c>
      <c r="I35" s="175">
        <f t="shared" si="178"/>
        <v>0</v>
      </c>
      <c r="J35" s="168">
        <v>0</v>
      </c>
      <c r="K35" s="175">
        <v>0</v>
      </c>
      <c r="L35" s="175">
        <v>0</v>
      </c>
      <c r="M35" s="175">
        <v>0</v>
      </c>
      <c r="N35" s="175">
        <f t="shared" si="179"/>
        <v>0</v>
      </c>
      <c r="O35" s="168">
        <v>0</v>
      </c>
      <c r="P35" s="175">
        <v>0</v>
      </c>
      <c r="Q35" s="175">
        <v>0</v>
      </c>
      <c r="R35" s="175"/>
      <c r="S35" s="175">
        <f t="shared" si="180"/>
        <v>0</v>
      </c>
      <c r="T35" s="168">
        <v>0</v>
      </c>
      <c r="U35" s="175">
        <v>0</v>
      </c>
      <c r="V35" s="175">
        <v>0</v>
      </c>
      <c r="W35" s="175">
        <v>0</v>
      </c>
      <c r="X35" s="175">
        <f t="shared" si="181"/>
        <v>0</v>
      </c>
      <c r="Y35" s="168">
        <v>0</v>
      </c>
      <c r="Z35" s="175">
        <v>0</v>
      </c>
      <c r="AA35" s="175">
        <v>0</v>
      </c>
      <c r="AB35" s="175">
        <v>0</v>
      </c>
      <c r="AC35" s="386">
        <v>0</v>
      </c>
      <c r="AD35" s="168">
        <f t="shared" si="165"/>
        <v>0</v>
      </c>
      <c r="AE35" s="386">
        <v>0</v>
      </c>
      <c r="AF35" s="386">
        <v>0</v>
      </c>
      <c r="AG35" s="386">
        <v>0</v>
      </c>
      <c r="AH35" s="386">
        <v>0</v>
      </c>
      <c r="AI35" s="168">
        <f t="shared" si="166"/>
        <v>0</v>
      </c>
      <c r="AJ35" s="386"/>
      <c r="AK35" s="386"/>
      <c r="AL35" s="386"/>
      <c r="AM35" s="386"/>
      <c r="AN35" s="452"/>
      <c r="AO35" s="386"/>
      <c r="AP35" s="386"/>
      <c r="AQ35" s="386"/>
      <c r="AR35" s="368"/>
      <c r="AS35" s="168"/>
      <c r="AT35" s="171"/>
      <c r="AU35" s="171"/>
      <c r="AV35" s="171"/>
      <c r="AW35" s="171"/>
      <c r="AX35" s="168"/>
      <c r="AY35" s="171"/>
      <c r="AZ35" s="171"/>
      <c r="BA35" s="171"/>
      <c r="BB35" s="171"/>
      <c r="BC35" s="168"/>
      <c r="BD35" s="171"/>
      <c r="BE35" s="171"/>
      <c r="BF35" s="171"/>
      <c r="BG35" s="171"/>
      <c r="BH35" s="168"/>
      <c r="BI35" s="171"/>
      <c r="BJ35" s="171"/>
      <c r="BK35" s="171"/>
      <c r="BL35" s="171"/>
      <c r="BM35" s="168"/>
      <c r="BN35" s="171"/>
      <c r="BO35" s="171"/>
      <c r="BP35" s="171"/>
      <c r="BQ35" s="171"/>
      <c r="BR35" s="168"/>
    </row>
    <row r="36" spans="1:70 16340:16384" s="24" customFormat="1" ht="13.5" customHeight="1" thickBot="1">
      <c r="A36" s="112" t="s">
        <v>13</v>
      </c>
      <c r="B36" s="112"/>
      <c r="C36" s="112"/>
      <c r="D36" s="112"/>
      <c r="E36" s="112"/>
      <c r="F36" s="178">
        <f>SUM(F32:F35)+F30</f>
        <v>1460.4919999999997</v>
      </c>
      <c r="G36" s="178">
        <f t="shared" ref="G36:I36" si="189">SUM(G32:G35)+G30</f>
        <v>1546.211</v>
      </c>
      <c r="H36" s="178">
        <f t="shared" si="189"/>
        <v>1384.2329999999999</v>
      </c>
      <c r="I36" s="178">
        <f t="shared" si="189"/>
        <v>1466.2260000000001</v>
      </c>
      <c r="J36" s="179">
        <f>SUM(J32:J35)+J30</f>
        <v>1466.2260000000001</v>
      </c>
      <c r="K36" s="178">
        <f>SUM(K32:K35)+K30</f>
        <v>1474.1130000000001</v>
      </c>
      <c r="L36" s="178">
        <f t="shared" ref="L36:N36" si="190">SUM(L32:L35)+L30</f>
        <v>1792.3220000000001</v>
      </c>
      <c r="M36" s="178">
        <f t="shared" si="190"/>
        <v>2372.5419999999999</v>
      </c>
      <c r="N36" s="178">
        <f t="shared" si="190"/>
        <v>2213.3000000000002</v>
      </c>
      <c r="O36" s="179">
        <f>SUM(O32:O35)+O30</f>
        <v>2213.3000000000002</v>
      </c>
      <c r="P36" s="178">
        <f>SUM(P32:P35)+P30</f>
        <v>2115.1930000000002</v>
      </c>
      <c r="Q36" s="178">
        <f t="shared" ref="Q36:S36" si="191">SUM(Q32:Q35)+Q30</f>
        <v>2120.1210000000001</v>
      </c>
      <c r="R36" s="178">
        <f t="shared" si="191"/>
        <v>2134.7209999999995</v>
      </c>
      <c r="S36" s="178">
        <f t="shared" si="191"/>
        <v>2152.5459999999998</v>
      </c>
      <c r="T36" s="179">
        <f>SUM(T32:T35)+T30</f>
        <v>2152.5459999999998</v>
      </c>
      <c r="U36" s="178">
        <f>SUM(U32:U35)+U30</f>
        <v>2225.7399999999998</v>
      </c>
      <c r="V36" s="178">
        <f t="shared" ref="V36:X36" si="192">SUM(V32:V35)+V30</f>
        <v>2276.6289999999999</v>
      </c>
      <c r="W36" s="178">
        <f t="shared" si="192"/>
        <v>2274.9760000000001</v>
      </c>
      <c r="X36" s="178">
        <f t="shared" si="192"/>
        <v>2149.9030000000002</v>
      </c>
      <c r="Y36" s="179">
        <f>SUM(Y32:Y35)+Y30</f>
        <v>2149.9030000000002</v>
      </c>
      <c r="Z36" s="178">
        <f>SUM(Z32:Z35)+Z30</f>
        <v>2258.3289999999997</v>
      </c>
      <c r="AA36" s="178">
        <f t="shared" ref="AA36:AC36" si="193">SUM(AA32:AA35)+AA30</f>
        <v>2353.056</v>
      </c>
      <c r="AB36" s="178">
        <f t="shared" si="193"/>
        <v>2494.5929999999998</v>
      </c>
      <c r="AC36" s="389">
        <f t="shared" si="193"/>
        <v>2407.81</v>
      </c>
      <c r="AD36" s="179">
        <f>SUM(AD32:AD35)+AD30</f>
        <v>2407.81</v>
      </c>
      <c r="AE36" s="389">
        <f>SUM(AE32:AE35)+AE30</f>
        <v>2388.0160000000001</v>
      </c>
      <c r="AF36" s="389">
        <f t="shared" ref="AF36:AH36" si="194">SUM(AF32:AF35)+AF30</f>
        <v>2549.0580000000004</v>
      </c>
      <c r="AG36" s="389">
        <f t="shared" si="194"/>
        <v>2553.6490000000003</v>
      </c>
      <c r="AH36" s="389">
        <f t="shared" si="194"/>
        <v>2622.2139999999999</v>
      </c>
      <c r="AI36" s="179">
        <f>SUM(AI32:AI35)+AI30</f>
        <v>2622.2139999999999</v>
      </c>
      <c r="AJ36" s="389">
        <f>SUM(AJ32:AJ35)+AJ30</f>
        <v>2691.1509999999998</v>
      </c>
      <c r="AK36" s="389">
        <f t="shared" ref="AK36:AM36" si="195">SUM(AK32:AK35)+AK30</f>
        <v>2702.752</v>
      </c>
      <c r="AL36" s="389">
        <f t="shared" si="195"/>
        <v>2696.922</v>
      </c>
      <c r="AM36" s="389">
        <f t="shared" si="195"/>
        <v>2485.5969999999998</v>
      </c>
      <c r="AN36" s="453">
        <f>SUM(AN32:AN35)+AN30</f>
        <v>2485.5969999999998</v>
      </c>
      <c r="AO36" s="389">
        <f>SUM(AO32:AO35)+AO30</f>
        <v>2438.3560000000002</v>
      </c>
      <c r="AP36" s="389">
        <f t="shared" ref="AP36:AR36" si="196">SUM(AP32:AP35)+AP30</f>
        <v>2565.002</v>
      </c>
      <c r="AQ36" s="389">
        <f t="shared" si="196"/>
        <v>2651.8590000000004</v>
      </c>
      <c r="AR36" s="371">
        <f t="shared" si="196"/>
        <v>2559.3429999999998</v>
      </c>
      <c r="AS36" s="179">
        <f>SUM(AS32:AS35)+AS30</f>
        <v>2559.3429999999998</v>
      </c>
      <c r="AT36" s="178">
        <f>SUM(AT32:AT35)+AT30</f>
        <v>2622.5249999999996</v>
      </c>
      <c r="AU36" s="178">
        <f t="shared" ref="AU36:AW36" si="197">SUM(AU32:AU35)+AU30</f>
        <v>2645.299</v>
      </c>
      <c r="AV36" s="178">
        <f t="shared" si="197"/>
        <v>2691.7960000000003</v>
      </c>
      <c r="AW36" s="178">
        <f t="shared" si="197"/>
        <v>2599.8630000000003</v>
      </c>
      <c r="AX36" s="179">
        <f>SUM(AX32:AX35)+AX30</f>
        <v>2599.8630000000003</v>
      </c>
      <c r="AY36" s="178">
        <f>SUM(AY32:AY35)+AY30</f>
        <v>2761.0910000000003</v>
      </c>
      <c r="AZ36" s="178">
        <f t="shared" ref="AZ36:BB36" si="198">SUM(AZ32:AZ35)+AZ30</f>
        <v>2923.9370000000004</v>
      </c>
      <c r="BA36" s="178">
        <f t="shared" si="198"/>
        <v>2991.3599999999997</v>
      </c>
      <c r="BB36" s="178">
        <f t="shared" si="198"/>
        <v>2475.9234664709716</v>
      </c>
      <c r="BC36" s="179">
        <f>SUM(BC32:BC35)+BC30</f>
        <v>2475.9234664709716</v>
      </c>
      <c r="BD36" s="178">
        <f>SUM(BD32:BD35)+BD30</f>
        <v>2586.3545304122417</v>
      </c>
      <c r="BE36" s="178">
        <f t="shared" ref="BE36:BG36" si="199">SUM(BE32:BE35)+BE30</f>
        <v>2843.8065706600319</v>
      </c>
      <c r="BF36" s="178">
        <f t="shared" si="199"/>
        <v>3067.6098579353693</v>
      </c>
      <c r="BG36" s="178">
        <f t="shared" si="199"/>
        <v>3188.7303902224548</v>
      </c>
      <c r="BH36" s="179">
        <f>SUM(BH32:BH35)+BH30</f>
        <v>3188.7303902224548</v>
      </c>
      <c r="BI36" s="178">
        <f>SUM(BI32:BI35)+BI30</f>
        <v>3160.8041413773699</v>
      </c>
      <c r="BJ36" s="178">
        <f t="shared" ref="BJ36:BL36" si="200">SUM(BJ32:BJ35)+BJ30</f>
        <v>3134.109682444936</v>
      </c>
      <c r="BK36" s="178">
        <f t="shared" si="200"/>
        <v>3091.1627265317766</v>
      </c>
      <c r="BL36" s="178">
        <f t="shared" si="200"/>
        <v>3079.9708122992874</v>
      </c>
      <c r="BM36" s="179">
        <f>SUM(BM32:BM35)+BM30</f>
        <v>3079.9708122992874</v>
      </c>
      <c r="BN36" s="178">
        <f>SUM(BN32:BN35)+BN30</f>
        <v>3041.1788058465559</v>
      </c>
      <c r="BO36" s="178">
        <f t="shared" ref="BO36:BQ36" si="201">SUM(BO32:BO35)+BO30</f>
        <v>2999.8754367164393</v>
      </c>
      <c r="BP36" s="178">
        <f t="shared" si="201"/>
        <v>2979.2742754410106</v>
      </c>
      <c r="BQ36" s="178">
        <f t="shared" si="201"/>
        <v>2971.21123437612</v>
      </c>
      <c r="BR36" s="179">
        <f>SUM(BR32:BR35)+BR30</f>
        <v>2971.21123437612</v>
      </c>
      <c r="XDL36" s="438"/>
      <c r="XDM36" s="438"/>
      <c r="XDN36" s="438"/>
      <c r="XDO36" s="438"/>
      <c r="XDP36" s="438"/>
      <c r="XDQ36" s="438"/>
      <c r="XDR36" s="438"/>
      <c r="XDS36" s="438"/>
      <c r="XDT36" s="438"/>
      <c r="XDU36" s="438"/>
      <c r="XDV36" s="438"/>
      <c r="XDW36" s="438"/>
      <c r="XDX36" s="438"/>
      <c r="XDY36" s="438"/>
      <c r="XDZ36" s="438"/>
      <c r="XEA36" s="438"/>
      <c r="XEB36" s="438"/>
      <c r="XEC36" s="438"/>
      <c r="XED36" s="438"/>
      <c r="XEE36" s="438"/>
      <c r="XEF36" s="438"/>
      <c r="XEG36" s="438"/>
      <c r="XEH36" s="438"/>
      <c r="XEI36" s="438"/>
      <c r="XEJ36" s="438"/>
      <c r="XEK36" s="438"/>
      <c r="XEL36" s="438"/>
      <c r="XEM36" s="438"/>
      <c r="XEN36" s="438"/>
      <c r="XEO36" s="438"/>
      <c r="XEP36" s="438"/>
      <c r="XEQ36" s="438"/>
      <c r="XER36" s="438"/>
      <c r="XES36" s="438"/>
      <c r="XET36" s="438"/>
      <c r="XEU36" s="438"/>
      <c r="XEV36" s="438"/>
      <c r="XEW36" s="438"/>
      <c r="XEX36" s="438"/>
      <c r="XEY36" s="438"/>
      <c r="XEZ36" s="438"/>
      <c r="XFA36" s="438"/>
      <c r="XFB36" s="438"/>
      <c r="XFC36" s="438"/>
      <c r="XFD36" s="438"/>
    </row>
    <row r="37" spans="1:70 16340:16384" ht="13" thickTop="1">
      <c r="A37" s="110"/>
      <c r="B37" s="110"/>
      <c r="C37" s="110"/>
      <c r="D37" s="110"/>
      <c r="E37" s="110"/>
      <c r="F37" s="176"/>
      <c r="G37" s="176"/>
      <c r="H37" s="176"/>
      <c r="I37" s="176"/>
      <c r="J37" s="169"/>
      <c r="K37" s="176"/>
      <c r="L37" s="176"/>
      <c r="M37" s="176"/>
      <c r="N37" s="176"/>
      <c r="O37" s="169"/>
      <c r="P37" s="176"/>
      <c r="Q37" s="176"/>
      <c r="R37" s="176"/>
      <c r="S37" s="176"/>
      <c r="T37" s="169"/>
      <c r="U37" s="176"/>
      <c r="V37" s="176"/>
      <c r="W37" s="176"/>
      <c r="X37" s="176"/>
      <c r="Y37" s="169"/>
      <c r="Z37" s="176"/>
      <c r="AA37" s="176"/>
      <c r="AB37" s="176"/>
      <c r="AC37" s="388"/>
      <c r="AD37" s="169"/>
      <c r="AE37" s="388"/>
      <c r="AF37" s="388"/>
      <c r="AG37" s="388"/>
      <c r="AH37" s="388"/>
      <c r="AI37" s="169"/>
      <c r="AJ37" s="388"/>
      <c r="AK37" s="388"/>
      <c r="AL37" s="388"/>
      <c r="AM37" s="388"/>
      <c r="AN37" s="454"/>
      <c r="AO37" s="388"/>
      <c r="AP37" s="388"/>
      <c r="AQ37" s="388"/>
      <c r="AR37" s="370"/>
      <c r="AS37" s="169"/>
      <c r="AT37" s="176"/>
      <c r="AU37" s="176"/>
      <c r="AV37" s="176"/>
      <c r="AW37" s="176"/>
      <c r="AX37" s="169"/>
      <c r="AY37" s="176"/>
      <c r="AZ37" s="176"/>
      <c r="BA37" s="176"/>
      <c r="BB37" s="176"/>
      <c r="BC37" s="169"/>
      <c r="BD37" s="176"/>
      <c r="BE37" s="176"/>
      <c r="BF37" s="176"/>
      <c r="BG37" s="176"/>
      <c r="BH37" s="169"/>
      <c r="BI37" s="176"/>
      <c r="BJ37" s="176"/>
      <c r="BK37" s="176"/>
      <c r="BL37" s="176"/>
      <c r="BM37" s="169"/>
      <c r="BN37" s="176"/>
      <c r="BO37" s="176"/>
      <c r="BP37" s="176"/>
      <c r="BQ37" s="176"/>
      <c r="BR37" s="169"/>
    </row>
    <row r="38" spans="1:70 16340:16384" ht="12.75" customHeight="1">
      <c r="A38" s="109" t="s">
        <v>14</v>
      </c>
      <c r="B38" s="109"/>
      <c r="C38" s="109"/>
      <c r="D38" s="109"/>
      <c r="E38" s="109"/>
      <c r="F38" s="182"/>
      <c r="G38" s="175"/>
      <c r="H38" s="176"/>
      <c r="I38" s="176"/>
      <c r="J38" s="168"/>
      <c r="K38" s="177"/>
      <c r="L38" s="176"/>
      <c r="M38" s="176"/>
      <c r="N38" s="176"/>
      <c r="O38" s="168"/>
      <c r="P38" s="177"/>
      <c r="Q38" s="176"/>
      <c r="R38" s="176"/>
      <c r="S38" s="176"/>
      <c r="T38" s="168"/>
      <c r="U38" s="177"/>
      <c r="V38" s="176"/>
      <c r="W38" s="176"/>
      <c r="X38" s="176"/>
      <c r="Y38" s="168"/>
      <c r="Z38" s="177"/>
      <c r="AA38" s="176"/>
      <c r="AB38" s="176"/>
      <c r="AC38" s="388"/>
      <c r="AD38" s="168"/>
      <c r="AE38" s="410"/>
      <c r="AF38" s="388"/>
      <c r="AG38" s="388"/>
      <c r="AH38" s="388"/>
      <c r="AI38" s="168"/>
      <c r="AJ38" s="410"/>
      <c r="AK38" s="388"/>
      <c r="AL38" s="388"/>
      <c r="AM38" s="388"/>
      <c r="AN38" s="452"/>
      <c r="AO38" s="410"/>
      <c r="AP38" s="388"/>
      <c r="AQ38" s="388"/>
      <c r="AR38" s="370"/>
      <c r="AS38" s="168"/>
      <c r="AT38" s="177"/>
      <c r="AU38" s="176"/>
      <c r="AV38" s="176"/>
      <c r="AW38" s="176"/>
      <c r="AX38" s="168"/>
      <c r="AY38" s="177"/>
      <c r="AZ38" s="176"/>
      <c r="BA38" s="176"/>
      <c r="BB38" s="176"/>
      <c r="BC38" s="168"/>
      <c r="BD38" s="177"/>
      <c r="BE38" s="176"/>
      <c r="BF38" s="176"/>
      <c r="BG38" s="176"/>
      <c r="BH38" s="168"/>
      <c r="BI38" s="177"/>
      <c r="BJ38" s="176"/>
      <c r="BK38" s="176"/>
      <c r="BL38" s="176"/>
      <c r="BM38" s="168"/>
      <c r="BN38" s="177"/>
      <c r="BO38" s="176"/>
      <c r="BP38" s="176"/>
      <c r="BQ38" s="176"/>
      <c r="BR38" s="168"/>
    </row>
    <row r="39" spans="1:70 16340:16384" ht="12.75" customHeight="1">
      <c r="A39" s="110" t="s">
        <v>140</v>
      </c>
      <c r="B39" s="110"/>
      <c r="C39" s="110"/>
      <c r="D39" s="110"/>
      <c r="E39" s="110"/>
      <c r="F39" s="175"/>
      <c r="G39" s="175"/>
      <c r="H39" s="176"/>
      <c r="I39" s="176"/>
      <c r="J39" s="168"/>
      <c r="K39" s="177"/>
      <c r="L39" s="176"/>
      <c r="M39" s="176"/>
      <c r="N39" s="176"/>
      <c r="O39" s="168"/>
      <c r="P39" s="177"/>
      <c r="Q39" s="176"/>
      <c r="R39" s="176"/>
      <c r="S39" s="176"/>
      <c r="T39" s="168"/>
      <c r="U39" s="177"/>
      <c r="V39" s="176"/>
      <c r="W39" s="176"/>
      <c r="X39" s="176"/>
      <c r="Y39" s="168"/>
      <c r="Z39" s="177"/>
      <c r="AA39" s="176"/>
      <c r="AB39" s="176"/>
      <c r="AC39" s="388"/>
      <c r="AD39" s="168"/>
      <c r="AE39" s="410"/>
      <c r="AF39" s="388"/>
      <c r="AG39" s="388"/>
      <c r="AH39" s="388"/>
      <c r="AI39" s="168"/>
      <c r="AJ39" s="410"/>
      <c r="AK39" s="388"/>
      <c r="AL39" s="388"/>
      <c r="AM39" s="388"/>
      <c r="AN39" s="452"/>
      <c r="AO39" s="410"/>
      <c r="AP39" s="388"/>
      <c r="AQ39" s="388"/>
      <c r="AR39" s="370"/>
      <c r="AS39" s="168"/>
      <c r="AT39" s="177"/>
      <c r="AU39" s="176"/>
      <c r="AV39" s="176"/>
      <c r="AW39" s="176"/>
      <c r="AX39" s="168"/>
      <c r="AY39" s="177"/>
      <c r="AZ39" s="176"/>
      <c r="BA39" s="176"/>
      <c r="BB39" s="176"/>
      <c r="BC39" s="168"/>
      <c r="BD39" s="177"/>
      <c r="BE39" s="176"/>
      <c r="BF39" s="176"/>
      <c r="BG39" s="176"/>
      <c r="BH39" s="168"/>
      <c r="BI39" s="177"/>
      <c r="BJ39" s="176"/>
      <c r="BK39" s="176"/>
      <c r="BL39" s="176"/>
      <c r="BM39" s="168"/>
      <c r="BN39" s="177"/>
      <c r="BO39" s="176"/>
      <c r="BP39" s="176"/>
      <c r="BQ39" s="176"/>
      <c r="BR39" s="168"/>
    </row>
    <row r="40" spans="1:70 16340:16384" ht="12.75" customHeight="1">
      <c r="A40" s="110"/>
      <c r="B40" s="110" t="s">
        <v>81</v>
      </c>
      <c r="C40" s="110"/>
      <c r="D40" s="110"/>
      <c r="E40" s="110"/>
      <c r="F40" s="175">
        <v>49.048000000000002</v>
      </c>
      <c r="G40" s="175">
        <v>48.595999999999997</v>
      </c>
      <c r="H40" s="175">
        <v>47.09</v>
      </c>
      <c r="I40" s="175">
        <f>J40</f>
        <v>47.09</v>
      </c>
      <c r="J40" s="168">
        <v>47.09</v>
      </c>
      <c r="K40" s="175">
        <v>47.122999999999998</v>
      </c>
      <c r="L40" s="175">
        <v>47.286000000000001</v>
      </c>
      <c r="M40" s="175">
        <v>47.314999999999998</v>
      </c>
      <c r="N40" s="175">
        <f>O40</f>
        <v>47.329000000000001</v>
      </c>
      <c r="O40" s="168">
        <v>47.329000000000001</v>
      </c>
      <c r="P40" s="175">
        <v>47.368000000000002</v>
      </c>
      <c r="Q40" s="175">
        <v>47.555999999999997</v>
      </c>
      <c r="R40" s="175">
        <v>47.555999999999997</v>
      </c>
      <c r="S40" s="175">
        <f>T40</f>
        <v>47.555999999999997</v>
      </c>
      <c r="T40" s="168">
        <v>47.555999999999997</v>
      </c>
      <c r="U40" s="175">
        <v>47.576000000000001</v>
      </c>
      <c r="V40" s="175">
        <v>47.896999999999998</v>
      </c>
      <c r="W40" s="175">
        <v>48.115000000000002</v>
      </c>
      <c r="X40" s="175">
        <f>Y40</f>
        <v>48.420999999999999</v>
      </c>
      <c r="Y40" s="168">
        <v>48.420999999999999</v>
      </c>
      <c r="Z40" s="175">
        <v>48.527999999999999</v>
      </c>
      <c r="AA40" s="175">
        <v>48.572000000000003</v>
      </c>
      <c r="AB40" s="175">
        <v>48.646000000000001</v>
      </c>
      <c r="AC40" s="390">
        <v>48.670999999999999</v>
      </c>
      <c r="AD40" s="168">
        <f t="shared" ref="AD40:AD43" si="202">AC40</f>
        <v>48.670999999999999</v>
      </c>
      <c r="AE40" s="390">
        <v>49.000999999999998</v>
      </c>
      <c r="AF40" s="390">
        <v>49.07</v>
      </c>
      <c r="AG40" s="390">
        <v>49.073</v>
      </c>
      <c r="AH40" s="390">
        <v>49.073</v>
      </c>
      <c r="AI40" s="168">
        <f t="shared" ref="AI40:AI43" si="203">AH40</f>
        <v>49.073</v>
      </c>
      <c r="AJ40" s="390">
        <v>49.073</v>
      </c>
      <c r="AK40" s="390">
        <v>49.17</v>
      </c>
      <c r="AL40" s="390">
        <v>49.201999999999998</v>
      </c>
      <c r="AM40" s="390">
        <v>49.210999999999999</v>
      </c>
      <c r="AN40" s="452">
        <f t="shared" ref="AN40:AN43" si="204">AM40</f>
        <v>49.210999999999999</v>
      </c>
      <c r="AO40" s="390">
        <v>49.694000000000003</v>
      </c>
      <c r="AP40" s="390">
        <v>49.76</v>
      </c>
      <c r="AQ40" s="390">
        <v>49.780999999999999</v>
      </c>
      <c r="AR40" s="372">
        <v>49.780999999999999</v>
      </c>
      <c r="AS40" s="168">
        <f t="shared" ref="AS40:AS44" si="205">AR40</f>
        <v>49.780999999999999</v>
      </c>
      <c r="AT40" s="175">
        <v>49.912999999999997</v>
      </c>
      <c r="AU40" s="175">
        <v>50.011000000000003</v>
      </c>
      <c r="AV40" s="175">
        <v>50.026000000000003</v>
      </c>
      <c r="AW40" s="175">
        <v>50.026000000000003</v>
      </c>
      <c r="AX40" s="168">
        <f t="shared" ref="AX40:AX44" si="206">AW40</f>
        <v>50.026000000000003</v>
      </c>
      <c r="AY40" s="175">
        <v>50.18</v>
      </c>
      <c r="AZ40" s="175">
        <v>50.279000000000003</v>
      </c>
      <c r="BA40" s="175">
        <v>50.279000000000003</v>
      </c>
      <c r="BB40" s="175">
        <f t="shared" ref="BB40:BB41" si="207">BA40</f>
        <v>50.279000000000003</v>
      </c>
      <c r="BC40" s="168">
        <f t="shared" ref="BC40:BC43" si="208">BB40</f>
        <v>50.279000000000003</v>
      </c>
      <c r="BD40" s="175">
        <f>BB40</f>
        <v>50.279000000000003</v>
      </c>
      <c r="BE40" s="175">
        <f>BD40</f>
        <v>50.279000000000003</v>
      </c>
      <c r="BF40" s="175">
        <f t="shared" ref="BF40:BF41" si="209">BE40</f>
        <v>50.279000000000003</v>
      </c>
      <c r="BG40" s="175">
        <f t="shared" ref="BG40:BG41" si="210">BF40</f>
        <v>50.279000000000003</v>
      </c>
      <c r="BH40" s="168">
        <f t="shared" ref="BH40:BH43" si="211">BG40</f>
        <v>50.279000000000003</v>
      </c>
      <c r="BI40" s="175">
        <f>BG40</f>
        <v>50.279000000000003</v>
      </c>
      <c r="BJ40" s="175">
        <f>BI40</f>
        <v>50.279000000000003</v>
      </c>
      <c r="BK40" s="175">
        <f t="shared" ref="BK40:BK41" si="212">BJ40</f>
        <v>50.279000000000003</v>
      </c>
      <c r="BL40" s="175">
        <f t="shared" ref="BL40:BL41" si="213">BK40</f>
        <v>50.279000000000003</v>
      </c>
      <c r="BM40" s="168">
        <f t="shared" ref="BM40:BM43" si="214">BL40</f>
        <v>50.279000000000003</v>
      </c>
      <c r="BN40" s="175">
        <f>BL40</f>
        <v>50.279000000000003</v>
      </c>
      <c r="BO40" s="175">
        <f>BN40</f>
        <v>50.279000000000003</v>
      </c>
      <c r="BP40" s="175">
        <f t="shared" ref="BP40:BP41" si="215">BO40</f>
        <v>50.279000000000003</v>
      </c>
      <c r="BQ40" s="175">
        <f t="shared" ref="BQ40:BQ41" si="216">BP40</f>
        <v>50.279000000000003</v>
      </c>
      <c r="BR40" s="168">
        <f t="shared" ref="BR40:BR43" si="217">BQ40</f>
        <v>50.279000000000003</v>
      </c>
    </row>
    <row r="41" spans="1:70 16340:16384" ht="12.75" customHeight="1">
      <c r="A41" s="110"/>
      <c r="B41" s="110" t="s">
        <v>82</v>
      </c>
      <c r="C41" s="110"/>
      <c r="D41" s="110"/>
      <c r="E41" s="110"/>
      <c r="F41" s="175">
        <v>1015.7569999999999</v>
      </c>
      <c r="G41" s="175">
        <v>1007.327</v>
      </c>
      <c r="H41" s="175">
        <v>982.91700000000003</v>
      </c>
      <c r="I41" s="175">
        <f t="shared" ref="I41:I43" si="218">J41</f>
        <v>985.41300000000001</v>
      </c>
      <c r="J41" s="168">
        <v>985.41300000000001</v>
      </c>
      <c r="K41" s="175">
        <v>989.01300000000003</v>
      </c>
      <c r="L41" s="175">
        <v>992.54600000000005</v>
      </c>
      <c r="M41" s="175">
        <v>991.88400000000001</v>
      </c>
      <c r="N41" s="175">
        <f t="shared" ref="N41:N43" si="219">O41</f>
        <v>993.43399999999997</v>
      </c>
      <c r="O41" s="168">
        <v>993.43399999999997</v>
      </c>
      <c r="P41" s="175">
        <v>996.31299999999999</v>
      </c>
      <c r="Q41" s="175">
        <v>998.20699999999999</v>
      </c>
      <c r="R41" s="175">
        <v>1000.557</v>
      </c>
      <c r="S41" s="175">
        <f t="shared" ref="S41:S43" si="220">T41</f>
        <v>1002.603</v>
      </c>
      <c r="T41" s="168">
        <v>1002.603</v>
      </c>
      <c r="U41" s="175">
        <v>1005.534</v>
      </c>
      <c r="V41" s="175">
        <v>1008.995</v>
      </c>
      <c r="W41" s="175">
        <v>1008.796</v>
      </c>
      <c r="X41" s="175">
        <f t="shared" ref="X41:X43" si="221">Y41</f>
        <v>1007.918</v>
      </c>
      <c r="Y41" s="168">
        <v>1007.918</v>
      </c>
      <c r="Z41" s="175">
        <v>1011.381</v>
      </c>
      <c r="AA41" s="175">
        <v>1016.823</v>
      </c>
      <c r="AB41" s="175">
        <v>1020.806</v>
      </c>
      <c r="AC41" s="390">
        <v>1025.941</v>
      </c>
      <c r="AD41" s="168">
        <f t="shared" si="202"/>
        <v>1025.941</v>
      </c>
      <c r="AE41" s="390">
        <v>1033.9970000000001</v>
      </c>
      <c r="AF41" s="390">
        <v>1039.425</v>
      </c>
      <c r="AG41" s="390">
        <v>1043.1030000000001</v>
      </c>
      <c r="AH41" s="390">
        <v>1035.5160000000001</v>
      </c>
      <c r="AI41" s="168">
        <f t="shared" si="203"/>
        <v>1035.5160000000001</v>
      </c>
      <c r="AJ41" s="390">
        <v>1039.07</v>
      </c>
      <c r="AK41" s="390">
        <v>1070.191</v>
      </c>
      <c r="AL41" s="390">
        <v>1072.8109999999999</v>
      </c>
      <c r="AM41" s="390">
        <v>1075.5999999999999</v>
      </c>
      <c r="AN41" s="452">
        <f t="shared" si="204"/>
        <v>1075.5999999999999</v>
      </c>
      <c r="AO41" s="390">
        <v>1068.2639999999999</v>
      </c>
      <c r="AP41" s="390">
        <v>1075.6369999999999</v>
      </c>
      <c r="AQ41" s="390">
        <v>1080.3710000000001</v>
      </c>
      <c r="AR41" s="372">
        <v>1084.2049999999999</v>
      </c>
      <c r="AS41" s="168">
        <f t="shared" si="205"/>
        <v>1084.2049999999999</v>
      </c>
      <c r="AT41" s="175">
        <v>1087.164</v>
      </c>
      <c r="AU41" s="175">
        <v>1093.874</v>
      </c>
      <c r="AV41" s="175">
        <v>1098.6389999999999</v>
      </c>
      <c r="AW41" s="175">
        <v>1102.9190000000001</v>
      </c>
      <c r="AX41" s="168">
        <f t="shared" si="206"/>
        <v>1102.9190000000001</v>
      </c>
      <c r="AY41" s="175">
        <v>1105.184</v>
      </c>
      <c r="AZ41" s="175">
        <v>1110.4960000000001</v>
      </c>
      <c r="BA41" s="175">
        <v>1113.9870000000001</v>
      </c>
      <c r="BB41" s="175">
        <f t="shared" si="207"/>
        <v>1113.9870000000001</v>
      </c>
      <c r="BC41" s="168">
        <f t="shared" si="208"/>
        <v>1113.9870000000001</v>
      </c>
      <c r="BD41" s="175">
        <f>BB41</f>
        <v>1113.9870000000001</v>
      </c>
      <c r="BE41" s="175">
        <f>BD41</f>
        <v>1113.9870000000001</v>
      </c>
      <c r="BF41" s="175">
        <f t="shared" si="209"/>
        <v>1113.9870000000001</v>
      </c>
      <c r="BG41" s="175">
        <f t="shared" si="210"/>
        <v>1113.9870000000001</v>
      </c>
      <c r="BH41" s="168">
        <f t="shared" si="211"/>
        <v>1113.9870000000001</v>
      </c>
      <c r="BI41" s="175">
        <f>BG41</f>
        <v>1113.9870000000001</v>
      </c>
      <c r="BJ41" s="175">
        <f>BI41</f>
        <v>1113.9870000000001</v>
      </c>
      <c r="BK41" s="175">
        <f t="shared" si="212"/>
        <v>1113.9870000000001</v>
      </c>
      <c r="BL41" s="175">
        <f t="shared" si="213"/>
        <v>1113.9870000000001</v>
      </c>
      <c r="BM41" s="168">
        <f t="shared" si="214"/>
        <v>1113.9870000000001</v>
      </c>
      <c r="BN41" s="175">
        <f>BL41</f>
        <v>1113.9870000000001</v>
      </c>
      <c r="BO41" s="175">
        <f>BN41</f>
        <v>1113.9870000000001</v>
      </c>
      <c r="BP41" s="175">
        <f t="shared" si="215"/>
        <v>1113.9870000000001</v>
      </c>
      <c r="BQ41" s="175">
        <f t="shared" si="216"/>
        <v>1113.9870000000001</v>
      </c>
      <c r="BR41" s="168">
        <f t="shared" si="217"/>
        <v>1113.9870000000001</v>
      </c>
    </row>
    <row r="42" spans="1:70 16340:16384" ht="12.75" customHeight="1">
      <c r="A42" s="110"/>
      <c r="B42" s="110" t="s">
        <v>53</v>
      </c>
      <c r="C42" s="110"/>
      <c r="D42" s="110"/>
      <c r="E42" s="110"/>
      <c r="F42" s="175">
        <v>281.05399999999997</v>
      </c>
      <c r="G42" s="175">
        <v>313.779</v>
      </c>
      <c r="H42" s="175">
        <v>344.71199999999999</v>
      </c>
      <c r="I42" s="175">
        <f t="shared" si="218"/>
        <v>316.53100000000001</v>
      </c>
      <c r="J42" s="168">
        <v>316.53100000000001</v>
      </c>
      <c r="K42" s="175">
        <v>323.45999999999998</v>
      </c>
      <c r="L42" s="175">
        <v>343.154</v>
      </c>
      <c r="M42" s="175">
        <v>378.63099999999997</v>
      </c>
      <c r="N42" s="175">
        <f t="shared" si="219"/>
        <v>402.67899999999997</v>
      </c>
      <c r="O42" s="168">
        <v>402.67899999999997</v>
      </c>
      <c r="P42" s="175">
        <v>401.476</v>
      </c>
      <c r="Q42" s="175">
        <v>53.052999999999997</v>
      </c>
      <c r="R42" s="175">
        <v>95.644000000000005</v>
      </c>
      <c r="S42" s="175">
        <f t="shared" si="220"/>
        <v>137.279</v>
      </c>
      <c r="T42" s="168">
        <v>137.279</v>
      </c>
      <c r="U42" s="175">
        <v>152.07900000000001</v>
      </c>
      <c r="V42" s="175">
        <v>167.55699999999999</v>
      </c>
      <c r="W42" s="175">
        <v>191.316</v>
      </c>
      <c r="X42" s="175">
        <f t="shared" si="221"/>
        <v>224.57499999999999</v>
      </c>
      <c r="Y42" s="168">
        <v>224.57499999999999</v>
      </c>
      <c r="Z42" s="175">
        <v>240.51400000000001</v>
      </c>
      <c r="AA42" s="175">
        <v>269.05900000000003</v>
      </c>
      <c r="AB42" s="175">
        <v>304.78899999999999</v>
      </c>
      <c r="AC42" s="390">
        <v>332.51100000000002</v>
      </c>
      <c r="AD42" s="168">
        <f t="shared" si="202"/>
        <v>332.51100000000002</v>
      </c>
      <c r="AE42" s="390">
        <v>337.637</v>
      </c>
      <c r="AF42" s="390">
        <v>349.41399999999999</v>
      </c>
      <c r="AG42" s="390">
        <v>369.09100000000001</v>
      </c>
      <c r="AH42" s="390">
        <v>377.803</v>
      </c>
      <c r="AI42" s="168">
        <f t="shared" si="203"/>
        <v>377.803</v>
      </c>
      <c r="AJ42" s="390">
        <v>393.20299999999997</v>
      </c>
      <c r="AK42" s="390">
        <v>414.56299999999999</v>
      </c>
      <c r="AL42" s="390">
        <v>443.36399999999998</v>
      </c>
      <c r="AM42" s="390">
        <v>473.625</v>
      </c>
      <c r="AN42" s="452">
        <f t="shared" si="204"/>
        <v>473.625</v>
      </c>
      <c r="AO42" s="390">
        <v>487.38900000000001</v>
      </c>
      <c r="AP42" s="390">
        <v>517.48500000000001</v>
      </c>
      <c r="AQ42" s="390">
        <v>541.06899999999996</v>
      </c>
      <c r="AR42" s="372">
        <v>622.00699999999995</v>
      </c>
      <c r="AS42" s="168">
        <f t="shared" si="205"/>
        <v>622.00699999999995</v>
      </c>
      <c r="AT42" s="175">
        <v>606.19899999999996</v>
      </c>
      <c r="AU42" s="175">
        <v>631.00400000000002</v>
      </c>
      <c r="AV42" s="175">
        <v>652.27599999999995</v>
      </c>
      <c r="AW42" s="175">
        <v>701.68100000000004</v>
      </c>
      <c r="AX42" s="168">
        <f t="shared" si="206"/>
        <v>701.68100000000004</v>
      </c>
      <c r="AY42" s="175">
        <v>701.32500000000005</v>
      </c>
      <c r="AZ42" s="175">
        <v>380.79500000000002</v>
      </c>
      <c r="BA42" s="175">
        <v>400.108</v>
      </c>
      <c r="BB42" s="175">
        <f>BA42+IS!BB48</f>
        <v>430.4579502235639</v>
      </c>
      <c r="BC42" s="168">
        <f t="shared" si="208"/>
        <v>430.4579502235639</v>
      </c>
      <c r="BD42" s="175">
        <f>BB42+IS!BD48</f>
        <v>468.0921355775651</v>
      </c>
      <c r="BE42" s="175">
        <f>BD42+IS!BE48</f>
        <v>526.84016281473248</v>
      </c>
      <c r="BF42" s="175">
        <f>BE42+IS!BF48</f>
        <v>586.11649815557826</v>
      </c>
      <c r="BG42" s="175">
        <f>BF42+IS!BG48</f>
        <v>645.79058753325057</v>
      </c>
      <c r="BH42" s="168">
        <f t="shared" si="211"/>
        <v>645.79058753325057</v>
      </c>
      <c r="BI42" s="175">
        <f>BG42+IS!BI48</f>
        <v>681.96662556459887</v>
      </c>
      <c r="BJ42" s="175">
        <f>BI42+IS!BJ48</f>
        <v>741.41215062014021</v>
      </c>
      <c r="BK42" s="175">
        <f>BJ42+IS!BK48</f>
        <v>800.15512968943381</v>
      </c>
      <c r="BL42" s="175">
        <f>BK42+IS!BL48</f>
        <v>861.12322484293713</v>
      </c>
      <c r="BM42" s="168">
        <f t="shared" si="214"/>
        <v>861.12322484293713</v>
      </c>
      <c r="BN42" s="175">
        <f>BL42+IS!BN48</f>
        <v>895.94861055457568</v>
      </c>
      <c r="BO42" s="175">
        <f>BN42+IS!BO48</f>
        <v>954.66743652889102</v>
      </c>
      <c r="BP42" s="175">
        <f>BO42+IS!BP48</f>
        <v>1014.5315452008134</v>
      </c>
      <c r="BQ42" s="175">
        <f>BP42+IS!BQ48</f>
        <v>1076.4558621526237</v>
      </c>
      <c r="BR42" s="168">
        <f t="shared" si="217"/>
        <v>1076.4558621526237</v>
      </c>
    </row>
    <row r="43" spans="1:70 16340:16384" ht="12.75" customHeight="1">
      <c r="A43" s="110"/>
      <c r="B43" s="110" t="s">
        <v>15</v>
      </c>
      <c r="C43" s="110"/>
      <c r="D43" s="110"/>
      <c r="E43" s="110"/>
      <c r="F43" s="175">
        <v>-33.165999999999997</v>
      </c>
      <c r="G43" s="175">
        <v>-33.222000000000001</v>
      </c>
      <c r="H43" s="175">
        <v>-33.003</v>
      </c>
      <c r="I43" s="175">
        <f t="shared" si="218"/>
        <v>-36.04</v>
      </c>
      <c r="J43" s="168">
        <v>-36.04</v>
      </c>
      <c r="K43" s="175">
        <v>-35.996000000000002</v>
      </c>
      <c r="L43" s="175">
        <v>-35.951000000000001</v>
      </c>
      <c r="M43" s="175">
        <v>-36.634999999999998</v>
      </c>
      <c r="N43" s="175">
        <f t="shared" si="219"/>
        <v>-43.615000000000002</v>
      </c>
      <c r="O43" s="168">
        <v>-43.615000000000002</v>
      </c>
      <c r="P43" s="175">
        <v>-41.77</v>
      </c>
      <c r="Q43" s="175">
        <v>-42.365000000000002</v>
      </c>
      <c r="R43" s="175">
        <v>-43.02</v>
      </c>
      <c r="S43" s="175">
        <f t="shared" si="220"/>
        <v>-43.573999999999998</v>
      </c>
      <c r="T43" s="168">
        <v>-43.573999999999998</v>
      </c>
      <c r="U43" s="175">
        <v>-43.491</v>
      </c>
      <c r="V43" s="175">
        <v>-43.594000000000001</v>
      </c>
      <c r="W43" s="175">
        <v>-44.256</v>
      </c>
      <c r="X43" s="175">
        <f t="shared" si="221"/>
        <v>-33.378999999999998</v>
      </c>
      <c r="Y43" s="168">
        <v>-33.378999999999998</v>
      </c>
      <c r="Z43" s="175">
        <v>-33.402999999999999</v>
      </c>
      <c r="AA43" s="175">
        <v>-32.987000000000002</v>
      </c>
      <c r="AB43" s="175">
        <v>-33.314</v>
      </c>
      <c r="AC43" s="390">
        <v>-41.618000000000002</v>
      </c>
      <c r="AD43" s="168">
        <f t="shared" si="202"/>
        <v>-41.618000000000002</v>
      </c>
      <c r="AE43" s="390">
        <v>-42.170999999999999</v>
      </c>
      <c r="AF43" s="390">
        <v>-43.331000000000003</v>
      </c>
      <c r="AG43" s="390">
        <v>-44.661000000000001</v>
      </c>
      <c r="AH43" s="390">
        <v>-42.164999999999999</v>
      </c>
      <c r="AI43" s="168">
        <f t="shared" si="203"/>
        <v>-42.164999999999999</v>
      </c>
      <c r="AJ43" s="390">
        <v>-41.015000000000001</v>
      </c>
      <c r="AK43" s="390">
        <v>-41.091000000000001</v>
      </c>
      <c r="AL43" s="390">
        <v>-41.332999999999998</v>
      </c>
      <c r="AM43" s="390">
        <v>-45.412999999999997</v>
      </c>
      <c r="AN43" s="452">
        <f t="shared" si="204"/>
        <v>-45.412999999999997</v>
      </c>
      <c r="AO43" s="390">
        <v>-45.22</v>
      </c>
      <c r="AP43" s="390">
        <v>-44.305</v>
      </c>
      <c r="AQ43" s="390">
        <v>-43.298000000000002</v>
      </c>
      <c r="AR43" s="372">
        <v>-42.718000000000004</v>
      </c>
      <c r="AS43" s="168">
        <f t="shared" si="205"/>
        <v>-42.718000000000004</v>
      </c>
      <c r="AT43" s="175">
        <v>-43.595999999999997</v>
      </c>
      <c r="AU43" s="175">
        <v>-44.805</v>
      </c>
      <c r="AV43" s="175">
        <v>-44.192999999999998</v>
      </c>
      <c r="AW43" s="175">
        <v>-45.448999999999998</v>
      </c>
      <c r="AX43" s="168">
        <f t="shared" si="206"/>
        <v>-45.448999999999998</v>
      </c>
      <c r="AY43" s="175">
        <v>-44.2</v>
      </c>
      <c r="AZ43" s="175">
        <v>-42.53</v>
      </c>
      <c r="BA43" s="175">
        <v>-42.293999999999997</v>
      </c>
      <c r="BB43" s="175">
        <f t="shared" ref="BB43" si="222">BA43</f>
        <v>-42.293999999999997</v>
      </c>
      <c r="BC43" s="168">
        <f t="shared" si="208"/>
        <v>-42.293999999999997</v>
      </c>
      <c r="BD43" s="175">
        <f>BB43</f>
        <v>-42.293999999999997</v>
      </c>
      <c r="BE43" s="175">
        <f>BD43</f>
        <v>-42.293999999999997</v>
      </c>
      <c r="BF43" s="175">
        <f t="shared" ref="BF43" si="223">BE43</f>
        <v>-42.293999999999997</v>
      </c>
      <c r="BG43" s="175">
        <f t="shared" ref="BG43" si="224">BF43</f>
        <v>-42.293999999999997</v>
      </c>
      <c r="BH43" s="168">
        <f t="shared" si="211"/>
        <v>-42.293999999999997</v>
      </c>
      <c r="BI43" s="175">
        <f>BG43</f>
        <v>-42.293999999999997</v>
      </c>
      <c r="BJ43" s="175">
        <f>BI43</f>
        <v>-42.293999999999997</v>
      </c>
      <c r="BK43" s="175">
        <f t="shared" ref="BK43" si="225">BJ43</f>
        <v>-42.293999999999997</v>
      </c>
      <c r="BL43" s="175">
        <f t="shared" ref="BL43" si="226">BK43</f>
        <v>-42.293999999999997</v>
      </c>
      <c r="BM43" s="168">
        <f t="shared" si="214"/>
        <v>-42.293999999999997</v>
      </c>
      <c r="BN43" s="175">
        <f>BL43</f>
        <v>-42.293999999999997</v>
      </c>
      <c r="BO43" s="175">
        <f>BN43</f>
        <v>-42.293999999999997</v>
      </c>
      <c r="BP43" s="175">
        <f t="shared" ref="BP43" si="227">BO43</f>
        <v>-42.293999999999997</v>
      </c>
      <c r="BQ43" s="175">
        <f t="shared" ref="BQ43" si="228">BP43</f>
        <v>-42.293999999999997</v>
      </c>
      <c r="BR43" s="168">
        <f t="shared" si="217"/>
        <v>-42.293999999999997</v>
      </c>
    </row>
    <row r="44" spans="1:70 16340:16384" ht="12.75" customHeight="1">
      <c r="A44" s="110"/>
      <c r="B44" s="110" t="s">
        <v>147</v>
      </c>
      <c r="C44" s="110"/>
      <c r="D44" s="110"/>
      <c r="E44" s="110"/>
      <c r="F44" s="175"/>
      <c r="G44" s="175"/>
      <c r="H44" s="175"/>
      <c r="I44" s="175"/>
      <c r="J44" s="168"/>
      <c r="K44" s="175"/>
      <c r="L44" s="175"/>
      <c r="M44" s="175"/>
      <c r="N44" s="175"/>
      <c r="O44" s="168"/>
      <c r="P44" s="175"/>
      <c r="Q44" s="175"/>
      <c r="R44" s="175"/>
      <c r="S44" s="175"/>
      <c r="T44" s="168"/>
      <c r="U44" s="175"/>
      <c r="V44" s="175"/>
      <c r="W44" s="175"/>
      <c r="X44" s="175"/>
      <c r="Y44" s="168"/>
      <c r="Z44" s="175"/>
      <c r="AA44" s="175"/>
      <c r="AB44" s="175"/>
      <c r="AC44" s="390"/>
      <c r="AD44" s="168"/>
      <c r="AE44" s="390"/>
      <c r="AF44" s="390"/>
      <c r="AG44" s="390"/>
      <c r="AH44" s="390"/>
      <c r="AI44" s="168"/>
      <c r="AJ44" s="390"/>
      <c r="AK44" s="390"/>
      <c r="AL44" s="390"/>
      <c r="AM44" s="390"/>
      <c r="AN44" s="452"/>
      <c r="AO44" s="390"/>
      <c r="AP44" s="390">
        <v>1.2869999999999999</v>
      </c>
      <c r="AQ44" s="390">
        <v>3.0030000000000001</v>
      </c>
      <c r="AR44" s="372">
        <v>-8.4949999999999992</v>
      </c>
      <c r="AS44" s="168">
        <f t="shared" si="205"/>
        <v>-8.4949999999999992</v>
      </c>
      <c r="AT44" s="175">
        <v>-14.076000000000001</v>
      </c>
      <c r="AU44" s="175">
        <v>-17.617999999999999</v>
      </c>
      <c r="AV44" s="175">
        <v>-23.376000000000001</v>
      </c>
      <c r="AW44" s="175">
        <v>-21.288</v>
      </c>
      <c r="AX44" s="168">
        <f t="shared" si="206"/>
        <v>-21.288</v>
      </c>
      <c r="AY44" s="175">
        <v>-17.309999999999999</v>
      </c>
      <c r="AZ44" s="175">
        <v>-9.4809999999999999</v>
      </c>
      <c r="BA44" s="175">
        <v>-18.532</v>
      </c>
      <c r="BB44" s="175"/>
      <c r="BC44" s="168"/>
      <c r="BD44" s="175"/>
      <c r="BE44" s="175"/>
      <c r="BF44" s="175"/>
      <c r="BG44" s="175"/>
      <c r="BH44" s="168"/>
      <c r="BI44" s="175"/>
      <c r="BJ44" s="175"/>
      <c r="BK44" s="175"/>
      <c r="BL44" s="175"/>
      <c r="BM44" s="168"/>
      <c r="BN44" s="175"/>
      <c r="BO44" s="175"/>
      <c r="BP44" s="175"/>
      <c r="BQ44" s="175"/>
      <c r="BR44" s="168"/>
    </row>
    <row r="45" spans="1:70 16340:16384" s="36" customFormat="1" ht="13.5" customHeight="1">
      <c r="A45" s="111" t="s">
        <v>41</v>
      </c>
      <c r="B45" s="111"/>
      <c r="C45" s="111"/>
      <c r="D45" s="111"/>
      <c r="E45" s="111"/>
      <c r="F45" s="173">
        <f>SUM(F40:F43)</f>
        <v>1312.693</v>
      </c>
      <c r="G45" s="173">
        <f t="shared" ref="G45:I45" si="229">SUM(G40:G43)</f>
        <v>1336.48</v>
      </c>
      <c r="H45" s="173">
        <f t="shared" si="229"/>
        <v>1341.7160000000001</v>
      </c>
      <c r="I45" s="173">
        <f t="shared" si="229"/>
        <v>1312.9939999999999</v>
      </c>
      <c r="J45" s="181">
        <f>SUM(J40:J43)</f>
        <v>1312.9939999999999</v>
      </c>
      <c r="K45" s="173">
        <f>SUM(K40:K43)</f>
        <v>1323.6</v>
      </c>
      <c r="L45" s="173">
        <f t="shared" ref="L45:N45" si="230">SUM(L40:L43)</f>
        <v>1347.0350000000001</v>
      </c>
      <c r="M45" s="173">
        <f t="shared" si="230"/>
        <v>1381.1949999999999</v>
      </c>
      <c r="N45" s="173">
        <f t="shared" si="230"/>
        <v>1399.827</v>
      </c>
      <c r="O45" s="181">
        <f>SUM(O40:O43)</f>
        <v>1399.827</v>
      </c>
      <c r="P45" s="173">
        <f>SUM(P40:P43)</f>
        <v>1403.3870000000002</v>
      </c>
      <c r="Q45" s="173">
        <f t="shared" ref="Q45:S45" si="231">SUM(Q40:Q43)</f>
        <v>1056.4509999999998</v>
      </c>
      <c r="R45" s="173">
        <f t="shared" si="231"/>
        <v>1100.7370000000001</v>
      </c>
      <c r="S45" s="173">
        <f t="shared" si="231"/>
        <v>1143.8639999999998</v>
      </c>
      <c r="T45" s="181">
        <f>SUM(T40:T43)</f>
        <v>1143.8639999999998</v>
      </c>
      <c r="U45" s="173">
        <f>SUM(U40:U43)</f>
        <v>1161.6979999999999</v>
      </c>
      <c r="V45" s="173">
        <f t="shared" ref="V45:X45" si="232">SUM(V40:V43)</f>
        <v>1180.855</v>
      </c>
      <c r="W45" s="173">
        <f t="shared" si="232"/>
        <v>1203.971</v>
      </c>
      <c r="X45" s="173">
        <f t="shared" si="232"/>
        <v>1247.5350000000001</v>
      </c>
      <c r="Y45" s="181">
        <f>SUM(Y40:Y43)</f>
        <v>1247.5350000000001</v>
      </c>
      <c r="Z45" s="173">
        <f>SUM(Z40:Z43)</f>
        <v>1267.0199999999998</v>
      </c>
      <c r="AA45" s="173">
        <f t="shared" ref="AA45:AC45" si="233">SUM(AA40:AA43)</f>
        <v>1301.4669999999999</v>
      </c>
      <c r="AB45" s="173">
        <f t="shared" si="233"/>
        <v>1340.9269999999999</v>
      </c>
      <c r="AC45" s="387">
        <f t="shared" si="233"/>
        <v>1365.5050000000001</v>
      </c>
      <c r="AD45" s="181">
        <f>SUM(AD40:AD43)</f>
        <v>1365.5050000000001</v>
      </c>
      <c r="AE45" s="387">
        <f>SUM(AE40:AE43)</f>
        <v>1378.4639999999999</v>
      </c>
      <c r="AF45" s="387">
        <f t="shared" ref="AF45:AH45" si="234">SUM(AF40:AF43)</f>
        <v>1394.578</v>
      </c>
      <c r="AG45" s="387">
        <f t="shared" si="234"/>
        <v>1416.6060000000002</v>
      </c>
      <c r="AH45" s="387">
        <f t="shared" si="234"/>
        <v>1420.2270000000003</v>
      </c>
      <c r="AI45" s="181">
        <f>SUM(AI40:AI43)</f>
        <v>1420.2270000000003</v>
      </c>
      <c r="AJ45" s="387">
        <f>SUM(AJ40:AJ43)</f>
        <v>1440.3309999999999</v>
      </c>
      <c r="AK45" s="387">
        <f t="shared" ref="AK45:AM45" si="235">SUM(AK40:AK43)</f>
        <v>1492.8330000000001</v>
      </c>
      <c r="AL45" s="387">
        <f t="shared" si="235"/>
        <v>1524.0439999999999</v>
      </c>
      <c r="AM45" s="387">
        <f t="shared" si="235"/>
        <v>1553.0229999999999</v>
      </c>
      <c r="AN45" s="455">
        <f>SUM(AN40:AN43)</f>
        <v>1553.0229999999999</v>
      </c>
      <c r="AO45" s="387">
        <f>SUM(AO40:AO43)</f>
        <v>1560.1269999999997</v>
      </c>
      <c r="AP45" s="387">
        <f>SUM(AP40:AP44)</f>
        <v>1599.864</v>
      </c>
      <c r="AQ45" s="387">
        <f t="shared" ref="AQ45:AT45" si="236">SUM(AQ40:AQ44)</f>
        <v>1630.9259999999999</v>
      </c>
      <c r="AR45" s="369">
        <f t="shared" si="236"/>
        <v>1704.78</v>
      </c>
      <c r="AS45" s="181">
        <f>SUM(AS40:AS44)</f>
        <v>1704.78</v>
      </c>
      <c r="AT45" s="369">
        <f t="shared" si="236"/>
        <v>1685.6039999999998</v>
      </c>
      <c r="AU45" s="369">
        <f t="shared" ref="AU45" si="237">SUM(AU40:AU44)</f>
        <v>1712.4660000000001</v>
      </c>
      <c r="AV45" s="369">
        <f t="shared" ref="AV45" si="238">SUM(AV40:AV44)</f>
        <v>1733.3719999999998</v>
      </c>
      <c r="AW45" s="369">
        <f t="shared" ref="AW45" si="239">SUM(AW40:AW44)</f>
        <v>1787.8890000000001</v>
      </c>
      <c r="AX45" s="181">
        <f>SUM(AX40:AX44)</f>
        <v>1787.8890000000001</v>
      </c>
      <c r="AY45" s="369">
        <f t="shared" ref="AY45" si="240">SUM(AY40:AY44)</f>
        <v>1795.1790000000001</v>
      </c>
      <c r="AZ45" s="369">
        <f t="shared" ref="AZ45" si="241">SUM(AZ40:AZ44)</f>
        <v>1489.5590000000002</v>
      </c>
      <c r="BA45" s="369">
        <f t="shared" ref="BA45" si="242">SUM(BA40:BA44)</f>
        <v>1503.548</v>
      </c>
      <c r="BB45" s="369">
        <f t="shared" ref="BB45" si="243">SUM(BB40:BB44)</f>
        <v>1552.4299502235638</v>
      </c>
      <c r="BC45" s="181">
        <f>SUM(BC40:BC43)</f>
        <v>1552.4299502235638</v>
      </c>
      <c r="BD45" s="369">
        <f t="shared" ref="BD45:BG45" si="244">SUM(BD40:BD44)</f>
        <v>1590.0641355775651</v>
      </c>
      <c r="BE45" s="369">
        <f t="shared" si="244"/>
        <v>1648.8121628147326</v>
      </c>
      <c r="BF45" s="369">
        <f t="shared" si="244"/>
        <v>1708.0884981555782</v>
      </c>
      <c r="BG45" s="369">
        <f t="shared" si="244"/>
        <v>1767.7625875332506</v>
      </c>
      <c r="BH45" s="181">
        <f>SUM(BH40:BH43)</f>
        <v>1767.7625875332506</v>
      </c>
      <c r="BI45" s="369">
        <f t="shared" ref="BI45:BL45" si="245">SUM(BI40:BI44)</f>
        <v>1803.9386255645989</v>
      </c>
      <c r="BJ45" s="369">
        <f t="shared" si="245"/>
        <v>1863.3841506201402</v>
      </c>
      <c r="BK45" s="369">
        <f t="shared" si="245"/>
        <v>1922.1271296894338</v>
      </c>
      <c r="BL45" s="369">
        <f t="shared" si="245"/>
        <v>1983.0952248429371</v>
      </c>
      <c r="BM45" s="181">
        <f>SUM(BM40:BM43)</f>
        <v>1983.0952248429371</v>
      </c>
      <c r="BN45" s="369">
        <f t="shared" ref="BN45:BQ45" si="246">SUM(BN40:BN44)</f>
        <v>2017.9206105545757</v>
      </c>
      <c r="BO45" s="369">
        <f t="shared" si="246"/>
        <v>2076.6394365288911</v>
      </c>
      <c r="BP45" s="369">
        <f t="shared" si="246"/>
        <v>2136.5035452008137</v>
      </c>
      <c r="BQ45" s="369">
        <f t="shared" si="246"/>
        <v>2198.4278621526237</v>
      </c>
      <c r="BR45" s="181">
        <f>SUM(BR40:BR43)</f>
        <v>2198.4278621526237</v>
      </c>
      <c r="XDL45" s="438"/>
      <c r="XDM45" s="438"/>
      <c r="XDN45" s="438"/>
      <c r="XDO45" s="438"/>
      <c r="XDP45" s="438"/>
      <c r="XDQ45" s="438"/>
      <c r="XDR45" s="438"/>
      <c r="XDS45" s="438"/>
      <c r="XDT45" s="438"/>
      <c r="XDU45" s="438"/>
      <c r="XDV45" s="438"/>
      <c r="XDW45" s="438"/>
      <c r="XDX45" s="438"/>
      <c r="XDY45" s="438"/>
      <c r="XDZ45" s="438"/>
      <c r="XEA45" s="438"/>
      <c r="XEB45" s="438"/>
      <c r="XEC45" s="438"/>
      <c r="XED45" s="438"/>
      <c r="XEE45" s="438"/>
      <c r="XEF45" s="438"/>
      <c r="XEG45" s="438"/>
      <c r="XEH45" s="438"/>
      <c r="XEI45" s="438"/>
      <c r="XEJ45" s="438"/>
      <c r="XEK45" s="438"/>
      <c r="XEL45" s="438"/>
      <c r="XEM45" s="438"/>
      <c r="XEN45" s="438"/>
      <c r="XEO45" s="438"/>
      <c r="XEP45" s="438"/>
      <c r="XEQ45" s="438"/>
      <c r="XER45" s="438"/>
      <c r="XES45" s="438"/>
      <c r="XET45" s="438"/>
      <c r="XEU45" s="438"/>
      <c r="XEV45" s="438"/>
      <c r="XEW45" s="438"/>
      <c r="XEX45" s="438"/>
      <c r="XEY45" s="438"/>
      <c r="XEZ45" s="438"/>
      <c r="XFA45" s="438"/>
      <c r="XFB45" s="438"/>
      <c r="XFC45" s="438"/>
      <c r="XFD45" s="438"/>
    </row>
    <row r="46" spans="1:70 16340:16384">
      <c r="A46" s="110"/>
      <c r="B46" s="110"/>
      <c r="C46" s="110"/>
      <c r="D46" s="110"/>
      <c r="E46" s="110"/>
      <c r="F46" s="175"/>
      <c r="G46" s="183"/>
      <c r="H46" s="183"/>
      <c r="I46" s="176"/>
      <c r="J46" s="168"/>
      <c r="K46" s="175"/>
      <c r="L46" s="183"/>
      <c r="M46" s="183"/>
      <c r="N46" s="176"/>
      <c r="O46" s="168"/>
      <c r="P46" s="175"/>
      <c r="Q46" s="183"/>
      <c r="R46" s="183"/>
      <c r="S46" s="176"/>
      <c r="T46" s="168"/>
      <c r="U46" s="175"/>
      <c r="V46" s="183"/>
      <c r="W46" s="183"/>
      <c r="X46" s="176"/>
      <c r="Y46" s="168"/>
      <c r="Z46" s="175"/>
      <c r="AA46" s="183"/>
      <c r="AB46" s="183"/>
      <c r="AC46" s="388"/>
      <c r="AD46" s="168"/>
      <c r="AE46" s="390"/>
      <c r="AF46" s="416"/>
      <c r="AG46" s="416"/>
      <c r="AH46" s="388"/>
      <c r="AI46" s="168"/>
      <c r="AJ46" s="390"/>
      <c r="AK46" s="416"/>
      <c r="AL46" s="416"/>
      <c r="AM46" s="388"/>
      <c r="AN46" s="452"/>
      <c r="AO46" s="390"/>
      <c r="AP46" s="416"/>
      <c r="AQ46" s="416"/>
      <c r="AR46" s="370"/>
      <c r="AS46" s="168"/>
      <c r="AT46" s="175"/>
      <c r="AU46" s="183"/>
      <c r="AV46" s="183"/>
      <c r="AW46" s="176"/>
      <c r="AX46" s="168"/>
      <c r="AY46" s="175"/>
      <c r="AZ46" s="183"/>
      <c r="BA46" s="183"/>
      <c r="BB46" s="176"/>
      <c r="BC46" s="168"/>
      <c r="BD46" s="175"/>
      <c r="BE46" s="183"/>
      <c r="BF46" s="183"/>
      <c r="BG46" s="176"/>
      <c r="BH46" s="168"/>
      <c r="BI46" s="175"/>
      <c r="BJ46" s="183"/>
      <c r="BK46" s="183"/>
      <c r="BL46" s="176"/>
      <c r="BM46" s="168"/>
      <c r="BN46" s="175"/>
      <c r="BO46" s="183"/>
      <c r="BP46" s="183"/>
      <c r="BQ46" s="176"/>
      <c r="BR46" s="168"/>
    </row>
    <row r="47" spans="1:70 16340:16384" s="24" customFormat="1" ht="13.5" thickBot="1">
      <c r="A47" s="112" t="s">
        <v>44</v>
      </c>
      <c r="B47" s="112"/>
      <c r="C47" s="112"/>
      <c r="D47" s="112"/>
      <c r="E47" s="112"/>
      <c r="F47" s="184">
        <f>F45+F36</f>
        <v>2773.1849999999995</v>
      </c>
      <c r="G47" s="184">
        <f t="shared" ref="G47:I47" si="247">G45+G36</f>
        <v>2882.6909999999998</v>
      </c>
      <c r="H47" s="184">
        <f t="shared" si="247"/>
        <v>2725.9490000000001</v>
      </c>
      <c r="I47" s="184">
        <f t="shared" si="247"/>
        <v>2779.2200000000003</v>
      </c>
      <c r="J47" s="179">
        <f>J45+J36</f>
        <v>2779.2200000000003</v>
      </c>
      <c r="K47" s="184">
        <f>K45+K36</f>
        <v>2797.7129999999997</v>
      </c>
      <c r="L47" s="184">
        <f t="shared" ref="L47:N47" si="248">L45+L36</f>
        <v>3139.357</v>
      </c>
      <c r="M47" s="184">
        <f t="shared" si="248"/>
        <v>3753.7370000000001</v>
      </c>
      <c r="N47" s="184">
        <f t="shared" si="248"/>
        <v>3613.1270000000004</v>
      </c>
      <c r="O47" s="179">
        <f>O45+O36</f>
        <v>3613.1270000000004</v>
      </c>
      <c r="P47" s="184">
        <f>P45+P36</f>
        <v>3518.5800000000004</v>
      </c>
      <c r="Q47" s="184">
        <f t="shared" ref="Q47:S47" si="249">Q45+Q36</f>
        <v>3176.5720000000001</v>
      </c>
      <c r="R47" s="184">
        <f t="shared" si="249"/>
        <v>3235.4579999999996</v>
      </c>
      <c r="S47" s="184">
        <f t="shared" si="249"/>
        <v>3296.41</v>
      </c>
      <c r="T47" s="179">
        <f>T45+T36</f>
        <v>3296.41</v>
      </c>
      <c r="U47" s="184">
        <f>U45+U36</f>
        <v>3387.4379999999996</v>
      </c>
      <c r="V47" s="184">
        <f t="shared" ref="V47:X47" si="250">V45+V36</f>
        <v>3457.4839999999999</v>
      </c>
      <c r="W47" s="184">
        <f t="shared" si="250"/>
        <v>3478.9470000000001</v>
      </c>
      <c r="X47" s="184">
        <f t="shared" si="250"/>
        <v>3397.4380000000001</v>
      </c>
      <c r="Y47" s="179">
        <f>Y45+Y36</f>
        <v>3397.4380000000001</v>
      </c>
      <c r="Z47" s="184">
        <f>Z45+Z36</f>
        <v>3525.3489999999993</v>
      </c>
      <c r="AA47" s="184">
        <f t="shared" ref="AA47:AC47" si="251">AA45+AA36</f>
        <v>3654.5230000000001</v>
      </c>
      <c r="AB47" s="184">
        <f t="shared" si="251"/>
        <v>3835.5199999999995</v>
      </c>
      <c r="AC47" s="391">
        <f t="shared" si="251"/>
        <v>3773.3150000000001</v>
      </c>
      <c r="AD47" s="179">
        <f>AD45+AD36</f>
        <v>3773.3150000000001</v>
      </c>
      <c r="AE47" s="391">
        <f>AE45+AE36</f>
        <v>3766.48</v>
      </c>
      <c r="AF47" s="391">
        <f t="shared" ref="AF47:AH47" si="252">AF45+AF36</f>
        <v>3943.6360000000004</v>
      </c>
      <c r="AG47" s="391">
        <f t="shared" si="252"/>
        <v>3970.2550000000006</v>
      </c>
      <c r="AH47" s="391">
        <f t="shared" si="252"/>
        <v>4042.4410000000003</v>
      </c>
      <c r="AI47" s="179">
        <f>AI45+AI36</f>
        <v>4042.4410000000003</v>
      </c>
      <c r="AJ47" s="391">
        <f>AJ45+AJ36</f>
        <v>4131.482</v>
      </c>
      <c r="AK47" s="391">
        <f t="shared" ref="AK47:AM47" si="253">AK45+AK36</f>
        <v>4195.585</v>
      </c>
      <c r="AL47" s="391">
        <f t="shared" si="253"/>
        <v>4220.9660000000003</v>
      </c>
      <c r="AM47" s="391">
        <f t="shared" si="253"/>
        <v>4038.62</v>
      </c>
      <c r="AN47" s="453">
        <f>AN45+AN36</f>
        <v>4038.62</v>
      </c>
      <c r="AO47" s="391">
        <f>AO45+AO36</f>
        <v>3998.4830000000002</v>
      </c>
      <c r="AP47" s="391">
        <f t="shared" ref="AP47" si="254">AP45+AP36</f>
        <v>4164.866</v>
      </c>
      <c r="AQ47" s="391">
        <f>AQ45+AQ36</f>
        <v>4282.7849999999999</v>
      </c>
      <c r="AR47" s="373">
        <f>AR45+AR36</f>
        <v>4264.1229999999996</v>
      </c>
      <c r="AS47" s="179">
        <f>AS45+AS36</f>
        <v>4264.1229999999996</v>
      </c>
      <c r="AT47" s="184">
        <f>AT45+AT36</f>
        <v>4308.128999999999</v>
      </c>
      <c r="AU47" s="184">
        <f t="shared" ref="AU47:AW47" si="255">AU45+AU36</f>
        <v>4357.7650000000003</v>
      </c>
      <c r="AV47" s="184">
        <f t="shared" si="255"/>
        <v>4425.1679999999997</v>
      </c>
      <c r="AW47" s="184">
        <f t="shared" si="255"/>
        <v>4387.7520000000004</v>
      </c>
      <c r="AX47" s="179">
        <f>AX45+AX36</f>
        <v>4387.7520000000004</v>
      </c>
      <c r="AY47" s="184">
        <f>AY45+AY36</f>
        <v>4556.2700000000004</v>
      </c>
      <c r="AZ47" s="184">
        <f t="shared" ref="AZ47:BB47" si="256">AZ45+AZ36</f>
        <v>4413.496000000001</v>
      </c>
      <c r="BA47" s="184">
        <f t="shared" si="256"/>
        <v>4494.9079999999994</v>
      </c>
      <c r="BB47" s="184">
        <f t="shared" si="256"/>
        <v>4028.3534166945356</v>
      </c>
      <c r="BC47" s="179">
        <f>BC45+BC36</f>
        <v>4028.3534166945356</v>
      </c>
      <c r="BD47" s="184">
        <f>BD45+BD36</f>
        <v>4176.4186659898069</v>
      </c>
      <c r="BE47" s="184">
        <f t="shared" ref="BE47:BG47" si="257">BE45+BE36</f>
        <v>4492.6187334747647</v>
      </c>
      <c r="BF47" s="184">
        <f t="shared" si="257"/>
        <v>4775.6983560909475</v>
      </c>
      <c r="BG47" s="184">
        <f t="shared" si="257"/>
        <v>4956.4929777557054</v>
      </c>
      <c r="BH47" s="179">
        <f>BH45+BH36</f>
        <v>4956.4929777557054</v>
      </c>
      <c r="BI47" s="184">
        <f>BI45+BI36</f>
        <v>4964.7427669419685</v>
      </c>
      <c r="BJ47" s="184">
        <f t="shared" ref="BJ47:BL47" si="258">BJ45+BJ36</f>
        <v>4997.4938330650766</v>
      </c>
      <c r="BK47" s="184">
        <f t="shared" si="258"/>
        <v>5013.2898562212104</v>
      </c>
      <c r="BL47" s="184">
        <f t="shared" si="258"/>
        <v>5063.0660371422246</v>
      </c>
      <c r="BM47" s="179">
        <f>BM45+BM36</f>
        <v>5063.0660371422246</v>
      </c>
      <c r="BN47" s="184">
        <f>BN45+BN36</f>
        <v>5059.0994164011317</v>
      </c>
      <c r="BO47" s="184">
        <f t="shared" ref="BO47:BQ47" si="259">BO45+BO36</f>
        <v>5076.5148732453308</v>
      </c>
      <c r="BP47" s="184">
        <f t="shared" si="259"/>
        <v>5115.7778206418243</v>
      </c>
      <c r="BQ47" s="184">
        <f t="shared" si="259"/>
        <v>5169.6390965287437</v>
      </c>
      <c r="BR47" s="179">
        <f>BR45+BR36</f>
        <v>5169.6390965287437</v>
      </c>
      <c r="XDL47" s="438"/>
      <c r="XDM47" s="438"/>
      <c r="XDN47" s="438"/>
      <c r="XDO47" s="438"/>
      <c r="XDP47" s="438"/>
      <c r="XDQ47" s="438"/>
      <c r="XDR47" s="438"/>
      <c r="XDS47" s="438"/>
      <c r="XDT47" s="438"/>
      <c r="XDU47" s="438"/>
      <c r="XDV47" s="438"/>
      <c r="XDW47" s="438"/>
      <c r="XDX47" s="438"/>
      <c r="XDY47" s="438"/>
      <c r="XDZ47" s="438"/>
      <c r="XEA47" s="438"/>
      <c r="XEB47" s="438"/>
      <c r="XEC47" s="438"/>
      <c r="XED47" s="438"/>
      <c r="XEE47" s="438"/>
      <c r="XEF47" s="438"/>
      <c r="XEG47" s="438"/>
      <c r="XEH47" s="438"/>
      <c r="XEI47" s="438"/>
      <c r="XEJ47" s="438"/>
      <c r="XEK47" s="438"/>
      <c r="XEL47" s="438"/>
      <c r="XEM47" s="438"/>
      <c r="XEN47" s="438"/>
      <c r="XEO47" s="438"/>
      <c r="XEP47" s="438"/>
      <c r="XEQ47" s="438"/>
      <c r="XER47" s="438"/>
      <c r="XES47" s="438"/>
      <c r="XET47" s="438"/>
      <c r="XEU47" s="438"/>
      <c r="XEV47" s="438"/>
      <c r="XEW47" s="438"/>
      <c r="XEX47" s="438"/>
      <c r="XEY47" s="438"/>
      <c r="XEZ47" s="438"/>
      <c r="XFA47" s="438"/>
      <c r="XFB47" s="438"/>
      <c r="XFC47" s="438"/>
      <c r="XFD47" s="438"/>
    </row>
    <row r="48" spans="1:70 16340:16384" s="40" customFormat="1" ht="13.5" thickTop="1">
      <c r="A48" s="113"/>
      <c r="B48" s="113"/>
      <c r="C48" s="113"/>
      <c r="D48" s="113"/>
      <c r="E48" s="113"/>
      <c r="F48" s="185" t="str">
        <f>IF(F47=F22,"OK","CHECK")</f>
        <v>OK</v>
      </c>
      <c r="G48" s="185" t="str">
        <f t="shared" ref="G48:I48" si="260">IF(G47=G22,"OK","CHECK")</f>
        <v>OK</v>
      </c>
      <c r="H48" s="185" t="str">
        <f t="shared" si="260"/>
        <v>OK</v>
      </c>
      <c r="I48" s="185" t="str">
        <f t="shared" si="260"/>
        <v>OK</v>
      </c>
      <c r="J48" s="186"/>
      <c r="K48" s="185" t="str">
        <f>IF(K47=K22,"OK","CHECK")</f>
        <v>OK</v>
      </c>
      <c r="L48" s="185" t="str">
        <f t="shared" ref="L48:N48" si="261">IF(L47=L22,"OK","CHECK")</f>
        <v>OK</v>
      </c>
      <c r="M48" s="185" t="str">
        <f t="shared" si="261"/>
        <v>OK</v>
      </c>
      <c r="N48" s="185" t="str">
        <f t="shared" si="261"/>
        <v>OK</v>
      </c>
      <c r="O48" s="186"/>
      <c r="P48" s="185" t="str">
        <f>IF(P47=P22,"OK","CHECK")</f>
        <v>OK</v>
      </c>
      <c r="Q48" s="185" t="str">
        <f t="shared" ref="Q48:S48" si="262">IF(Q47=Q22,"OK","CHECK")</f>
        <v>OK</v>
      </c>
      <c r="R48" s="185" t="str">
        <f t="shared" si="262"/>
        <v>OK</v>
      </c>
      <c r="S48" s="185" t="str">
        <f t="shared" si="262"/>
        <v>OK</v>
      </c>
      <c r="T48" s="186"/>
      <c r="U48" s="185" t="str">
        <f>IF(U47=U22,"OK","CHECK")</f>
        <v>OK</v>
      </c>
      <c r="V48" s="185" t="str">
        <f t="shared" ref="V48:X48" si="263">IF(V47=V22,"OK","CHECK")</f>
        <v>OK</v>
      </c>
      <c r="W48" s="185" t="str">
        <f t="shared" si="263"/>
        <v>OK</v>
      </c>
      <c r="X48" s="185" t="str">
        <f t="shared" si="263"/>
        <v>OK</v>
      </c>
      <c r="Y48" s="186"/>
      <c r="Z48" s="185" t="str">
        <f>IF(Z47=Z22,"OK","CHECK")</f>
        <v>OK</v>
      </c>
      <c r="AA48" s="185" t="str">
        <f t="shared" ref="AA48:AC48" si="264">IF(AA47=AA22,"OK","CHECK")</f>
        <v>OK</v>
      </c>
      <c r="AB48" s="185" t="str">
        <f t="shared" si="264"/>
        <v>OK</v>
      </c>
      <c r="AC48" s="185" t="str">
        <f t="shared" si="264"/>
        <v>OK</v>
      </c>
      <c r="AD48" s="186"/>
      <c r="AE48" s="185" t="str">
        <f>IF(AE47=AE22,"OK","CHECK")</f>
        <v>OK</v>
      </c>
      <c r="AF48" s="185" t="str">
        <f t="shared" ref="AF48:AH48" si="265">IF(AF47=AF22,"OK","CHECK")</f>
        <v>OK</v>
      </c>
      <c r="AG48" s="185" t="str">
        <f t="shared" si="265"/>
        <v>OK</v>
      </c>
      <c r="AH48" s="185" t="str">
        <f t="shared" si="265"/>
        <v>OK</v>
      </c>
      <c r="AI48" s="186"/>
      <c r="AJ48" s="185" t="str">
        <f>IF(AJ47=AJ22,"OK","CHECK")</f>
        <v>OK</v>
      </c>
      <c r="AK48" s="434" t="str">
        <f t="shared" ref="AK48:AM48" si="266">IF(AK47=AK22,"OK","CHECK")</f>
        <v>OK</v>
      </c>
      <c r="AL48" s="434" t="str">
        <f t="shared" si="266"/>
        <v>OK</v>
      </c>
      <c r="AM48" s="434" t="str">
        <f t="shared" si="266"/>
        <v>OK</v>
      </c>
      <c r="AN48" s="456"/>
      <c r="AO48" s="434" t="str">
        <f>IF(AO47=AO22,"OK","CHECK")</f>
        <v>OK</v>
      </c>
      <c r="AP48" s="434" t="str">
        <f t="shared" ref="AP48:AQ48" si="267">IF(AP47=AP22,"OK","CHECK")</f>
        <v>OK</v>
      </c>
      <c r="AQ48" s="434" t="str">
        <f t="shared" si="267"/>
        <v>OK</v>
      </c>
      <c r="AR48" s="432" t="str">
        <f>IF(AR47=AR22,"OK","CHECK")</f>
        <v>OK</v>
      </c>
      <c r="AS48" s="186"/>
      <c r="AT48" s="185" t="str">
        <f>IF(AT47=AT22,"OK","CHECK")</f>
        <v>OK</v>
      </c>
      <c r="AU48" s="185" t="str">
        <f t="shared" ref="AU48:AW48" si="268">IF(AU47=AU22,"OK","CHECK")</f>
        <v>OK</v>
      </c>
      <c r="AV48" s="185" t="str">
        <f t="shared" si="268"/>
        <v>OK</v>
      </c>
      <c r="AW48" s="185" t="str">
        <f t="shared" si="268"/>
        <v>OK</v>
      </c>
      <c r="AX48" s="186"/>
      <c r="AY48" s="185" t="str">
        <f>IF(AY47=AY22,"OK","CHECK")</f>
        <v>OK</v>
      </c>
      <c r="AZ48" s="185" t="str">
        <f t="shared" ref="AZ48:BB48" si="269">IF(AZ47=AZ22,"OK","CHECK")</f>
        <v>OK</v>
      </c>
      <c r="BA48" s="185" t="str">
        <f t="shared" si="269"/>
        <v>OK</v>
      </c>
      <c r="BB48" s="185" t="str">
        <f t="shared" si="269"/>
        <v>OK</v>
      </c>
      <c r="BC48" s="186"/>
      <c r="BD48" s="185" t="str">
        <f>IF(BD47=BD22,"OK","CHECK")</f>
        <v>OK</v>
      </c>
      <c r="BE48" s="185" t="str">
        <f t="shared" ref="BE48:BG48" si="270">IF(BE47=BE22,"OK","CHECK")</f>
        <v>OK</v>
      </c>
      <c r="BF48" s="185" t="str">
        <f t="shared" si="270"/>
        <v>OK</v>
      </c>
      <c r="BG48" s="185" t="str">
        <f t="shared" si="270"/>
        <v>OK</v>
      </c>
      <c r="BH48" s="186"/>
      <c r="BI48" s="185" t="str">
        <f>IF(BI47=BI22,"OK","CHECK")</f>
        <v>OK</v>
      </c>
      <c r="BJ48" s="185" t="str">
        <f t="shared" ref="BJ48:BL48" si="271">IF(BJ47=BJ22,"OK","CHECK")</f>
        <v>OK</v>
      </c>
      <c r="BK48" s="185" t="str">
        <f t="shared" si="271"/>
        <v>OK</v>
      </c>
      <c r="BL48" s="185" t="str">
        <f t="shared" si="271"/>
        <v>OK</v>
      </c>
      <c r="BM48" s="186"/>
      <c r="BN48" s="185" t="str">
        <f>IF(BN47=BN22,"OK","CHECK")</f>
        <v>OK</v>
      </c>
      <c r="BO48" s="185" t="str">
        <f t="shared" ref="BO48:BQ48" si="272">IF(BO47=BO22,"OK","CHECK")</f>
        <v>OK</v>
      </c>
      <c r="BP48" s="185" t="str">
        <f t="shared" si="272"/>
        <v>OK</v>
      </c>
      <c r="BQ48" s="185" t="str">
        <f t="shared" si="272"/>
        <v>OK</v>
      </c>
      <c r="BR48" s="186"/>
      <c r="XDL48" s="439"/>
      <c r="XDM48" s="439"/>
      <c r="XDN48" s="439"/>
      <c r="XDO48" s="439"/>
      <c r="XDP48" s="439"/>
      <c r="XDQ48" s="439"/>
      <c r="XDR48" s="439"/>
      <c r="XDS48" s="439"/>
      <c r="XDT48" s="439"/>
      <c r="XDU48" s="439"/>
      <c r="XDV48" s="439"/>
      <c r="XDW48" s="439"/>
      <c r="XDX48" s="439"/>
      <c r="XDY48" s="439"/>
      <c r="XDZ48" s="439"/>
      <c r="XEA48" s="439"/>
      <c r="XEB48" s="439"/>
      <c r="XEC48" s="439"/>
      <c r="XED48" s="439"/>
      <c r="XEE48" s="439"/>
      <c r="XEF48" s="439"/>
      <c r="XEG48" s="439"/>
      <c r="XEH48" s="439"/>
      <c r="XEI48" s="439"/>
      <c r="XEJ48" s="439"/>
      <c r="XEK48" s="439"/>
      <c r="XEL48" s="439"/>
      <c r="XEM48" s="439"/>
      <c r="XEN48" s="439"/>
      <c r="XEO48" s="439"/>
      <c r="XEP48" s="439"/>
      <c r="XEQ48" s="439"/>
      <c r="XER48" s="439"/>
      <c r="XES48" s="439"/>
      <c r="XET48" s="439"/>
      <c r="XEU48" s="439"/>
      <c r="XEV48" s="439"/>
      <c r="XEW48" s="439"/>
      <c r="XEX48" s="439"/>
      <c r="XEY48" s="439"/>
      <c r="XEZ48" s="439"/>
      <c r="XFA48" s="439"/>
      <c r="XFB48" s="439"/>
      <c r="XFC48" s="439"/>
      <c r="XFD48" s="439"/>
    </row>
    <row r="49" spans="1:70 16340:16384">
      <c r="A49" s="110"/>
      <c r="B49" s="110"/>
      <c r="C49" s="110"/>
      <c r="D49" s="110"/>
      <c r="E49" s="110"/>
      <c r="F49" s="176"/>
      <c r="G49" s="176"/>
      <c r="H49" s="176"/>
      <c r="I49" s="176"/>
      <c r="J49" s="169"/>
      <c r="K49" s="176"/>
      <c r="L49" s="176"/>
      <c r="M49" s="176"/>
      <c r="N49" s="176"/>
      <c r="O49" s="169"/>
      <c r="P49" s="164"/>
      <c r="Q49" s="164"/>
      <c r="R49" s="164"/>
      <c r="S49" s="164"/>
      <c r="T49" s="169"/>
      <c r="U49" s="164"/>
      <c r="V49" s="164"/>
      <c r="W49" s="164"/>
      <c r="X49" s="164"/>
      <c r="Y49" s="169"/>
      <c r="Z49" s="164"/>
      <c r="AA49" s="164"/>
      <c r="AB49" s="164"/>
      <c r="AC49" s="180"/>
      <c r="AD49" s="187"/>
      <c r="AE49" s="180"/>
      <c r="AF49" s="180"/>
      <c r="AG49" s="180"/>
      <c r="AH49" s="180"/>
      <c r="AI49" s="187"/>
      <c r="AJ49" s="180"/>
      <c r="AK49" s="180"/>
      <c r="AL49" s="180"/>
      <c r="AM49" s="180"/>
      <c r="AN49" s="187"/>
      <c r="AO49" s="180"/>
      <c r="AP49" s="180"/>
      <c r="AQ49" s="180"/>
      <c r="AR49" s="180"/>
      <c r="AS49" s="187"/>
      <c r="AT49" s="180"/>
      <c r="AU49" s="180"/>
      <c r="AV49" s="180"/>
      <c r="AW49" s="180"/>
      <c r="AX49" s="187"/>
      <c r="AY49" s="180"/>
      <c r="AZ49" s="180"/>
      <c r="BA49" s="180"/>
      <c r="BB49" s="180"/>
      <c r="BC49" s="187"/>
      <c r="BD49" s="180"/>
      <c r="BE49" s="180"/>
      <c r="BF49" s="180"/>
      <c r="BG49" s="180"/>
      <c r="BH49" s="187"/>
      <c r="BI49" s="180"/>
      <c r="BJ49" s="180"/>
      <c r="BK49" s="180"/>
      <c r="BL49" s="180"/>
      <c r="BM49" s="187"/>
      <c r="BN49" s="180"/>
      <c r="BO49" s="180"/>
      <c r="BP49" s="180"/>
      <c r="BQ49" s="180"/>
      <c r="BR49" s="187"/>
    </row>
    <row r="50" spans="1:70 16340:16384">
      <c r="A50" s="110" t="s">
        <v>48</v>
      </c>
      <c r="B50" s="110"/>
      <c r="C50" s="110"/>
      <c r="D50" s="110"/>
      <c r="E50" s="110"/>
      <c r="F50" s="176"/>
      <c r="G50" s="176"/>
      <c r="H50" s="176"/>
      <c r="I50" s="176">
        <f>SUM(IS!F11:I11)</f>
        <v>3199.21</v>
      </c>
      <c r="J50" s="169"/>
      <c r="K50" s="176">
        <f>SUM(IS!K11,IS!G11:I11)</f>
        <v>2949.424</v>
      </c>
      <c r="L50" s="176">
        <f>SUM(IS!K11:L11,IS!H11:I11)</f>
        <v>2854.9059999999999</v>
      </c>
      <c r="M50" s="176">
        <f>SUM(IS!K11:M11,IS!I11)</f>
        <v>3289.5099999999998</v>
      </c>
      <c r="N50" s="176">
        <f>SUM(IS!K11:N11)</f>
        <v>3716.317</v>
      </c>
      <c r="O50" s="169"/>
      <c r="P50" s="176">
        <f>SUM(IS!P11,IS!L11:N11)</f>
        <v>4013.5619999999999</v>
      </c>
      <c r="Q50" s="176">
        <f>SUM(IS!P11:Q11,IS!M11:N11)</f>
        <v>4179.05</v>
      </c>
      <c r="R50" s="176">
        <f>SUM(IS!P11:R11,IS!N11)</f>
        <v>4112.0330000000004</v>
      </c>
      <c r="S50" s="176">
        <f>SUM(IS!P11:S11)</f>
        <v>4111.4709999999995</v>
      </c>
      <c r="T50" s="169"/>
      <c r="U50" s="176">
        <f>SUM(IS!U11,IS!Q11:S11)</f>
        <v>4191.8649999999998</v>
      </c>
      <c r="V50" s="176">
        <f>SUM(IS!U11:V11,IS!R11:S11)</f>
        <v>4259.5839999999989</v>
      </c>
      <c r="W50" s="176">
        <f>SUM(IS!U11:W11,IS!S11)</f>
        <v>4190.5789999999997</v>
      </c>
      <c r="X50" s="176">
        <f>SUM(IS!U11:X11)</f>
        <v>4175.6719999999996</v>
      </c>
      <c r="Y50" s="169"/>
      <c r="Z50" s="176">
        <f>SUM(IS!Z11,IS!V11:X11)</f>
        <v>4137.976999999999</v>
      </c>
      <c r="AA50" s="176">
        <f>SUM(IS!Z11:AA11,IS!W11:X11)</f>
        <v>4169.4219999999996</v>
      </c>
      <c r="AB50" s="176">
        <f>SUM(IS!Z11:AB11,IS!X11)</f>
        <v>4389.723</v>
      </c>
      <c r="AC50" s="176">
        <f>SUM(IS!Z11:AC11)</f>
        <v>4492.3089999999993</v>
      </c>
      <c r="AD50" s="187"/>
      <c r="AE50" s="176">
        <f>SUM(IS!AE11,IS!AA11:AC11)</f>
        <v>4603.5409999999993</v>
      </c>
      <c r="AF50" s="176">
        <f>SUM(IS!AE11:AF11,IS!AB11:AC11)</f>
        <v>4831.4689999999991</v>
      </c>
      <c r="AG50" s="176">
        <f>SUM(IS!AE11:AG11,IS!AC11)</f>
        <v>4921.5190000000002</v>
      </c>
      <c r="AH50" s="176">
        <f>SUM(IS!AE11:AH11)</f>
        <v>4920.4719999999998</v>
      </c>
      <c r="AI50" s="187"/>
      <c r="AJ50" s="176">
        <f>SUM(IS!AJ11,IS!AF11:AH11)</f>
        <v>4939.3760000000002</v>
      </c>
      <c r="AK50" s="176">
        <f>SUM(IS!AJ11:AK11,IS!AG11:AH11)</f>
        <v>4873.2090000000007</v>
      </c>
      <c r="AL50" s="176">
        <f>SUM(IS!AJ11:AL11,IS!AH11)</f>
        <v>4865.4480000000003</v>
      </c>
      <c r="AM50" s="176">
        <f>SUM(IS!AJ11:AM11)</f>
        <v>4911.2170000000006</v>
      </c>
      <c r="AN50" s="187"/>
      <c r="AO50" s="176">
        <f>SUM(IS!AO11,IS!AK11:AM11)</f>
        <v>4943.2089999999998</v>
      </c>
      <c r="AP50" s="176">
        <f>SUM(IS!AO11:AP11,IS!AL11:AM11)</f>
        <v>4944.2119999999995</v>
      </c>
      <c r="AQ50" s="176">
        <f>SUM(IS!AO11:AQ11,IS!AM11)</f>
        <v>4810.7389999999996</v>
      </c>
      <c r="AR50" s="176">
        <f>SUM(IS!AO11:AR11)</f>
        <v>4757.2079999999996</v>
      </c>
      <c r="AS50" s="187"/>
      <c r="AT50" s="176">
        <f>SUM(IS!AT11,IS!AP11:AR11)</f>
        <v>4668.0029999999997</v>
      </c>
      <c r="AU50" s="176">
        <f>SUM(IS!AT11:AU11,IS!AQ11:AR11)</f>
        <v>4540.8140000000003</v>
      </c>
      <c r="AV50" s="176">
        <f>SUM(IS!AT11:AV11,IS!AR11)</f>
        <v>4464.4459999999999</v>
      </c>
      <c r="AW50" s="176">
        <f>SUM(IS!AT11:AW11)</f>
        <v>4454.6620000000003</v>
      </c>
      <c r="AX50" s="187"/>
      <c r="AY50" s="176">
        <f>SUM(IS!AY11,IS!AU11:AW11)</f>
        <v>4384.9930000000004</v>
      </c>
      <c r="AZ50" s="176">
        <f>SUM(IS!AY11:AZ11,IS!AV11:AW11)</f>
        <v>4390.1829999999991</v>
      </c>
      <c r="BA50" s="176">
        <f>SUM(IS!AY11:BA11,IS!AW11)</f>
        <v>4456.3909999999996</v>
      </c>
      <c r="BB50" s="176">
        <f>SUM(IS!AY11:BB11)</f>
        <v>4639.6692682172579</v>
      </c>
      <c r="BC50" s="187"/>
      <c r="BD50" s="176">
        <f>SUM(IS!BD11,IS!AZ11:BB11)</f>
        <v>4803.7635565265991</v>
      </c>
      <c r="BE50" s="176">
        <f>SUM(IS!BD11:BE11,IS!BA11:BB11)</f>
        <v>5194.5310862081806</v>
      </c>
      <c r="BF50" s="176">
        <f>SUM(IS!BD11:BF11,IS!BB11)</f>
        <v>5546.3419393943286</v>
      </c>
      <c r="BG50" s="176">
        <f>SUM(IS!BD11:BG11)</f>
        <v>5766.033995480424</v>
      </c>
      <c r="BH50" s="187"/>
      <c r="BI50" s="176">
        <f>SUM(IS!BI11,IS!BE11:BG11)</f>
        <v>5736.118671663362</v>
      </c>
      <c r="BJ50" s="176">
        <f>SUM(IS!BI11:BJ11,IS!BF11:BG11)</f>
        <v>5746.2795457078373</v>
      </c>
      <c r="BK50" s="176">
        <f>SUM(IS!BI11:BK11,IS!BG11)</f>
        <v>5734.5222633097801</v>
      </c>
      <c r="BL50" s="176">
        <f>SUM(IS!BI11:BL11)</f>
        <v>5766.033995480424</v>
      </c>
      <c r="BM50" s="187"/>
      <c r="BN50" s="176">
        <f>SUM(IS!BN11,IS!BJ11:BL11)</f>
        <v>5720.546138566544</v>
      </c>
      <c r="BO50" s="176">
        <f>SUM(IS!BN11:BO11,IS!BK11:BL11)</f>
        <v>5710.6743953494324</v>
      </c>
      <c r="BP50" s="176">
        <f>SUM(IS!BN11:BP11,IS!BL11)</f>
        <v>5729.4283978110761</v>
      </c>
      <c r="BQ50" s="176">
        <f>SUM(IS!BN11:BQ11)</f>
        <v>5766.033995480424</v>
      </c>
      <c r="BR50" s="187"/>
    </row>
    <row r="51" spans="1:70 16340:16384">
      <c r="A51" s="110"/>
      <c r="B51" s="110"/>
      <c r="C51" s="110"/>
      <c r="D51" s="110"/>
      <c r="E51" s="110"/>
      <c r="F51" s="176"/>
      <c r="G51" s="176"/>
      <c r="H51" s="176"/>
      <c r="I51" s="176"/>
      <c r="J51" s="169"/>
      <c r="K51" s="176"/>
      <c r="L51" s="176"/>
      <c r="M51" s="176"/>
      <c r="N51" s="176"/>
      <c r="O51" s="169"/>
      <c r="P51" s="176"/>
      <c r="Q51" s="176"/>
      <c r="R51" s="176"/>
      <c r="S51" s="176"/>
      <c r="T51" s="169"/>
      <c r="U51" s="176"/>
      <c r="V51" s="176"/>
      <c r="W51" s="176"/>
      <c r="X51" s="176"/>
      <c r="Y51" s="169"/>
      <c r="Z51" s="176"/>
      <c r="AA51" s="176"/>
      <c r="AB51" s="176"/>
      <c r="AC51" s="176"/>
      <c r="AD51" s="187"/>
      <c r="AE51" s="176"/>
      <c r="AF51" s="176"/>
      <c r="AG51" s="176"/>
      <c r="AH51" s="176"/>
      <c r="AI51" s="187"/>
      <c r="AJ51" s="176"/>
      <c r="AK51" s="176"/>
      <c r="AL51" s="176"/>
      <c r="AM51" s="176"/>
      <c r="AN51" s="187"/>
      <c r="AO51" s="176"/>
      <c r="AP51" s="176"/>
      <c r="AQ51" s="176"/>
      <c r="AR51" s="176"/>
      <c r="AS51" s="187"/>
      <c r="AT51" s="176"/>
      <c r="AU51" s="176"/>
      <c r="AV51" s="176"/>
      <c r="AW51" s="176"/>
      <c r="AX51" s="187"/>
      <c r="AY51" s="176"/>
      <c r="AZ51" s="176"/>
      <c r="BA51" s="176"/>
      <c r="BB51" s="176"/>
      <c r="BC51" s="187"/>
      <c r="BD51" s="176"/>
      <c r="BE51" s="176"/>
      <c r="BF51" s="176"/>
      <c r="BG51" s="176"/>
      <c r="BH51" s="187"/>
      <c r="BI51" s="176"/>
      <c r="BJ51" s="176"/>
      <c r="BK51" s="176"/>
      <c r="BL51" s="176"/>
      <c r="BM51" s="187"/>
      <c r="BN51" s="176"/>
      <c r="BO51" s="176"/>
      <c r="BP51" s="176"/>
      <c r="BQ51" s="176"/>
      <c r="BR51" s="187"/>
    </row>
    <row r="52" spans="1:70 16340:16384">
      <c r="A52" s="110" t="s">
        <v>137</v>
      </c>
      <c r="B52" s="110"/>
      <c r="C52" s="110"/>
      <c r="D52" s="110"/>
      <c r="E52" s="110"/>
      <c r="F52" s="176"/>
      <c r="G52" s="176"/>
      <c r="H52" s="176"/>
      <c r="I52" s="176">
        <f>+I9/I50*365</f>
        <v>100.46983786622323</v>
      </c>
      <c r="J52" s="169"/>
      <c r="K52" s="176">
        <f>+K9/K50*365</f>
        <v>112.76024742458189</v>
      </c>
      <c r="L52" s="176">
        <f t="shared" ref="L52:N52" si="273">+L9/L50*365</f>
        <v>130.56946533441032</v>
      </c>
      <c r="M52" s="176">
        <f t="shared" si="273"/>
        <v>145.61785797884792</v>
      </c>
      <c r="N52" s="176">
        <f t="shared" si="273"/>
        <v>125.22783040305765</v>
      </c>
      <c r="O52" s="169"/>
      <c r="P52" s="176">
        <f>+P9/P50*365</f>
        <v>107.69429873015541</v>
      </c>
      <c r="Q52" s="176">
        <f t="shared" ref="Q52:S52" si="274">+Q9/Q50*365</f>
        <v>104.70055634653806</v>
      </c>
      <c r="R52" s="176">
        <f t="shared" si="274"/>
        <v>110.93594214832419</v>
      </c>
      <c r="S52" s="176">
        <f t="shared" si="274"/>
        <v>108.716258730756</v>
      </c>
      <c r="T52" s="169"/>
      <c r="U52" s="176">
        <f>+U9/U50*365</f>
        <v>115.94304086605842</v>
      </c>
      <c r="V52" s="176">
        <f t="shared" ref="V52:X52" si="275">+V9/V50*365</f>
        <v>119.06597334387585</v>
      </c>
      <c r="W52" s="176">
        <f t="shared" si="275"/>
        <v>121.75353453544248</v>
      </c>
      <c r="X52" s="176">
        <f t="shared" si="275"/>
        <v>112.86920763891419</v>
      </c>
      <c r="Y52" s="169"/>
      <c r="Z52" s="176">
        <f>+Z9/Z50*365</f>
        <v>111.44028833413047</v>
      </c>
      <c r="AA52" s="176">
        <f t="shared" ref="AA52:AC52" si="276">+AA9/AA50*365</f>
        <v>127.29016755799728</v>
      </c>
      <c r="AB52" s="176">
        <f t="shared" si="276"/>
        <v>131.42442245216841</v>
      </c>
      <c r="AC52" s="176">
        <f t="shared" si="276"/>
        <v>120.20966500746053</v>
      </c>
      <c r="AD52" s="187"/>
      <c r="AE52" s="176">
        <f>+AE9/AE50*365</f>
        <v>110.53530315033581</v>
      </c>
      <c r="AF52" s="176">
        <f t="shared" ref="AF52:AH52" si="277">+AF9/AF50*365</f>
        <v>117.36236121974498</v>
      </c>
      <c r="AG52" s="176">
        <f t="shared" si="277"/>
        <v>115.01849835386189</v>
      </c>
      <c r="AH52" s="176">
        <f t="shared" si="277"/>
        <v>109.3125771267472</v>
      </c>
      <c r="AI52" s="187"/>
      <c r="AJ52" s="176">
        <f>+AJ9/AJ50*365</f>
        <v>119.39084309435037</v>
      </c>
      <c r="AK52" s="176">
        <f t="shared" ref="AK52:AL52" si="278">+AK9/AK50*365</f>
        <v>130.27559355652505</v>
      </c>
      <c r="AL52" s="176">
        <f t="shared" si="278"/>
        <v>128.93366140178662</v>
      </c>
      <c r="AM52" s="176">
        <f t="shared" ref="AM52" si="279">+AM9/AM50*365</f>
        <v>129.5614712198626</v>
      </c>
      <c r="AN52" s="187"/>
      <c r="AO52" s="176">
        <f>+AO9/AO50*365</f>
        <v>129.18829246345845</v>
      </c>
      <c r="AP52" s="176">
        <f>+AP9/AP50*365</f>
        <v>135.71445459862969</v>
      </c>
      <c r="AQ52" s="176">
        <f>+AQ9/AQ50*365</f>
        <v>140.9601622536579</v>
      </c>
      <c r="AR52" s="176">
        <f>+AR9/AR50*365</f>
        <v>138.23327464344635</v>
      </c>
      <c r="AS52" s="187"/>
      <c r="AT52" s="176">
        <f>+AT9/AT50*365</f>
        <v>138.22098550493649</v>
      </c>
      <c r="AU52" s="176">
        <f>+AU9/AU50*365</f>
        <v>141.76847917576012</v>
      </c>
      <c r="AV52" s="176">
        <f>+AV9/AV50*365</f>
        <v>148.66720977250031</v>
      </c>
      <c r="AW52" s="176">
        <f>+AW9/AW50*365</f>
        <v>142.55466295759362</v>
      </c>
      <c r="AX52" s="187"/>
      <c r="AY52" s="176">
        <f>+AY9/AY50*365</f>
        <v>152.99334457318403</v>
      </c>
      <c r="AZ52" s="176">
        <f>+AZ9/AZ50*365</f>
        <v>164.42074054771751</v>
      </c>
      <c r="BA52" s="176">
        <f>+BA9/BA50*365</f>
        <v>164.03279245470159</v>
      </c>
      <c r="BB52" s="176"/>
      <c r="BC52" s="187"/>
      <c r="BD52" s="176"/>
      <c r="BE52" s="176"/>
      <c r="BF52" s="176"/>
      <c r="BG52" s="176"/>
      <c r="BH52" s="187"/>
      <c r="BI52" s="176"/>
      <c r="BJ52" s="176"/>
      <c r="BK52" s="176"/>
      <c r="BL52" s="176"/>
      <c r="BM52" s="187"/>
      <c r="BN52" s="176"/>
      <c r="BO52" s="176"/>
      <c r="BP52" s="176"/>
      <c r="BQ52" s="176"/>
      <c r="BR52" s="187"/>
    </row>
    <row r="53" spans="1:70 16340:16384">
      <c r="A53" s="110" t="s">
        <v>138</v>
      </c>
      <c r="B53" s="110"/>
      <c r="C53" s="110"/>
      <c r="D53" s="110"/>
      <c r="E53" s="110"/>
      <c r="F53" s="176"/>
      <c r="G53" s="176"/>
      <c r="H53" s="176"/>
      <c r="I53" s="176">
        <f>+I27/I50*365</f>
        <v>74.563042126024868</v>
      </c>
      <c r="J53" s="169"/>
      <c r="K53" s="176">
        <f>+K27/K50*365</f>
        <v>73.962080392646158</v>
      </c>
      <c r="L53" s="176">
        <f>+L27/L50*365</f>
        <v>80.568316434936918</v>
      </c>
      <c r="M53" s="176">
        <f t="shared" ref="M53:N53" si="280">+M27/M50*365</f>
        <v>85.079970877121525</v>
      </c>
      <c r="N53" s="176">
        <f t="shared" si="280"/>
        <v>77.170388048167055</v>
      </c>
      <c r="O53" s="169"/>
      <c r="P53" s="176">
        <f>+P27/P50*365</f>
        <v>62.233834932660812</v>
      </c>
      <c r="Q53" s="176">
        <f>+Q27/Q50*365</f>
        <v>60.521673586102111</v>
      </c>
      <c r="R53" s="176">
        <f t="shared" ref="R53:S53" si="281">+R27/R50*365</f>
        <v>66.634777736462709</v>
      </c>
      <c r="S53" s="176">
        <f t="shared" si="281"/>
        <v>61.830095603252467</v>
      </c>
      <c r="T53" s="169"/>
      <c r="U53" s="176">
        <f>+U27/U50*365</f>
        <v>61.466516693643527</v>
      </c>
      <c r="V53" s="176">
        <f>+V27/V50*365</f>
        <v>65.167603221347449</v>
      </c>
      <c r="W53" s="176">
        <f t="shared" ref="W53:X53" si="282">+W27/W50*365</f>
        <v>69.430044153803095</v>
      </c>
      <c r="X53" s="176">
        <f t="shared" si="282"/>
        <v>66.277266269956073</v>
      </c>
      <c r="Y53" s="169"/>
      <c r="Z53" s="176">
        <f>+Z27/Z50*365</f>
        <v>69.828292907379634</v>
      </c>
      <c r="AA53" s="176">
        <f>+AA27/AA50*365</f>
        <v>74.378227965411043</v>
      </c>
      <c r="AB53" s="176">
        <f t="shared" ref="AB53:AC53" si="283">+AB27/AB50*365</f>
        <v>71.810839772805707</v>
      </c>
      <c r="AC53" s="176">
        <f t="shared" si="283"/>
        <v>64.851618621960341</v>
      </c>
      <c r="AD53" s="187"/>
      <c r="AE53" s="176">
        <f>+AE27/AE50*365</f>
        <v>63.603151356749088</v>
      </c>
      <c r="AF53" s="176">
        <f>+AF27/AF50*365</f>
        <v>72.76854099653751</v>
      </c>
      <c r="AG53" s="176">
        <f t="shared" ref="AG53:AH53" si="284">+AG27/AG50*365</f>
        <v>73.067726651060369</v>
      </c>
      <c r="AH53" s="176">
        <f t="shared" si="284"/>
        <v>69.540962736908185</v>
      </c>
      <c r="AI53" s="187"/>
      <c r="AJ53" s="176">
        <f>+AJ27/AJ50*365</f>
        <v>74.332403526275385</v>
      </c>
      <c r="AK53" s="176">
        <f>+AK27/AK50*365</f>
        <v>72.516989318537313</v>
      </c>
      <c r="AL53" s="176">
        <f>+AL27/AL50*365</f>
        <v>71.241439637213261</v>
      </c>
      <c r="AM53" s="176">
        <f>+AM27/AM50*365</f>
        <v>73.874935682947822</v>
      </c>
      <c r="AN53" s="187"/>
      <c r="AO53" s="176">
        <f>+AO27/AO50*365</f>
        <v>71.323064632711265</v>
      </c>
      <c r="AP53" s="176">
        <f>+AP27/AP50*365</f>
        <v>66.388467970224582</v>
      </c>
      <c r="AQ53" s="176">
        <f>+AQ27/AQ50*365</f>
        <v>72.053664728017878</v>
      </c>
      <c r="AR53" s="176">
        <f>+AR27/AR50*365</f>
        <v>73.794064711906657</v>
      </c>
      <c r="AS53" s="187"/>
      <c r="AT53" s="176">
        <f>+AT27/AT50*365</f>
        <v>70.788920872587269</v>
      </c>
      <c r="AU53" s="176">
        <f>+AU27/AU50*365</f>
        <v>69.287811612631558</v>
      </c>
      <c r="AV53" s="176">
        <f>+AV27/AV50*365</f>
        <v>67.411152469981715</v>
      </c>
      <c r="AW53" s="176">
        <f>+AW27/AW50*365</f>
        <v>68.309258929184736</v>
      </c>
      <c r="AX53" s="187"/>
      <c r="AY53" s="176">
        <f>+AY27/AY50*365</f>
        <v>68.132831682969623</v>
      </c>
      <c r="AZ53" s="176">
        <f>+AZ27/AZ50*365</f>
        <v>75.95915363892577</v>
      </c>
      <c r="BA53" s="176">
        <f>+BA27/BA50*365</f>
        <v>73.932797862665112</v>
      </c>
      <c r="BB53" s="176"/>
      <c r="BC53" s="187"/>
      <c r="BD53" s="176"/>
      <c r="BE53" s="176"/>
      <c r="BF53" s="176"/>
      <c r="BG53" s="176"/>
      <c r="BH53" s="187"/>
      <c r="BI53" s="176"/>
      <c r="BJ53" s="176"/>
      <c r="BK53" s="176"/>
      <c r="BL53" s="176"/>
      <c r="BM53" s="187"/>
      <c r="BN53" s="176"/>
      <c r="BO53" s="176"/>
      <c r="BP53" s="176"/>
      <c r="BQ53" s="176"/>
      <c r="BR53" s="187"/>
    </row>
    <row r="54" spans="1:70 16340:16384">
      <c r="A54" s="110" t="s">
        <v>145</v>
      </c>
      <c r="B54" s="110"/>
      <c r="C54" s="110"/>
      <c r="D54" s="110"/>
      <c r="E54" s="110"/>
      <c r="F54" s="176"/>
      <c r="G54" s="176"/>
      <c r="H54" s="176"/>
      <c r="I54" s="176">
        <f>+I52-I53</f>
        <v>25.906795740198362</v>
      </c>
      <c r="J54" s="169"/>
      <c r="K54" s="176">
        <f>+K52-K53</f>
        <v>38.798167031935733</v>
      </c>
      <c r="L54" s="176">
        <f>+L52-L53</f>
        <v>50.001148899473407</v>
      </c>
      <c r="M54" s="176">
        <f>+M52-M53</f>
        <v>60.537887101726398</v>
      </c>
      <c r="N54" s="176">
        <f>+N52-N53</f>
        <v>48.057442354890597</v>
      </c>
      <c r="O54" s="169"/>
      <c r="P54" s="176">
        <f>+P52-P53</f>
        <v>45.460463797494597</v>
      </c>
      <c r="Q54" s="176">
        <f>+Q52-Q53</f>
        <v>44.178882760435954</v>
      </c>
      <c r="R54" s="176">
        <f>+R52-R53</f>
        <v>44.301164411861478</v>
      </c>
      <c r="S54" s="176">
        <f>+S52-S53</f>
        <v>46.886163127503529</v>
      </c>
      <c r="T54" s="169"/>
      <c r="U54" s="176">
        <f>+U52-U53</f>
        <v>54.476524172414898</v>
      </c>
      <c r="V54" s="176">
        <f>+V52-V53</f>
        <v>53.898370122528405</v>
      </c>
      <c r="W54" s="176">
        <f>+W52-W53</f>
        <v>52.323490381639388</v>
      </c>
      <c r="X54" s="176">
        <f>+X52-X53</f>
        <v>46.591941368958118</v>
      </c>
      <c r="Y54" s="169"/>
      <c r="Z54" s="176">
        <f>+Z52-Z53</f>
        <v>41.611995426750838</v>
      </c>
      <c r="AA54" s="176">
        <f>+AA52-AA53</f>
        <v>52.911939592586236</v>
      </c>
      <c r="AB54" s="176">
        <f>+AB52-AB53</f>
        <v>59.613582679362707</v>
      </c>
      <c r="AC54" s="176">
        <f>+AC52-AC53</f>
        <v>55.358046385500188</v>
      </c>
      <c r="AD54" s="187"/>
      <c r="AE54" s="176">
        <f>+AE52-AE53</f>
        <v>46.932151793586719</v>
      </c>
      <c r="AF54" s="176">
        <f>+AF52-AF53</f>
        <v>44.593820223207473</v>
      </c>
      <c r="AG54" s="176">
        <f>+AG52-AG53</f>
        <v>41.950771702801518</v>
      </c>
      <c r="AH54" s="176">
        <f>+AH52-AH53</f>
        <v>39.771614389839016</v>
      </c>
      <c r="AI54" s="187"/>
      <c r="AJ54" s="176">
        <f>+AJ52-AJ53</f>
        <v>45.058439568074988</v>
      </c>
      <c r="AK54" s="176">
        <f>+AK52-AK53</f>
        <v>57.75860423798774</v>
      </c>
      <c r="AL54" s="176">
        <f>+AL52-AL53</f>
        <v>57.692221764573361</v>
      </c>
      <c r="AM54" s="176">
        <f>+AM52-AM53</f>
        <v>55.686535536914775</v>
      </c>
      <c r="AN54" s="187"/>
      <c r="AO54" s="176">
        <f>+AO52-AO53</f>
        <v>57.865227830747187</v>
      </c>
      <c r="AP54" s="176">
        <f>+AP52-AP53</f>
        <v>69.325986628405104</v>
      </c>
      <c r="AQ54" s="176">
        <f>+AQ52-AQ53</f>
        <v>68.90649752564002</v>
      </c>
      <c r="AR54" s="176">
        <f>+AR52-AR53</f>
        <v>64.439209931539693</v>
      </c>
      <c r="AS54" s="187"/>
      <c r="AT54" s="176">
        <f>+AT52-AT53</f>
        <v>67.432064632349224</v>
      </c>
      <c r="AU54" s="176">
        <f>+AU52-AU53</f>
        <v>72.480667563128563</v>
      </c>
      <c r="AV54" s="176">
        <f>+AV52-AV53</f>
        <v>81.256057302518599</v>
      </c>
      <c r="AW54" s="176">
        <f>+AW52-AW53</f>
        <v>74.245404028408885</v>
      </c>
      <c r="AX54" s="187"/>
      <c r="AY54" s="176">
        <f>+AY52-AY53</f>
        <v>84.860512890214409</v>
      </c>
      <c r="AZ54" s="176">
        <f>+AZ52-AZ53</f>
        <v>88.461586908791745</v>
      </c>
      <c r="BA54" s="176">
        <f>+BA52-BA53</f>
        <v>90.099994592036481</v>
      </c>
      <c r="BB54" s="176"/>
      <c r="BC54" s="187"/>
      <c r="BD54" s="176"/>
      <c r="BE54" s="176"/>
      <c r="BF54" s="176"/>
      <c r="BG54" s="176"/>
      <c r="BH54" s="187"/>
      <c r="BI54" s="176"/>
      <c r="BJ54" s="176"/>
      <c r="BK54" s="176"/>
      <c r="BL54" s="176"/>
      <c r="BM54" s="187"/>
      <c r="BN54" s="176"/>
      <c r="BO54" s="176"/>
      <c r="BP54" s="176"/>
      <c r="BQ54" s="176"/>
      <c r="BR54" s="187"/>
    </row>
    <row r="55" spans="1:70 16340:16384">
      <c r="A55" s="110"/>
      <c r="B55" s="110"/>
      <c r="C55" s="110"/>
      <c r="D55" s="110"/>
      <c r="E55" s="110"/>
      <c r="F55" s="176"/>
      <c r="G55" s="176"/>
      <c r="H55" s="176"/>
      <c r="I55" s="176"/>
      <c r="J55" s="169"/>
      <c r="K55" s="176"/>
      <c r="L55" s="176"/>
      <c r="M55" s="176"/>
      <c r="N55" s="176"/>
      <c r="O55" s="169"/>
      <c r="P55" s="164"/>
      <c r="Q55" s="164"/>
      <c r="R55" s="164"/>
      <c r="S55" s="164"/>
      <c r="T55" s="169"/>
      <c r="U55" s="164"/>
      <c r="V55" s="164"/>
      <c r="W55" s="164"/>
      <c r="X55" s="164"/>
      <c r="Y55" s="169"/>
      <c r="Z55" s="164"/>
      <c r="AA55" s="164"/>
      <c r="AB55" s="164"/>
      <c r="AC55" s="180"/>
      <c r="AD55" s="187"/>
      <c r="AE55" s="180"/>
      <c r="AF55" s="180"/>
      <c r="AG55" s="180"/>
      <c r="AH55" s="180"/>
      <c r="AI55" s="187"/>
      <c r="AJ55" s="180"/>
      <c r="AK55" s="180"/>
      <c r="AL55" s="180"/>
      <c r="AM55" s="180"/>
      <c r="AN55" s="187"/>
      <c r="AO55" s="180"/>
      <c r="AP55" s="180"/>
      <c r="AQ55" s="180"/>
      <c r="AR55" s="180"/>
      <c r="AS55" s="187"/>
      <c r="AT55" s="180"/>
      <c r="AU55" s="180"/>
      <c r="AV55" s="180"/>
      <c r="AW55" s="180"/>
      <c r="AX55" s="187"/>
      <c r="AY55" s="180"/>
      <c r="AZ55" s="180"/>
      <c r="BA55" s="180"/>
      <c r="BB55" s="180"/>
      <c r="BC55" s="187"/>
      <c r="BD55" s="180"/>
      <c r="BE55" s="180"/>
      <c r="BF55" s="180"/>
      <c r="BG55" s="180"/>
      <c r="BH55" s="187"/>
      <c r="BI55" s="180"/>
      <c r="BJ55" s="180"/>
      <c r="BK55" s="180"/>
      <c r="BL55" s="180"/>
      <c r="BM55" s="187"/>
      <c r="BN55" s="180"/>
      <c r="BO55" s="180"/>
      <c r="BP55" s="180"/>
      <c r="BQ55" s="180"/>
      <c r="BR55" s="187"/>
    </row>
    <row r="56" spans="1:70 16340:16384" s="126" customFormat="1" ht="13">
      <c r="A56" s="125" t="s">
        <v>47</v>
      </c>
      <c r="B56" s="125"/>
      <c r="C56" s="125"/>
      <c r="D56" s="125"/>
      <c r="E56" s="125"/>
      <c r="F56" s="188"/>
      <c r="G56" s="188"/>
      <c r="H56" s="188"/>
      <c r="I56" s="188"/>
      <c r="J56" s="189"/>
      <c r="K56" s="188"/>
      <c r="L56" s="188"/>
      <c r="M56" s="188"/>
      <c r="N56" s="188"/>
      <c r="O56" s="189"/>
      <c r="P56" s="190"/>
      <c r="Q56" s="190"/>
      <c r="R56" s="190"/>
      <c r="S56" s="190"/>
      <c r="T56" s="189"/>
      <c r="U56" s="190"/>
      <c r="V56" s="190"/>
      <c r="W56" s="190"/>
      <c r="X56" s="190"/>
      <c r="Y56" s="189"/>
      <c r="Z56" s="190"/>
      <c r="AA56" s="190"/>
      <c r="AB56" s="190"/>
      <c r="AC56" s="191"/>
      <c r="AD56" s="192"/>
      <c r="AE56" s="191"/>
      <c r="AF56" s="191"/>
      <c r="AG56" s="191"/>
      <c r="AH56" s="191"/>
      <c r="AI56" s="192"/>
      <c r="AJ56" s="191"/>
      <c r="AK56" s="191"/>
      <c r="AL56" s="191"/>
      <c r="AM56" s="191"/>
      <c r="AN56" s="192"/>
      <c r="AO56" s="191"/>
      <c r="AP56" s="191"/>
      <c r="AQ56" s="191"/>
      <c r="AR56" s="191"/>
      <c r="AS56" s="192"/>
      <c r="AT56" s="191"/>
      <c r="AU56" s="191"/>
      <c r="AV56" s="191"/>
      <c r="AW56" s="191"/>
      <c r="AX56" s="192"/>
      <c r="AY56" s="191"/>
      <c r="AZ56" s="191"/>
      <c r="BA56" s="191"/>
      <c r="BB56" s="191"/>
      <c r="BC56" s="192"/>
      <c r="BD56" s="191"/>
      <c r="BE56" s="191"/>
      <c r="BF56" s="191"/>
      <c r="BG56" s="191"/>
      <c r="BH56" s="192"/>
      <c r="BI56" s="191"/>
      <c r="BJ56" s="191"/>
      <c r="BK56" s="191"/>
      <c r="BL56" s="191"/>
      <c r="BM56" s="192"/>
      <c r="BN56" s="191"/>
      <c r="BO56" s="191"/>
      <c r="BP56" s="191"/>
      <c r="BQ56" s="191"/>
      <c r="BR56" s="192"/>
      <c r="XDL56" s="440"/>
      <c r="XDM56" s="440"/>
      <c r="XDN56" s="440"/>
      <c r="XDO56" s="440"/>
      <c r="XDP56" s="440"/>
      <c r="XDQ56" s="440"/>
      <c r="XDR56" s="440"/>
      <c r="XDS56" s="440"/>
      <c r="XDT56" s="440"/>
      <c r="XDU56" s="440"/>
      <c r="XDV56" s="440"/>
      <c r="XDW56" s="440"/>
      <c r="XDX56" s="440"/>
      <c r="XDY56" s="440"/>
      <c r="XDZ56" s="440"/>
      <c r="XEA56" s="440"/>
      <c r="XEB56" s="440"/>
      <c r="XEC56" s="440"/>
      <c r="XED56" s="440"/>
      <c r="XEE56" s="440"/>
      <c r="XEF56" s="440"/>
      <c r="XEG56" s="440"/>
      <c r="XEH56" s="440"/>
      <c r="XEI56" s="440"/>
      <c r="XEJ56" s="440"/>
      <c r="XEK56" s="440"/>
      <c r="XEL56" s="440"/>
      <c r="XEM56" s="440"/>
      <c r="XEN56" s="440"/>
      <c r="XEO56" s="440"/>
      <c r="XEP56" s="440"/>
      <c r="XEQ56" s="440"/>
      <c r="XER56" s="440"/>
      <c r="XES56" s="440"/>
      <c r="XET56" s="440"/>
      <c r="XEU56" s="440"/>
      <c r="XEV56" s="440"/>
      <c r="XEW56" s="440"/>
      <c r="XEX56" s="440"/>
      <c r="XEY56" s="440"/>
      <c r="XEZ56" s="440"/>
      <c r="XFA56" s="440"/>
      <c r="XFB56" s="440"/>
      <c r="XFC56" s="440"/>
      <c r="XFD56" s="440"/>
    </row>
    <row r="57" spans="1:70 16340:16384">
      <c r="A57" s="110"/>
      <c r="B57" s="110"/>
      <c r="C57" s="110"/>
      <c r="D57" s="110"/>
      <c r="E57" s="110"/>
      <c r="F57" s="176"/>
      <c r="G57" s="176"/>
      <c r="H57" s="176"/>
      <c r="I57" s="176"/>
      <c r="J57" s="169"/>
      <c r="K57" s="176"/>
      <c r="L57" s="176"/>
      <c r="M57" s="176"/>
      <c r="N57" s="176"/>
      <c r="O57" s="169"/>
      <c r="P57" s="164"/>
      <c r="Q57" s="164"/>
      <c r="R57" s="164"/>
      <c r="S57" s="164"/>
      <c r="T57" s="169"/>
      <c r="U57" s="164"/>
      <c r="V57" s="164"/>
      <c r="W57" s="164"/>
      <c r="X57" s="164"/>
      <c r="Y57" s="169"/>
      <c r="Z57" s="164"/>
      <c r="AA57" s="164"/>
      <c r="AB57" s="164"/>
      <c r="AC57" s="180"/>
      <c r="AD57" s="187"/>
      <c r="AE57" s="180"/>
      <c r="AF57" s="180"/>
      <c r="AG57" s="180"/>
      <c r="AH57" s="180"/>
      <c r="AI57" s="187"/>
      <c r="AJ57" s="180"/>
      <c r="AK57" s="180"/>
      <c r="AL57" s="180"/>
      <c r="AM57" s="180"/>
      <c r="AN57" s="187"/>
      <c r="AO57" s="180"/>
      <c r="AP57" s="180"/>
      <c r="AQ57" s="180"/>
      <c r="AR57" s="180"/>
      <c r="AS57" s="187"/>
      <c r="AT57" s="180"/>
      <c r="AU57" s="180"/>
      <c r="AV57" s="180"/>
      <c r="AW57" s="180"/>
      <c r="AX57" s="187"/>
      <c r="AY57" s="180"/>
      <c r="AZ57" s="180"/>
      <c r="BA57" s="180"/>
      <c r="BB57" s="180"/>
      <c r="BC57" s="187"/>
      <c r="BD57" s="180"/>
      <c r="BE57" s="180"/>
      <c r="BF57" s="180"/>
      <c r="BG57" s="180"/>
      <c r="BH57" s="187"/>
      <c r="BI57" s="180"/>
      <c r="BJ57" s="180"/>
      <c r="BK57" s="180"/>
      <c r="BL57" s="180"/>
      <c r="BM57" s="187"/>
      <c r="BN57" s="180"/>
      <c r="BO57" s="180"/>
      <c r="BP57" s="180"/>
      <c r="BQ57" s="180"/>
      <c r="BR57" s="187"/>
    </row>
    <row r="58" spans="1:70 16340:16384" s="117" customFormat="1">
      <c r="A58" s="127"/>
      <c r="B58" s="127"/>
      <c r="C58" s="199" t="s">
        <v>2</v>
      </c>
      <c r="D58" s="127"/>
      <c r="E58" s="127"/>
      <c r="F58" s="193"/>
      <c r="G58" s="193"/>
      <c r="H58" s="193"/>
      <c r="I58" s="193"/>
      <c r="J58" s="194"/>
      <c r="K58" s="193"/>
      <c r="L58" s="193"/>
      <c r="M58" s="193"/>
      <c r="N58" s="193"/>
      <c r="O58" s="194"/>
      <c r="P58" s="193"/>
      <c r="Q58" s="193"/>
      <c r="R58" s="193"/>
      <c r="S58" s="193"/>
      <c r="T58" s="194"/>
      <c r="U58" s="193"/>
      <c r="V58" s="193"/>
      <c r="W58" s="193"/>
      <c r="X58" s="193"/>
      <c r="Y58" s="194"/>
      <c r="Z58" s="193"/>
      <c r="AA58" s="193"/>
      <c r="AB58" s="193"/>
      <c r="AC58" s="195"/>
      <c r="AD58" s="196"/>
      <c r="AE58" s="197"/>
      <c r="AF58" s="197"/>
      <c r="AG58" s="197"/>
      <c r="AH58" s="197"/>
      <c r="AI58" s="196"/>
      <c r="AJ58" s="197"/>
      <c r="AK58" s="197"/>
      <c r="AL58" s="197"/>
      <c r="AM58" s="197"/>
      <c r="AN58" s="196"/>
      <c r="AO58" s="197"/>
      <c r="AP58" s="197"/>
      <c r="AQ58" s="197"/>
      <c r="AR58" s="197"/>
      <c r="AS58" s="196"/>
      <c r="AT58" s="197"/>
      <c r="AU58" s="197"/>
      <c r="AV58" s="197"/>
      <c r="AW58" s="197"/>
      <c r="AX58" s="196"/>
      <c r="AY58" s="197"/>
      <c r="AZ58" s="197"/>
      <c r="BA58" s="197"/>
      <c r="BB58" s="197"/>
      <c r="BC58" s="196"/>
      <c r="BD58" s="197"/>
      <c r="BE58" s="197"/>
      <c r="BF58" s="197"/>
      <c r="BG58" s="197"/>
      <c r="BH58" s="196"/>
      <c r="BI58" s="197"/>
      <c r="BJ58" s="197"/>
      <c r="BK58" s="197"/>
      <c r="BL58" s="197"/>
      <c r="BM58" s="196"/>
      <c r="BN58" s="197"/>
      <c r="BO58" s="197"/>
      <c r="BP58" s="197"/>
      <c r="BQ58" s="197"/>
      <c r="BR58" s="196"/>
      <c r="XDL58" s="252"/>
      <c r="XDM58" s="252"/>
      <c r="XDN58" s="252"/>
      <c r="XDO58" s="252"/>
      <c r="XDP58" s="252"/>
      <c r="XDQ58" s="252"/>
      <c r="XDR58" s="252"/>
      <c r="XDS58" s="252"/>
      <c r="XDT58" s="252"/>
      <c r="XDU58" s="252"/>
      <c r="XDV58" s="252"/>
      <c r="XDW58" s="252"/>
      <c r="XDX58" s="252"/>
      <c r="XDY58" s="252"/>
      <c r="XDZ58" s="252"/>
      <c r="XEA58" s="252"/>
      <c r="XEB58" s="252"/>
      <c r="XEC58" s="252"/>
      <c r="XED58" s="252"/>
      <c r="XEE58" s="252"/>
      <c r="XEF58" s="252"/>
      <c r="XEG58" s="252"/>
      <c r="XEH58" s="252"/>
      <c r="XEI58" s="252"/>
      <c r="XEJ58" s="252"/>
      <c r="XEK58" s="252"/>
      <c r="XEL58" s="252"/>
      <c r="XEM58" s="252"/>
      <c r="XEN58" s="252"/>
      <c r="XEO58" s="252"/>
      <c r="XEP58" s="252"/>
      <c r="XEQ58" s="252"/>
      <c r="XER58" s="252"/>
      <c r="XES58" s="252"/>
      <c r="XET58" s="252"/>
      <c r="XEU58" s="252"/>
      <c r="XEV58" s="252"/>
      <c r="XEW58" s="252"/>
      <c r="XEX58" s="252"/>
      <c r="XEY58" s="252"/>
      <c r="XEZ58" s="252"/>
      <c r="XFA58" s="252"/>
      <c r="XFB58" s="252"/>
      <c r="XFC58" s="252"/>
      <c r="XFD58" s="252"/>
    </row>
    <row r="59" spans="1:70 16340:16384" s="117" customFormat="1">
      <c r="A59" s="128"/>
      <c r="B59" s="127"/>
      <c r="C59" s="226" t="s">
        <v>67</v>
      </c>
      <c r="D59" s="128"/>
      <c r="E59" s="127"/>
      <c r="F59" s="227"/>
      <c r="G59" s="227"/>
      <c r="H59" s="227"/>
      <c r="I59" s="227"/>
      <c r="J59" s="228"/>
      <c r="K59" s="227"/>
      <c r="L59" s="227"/>
      <c r="M59" s="227"/>
      <c r="N59" s="227"/>
      <c r="O59" s="228"/>
      <c r="P59" s="227"/>
      <c r="Q59" s="227"/>
      <c r="R59" s="227"/>
      <c r="S59" s="227"/>
      <c r="T59" s="228"/>
      <c r="U59" s="227"/>
      <c r="V59" s="227"/>
      <c r="W59" s="227"/>
      <c r="X59" s="227"/>
      <c r="Y59" s="228"/>
      <c r="Z59" s="227"/>
      <c r="AA59" s="227"/>
      <c r="AB59" s="227"/>
      <c r="AC59" s="229"/>
      <c r="AD59" s="230"/>
      <c r="AE59" s="231"/>
      <c r="AF59" s="231"/>
      <c r="AG59" s="231"/>
      <c r="AH59" s="231"/>
      <c r="AI59" s="230"/>
      <c r="AJ59" s="231"/>
      <c r="AK59" s="231"/>
      <c r="AL59" s="231"/>
      <c r="AM59" s="231"/>
      <c r="AN59" s="230"/>
      <c r="AO59" s="231"/>
      <c r="AP59" s="231"/>
      <c r="AQ59" s="231"/>
      <c r="AR59" s="231"/>
      <c r="AS59" s="230"/>
      <c r="AT59" s="231"/>
      <c r="AU59" s="231"/>
      <c r="AV59" s="231"/>
      <c r="AW59" s="231"/>
      <c r="AX59" s="230"/>
      <c r="AY59" s="231"/>
      <c r="AZ59" s="231"/>
      <c r="BA59" s="231"/>
      <c r="BB59" s="231"/>
      <c r="BC59" s="230"/>
      <c r="BD59" s="231"/>
      <c r="BE59" s="231"/>
      <c r="BF59" s="231"/>
      <c r="BG59" s="231"/>
      <c r="BH59" s="230"/>
      <c r="BI59" s="231"/>
      <c r="BJ59" s="231"/>
      <c r="BK59" s="231"/>
      <c r="BL59" s="231"/>
      <c r="BM59" s="230"/>
      <c r="BN59" s="231"/>
      <c r="BO59" s="231"/>
      <c r="BP59" s="231"/>
      <c r="BQ59" s="231"/>
      <c r="BR59" s="230"/>
      <c r="XDL59" s="252"/>
      <c r="XDM59" s="252"/>
      <c r="XDN59" s="252"/>
      <c r="XDO59" s="252"/>
      <c r="XDP59" s="252"/>
      <c r="XDQ59" s="252"/>
      <c r="XDR59" s="252"/>
      <c r="XDS59" s="252"/>
      <c r="XDT59" s="252"/>
      <c r="XDU59" s="252"/>
      <c r="XDV59" s="252"/>
      <c r="XDW59" s="252"/>
      <c r="XDX59" s="252"/>
      <c r="XDY59" s="252"/>
      <c r="XDZ59" s="252"/>
      <c r="XEA59" s="252"/>
      <c r="XEB59" s="252"/>
      <c r="XEC59" s="252"/>
      <c r="XED59" s="252"/>
      <c r="XEE59" s="252"/>
      <c r="XEF59" s="252"/>
      <c r="XEG59" s="252"/>
      <c r="XEH59" s="252"/>
      <c r="XEI59" s="252"/>
      <c r="XEJ59" s="252"/>
      <c r="XEK59" s="252"/>
      <c r="XEL59" s="252"/>
      <c r="XEM59" s="252"/>
      <c r="XEN59" s="252"/>
      <c r="XEO59" s="252"/>
      <c r="XEP59" s="252"/>
      <c r="XEQ59" s="252"/>
      <c r="XER59" s="252"/>
      <c r="XES59" s="252"/>
      <c r="XET59" s="252"/>
      <c r="XEU59" s="252"/>
      <c r="XEV59" s="252"/>
      <c r="XEW59" s="252"/>
      <c r="XEX59" s="252"/>
      <c r="XEY59" s="252"/>
      <c r="XEZ59" s="252"/>
      <c r="XFA59" s="252"/>
      <c r="XFB59" s="252"/>
      <c r="XFC59" s="252"/>
      <c r="XFD59" s="252"/>
    </row>
    <row r="60" spans="1:70 16340:16384" s="117" customFormat="1">
      <c r="A60" s="127"/>
      <c r="B60" s="127"/>
      <c r="C60" s="226" t="s">
        <v>68</v>
      </c>
      <c r="D60" s="127"/>
      <c r="E60" s="127"/>
      <c r="F60" s="232"/>
      <c r="G60" s="232"/>
      <c r="H60" s="232"/>
      <c r="I60" s="232">
        <f>I9/I$50</f>
        <v>0.27525982977047458</v>
      </c>
      <c r="J60" s="228"/>
      <c r="K60" s="232">
        <f>K9/K$50</f>
        <v>0.30893218472488188</v>
      </c>
      <c r="L60" s="232">
        <f>L9/L$50</f>
        <v>0.35772456256002827</v>
      </c>
      <c r="M60" s="232">
        <f>M9/M$50</f>
        <v>0.39895303555848743</v>
      </c>
      <c r="N60" s="232">
        <f>N9/N$50</f>
        <v>0.34308994630974698</v>
      </c>
      <c r="O60" s="228"/>
      <c r="P60" s="232">
        <f>P9/P$50</f>
        <v>0.29505287323330248</v>
      </c>
      <c r="Q60" s="232">
        <f>Q9/Q$50</f>
        <v>0.28685083930558375</v>
      </c>
      <c r="R60" s="232">
        <f>R9/R$50</f>
        <v>0.30393408807760053</v>
      </c>
      <c r="S60" s="232">
        <f>S9/S$50</f>
        <v>0.29785276364590685</v>
      </c>
      <c r="T60" s="228"/>
      <c r="U60" s="232">
        <f>U9/U$50</f>
        <v>0.31765216675632446</v>
      </c>
      <c r="V60" s="232">
        <f>V9/V$50</f>
        <v>0.32620814614760507</v>
      </c>
      <c r="W60" s="232">
        <f>W9/W$50</f>
        <v>0.33357132749436297</v>
      </c>
      <c r="X60" s="232">
        <f>X9/X$50</f>
        <v>0.30923070586003887</v>
      </c>
      <c r="Y60" s="228"/>
      <c r="Z60" s="232">
        <f>Z9/Z$50</f>
        <v>0.30531585844967252</v>
      </c>
      <c r="AA60" s="232">
        <f>AA9/AA$50</f>
        <v>0.3487401850904035</v>
      </c>
      <c r="AB60" s="232">
        <f>AB9/AB$50</f>
        <v>0.36006691082785863</v>
      </c>
      <c r="AC60" s="232">
        <f>AC9/AC$50</f>
        <v>0.3293415479656453</v>
      </c>
      <c r="AD60" s="230"/>
      <c r="AE60" s="232">
        <f t="shared" ref="AE60:AH61" si="285">AE9/AE$50</f>
        <v>0.3028364469872214</v>
      </c>
      <c r="AF60" s="232">
        <f t="shared" si="285"/>
        <v>0.32154071567053422</v>
      </c>
      <c r="AG60" s="232">
        <f t="shared" si="285"/>
        <v>0.31511917357222435</v>
      </c>
      <c r="AH60" s="232">
        <f t="shared" si="285"/>
        <v>0.29948651267601972</v>
      </c>
      <c r="AI60" s="230"/>
      <c r="AJ60" s="232">
        <f>AJ9/AJ$50</f>
        <v>0.32709820025849418</v>
      </c>
      <c r="AK60" s="232">
        <f>AK9/AK$50</f>
        <v>0.35691943440143853</v>
      </c>
      <c r="AL60" s="232">
        <f>AL9/AL$50</f>
        <v>0.35324290795010033</v>
      </c>
      <c r="AM60" s="232">
        <f>AM9/AM$50</f>
        <v>0.35496293484893859</v>
      </c>
      <c r="AN60" s="230"/>
      <c r="AO60" s="232">
        <f>AO9/AO$50</f>
        <v>0.35394052729714648</v>
      </c>
      <c r="AP60" s="232">
        <f>AP9/AP$50</f>
        <v>0.37182042355788952</v>
      </c>
      <c r="AQ60" s="232">
        <f>AQ9/AQ$50</f>
        <v>0.38619222535248743</v>
      </c>
      <c r="AR60" s="232">
        <f>AR9/AR$50</f>
        <v>0.37872130039300367</v>
      </c>
      <c r="AS60" s="230"/>
      <c r="AT60" s="232">
        <f>AT9/AT$50</f>
        <v>0.37868763152037399</v>
      </c>
      <c r="AU60" s="232">
        <f>AU9/AU$50</f>
        <v>0.38840679226235647</v>
      </c>
      <c r="AV60" s="232">
        <f>AV9/AV$50</f>
        <v>0.40730742403424747</v>
      </c>
      <c r="AW60" s="232">
        <f>AW9/AW$50</f>
        <v>0.39056072043176332</v>
      </c>
      <c r="AX60" s="230"/>
      <c r="AY60" s="232">
        <f>AY9/AY$50</f>
        <v>0.41915984814570967</v>
      </c>
      <c r="AZ60" s="232">
        <f>AZ9/AZ$50</f>
        <v>0.45046778232251378</v>
      </c>
      <c r="BA60" s="232">
        <f>BA9/BA$50</f>
        <v>0.44940491083479889</v>
      </c>
      <c r="BB60" s="231">
        <f>BA60-0.0005</f>
        <v>0.44890491083479889</v>
      </c>
      <c r="BC60" s="230"/>
      <c r="BD60" s="231">
        <f>BB60-0.0005</f>
        <v>0.44840491083479889</v>
      </c>
      <c r="BE60" s="231">
        <f>BD60-0.0005</f>
        <v>0.44790491083479889</v>
      </c>
      <c r="BF60" s="231">
        <f>BE60-0.0005</f>
        <v>0.44740491083479889</v>
      </c>
      <c r="BG60" s="231">
        <f>BF60-0.0005</f>
        <v>0.44690491083479889</v>
      </c>
      <c r="BH60" s="230"/>
      <c r="BI60" s="231">
        <f>BG60-0.0005</f>
        <v>0.44640491083479888</v>
      </c>
      <c r="BJ60" s="231">
        <f>BI60-0.0005</f>
        <v>0.44590491083479888</v>
      </c>
      <c r="BK60" s="231">
        <f>BJ60-0.0005</f>
        <v>0.44540491083479888</v>
      </c>
      <c r="BL60" s="231">
        <f>BK60-0.0005</f>
        <v>0.44490491083479888</v>
      </c>
      <c r="BM60" s="230"/>
      <c r="BN60" s="231">
        <f>BL60-0.0005</f>
        <v>0.44440491083479888</v>
      </c>
      <c r="BO60" s="231">
        <f>BN60-0.0005</f>
        <v>0.44390491083479888</v>
      </c>
      <c r="BP60" s="231">
        <f>BO60-0.0005</f>
        <v>0.44340491083479888</v>
      </c>
      <c r="BQ60" s="231">
        <f>BP60-0.0005</f>
        <v>0.44290491083479888</v>
      </c>
      <c r="BR60" s="230"/>
      <c r="XDL60" s="252"/>
      <c r="XDM60" s="252"/>
      <c r="XDN60" s="252"/>
      <c r="XDO60" s="252"/>
      <c r="XDP60" s="252"/>
      <c r="XDQ60" s="252"/>
      <c r="XDR60" s="252"/>
      <c r="XDS60" s="252"/>
      <c r="XDT60" s="252"/>
      <c r="XDU60" s="252"/>
      <c r="XDV60" s="252"/>
      <c r="XDW60" s="252"/>
      <c r="XDX60" s="252"/>
      <c r="XDY60" s="252"/>
      <c r="XDZ60" s="252"/>
      <c r="XEA60" s="252"/>
      <c r="XEB60" s="252"/>
      <c r="XEC60" s="252"/>
      <c r="XED60" s="252"/>
      <c r="XEE60" s="252"/>
      <c r="XEF60" s="252"/>
      <c r="XEG60" s="252"/>
      <c r="XEH60" s="252"/>
      <c r="XEI60" s="252"/>
      <c r="XEJ60" s="252"/>
      <c r="XEK60" s="252"/>
      <c r="XEL60" s="252"/>
      <c r="XEM60" s="252"/>
      <c r="XEN60" s="252"/>
      <c r="XEO60" s="252"/>
      <c r="XEP60" s="252"/>
      <c r="XEQ60" s="252"/>
      <c r="XER60" s="252"/>
      <c r="XES60" s="252"/>
      <c r="XET60" s="252"/>
      <c r="XEU60" s="252"/>
      <c r="XEV60" s="252"/>
      <c r="XEW60" s="252"/>
      <c r="XEX60" s="252"/>
      <c r="XEY60" s="252"/>
      <c r="XEZ60" s="252"/>
      <c r="XFA60" s="252"/>
      <c r="XFB60" s="252"/>
      <c r="XFC60" s="252"/>
      <c r="XFD60" s="252"/>
    </row>
    <row r="61" spans="1:70 16340:16384" s="117" customFormat="1">
      <c r="A61" s="127"/>
      <c r="B61" s="127"/>
      <c r="C61" s="226" t="s">
        <v>69</v>
      </c>
      <c r="D61" s="127"/>
      <c r="E61" s="127"/>
      <c r="F61" s="232"/>
      <c r="G61" s="232"/>
      <c r="H61" s="232"/>
      <c r="I61" s="232">
        <f>I10/I$50</f>
        <v>4.3588573429065303E-2</v>
      </c>
      <c r="J61" s="228"/>
      <c r="K61" s="232">
        <f>K10/K$50</f>
        <v>5.8499557879775843E-2</v>
      </c>
      <c r="L61" s="232">
        <f t="shared" ref="L61:N61" si="286">L10/L$50</f>
        <v>7.5349941469176215E-2</v>
      </c>
      <c r="M61" s="232">
        <f t="shared" si="286"/>
        <v>0.11379354371927734</v>
      </c>
      <c r="N61" s="232">
        <f t="shared" si="286"/>
        <v>9.6439028209918592E-2</v>
      </c>
      <c r="O61" s="228"/>
      <c r="P61" s="232">
        <f t="shared" ref="P61:S61" si="287">P10/P$50</f>
        <v>9.4080769152189506E-2</v>
      </c>
      <c r="Q61" s="232">
        <f t="shared" si="287"/>
        <v>8.9717998109618211E-2</v>
      </c>
      <c r="R61" s="232">
        <f t="shared" si="287"/>
        <v>0.10011155066119361</v>
      </c>
      <c r="S61" s="232">
        <f t="shared" si="287"/>
        <v>0.11309869387379846</v>
      </c>
      <c r="T61" s="228"/>
      <c r="U61" s="232">
        <f t="shared" ref="U61:X61" si="288">U10/U$50</f>
        <v>0.11435506630103785</v>
      </c>
      <c r="V61" s="232">
        <f t="shared" si="288"/>
        <v>0.11853528419676666</v>
      </c>
      <c r="W61" s="232">
        <f t="shared" si="288"/>
        <v>0.12848367731523497</v>
      </c>
      <c r="X61" s="232">
        <f t="shared" si="288"/>
        <v>0.13728281340105261</v>
      </c>
      <c r="Y61" s="228"/>
      <c r="Z61" s="232">
        <f t="shared" ref="Z61:AB61" si="289">Z10/Z$50</f>
        <v>0.16878368342791664</v>
      </c>
      <c r="AA61" s="232">
        <f t="shared" si="289"/>
        <v>0.15852365147974948</v>
      </c>
      <c r="AB61" s="232">
        <f t="shared" si="289"/>
        <v>0.16405978235984367</v>
      </c>
      <c r="AC61" s="232">
        <f t="shared" ref="AC61" si="290">AC10/AC$50</f>
        <v>0.16169902827254318</v>
      </c>
      <c r="AD61" s="230"/>
      <c r="AE61" s="232">
        <f t="shared" si="285"/>
        <v>0.17280393505781746</v>
      </c>
      <c r="AF61" s="232">
        <f t="shared" si="285"/>
        <v>0.16899208087643741</v>
      </c>
      <c r="AG61" s="232">
        <f t="shared" si="285"/>
        <v>0.17958053194552331</v>
      </c>
      <c r="AH61" s="232">
        <f t="shared" si="285"/>
        <v>0.18396101024454564</v>
      </c>
      <c r="AI61" s="230"/>
      <c r="AJ61" s="232">
        <f t="shared" ref="AJ61:AM61" si="291">AJ10/AJ$50</f>
        <v>0.17377822623748423</v>
      </c>
      <c r="AK61" s="232">
        <f t="shared" si="291"/>
        <v>0.16650342720782135</v>
      </c>
      <c r="AL61" s="232">
        <f t="shared" si="291"/>
        <v>0.16858529779785952</v>
      </c>
      <c r="AM61" s="232">
        <f t="shared" si="291"/>
        <v>0.16937268298264971</v>
      </c>
      <c r="AN61" s="230"/>
      <c r="AO61" s="232">
        <f t="shared" ref="AO61:AP61" si="292">AO10/AO$50</f>
        <v>0.17008384634353918</v>
      </c>
      <c r="AP61" s="232">
        <f t="shared" si="292"/>
        <v>0.17204642519374172</v>
      </c>
      <c r="AQ61" s="232">
        <f t="shared" ref="AQ61:AR61" si="293">AQ10/AQ$50</f>
        <v>0.18756203568724059</v>
      </c>
      <c r="AR61" s="232">
        <f t="shared" si="293"/>
        <v>0.19607257029753589</v>
      </c>
      <c r="AS61" s="230"/>
      <c r="AT61" s="232">
        <f t="shared" ref="AT61:AW61" si="294">AT10/AT$50</f>
        <v>0.21013182725032525</v>
      </c>
      <c r="AU61" s="232">
        <f t="shared" si="294"/>
        <v>0.2299660369264189</v>
      </c>
      <c r="AV61" s="232">
        <f t="shared" si="294"/>
        <v>0.24317709296965404</v>
      </c>
      <c r="AW61" s="232">
        <f t="shared" si="294"/>
        <v>0.25642686246453716</v>
      </c>
      <c r="AX61" s="230"/>
      <c r="AY61" s="232">
        <f t="shared" ref="AY61:BA61" si="295">AY10/AY$50</f>
        <v>0.26651695909206691</v>
      </c>
      <c r="AZ61" s="232">
        <f t="shared" si="295"/>
        <v>0.26545772693302311</v>
      </c>
      <c r="BA61" s="232">
        <f t="shared" si="295"/>
        <v>0.26015064656579734</v>
      </c>
      <c r="BB61" s="231">
        <v>0.12</v>
      </c>
      <c r="BC61" s="230"/>
      <c r="BD61" s="231">
        <v>0.12</v>
      </c>
      <c r="BE61" s="231">
        <v>0.12</v>
      </c>
      <c r="BF61" s="231">
        <v>0.12</v>
      </c>
      <c r="BG61" s="231">
        <v>0.12</v>
      </c>
      <c r="BH61" s="230"/>
      <c r="BI61" s="231">
        <v>0.12</v>
      </c>
      <c r="BJ61" s="231">
        <v>0.12</v>
      </c>
      <c r="BK61" s="231">
        <v>0.12</v>
      </c>
      <c r="BL61" s="231">
        <v>0.12</v>
      </c>
      <c r="BM61" s="230"/>
      <c r="BN61" s="231">
        <v>0.12</v>
      </c>
      <c r="BO61" s="231">
        <v>0.12</v>
      </c>
      <c r="BP61" s="231">
        <v>0.12</v>
      </c>
      <c r="BQ61" s="231">
        <v>0.12</v>
      </c>
      <c r="BR61" s="230"/>
      <c r="XDL61" s="252"/>
      <c r="XDM61" s="252"/>
      <c r="XDN61" s="252"/>
      <c r="XDO61" s="252"/>
      <c r="XDP61" s="252"/>
      <c r="XDQ61" s="252"/>
      <c r="XDR61" s="252"/>
      <c r="XDS61" s="252"/>
      <c r="XDT61" s="252"/>
      <c r="XDU61" s="252"/>
      <c r="XDV61" s="252"/>
      <c r="XDW61" s="252"/>
      <c r="XDX61" s="252"/>
      <c r="XDY61" s="252"/>
      <c r="XDZ61" s="252"/>
      <c r="XEA61" s="252"/>
      <c r="XEB61" s="252"/>
      <c r="XEC61" s="252"/>
      <c r="XED61" s="252"/>
      <c r="XEE61" s="252"/>
      <c r="XEF61" s="252"/>
      <c r="XEG61" s="252"/>
      <c r="XEH61" s="252"/>
      <c r="XEI61" s="252"/>
      <c r="XEJ61" s="252"/>
      <c r="XEK61" s="252"/>
      <c r="XEL61" s="252"/>
      <c r="XEM61" s="252"/>
      <c r="XEN61" s="252"/>
      <c r="XEO61" s="252"/>
      <c r="XEP61" s="252"/>
      <c r="XEQ61" s="252"/>
      <c r="XER61" s="252"/>
      <c r="XES61" s="252"/>
      <c r="XET61" s="252"/>
      <c r="XEU61" s="252"/>
      <c r="XEV61" s="252"/>
      <c r="XEW61" s="252"/>
      <c r="XEX61" s="252"/>
      <c r="XEY61" s="252"/>
      <c r="XEZ61" s="252"/>
      <c r="XFA61" s="252"/>
      <c r="XFB61" s="252"/>
      <c r="XFC61" s="252"/>
      <c r="XFD61" s="252"/>
    </row>
    <row r="62" spans="1:70 16340:16384" s="117" customFormat="1">
      <c r="A62" s="127"/>
      <c r="B62" s="127"/>
      <c r="C62" s="226" t="s">
        <v>70</v>
      </c>
      <c r="D62" s="127"/>
      <c r="E62" s="127"/>
      <c r="F62" s="232"/>
      <c r="G62" s="232"/>
      <c r="H62" s="232"/>
      <c r="I62" s="232">
        <f>I11/I$50</f>
        <v>1.1681008749034917E-3</v>
      </c>
      <c r="J62" s="228"/>
      <c r="K62" s="232">
        <f>K11/K$50</f>
        <v>1.2822842697421599E-3</v>
      </c>
      <c r="L62" s="232">
        <f t="shared" ref="L62:N62" si="296">L11/L$50</f>
        <v>4.0071371877042532E-3</v>
      </c>
      <c r="M62" s="232">
        <f t="shared" si="296"/>
        <v>5.641873713714201E-3</v>
      </c>
      <c r="N62" s="232">
        <f t="shared" si="296"/>
        <v>0</v>
      </c>
      <c r="O62" s="228"/>
      <c r="P62" s="232">
        <f t="shared" ref="P62:S62" si="297">P11/P$50</f>
        <v>4.878459582784569E-4</v>
      </c>
      <c r="Q62" s="232">
        <f t="shared" si="297"/>
        <v>7.0135557124226798E-4</v>
      </c>
      <c r="R62" s="232">
        <f t="shared" si="297"/>
        <v>7.893905520699857E-4</v>
      </c>
      <c r="S62" s="232">
        <f t="shared" si="297"/>
        <v>2.4494882731752213E-3</v>
      </c>
      <c r="T62" s="228"/>
      <c r="U62" s="232">
        <f t="shared" ref="U62:X62" si="298">U11/U$50</f>
        <v>2.3190155217307812E-3</v>
      </c>
      <c r="V62" s="232">
        <f t="shared" si="298"/>
        <v>2.21899603341547E-3</v>
      </c>
      <c r="W62" s="232">
        <f t="shared" si="298"/>
        <v>2.2982504326967707E-3</v>
      </c>
      <c r="X62" s="232">
        <f t="shared" si="298"/>
        <v>1.9733350703790911E-3</v>
      </c>
      <c r="Y62" s="228"/>
      <c r="Z62" s="232">
        <f t="shared" ref="Z62:AB62" si="299">Z11/Z$50</f>
        <v>1.9804363339863905E-3</v>
      </c>
      <c r="AA62" s="232">
        <f t="shared" si="299"/>
        <v>1.9144140362860849E-3</v>
      </c>
      <c r="AB62" s="232">
        <f t="shared" si="299"/>
        <v>1.8112760190107666E-3</v>
      </c>
      <c r="AC62" s="232">
        <f t="shared" ref="AC62" si="300">AC11/AC$50</f>
        <v>3.9983892470442269E-3</v>
      </c>
      <c r="AD62" s="230"/>
      <c r="AE62" s="232">
        <f t="shared" ref="AE62:AG62" si="301">AE11/AE$50</f>
        <v>3.9017790870114989E-3</v>
      </c>
      <c r="AF62" s="232">
        <f t="shared" si="301"/>
        <v>3.7156401086294883E-3</v>
      </c>
      <c r="AG62" s="232">
        <f t="shared" si="301"/>
        <v>3.8347916568035193E-3</v>
      </c>
      <c r="AH62" s="232">
        <f>AH11/AH$50</f>
        <v>5.3462350766349245E-3</v>
      </c>
      <c r="AI62" s="230"/>
      <c r="AJ62" s="232">
        <f t="shared" ref="AJ62:AM62" si="302">AJ11/AJ$50</f>
        <v>5.3751728963334642E-3</v>
      </c>
      <c r="AK62" s="232">
        <f t="shared" si="302"/>
        <v>3.9189782338496047E-3</v>
      </c>
      <c r="AL62" s="232">
        <f t="shared" si="302"/>
        <v>5.3497642971418041E-3</v>
      </c>
      <c r="AM62" s="232">
        <f t="shared" si="302"/>
        <v>0</v>
      </c>
      <c r="AN62" s="230"/>
      <c r="AO62" s="232">
        <f t="shared" ref="AO62:AP62" si="303">AO11/AO$50</f>
        <v>0</v>
      </c>
      <c r="AP62" s="232">
        <f t="shared" si="303"/>
        <v>0</v>
      </c>
      <c r="AQ62" s="232">
        <f t="shared" ref="AQ62:AR62" si="304">AQ11/AQ$50</f>
        <v>0</v>
      </c>
      <c r="AR62" s="232">
        <f t="shared" si="304"/>
        <v>0</v>
      </c>
      <c r="AS62" s="230"/>
      <c r="AT62" s="232">
        <f t="shared" ref="AT62:AW62" si="305">AT11/AT$50</f>
        <v>0</v>
      </c>
      <c r="AU62" s="232">
        <f t="shared" si="305"/>
        <v>0</v>
      </c>
      <c r="AV62" s="232">
        <f t="shared" si="305"/>
        <v>0</v>
      </c>
      <c r="AW62" s="232">
        <f t="shared" si="305"/>
        <v>0</v>
      </c>
      <c r="AX62" s="230"/>
      <c r="AY62" s="232">
        <f t="shared" ref="AY62:BA62" si="306">AY11/AY$50</f>
        <v>0</v>
      </c>
      <c r="AZ62" s="232">
        <f t="shared" si="306"/>
        <v>0</v>
      </c>
      <c r="BA62" s="232">
        <f t="shared" si="306"/>
        <v>0</v>
      </c>
      <c r="BB62" s="231">
        <v>1.8112760190107666E-3</v>
      </c>
      <c r="BC62" s="230"/>
      <c r="BD62" s="231">
        <v>1.8112760190107666E-3</v>
      </c>
      <c r="BE62" s="231">
        <v>1.8112760190107666E-3</v>
      </c>
      <c r="BF62" s="231">
        <v>1.8112760190107666E-3</v>
      </c>
      <c r="BG62" s="231">
        <v>1.8112760190107666E-3</v>
      </c>
      <c r="BH62" s="230"/>
      <c r="BI62" s="231">
        <v>1.8112760190107666E-3</v>
      </c>
      <c r="BJ62" s="231">
        <v>1.8112760190107666E-3</v>
      </c>
      <c r="BK62" s="231">
        <v>1.8112760190107666E-3</v>
      </c>
      <c r="BL62" s="231">
        <v>1.8112760190107666E-3</v>
      </c>
      <c r="BM62" s="230"/>
      <c r="BN62" s="231">
        <v>1.8112760190107666E-3</v>
      </c>
      <c r="BO62" s="231">
        <v>1.8112760190107666E-3</v>
      </c>
      <c r="BP62" s="231">
        <v>1.8112760190107666E-3</v>
      </c>
      <c r="BQ62" s="231">
        <v>1.8112760190107666E-3</v>
      </c>
      <c r="BR62" s="230"/>
      <c r="XDL62" s="252"/>
      <c r="XDM62" s="252"/>
      <c r="XDN62" s="252"/>
      <c r="XDO62" s="252"/>
      <c r="XDP62" s="252"/>
      <c r="XDQ62" s="252"/>
      <c r="XDR62" s="252"/>
      <c r="XDS62" s="252"/>
      <c r="XDT62" s="252"/>
      <c r="XDU62" s="252"/>
      <c r="XDV62" s="252"/>
      <c r="XDW62" s="252"/>
      <c r="XDX62" s="252"/>
      <c r="XDY62" s="252"/>
      <c r="XDZ62" s="252"/>
      <c r="XEA62" s="252"/>
      <c r="XEB62" s="252"/>
      <c r="XEC62" s="252"/>
      <c r="XED62" s="252"/>
      <c r="XEE62" s="252"/>
      <c r="XEF62" s="252"/>
      <c r="XEG62" s="252"/>
      <c r="XEH62" s="252"/>
      <c r="XEI62" s="252"/>
      <c r="XEJ62" s="252"/>
      <c r="XEK62" s="252"/>
      <c r="XEL62" s="252"/>
      <c r="XEM62" s="252"/>
      <c r="XEN62" s="252"/>
      <c r="XEO62" s="252"/>
      <c r="XEP62" s="252"/>
      <c r="XEQ62" s="252"/>
      <c r="XER62" s="252"/>
      <c r="XES62" s="252"/>
      <c r="XET62" s="252"/>
      <c r="XEU62" s="252"/>
      <c r="XEV62" s="252"/>
      <c r="XEW62" s="252"/>
      <c r="XEX62" s="252"/>
      <c r="XEY62" s="252"/>
      <c r="XEZ62" s="252"/>
      <c r="XFA62" s="252"/>
      <c r="XFB62" s="252"/>
      <c r="XFC62" s="252"/>
      <c r="XFD62" s="252"/>
    </row>
    <row r="63" spans="1:70 16340:16384" s="117" customFormat="1">
      <c r="A63" s="127"/>
      <c r="B63" s="127"/>
      <c r="C63" s="226" t="s">
        <v>50</v>
      </c>
      <c r="D63" s="127"/>
      <c r="E63" s="127"/>
      <c r="F63" s="232"/>
      <c r="G63" s="232"/>
      <c r="H63" s="232"/>
      <c r="I63" s="232">
        <f>I12/I$50</f>
        <v>1.3226390265096696E-2</v>
      </c>
      <c r="J63" s="228"/>
      <c r="K63" s="232">
        <f>K12/K$50</f>
        <v>1.1992850129381194E-2</v>
      </c>
      <c r="L63" s="232">
        <f>L12/L$50</f>
        <v>1.8515495781647451E-2</v>
      </c>
      <c r="M63" s="232">
        <f>M12/M$50</f>
        <v>2.8504853306419498E-2</v>
      </c>
      <c r="N63" s="232">
        <f>N12/N$50</f>
        <v>2.0700064068807908E-2</v>
      </c>
      <c r="O63" s="228"/>
      <c r="P63" s="232">
        <f>P12/P$50</f>
        <v>2.1891277623218477E-2</v>
      </c>
      <c r="Q63" s="232">
        <f>Q12/Q$50</f>
        <v>2.433184575441787E-2</v>
      </c>
      <c r="R63" s="232">
        <f>R12/R$50</f>
        <v>1.8487448909091923E-2</v>
      </c>
      <c r="S63" s="232">
        <f>S12/S$50</f>
        <v>1.8336016476827883E-2</v>
      </c>
      <c r="T63" s="228"/>
      <c r="U63" s="232">
        <f>U12/U$50</f>
        <v>1.7772518914611995E-2</v>
      </c>
      <c r="V63" s="232">
        <f>V12/V$50</f>
        <v>1.263362807260052E-2</v>
      </c>
      <c r="W63" s="232">
        <f>W12/W$50</f>
        <v>1.1540171417839874E-2</v>
      </c>
      <c r="X63" s="232">
        <f>X12/X$50</f>
        <v>1.2134334305951235E-2</v>
      </c>
      <c r="Y63" s="228"/>
      <c r="Z63" s="232">
        <f>Z12/Z$50</f>
        <v>1.3257202734572959E-2</v>
      </c>
      <c r="AA63" s="232">
        <f>AA12/AA$50</f>
        <v>1.2572486066414004E-2</v>
      </c>
      <c r="AB63" s="232">
        <f>AB12/AB$50</f>
        <v>1.5790973599017523E-2</v>
      </c>
      <c r="AC63" s="232">
        <f>AC12/AC$50</f>
        <v>1.5300594861128211E-2</v>
      </c>
      <c r="AD63" s="230"/>
      <c r="AE63" s="232">
        <f>AE12/AE$50</f>
        <v>1.615430382829218E-2</v>
      </c>
      <c r="AF63" s="232">
        <f>AF12/AF$50</f>
        <v>2.1368863175982297E-2</v>
      </c>
      <c r="AG63" s="232">
        <f>AG12/AG$50</f>
        <v>1.7623420736565275E-2</v>
      </c>
      <c r="AH63" s="232">
        <f>AH12/AH$50</f>
        <v>2.212064208474309E-2</v>
      </c>
      <c r="AI63" s="230"/>
      <c r="AJ63" s="232">
        <f>AJ12/AJ$50</f>
        <v>1.8623809971138054E-2</v>
      </c>
      <c r="AK63" s="232">
        <f>AK12/AK$50</f>
        <v>1.5792468576660675E-2</v>
      </c>
      <c r="AL63" s="232">
        <f>AL12/AL$50</f>
        <v>1.3464536050945358E-2</v>
      </c>
      <c r="AM63" s="232">
        <f>AM12/AM$50</f>
        <v>1.3443307432760555E-2</v>
      </c>
      <c r="AN63" s="230"/>
      <c r="AO63" s="232">
        <f>AO12/AO$50</f>
        <v>1.1830776323639158E-2</v>
      </c>
      <c r="AP63" s="232">
        <f>AP12/AP$50</f>
        <v>1.5722626780566854E-2</v>
      </c>
      <c r="AQ63" s="232">
        <f>AQ12/AQ$50</f>
        <v>1.4713124116689767E-2</v>
      </c>
      <c r="AR63" s="232">
        <f>AR12/AR$50</f>
        <v>1.8774878037706152E-2</v>
      </c>
      <c r="AS63" s="230"/>
      <c r="AT63" s="232">
        <f>AT12/AT$50</f>
        <v>2.8341455650306997E-2</v>
      </c>
      <c r="AU63" s="232">
        <f>AU12/AU$50</f>
        <v>3.1155647423567669E-2</v>
      </c>
      <c r="AV63" s="232">
        <f>AV12/AV$50</f>
        <v>2.9124106328086395E-2</v>
      </c>
      <c r="AW63" s="232">
        <f>AW12/AW$50</f>
        <v>2.5933954136138724E-2</v>
      </c>
      <c r="AX63" s="230"/>
      <c r="AY63" s="232">
        <f>AY12/AY$50</f>
        <v>2.834736566284142E-2</v>
      </c>
      <c r="AZ63" s="232">
        <f>AZ12/AZ$50</f>
        <v>3.7740567989990398E-2</v>
      </c>
      <c r="BA63" s="232">
        <f>BA12/BA$50</f>
        <v>3.6443391075872834E-2</v>
      </c>
      <c r="BB63" s="231">
        <v>1.5790973599017523E-2</v>
      </c>
      <c r="BC63" s="230"/>
      <c r="BD63" s="231">
        <v>1.5790973599017523E-2</v>
      </c>
      <c r="BE63" s="231">
        <v>1.5790973599017523E-2</v>
      </c>
      <c r="BF63" s="231">
        <v>1.5790973599017523E-2</v>
      </c>
      <c r="BG63" s="231">
        <v>1.5790973599017523E-2</v>
      </c>
      <c r="BH63" s="230"/>
      <c r="BI63" s="231">
        <v>1.5790973599017523E-2</v>
      </c>
      <c r="BJ63" s="231">
        <v>1.5790973599017523E-2</v>
      </c>
      <c r="BK63" s="231">
        <v>1.5790973599017523E-2</v>
      </c>
      <c r="BL63" s="231">
        <v>1.5790973599017523E-2</v>
      </c>
      <c r="BM63" s="230"/>
      <c r="BN63" s="231">
        <v>1.5790973599017523E-2</v>
      </c>
      <c r="BO63" s="231">
        <v>1.5790973599017523E-2</v>
      </c>
      <c r="BP63" s="231">
        <v>1.5790973599017523E-2</v>
      </c>
      <c r="BQ63" s="231">
        <v>1.5790973599017523E-2</v>
      </c>
      <c r="BR63" s="230"/>
      <c r="XDL63" s="252"/>
      <c r="XDM63" s="252"/>
      <c r="XDN63" s="252"/>
      <c r="XDO63" s="252"/>
      <c r="XDP63" s="252"/>
      <c r="XDQ63" s="252"/>
      <c r="XDR63" s="252"/>
      <c r="XDS63" s="252"/>
      <c r="XDT63" s="252"/>
      <c r="XDU63" s="252"/>
      <c r="XDV63" s="252"/>
      <c r="XDW63" s="252"/>
      <c r="XDX63" s="252"/>
      <c r="XDY63" s="252"/>
      <c r="XDZ63" s="252"/>
      <c r="XEA63" s="252"/>
      <c r="XEB63" s="252"/>
      <c r="XEC63" s="252"/>
      <c r="XED63" s="252"/>
      <c r="XEE63" s="252"/>
      <c r="XEF63" s="252"/>
      <c r="XEG63" s="252"/>
      <c r="XEH63" s="252"/>
      <c r="XEI63" s="252"/>
      <c r="XEJ63" s="252"/>
      <c r="XEK63" s="252"/>
      <c r="XEL63" s="252"/>
      <c r="XEM63" s="252"/>
      <c r="XEN63" s="252"/>
      <c r="XEO63" s="252"/>
      <c r="XEP63" s="252"/>
      <c r="XEQ63" s="252"/>
      <c r="XER63" s="252"/>
      <c r="XES63" s="252"/>
      <c r="XET63" s="252"/>
      <c r="XEU63" s="252"/>
      <c r="XEV63" s="252"/>
      <c r="XEW63" s="252"/>
      <c r="XEX63" s="252"/>
      <c r="XEY63" s="252"/>
      <c r="XEZ63" s="252"/>
      <c r="XFA63" s="252"/>
      <c r="XFB63" s="252"/>
      <c r="XFC63" s="252"/>
      <c r="XFD63" s="252"/>
    </row>
    <row r="64" spans="1:70 16340:16384" s="117" customFormat="1">
      <c r="A64" s="127"/>
      <c r="B64" s="127"/>
      <c r="C64" s="129"/>
      <c r="D64" s="127"/>
      <c r="E64" s="127"/>
      <c r="F64" s="232"/>
      <c r="G64" s="232"/>
      <c r="H64" s="232"/>
      <c r="I64" s="227"/>
      <c r="J64" s="228"/>
      <c r="K64" s="227"/>
      <c r="L64" s="227"/>
      <c r="M64" s="227"/>
      <c r="N64" s="227"/>
      <c r="O64" s="228"/>
      <c r="P64" s="227"/>
      <c r="Q64" s="227"/>
      <c r="R64" s="227"/>
      <c r="S64" s="227"/>
      <c r="T64" s="228"/>
      <c r="U64" s="227"/>
      <c r="V64" s="227"/>
      <c r="W64" s="227"/>
      <c r="X64" s="227"/>
      <c r="Y64" s="228"/>
      <c r="Z64" s="227"/>
      <c r="AA64" s="227"/>
      <c r="AB64" s="227"/>
      <c r="AC64" s="227"/>
      <c r="AD64" s="230"/>
      <c r="AE64" s="227"/>
      <c r="AF64" s="227"/>
      <c r="AG64" s="227"/>
      <c r="AH64" s="227"/>
      <c r="AI64" s="230"/>
      <c r="AJ64" s="227"/>
      <c r="AK64" s="227"/>
      <c r="AL64" s="227"/>
      <c r="AM64" s="227"/>
      <c r="AN64" s="230"/>
      <c r="AO64" s="227"/>
      <c r="AP64" s="227"/>
      <c r="AQ64" s="227"/>
      <c r="AR64" s="227"/>
      <c r="AS64" s="230"/>
      <c r="AT64" s="227"/>
      <c r="AU64" s="227"/>
      <c r="AV64" s="227"/>
      <c r="AW64" s="227"/>
      <c r="AX64" s="230"/>
      <c r="AY64" s="227"/>
      <c r="AZ64" s="227"/>
      <c r="BA64" s="227"/>
      <c r="BB64" s="231"/>
      <c r="BC64" s="230"/>
      <c r="BD64" s="229"/>
      <c r="BE64" s="231"/>
      <c r="BF64" s="231"/>
      <c r="BG64" s="231"/>
      <c r="BH64" s="230"/>
      <c r="BI64" s="229"/>
      <c r="BJ64" s="231"/>
      <c r="BK64" s="231"/>
      <c r="BL64" s="231"/>
      <c r="BM64" s="230"/>
      <c r="BN64" s="229"/>
      <c r="BO64" s="231"/>
      <c r="BP64" s="231"/>
      <c r="BQ64" s="231"/>
      <c r="BR64" s="230"/>
      <c r="XDL64" s="252"/>
      <c r="XDM64" s="252"/>
      <c r="XDN64" s="252"/>
      <c r="XDO64" s="252"/>
      <c r="XDP64" s="252"/>
      <c r="XDQ64" s="252"/>
      <c r="XDR64" s="252"/>
      <c r="XDS64" s="252"/>
      <c r="XDT64" s="252"/>
      <c r="XDU64" s="252"/>
      <c r="XDV64" s="252"/>
      <c r="XDW64" s="252"/>
      <c r="XDX64" s="252"/>
      <c r="XDY64" s="252"/>
      <c r="XDZ64" s="252"/>
      <c r="XEA64" s="252"/>
      <c r="XEB64" s="252"/>
      <c r="XEC64" s="252"/>
      <c r="XED64" s="252"/>
      <c r="XEE64" s="252"/>
      <c r="XEF64" s="252"/>
      <c r="XEG64" s="252"/>
      <c r="XEH64" s="252"/>
      <c r="XEI64" s="252"/>
      <c r="XEJ64" s="252"/>
      <c r="XEK64" s="252"/>
      <c r="XEL64" s="252"/>
      <c r="XEM64" s="252"/>
      <c r="XEN64" s="252"/>
      <c r="XEO64" s="252"/>
      <c r="XEP64" s="252"/>
      <c r="XEQ64" s="252"/>
      <c r="XER64" s="252"/>
      <c r="XES64" s="252"/>
      <c r="XET64" s="252"/>
      <c r="XEU64" s="252"/>
      <c r="XEV64" s="252"/>
      <c r="XEW64" s="252"/>
      <c r="XEX64" s="252"/>
      <c r="XEY64" s="252"/>
      <c r="XEZ64" s="252"/>
      <c r="XFA64" s="252"/>
      <c r="XFB64" s="252"/>
      <c r="XFC64" s="252"/>
      <c r="XFD64" s="252"/>
    </row>
    <row r="65" spans="1:70 16340:16384" s="117" customFormat="1">
      <c r="A65" s="129"/>
      <c r="B65" s="129"/>
      <c r="C65" s="127"/>
      <c r="D65" s="129"/>
      <c r="E65" s="127"/>
      <c r="F65" s="232"/>
      <c r="G65" s="232"/>
      <c r="H65" s="232"/>
      <c r="I65" s="232"/>
      <c r="J65" s="228"/>
      <c r="K65" s="232"/>
      <c r="L65" s="232"/>
      <c r="M65" s="232"/>
      <c r="N65" s="232"/>
      <c r="O65" s="228"/>
      <c r="P65" s="232"/>
      <c r="Q65" s="232"/>
      <c r="R65" s="232"/>
      <c r="S65" s="232"/>
      <c r="T65" s="228"/>
      <c r="U65" s="232"/>
      <c r="V65" s="232"/>
      <c r="W65" s="232"/>
      <c r="X65" s="232"/>
      <c r="Y65" s="228"/>
      <c r="Z65" s="232"/>
      <c r="AA65" s="232"/>
      <c r="AB65" s="232"/>
      <c r="AC65" s="232"/>
      <c r="AD65" s="230"/>
      <c r="AE65" s="232"/>
      <c r="AF65" s="232"/>
      <c r="AG65" s="232"/>
      <c r="AH65" s="232"/>
      <c r="AI65" s="230"/>
      <c r="AJ65" s="232"/>
      <c r="AK65" s="232"/>
      <c r="AL65" s="232"/>
      <c r="AM65" s="232"/>
      <c r="AN65" s="230"/>
      <c r="AO65" s="232"/>
      <c r="AP65" s="232"/>
      <c r="AQ65" s="232"/>
      <c r="AR65" s="232"/>
      <c r="AS65" s="230"/>
      <c r="AT65" s="232"/>
      <c r="AU65" s="232"/>
      <c r="AV65" s="232"/>
      <c r="AW65" s="232"/>
      <c r="AX65" s="230"/>
      <c r="AY65" s="232"/>
      <c r="AZ65" s="232"/>
      <c r="BA65" s="232"/>
      <c r="BB65" s="231"/>
      <c r="BC65" s="230"/>
      <c r="BD65" s="231"/>
      <c r="BE65" s="231"/>
      <c r="BF65" s="231"/>
      <c r="BG65" s="231"/>
      <c r="BH65" s="230"/>
      <c r="BI65" s="231"/>
      <c r="BJ65" s="231"/>
      <c r="BK65" s="231"/>
      <c r="BL65" s="231"/>
      <c r="BM65" s="230"/>
      <c r="BN65" s="231"/>
      <c r="BO65" s="231"/>
      <c r="BP65" s="231"/>
      <c r="BQ65" s="231"/>
      <c r="BR65" s="230"/>
      <c r="XDL65" s="252"/>
      <c r="XDM65" s="252"/>
      <c r="XDN65" s="252"/>
      <c r="XDO65" s="252"/>
      <c r="XDP65" s="252"/>
      <c r="XDQ65" s="252"/>
      <c r="XDR65" s="252"/>
      <c r="XDS65" s="252"/>
      <c r="XDT65" s="252"/>
      <c r="XDU65" s="252"/>
      <c r="XDV65" s="252"/>
      <c r="XDW65" s="252"/>
      <c r="XDX65" s="252"/>
      <c r="XDY65" s="252"/>
      <c r="XDZ65" s="252"/>
      <c r="XEA65" s="252"/>
      <c r="XEB65" s="252"/>
      <c r="XEC65" s="252"/>
      <c r="XED65" s="252"/>
      <c r="XEE65" s="252"/>
      <c r="XEF65" s="252"/>
      <c r="XEG65" s="252"/>
      <c r="XEH65" s="252"/>
      <c r="XEI65" s="252"/>
      <c r="XEJ65" s="252"/>
      <c r="XEK65" s="252"/>
      <c r="XEL65" s="252"/>
      <c r="XEM65" s="252"/>
      <c r="XEN65" s="252"/>
      <c r="XEO65" s="252"/>
      <c r="XEP65" s="252"/>
      <c r="XEQ65" s="252"/>
      <c r="XER65" s="252"/>
      <c r="XES65" s="252"/>
      <c r="XET65" s="252"/>
      <c r="XEU65" s="252"/>
      <c r="XEV65" s="252"/>
      <c r="XEW65" s="252"/>
      <c r="XEX65" s="252"/>
      <c r="XEY65" s="252"/>
      <c r="XEZ65" s="252"/>
      <c r="XFA65" s="252"/>
      <c r="XFB65" s="252"/>
      <c r="XFC65" s="252"/>
      <c r="XFD65" s="252"/>
    </row>
    <row r="66" spans="1:70 16340:16384" s="117" customFormat="1">
      <c r="A66" s="127"/>
      <c r="B66" s="127"/>
      <c r="C66" s="226" t="s">
        <v>73</v>
      </c>
      <c r="D66" s="127"/>
      <c r="E66" s="127"/>
      <c r="F66" s="232"/>
      <c r="G66" s="232"/>
      <c r="H66" s="232"/>
      <c r="I66" s="232">
        <f>I15/I$50</f>
        <v>2.7547113193569665E-2</v>
      </c>
      <c r="J66" s="228"/>
      <c r="K66" s="232">
        <f>K15/K$50</f>
        <v>2.9880071498706189E-2</v>
      </c>
      <c r="L66" s="232">
        <f>L15/L$50</f>
        <v>3.0869317588740227E-2</v>
      </c>
      <c r="M66" s="232">
        <f>M15/M$50</f>
        <v>2.038631893503896E-2</v>
      </c>
      <c r="N66" s="232">
        <f>N15/N$50</f>
        <v>1.6766868918878557E-2</v>
      </c>
      <c r="O66" s="228"/>
      <c r="P66" s="232">
        <f>P15/P$50</f>
        <v>1.1531651934117376E-2</v>
      </c>
      <c r="Q66" s="232">
        <f>Q15/Q$50</f>
        <v>1.1075005084887714E-2</v>
      </c>
      <c r="R66" s="232">
        <f>R15/R$50</f>
        <v>1.1255503056517298E-2</v>
      </c>
      <c r="S66" s="232">
        <f>S15/S$50</f>
        <v>1.1257041579522269E-2</v>
      </c>
      <c r="T66" s="228"/>
      <c r="U66" s="232">
        <f>U15/U$50</f>
        <v>1.1041147556040094E-2</v>
      </c>
      <c r="V66" s="232">
        <f>V15/V$50</f>
        <v>1.0865615045976324E-2</v>
      </c>
      <c r="W66" s="232">
        <f>W15/W$50</f>
        <v>1.1044535850535213E-2</v>
      </c>
      <c r="X66" s="232">
        <f>X15/X$50</f>
        <v>1.1083964449314986E-2</v>
      </c>
      <c r="Y66" s="228"/>
      <c r="Z66" s="232">
        <f>Z15/Z$50</f>
        <v>1.1184934087357183E-2</v>
      </c>
      <c r="AA66" s="232">
        <f>AA15/AA$50</f>
        <v>0</v>
      </c>
      <c r="AB66" s="232">
        <f>AB15/AB$50</f>
        <v>0</v>
      </c>
      <c r="AC66" s="232">
        <f>AC15/AC$50</f>
        <v>0</v>
      </c>
      <c r="AD66" s="230"/>
      <c r="AE66" s="232">
        <f>AE15/AE$50</f>
        <v>0</v>
      </c>
      <c r="AF66" s="232">
        <f>AF15/AF$50</f>
        <v>0</v>
      </c>
      <c r="AG66" s="232">
        <f>AG15/AG$50</f>
        <v>0</v>
      </c>
      <c r="AH66" s="232">
        <f>AH15/AH$50</f>
        <v>0</v>
      </c>
      <c r="AI66" s="230"/>
      <c r="AJ66" s="232">
        <f>AJ15/AJ$50</f>
        <v>0</v>
      </c>
      <c r="AK66" s="232">
        <f>AK15/AK$50</f>
        <v>0</v>
      </c>
      <c r="AL66" s="232">
        <f>AL15/AL$50</f>
        <v>0</v>
      </c>
      <c r="AM66" s="232">
        <f>AM15/AM$50</f>
        <v>0</v>
      </c>
      <c r="AN66" s="230"/>
      <c r="AO66" s="232">
        <f>AO15/AO$50</f>
        <v>0</v>
      </c>
      <c r="AP66" s="232">
        <f>AP15/AP$50</f>
        <v>0</v>
      </c>
      <c r="AQ66" s="232">
        <f>AQ15/AQ$50</f>
        <v>0</v>
      </c>
      <c r="AR66" s="232">
        <f>AR15/AR$50</f>
        <v>0</v>
      </c>
      <c r="AS66" s="230"/>
      <c r="AT66" s="232">
        <f>AT15/AT$50</f>
        <v>0</v>
      </c>
      <c r="AU66" s="232">
        <f>AU15/AU$50</f>
        <v>0</v>
      </c>
      <c r="AV66" s="232">
        <f>AV15/AV$50</f>
        <v>0</v>
      </c>
      <c r="AW66" s="232">
        <f>AW15/AW$50</f>
        <v>0</v>
      </c>
      <c r="AX66" s="230"/>
      <c r="AY66" s="232">
        <f>AY15/AY$50</f>
        <v>0</v>
      </c>
      <c r="AZ66" s="232">
        <f>AZ15/AZ$50</f>
        <v>0</v>
      </c>
      <c r="BA66" s="232">
        <f>BA15/BA$50</f>
        <v>0</v>
      </c>
      <c r="BB66" s="231">
        <v>0</v>
      </c>
      <c r="BC66" s="230"/>
      <c r="BD66" s="231">
        <v>0</v>
      </c>
      <c r="BE66" s="231">
        <v>0</v>
      </c>
      <c r="BF66" s="231">
        <v>0</v>
      </c>
      <c r="BG66" s="231">
        <v>0</v>
      </c>
      <c r="BH66" s="230"/>
      <c r="BI66" s="231">
        <v>0</v>
      </c>
      <c r="BJ66" s="231">
        <v>0</v>
      </c>
      <c r="BK66" s="231">
        <v>0</v>
      </c>
      <c r="BL66" s="231">
        <v>0</v>
      </c>
      <c r="BM66" s="230"/>
      <c r="BN66" s="231">
        <v>0</v>
      </c>
      <c r="BO66" s="231">
        <v>0</v>
      </c>
      <c r="BP66" s="231">
        <v>0</v>
      </c>
      <c r="BQ66" s="231">
        <v>0</v>
      </c>
      <c r="BR66" s="230"/>
      <c r="XDL66" s="252"/>
      <c r="XDM66" s="252"/>
      <c r="XDN66" s="252"/>
      <c r="XDO66" s="252"/>
      <c r="XDP66" s="252"/>
      <c r="XDQ66" s="252"/>
      <c r="XDR66" s="252"/>
      <c r="XDS66" s="252"/>
      <c r="XDT66" s="252"/>
      <c r="XDU66" s="252"/>
      <c r="XDV66" s="252"/>
      <c r="XDW66" s="252"/>
      <c r="XDX66" s="252"/>
      <c r="XDY66" s="252"/>
      <c r="XDZ66" s="252"/>
      <c r="XEA66" s="252"/>
      <c r="XEB66" s="252"/>
      <c r="XEC66" s="252"/>
      <c r="XED66" s="252"/>
      <c r="XEE66" s="252"/>
      <c r="XEF66" s="252"/>
      <c r="XEG66" s="252"/>
      <c r="XEH66" s="252"/>
      <c r="XEI66" s="252"/>
      <c r="XEJ66" s="252"/>
      <c r="XEK66" s="252"/>
      <c r="XEL66" s="252"/>
      <c r="XEM66" s="252"/>
      <c r="XEN66" s="252"/>
      <c r="XEO66" s="252"/>
      <c r="XEP66" s="252"/>
      <c r="XEQ66" s="252"/>
      <c r="XER66" s="252"/>
      <c r="XES66" s="252"/>
      <c r="XET66" s="252"/>
      <c r="XEU66" s="252"/>
      <c r="XEV66" s="252"/>
      <c r="XEW66" s="252"/>
      <c r="XEX66" s="252"/>
      <c r="XEY66" s="252"/>
      <c r="XEZ66" s="252"/>
      <c r="XFA66" s="252"/>
      <c r="XFB66" s="252"/>
      <c r="XFC66" s="252"/>
      <c r="XFD66" s="252"/>
    </row>
    <row r="67" spans="1:70 16340:16384" s="117" customFormat="1">
      <c r="A67" s="127"/>
      <c r="B67" s="127"/>
      <c r="C67" s="226" t="s">
        <v>71</v>
      </c>
      <c r="D67" s="127"/>
      <c r="E67" s="127"/>
      <c r="F67" s="232"/>
      <c r="G67" s="232"/>
      <c r="H67" s="232"/>
      <c r="I67" s="232">
        <f>I18/I$50</f>
        <v>0.11328953085292932</v>
      </c>
      <c r="J67" s="228"/>
      <c r="K67" s="232">
        <f>K18/K$50</f>
        <v>0.12661794302887613</v>
      </c>
      <c r="L67" s="232">
        <f>L18/L$50</f>
        <v>0.14882066169604186</v>
      </c>
      <c r="M67" s="232">
        <f>M18/M$50</f>
        <v>0.14364692613793545</v>
      </c>
      <c r="N67" s="232">
        <f>N18/N$50</f>
        <v>0.13222149778934358</v>
      </c>
      <c r="O67" s="228"/>
      <c r="P67" s="232">
        <f>P18/P$50</f>
        <v>0.12208880789682582</v>
      </c>
      <c r="Q67" s="232">
        <f>Q18/Q$50</f>
        <v>0.11689044160754238</v>
      </c>
      <c r="R67" s="232">
        <f>R18/R$50</f>
        <v>0.11870381390421719</v>
      </c>
      <c r="S67" s="232">
        <f>S18/S$50</f>
        <v>0.11798575254452727</v>
      </c>
      <c r="T67" s="228"/>
      <c r="U67" s="232">
        <f>U18/U$50</f>
        <v>0.11626925008319686</v>
      </c>
      <c r="V67" s="232">
        <f>V18/V$50</f>
        <v>0.11537675979626182</v>
      </c>
      <c r="W67" s="232">
        <f>W18/W$50</f>
        <v>0.11772263450945562</v>
      </c>
      <c r="X67" s="232">
        <f>X18/X$50</f>
        <v>0.11929217620541079</v>
      </c>
      <c r="Y67" s="228"/>
      <c r="Z67" s="232">
        <f>Z18/Z$50</f>
        <v>0.12486367130605128</v>
      </c>
      <c r="AA67" s="232">
        <f>AA18/AA$50</f>
        <v>0.12700681293474253</v>
      </c>
      <c r="AB67" s="232">
        <f>AB18/AB$50</f>
        <v>0.12004880490181272</v>
      </c>
      <c r="AC67" s="232">
        <f>AC18/AC$50</f>
        <v>0.11744561649699521</v>
      </c>
      <c r="AD67" s="230"/>
      <c r="AE67" s="232">
        <f t="shared" ref="AE67:AH68" si="307">AE18/AE$50</f>
        <v>0.11374331194182914</v>
      </c>
      <c r="AF67" s="232">
        <f t="shared" si="307"/>
        <v>0.11131873142516284</v>
      </c>
      <c r="AG67" s="232">
        <f t="shared" si="307"/>
        <v>0.10798251515436595</v>
      </c>
      <c r="AH67" s="232">
        <f t="shared" si="307"/>
        <v>0.10639731310329578</v>
      </c>
      <c r="AI67" s="230"/>
      <c r="AJ67" s="232">
        <f>AJ18/AJ$50</f>
        <v>0.10525418595385327</v>
      </c>
      <c r="AK67" s="232">
        <f>AK18/AK$50</f>
        <v>0.10411927746173003</v>
      </c>
      <c r="AL67" s="232">
        <f>AL18/AL$50</f>
        <v>0.10118862641220293</v>
      </c>
      <c r="AM67" s="232">
        <f>AM18/AM$50</f>
        <v>9.7252066035770746E-2</v>
      </c>
      <c r="AN67" s="230"/>
      <c r="AO67" s="232">
        <f>AO18/AO$50</f>
        <v>9.3602151962419555E-2</v>
      </c>
      <c r="AP67" s="232">
        <f>AP18/AP$50</f>
        <v>9.2229257159684899E-2</v>
      </c>
      <c r="AQ67" s="232">
        <f>AQ18/AQ$50</f>
        <v>9.3039343851329295E-2</v>
      </c>
      <c r="AR67" s="232">
        <f>AR18/AR$50</f>
        <v>9.8271717360266797E-2</v>
      </c>
      <c r="AS67" s="230"/>
      <c r="AT67" s="232">
        <f>AT18/AT$50</f>
        <v>0.1013662587620445</v>
      </c>
      <c r="AU67" s="232">
        <f>AU18/AU$50</f>
        <v>0.10804538569516389</v>
      </c>
      <c r="AV67" s="232">
        <f>AV18/AV$50</f>
        <v>0.110763575144598</v>
      </c>
      <c r="AW67" s="232">
        <f>AW18/AW$50</f>
        <v>0.11014730186038806</v>
      </c>
      <c r="AX67" s="230"/>
      <c r="AY67" s="232">
        <f>AY18/AY$50</f>
        <v>0.11241272220959074</v>
      </c>
      <c r="AZ67" s="232">
        <f>AZ18/AZ$50</f>
        <v>0.11449978281087601</v>
      </c>
      <c r="BA67" s="232">
        <f>BA18/BA$50</f>
        <v>0.11443924018336812</v>
      </c>
      <c r="BB67" s="231">
        <v>0.12004880490181272</v>
      </c>
      <c r="BC67" s="230"/>
      <c r="BD67" s="231">
        <v>0.12004880490181272</v>
      </c>
      <c r="BE67" s="231">
        <v>0.12004880490181272</v>
      </c>
      <c r="BF67" s="231">
        <v>0.12004880490181272</v>
      </c>
      <c r="BG67" s="231">
        <v>0.12004880490181272</v>
      </c>
      <c r="BH67" s="230"/>
      <c r="BI67" s="231">
        <v>0.12004880490181272</v>
      </c>
      <c r="BJ67" s="231">
        <v>0.12004880490181272</v>
      </c>
      <c r="BK67" s="231">
        <v>0.12004880490181272</v>
      </c>
      <c r="BL67" s="231">
        <v>0.12004880490181272</v>
      </c>
      <c r="BM67" s="230"/>
      <c r="BN67" s="231">
        <v>0.12004880490181272</v>
      </c>
      <c r="BO67" s="231">
        <v>0.12004880490181272</v>
      </c>
      <c r="BP67" s="231">
        <v>0.12004880490181272</v>
      </c>
      <c r="BQ67" s="231">
        <v>0.12004880490181272</v>
      </c>
      <c r="BR67" s="230"/>
      <c r="XDL67" s="252"/>
      <c r="XDM67" s="252"/>
      <c r="XDN67" s="252"/>
      <c r="XDO67" s="252"/>
      <c r="XDP67" s="252"/>
      <c r="XDQ67" s="252"/>
      <c r="XDR67" s="252"/>
      <c r="XDS67" s="252"/>
      <c r="XDT67" s="252"/>
      <c r="XDU67" s="252"/>
      <c r="XDV67" s="252"/>
      <c r="XDW67" s="252"/>
      <c r="XDX67" s="252"/>
      <c r="XDY67" s="252"/>
      <c r="XDZ67" s="252"/>
      <c r="XEA67" s="252"/>
      <c r="XEB67" s="252"/>
      <c r="XEC67" s="252"/>
      <c r="XED67" s="252"/>
      <c r="XEE67" s="252"/>
      <c r="XEF67" s="252"/>
      <c r="XEG67" s="252"/>
      <c r="XEH67" s="252"/>
      <c r="XEI67" s="252"/>
      <c r="XEJ67" s="252"/>
      <c r="XEK67" s="252"/>
      <c r="XEL67" s="252"/>
      <c r="XEM67" s="252"/>
      <c r="XEN67" s="252"/>
      <c r="XEO67" s="252"/>
      <c r="XEP67" s="252"/>
      <c r="XEQ67" s="252"/>
      <c r="XER67" s="252"/>
      <c r="XES67" s="252"/>
      <c r="XET67" s="252"/>
      <c r="XEU67" s="252"/>
      <c r="XEV67" s="252"/>
      <c r="XEW67" s="252"/>
      <c r="XEX67" s="252"/>
      <c r="XEY67" s="252"/>
      <c r="XEZ67" s="252"/>
      <c r="XFA67" s="252"/>
      <c r="XFB67" s="252"/>
      <c r="XFC67" s="252"/>
      <c r="XFD67" s="252"/>
    </row>
    <row r="68" spans="1:70 16340:16384" s="117" customFormat="1">
      <c r="A68" s="127"/>
      <c r="B68" s="127"/>
      <c r="C68" s="226" t="s">
        <v>6</v>
      </c>
      <c r="D68" s="127"/>
      <c r="E68" s="127"/>
      <c r="F68" s="232"/>
      <c r="G68" s="232"/>
      <c r="H68" s="232"/>
      <c r="I68" s="232">
        <f>I19/I$50</f>
        <v>0.19439799200427604</v>
      </c>
      <c r="J68" s="228"/>
      <c r="K68" s="232">
        <f>K19/K$50</f>
        <v>0.22086651495342818</v>
      </c>
      <c r="L68" s="232">
        <f t="shared" ref="L68:N68" si="308">L19/L$50</f>
        <v>0.24206646383453606</v>
      </c>
      <c r="M68" s="232">
        <f t="shared" si="308"/>
        <v>0.26798459345008835</v>
      </c>
      <c r="N68" s="232">
        <f t="shared" si="308"/>
        <v>0.24018456983082981</v>
      </c>
      <c r="O68" s="228"/>
      <c r="P68" s="232">
        <f t="shared" ref="P68:S68" si="309">P19/P$50</f>
        <v>0.22269246121026659</v>
      </c>
      <c r="Q68" s="232">
        <f t="shared" si="309"/>
        <v>0.13654921573084791</v>
      </c>
      <c r="R68" s="232">
        <f t="shared" si="309"/>
        <v>0.13877466450293563</v>
      </c>
      <c r="S68" s="232">
        <f t="shared" si="309"/>
        <v>0.13879363371406486</v>
      </c>
      <c r="T68" s="228"/>
      <c r="U68" s="232">
        <f t="shared" ref="U68:X68" si="310">U19/U$50</f>
        <v>0.13613176951070705</v>
      </c>
      <c r="V68" s="232">
        <f t="shared" si="310"/>
        <v>0.13396754237033479</v>
      </c>
      <c r="W68" s="232">
        <f t="shared" si="310"/>
        <v>0.13648042430413554</v>
      </c>
      <c r="X68" s="232">
        <f t="shared" si="310"/>
        <v>0.13836240011188619</v>
      </c>
      <c r="Y68" s="228"/>
      <c r="Z68" s="232">
        <f t="shared" ref="Z68:AB68" si="311">Z19/Z$50</f>
        <v>0.13962281568988907</v>
      </c>
      <c r="AA68" s="232">
        <f t="shared" si="311"/>
        <v>0.14030865669150305</v>
      </c>
      <c r="AB68" s="232">
        <f t="shared" si="311"/>
        <v>0.13326717881743336</v>
      </c>
      <c r="AC68" s="232">
        <f t="shared" ref="AC68" si="312">AC19/AC$50</f>
        <v>0.13022390044852214</v>
      </c>
      <c r="AD68" s="230"/>
      <c r="AE68" s="232">
        <f t="shared" si="307"/>
        <v>0.12707739542234989</v>
      </c>
      <c r="AF68" s="232">
        <f t="shared" si="307"/>
        <v>0.12108242855330337</v>
      </c>
      <c r="AG68" s="232">
        <f t="shared" si="307"/>
        <v>0.11886695957081542</v>
      </c>
      <c r="AH68" s="232">
        <f t="shared" si="307"/>
        <v>0.11889225261316394</v>
      </c>
      <c r="AI68" s="230"/>
      <c r="AJ68" s="232">
        <f t="shared" ref="AJ68:AM68" si="313">AJ19/AJ$50</f>
        <v>0.11843722769839753</v>
      </c>
      <c r="AK68" s="232">
        <f t="shared" si="313"/>
        <v>0.12004533357793599</v>
      </c>
      <c r="AL68" s="232">
        <f t="shared" si="313"/>
        <v>0.12023682094639587</v>
      </c>
      <c r="AM68" s="232">
        <f t="shared" si="313"/>
        <v>0.11911630050148464</v>
      </c>
      <c r="AN68" s="230"/>
      <c r="AO68" s="232">
        <f t="shared" ref="AO68:AP68" si="314">AO19/AO$50</f>
        <v>0.11834539061569115</v>
      </c>
      <c r="AP68" s="232">
        <f t="shared" si="314"/>
        <v>0.11832138265915783</v>
      </c>
      <c r="AQ68" s="232">
        <f t="shared" ref="AQ68:AR68" si="315">AQ19/AQ$50</f>
        <v>0.12160418596810178</v>
      </c>
      <c r="AR68" s="232">
        <f t="shared" si="315"/>
        <v>0.12297255028579789</v>
      </c>
      <c r="AS68" s="230"/>
      <c r="AT68" s="232">
        <f t="shared" ref="AT68:AW68" si="316">AT19/AT$50</f>
        <v>0.12532254156649</v>
      </c>
      <c r="AU68" s="232">
        <f t="shared" si="316"/>
        <v>0.12883284803121201</v>
      </c>
      <c r="AV68" s="232">
        <f t="shared" si="316"/>
        <v>0.13103663926050399</v>
      </c>
      <c r="AW68" s="232">
        <f t="shared" si="316"/>
        <v>0.13132444167481166</v>
      </c>
      <c r="AX68" s="230"/>
      <c r="AY68" s="232">
        <f t="shared" ref="AY68:BA68" si="317">AY19/AY$50</f>
        <v>0.13341093132873871</v>
      </c>
      <c r="AZ68" s="232">
        <f t="shared" si="317"/>
        <v>4.6727664883217862E-2</v>
      </c>
      <c r="BA68" s="232">
        <f t="shared" si="317"/>
        <v>4.603343826876951E-2</v>
      </c>
      <c r="BB68" s="231">
        <v>0.13326717881743336</v>
      </c>
      <c r="BC68" s="230"/>
      <c r="BD68" s="231">
        <v>0.13326717881743336</v>
      </c>
      <c r="BE68" s="231">
        <v>0.13326717881743336</v>
      </c>
      <c r="BF68" s="231">
        <v>0.13326717881743336</v>
      </c>
      <c r="BG68" s="231">
        <v>0.13326717881743336</v>
      </c>
      <c r="BH68" s="230"/>
      <c r="BI68" s="231">
        <v>0.13326717881743336</v>
      </c>
      <c r="BJ68" s="231">
        <v>0.13326717881743336</v>
      </c>
      <c r="BK68" s="231">
        <v>0.13326717881743336</v>
      </c>
      <c r="BL68" s="231">
        <v>0.13326717881743336</v>
      </c>
      <c r="BM68" s="230"/>
      <c r="BN68" s="231">
        <v>0.13326717881743336</v>
      </c>
      <c r="BO68" s="231">
        <v>0.13326717881743336</v>
      </c>
      <c r="BP68" s="231">
        <v>0.13326717881743336</v>
      </c>
      <c r="BQ68" s="231">
        <v>0.13326717881743336</v>
      </c>
      <c r="BR68" s="230"/>
      <c r="XDL68" s="252"/>
      <c r="XDM68" s="252"/>
      <c r="XDN68" s="252"/>
      <c r="XDO68" s="252"/>
      <c r="XDP68" s="252"/>
      <c r="XDQ68" s="252"/>
      <c r="XDR68" s="252"/>
      <c r="XDS68" s="252"/>
      <c r="XDT68" s="252"/>
      <c r="XDU68" s="252"/>
      <c r="XDV68" s="252"/>
      <c r="XDW68" s="252"/>
      <c r="XDX68" s="252"/>
      <c r="XDY68" s="252"/>
      <c r="XDZ68" s="252"/>
      <c r="XEA68" s="252"/>
      <c r="XEB68" s="252"/>
      <c r="XEC68" s="252"/>
      <c r="XED68" s="252"/>
      <c r="XEE68" s="252"/>
      <c r="XEF68" s="252"/>
      <c r="XEG68" s="252"/>
      <c r="XEH68" s="252"/>
      <c r="XEI68" s="252"/>
      <c r="XEJ68" s="252"/>
      <c r="XEK68" s="252"/>
      <c r="XEL68" s="252"/>
      <c r="XEM68" s="252"/>
      <c r="XEN68" s="252"/>
      <c r="XEO68" s="252"/>
      <c r="XEP68" s="252"/>
      <c r="XEQ68" s="252"/>
      <c r="XER68" s="252"/>
      <c r="XES68" s="252"/>
      <c r="XET68" s="252"/>
      <c r="XEU68" s="252"/>
      <c r="XEV68" s="252"/>
      <c r="XEW68" s="252"/>
      <c r="XEX68" s="252"/>
      <c r="XEY68" s="252"/>
      <c r="XEZ68" s="252"/>
      <c r="XFA68" s="252"/>
      <c r="XFB68" s="252"/>
      <c r="XFC68" s="252"/>
      <c r="XFD68" s="252"/>
    </row>
    <row r="69" spans="1:70 16340:16384" s="117" customFormat="1">
      <c r="A69" s="127"/>
      <c r="B69" s="127"/>
      <c r="C69" s="226" t="s">
        <v>72</v>
      </c>
      <c r="D69" s="127"/>
      <c r="E69" s="127"/>
      <c r="F69" s="232"/>
      <c r="G69" s="232"/>
      <c r="H69" s="232"/>
      <c r="I69" s="232">
        <f>I20/I$50</f>
        <v>4.1432416127731526E-2</v>
      </c>
      <c r="J69" s="228"/>
      <c r="K69" s="232">
        <f>K20/K$50</f>
        <v>5.1223899988607942E-2</v>
      </c>
      <c r="L69" s="232">
        <f t="shared" ref="L69:N69" si="318">L20/L$50</f>
        <v>5.6116033242425492E-2</v>
      </c>
      <c r="M69" s="232">
        <f t="shared" si="318"/>
        <v>6.1734118455332256E-2</v>
      </c>
      <c r="N69" s="232">
        <f t="shared" si="318"/>
        <v>5.3278286001974533E-2</v>
      </c>
      <c r="O69" s="228"/>
      <c r="P69" s="232">
        <f t="shared" ref="P69:S69" si="319">P20/P$50</f>
        <v>4.8076994948626682E-2</v>
      </c>
      <c r="Q69" s="232">
        <f t="shared" si="319"/>
        <v>3.1996506383029637E-2</v>
      </c>
      <c r="R69" s="232">
        <f t="shared" si="319"/>
        <v>3.1636905637673629E-2</v>
      </c>
      <c r="S69" s="232">
        <f t="shared" si="319"/>
        <v>3.0845651106380177E-2</v>
      </c>
      <c r="T69" s="228"/>
      <c r="U69" s="232">
        <f t="shared" ref="U69:X69" si="320">U20/U$50</f>
        <v>2.9473993079452705E-2</v>
      </c>
      <c r="V69" s="232">
        <f t="shared" si="320"/>
        <v>2.8237734013462357E-2</v>
      </c>
      <c r="W69" s="232">
        <f t="shared" si="320"/>
        <v>2.7922155864380557E-2</v>
      </c>
      <c r="X69" s="232">
        <f t="shared" si="320"/>
        <v>2.7238729478752163E-2</v>
      </c>
      <c r="Y69" s="228"/>
      <c r="Z69" s="232">
        <f t="shared" ref="Z69:AB69" si="321">Z20/Z$50</f>
        <v>2.6600196182820741E-2</v>
      </c>
      <c r="AA69" s="232">
        <f t="shared" si="321"/>
        <v>2.5519844237402695E-2</v>
      </c>
      <c r="AB69" s="232">
        <f t="shared" si="321"/>
        <v>2.3538842883708149E-2</v>
      </c>
      <c r="AC69" s="232">
        <f t="shared" ref="AC69" si="322">AC20/AC$50</f>
        <v>2.2316808572161891E-2</v>
      </c>
      <c r="AD69" s="230"/>
      <c r="AE69" s="232">
        <f t="shared" ref="AE69:AG69" si="323">AE20/AE$50</f>
        <v>2.1572741504854637E-2</v>
      </c>
      <c r="AF69" s="232">
        <f t="shared" si="323"/>
        <v>2.0359853286857479E-2</v>
      </c>
      <c r="AG69" s="232">
        <f t="shared" si="323"/>
        <v>1.9795717541677679E-2</v>
      </c>
      <c r="AH69" s="232">
        <f>AH20/AH$50</f>
        <v>1.962006896899322E-2</v>
      </c>
      <c r="AI69" s="230"/>
      <c r="AJ69" s="232">
        <f t="shared" ref="AJ69:AM69" si="324">AJ20/AJ$50</f>
        <v>1.9365604076304374E-2</v>
      </c>
      <c r="AK69" s="232">
        <f t="shared" si="324"/>
        <v>1.9446734174544941E-2</v>
      </c>
      <c r="AL69" s="232">
        <f t="shared" si="324"/>
        <v>1.9295859291888432E-2</v>
      </c>
      <c r="AM69" s="232">
        <f t="shared" si="324"/>
        <v>1.8935632451182668E-2</v>
      </c>
      <c r="AN69" s="230"/>
      <c r="AO69" s="232">
        <f t="shared" ref="AO69:AP69" si="325">AO20/AO$50</f>
        <v>1.863384696054729E-2</v>
      </c>
      <c r="AP69" s="232">
        <f t="shared" si="325"/>
        <v>1.8451069654780178E-2</v>
      </c>
      <c r="AQ69" s="232">
        <f t="shared" ref="AQ69:AR69" si="326">AQ20/AQ$50</f>
        <v>1.8778819636650422E-2</v>
      </c>
      <c r="AR69" s="232">
        <f t="shared" si="326"/>
        <v>1.8803886649480114E-2</v>
      </c>
      <c r="AS69" s="230"/>
      <c r="AT69" s="232">
        <f t="shared" ref="AT69:AW69" si="327">AT20/AT$50</f>
        <v>1.8973423967379627E-2</v>
      </c>
      <c r="AU69" s="232">
        <f t="shared" si="327"/>
        <v>1.9309973938593388E-2</v>
      </c>
      <c r="AV69" s="232">
        <f t="shared" si="327"/>
        <v>1.9441829960537095E-2</v>
      </c>
      <c r="AW69" s="232">
        <f t="shared" si="327"/>
        <v>1.9285638281871891E-2</v>
      </c>
      <c r="AX69" s="230"/>
      <c r="AY69" s="232">
        <f t="shared" ref="AY69:BA69" si="328">AY20/AY$50</f>
        <v>1.9390224796253949E-2</v>
      </c>
      <c r="AZ69" s="232">
        <f t="shared" si="328"/>
        <v>1.9165488090132011E-2</v>
      </c>
      <c r="BA69" s="232">
        <f t="shared" si="328"/>
        <v>1.8681933429988529E-2</v>
      </c>
      <c r="BB69" s="231">
        <v>2.3538842883708149E-2</v>
      </c>
      <c r="BC69" s="230"/>
      <c r="BD69" s="231">
        <v>2.3538842883708149E-2</v>
      </c>
      <c r="BE69" s="231">
        <v>2.3538842883708149E-2</v>
      </c>
      <c r="BF69" s="231">
        <v>2.3538842883708149E-2</v>
      </c>
      <c r="BG69" s="231">
        <v>2.3538842883708149E-2</v>
      </c>
      <c r="BH69" s="230"/>
      <c r="BI69" s="231">
        <v>2.3538842883708149E-2</v>
      </c>
      <c r="BJ69" s="231">
        <v>2.3538842883708149E-2</v>
      </c>
      <c r="BK69" s="231">
        <v>2.3538842883708149E-2</v>
      </c>
      <c r="BL69" s="231">
        <v>2.3538842883708149E-2</v>
      </c>
      <c r="BM69" s="230"/>
      <c r="BN69" s="231">
        <v>2.3538842883708149E-2</v>
      </c>
      <c r="BO69" s="231">
        <v>2.3538842883708149E-2</v>
      </c>
      <c r="BP69" s="231">
        <v>2.3538842883708149E-2</v>
      </c>
      <c r="BQ69" s="231">
        <v>2.3538842883708149E-2</v>
      </c>
      <c r="BR69" s="230"/>
      <c r="XDL69" s="252"/>
      <c r="XDM69" s="252"/>
      <c r="XDN69" s="252"/>
      <c r="XDO69" s="252"/>
      <c r="XDP69" s="252"/>
      <c r="XDQ69" s="252"/>
      <c r="XDR69" s="252"/>
      <c r="XDS69" s="252"/>
      <c r="XDT69" s="252"/>
      <c r="XDU69" s="252"/>
      <c r="XDV69" s="252"/>
      <c r="XDW69" s="252"/>
      <c r="XDX69" s="252"/>
      <c r="XDY69" s="252"/>
      <c r="XDZ69" s="252"/>
      <c r="XEA69" s="252"/>
      <c r="XEB69" s="252"/>
      <c r="XEC69" s="252"/>
      <c r="XED69" s="252"/>
      <c r="XEE69" s="252"/>
      <c r="XEF69" s="252"/>
      <c r="XEG69" s="252"/>
      <c r="XEH69" s="252"/>
      <c r="XEI69" s="252"/>
      <c r="XEJ69" s="252"/>
      <c r="XEK69" s="252"/>
      <c r="XEL69" s="252"/>
      <c r="XEM69" s="252"/>
      <c r="XEN69" s="252"/>
      <c r="XEO69" s="252"/>
      <c r="XEP69" s="252"/>
      <c r="XEQ69" s="252"/>
      <c r="XER69" s="252"/>
      <c r="XES69" s="252"/>
      <c r="XET69" s="252"/>
      <c r="XEU69" s="252"/>
      <c r="XEV69" s="252"/>
      <c r="XEW69" s="252"/>
      <c r="XEX69" s="252"/>
      <c r="XEY69" s="252"/>
      <c r="XEZ69" s="252"/>
      <c r="XFA69" s="252"/>
      <c r="XFB69" s="252"/>
      <c r="XFC69" s="252"/>
      <c r="XFD69" s="252"/>
    </row>
    <row r="70" spans="1:70 16340:16384" s="117" customFormat="1">
      <c r="A70" s="127"/>
      <c r="B70" s="127"/>
      <c r="C70" s="226" t="s">
        <v>7</v>
      </c>
      <c r="D70" s="127"/>
      <c r="E70" s="127"/>
      <c r="F70" s="232"/>
      <c r="G70" s="232"/>
      <c r="H70" s="232"/>
      <c r="I70" s="232">
        <f>I21/I$50</f>
        <v>4.1075765579627471E-3</v>
      </c>
      <c r="J70" s="228"/>
      <c r="K70" s="232">
        <f>K21/K$50</f>
        <v>5.3040864928202928E-3</v>
      </c>
      <c r="L70" s="232">
        <f>L21/L$50</f>
        <v>7.3445500482327616E-3</v>
      </c>
      <c r="M70" s="232">
        <f>M21/M$50</f>
        <v>6.5012722259546254E-3</v>
      </c>
      <c r="N70" s="232">
        <f>N21/N$50</f>
        <v>5.0598482314614165E-3</v>
      </c>
      <c r="O70" s="228"/>
      <c r="P70" s="232">
        <f>P21/P$50</f>
        <v>4.49476051447567E-3</v>
      </c>
      <c r="Q70" s="232">
        <f>Q21/Q$50</f>
        <v>8.387552194876826E-3</v>
      </c>
      <c r="R70" s="232">
        <f>R21/R$50</f>
        <v>9.7591629250057092E-3</v>
      </c>
      <c r="S70" s="232">
        <f>S21/S$50</f>
        <v>2.0848499235431799E-2</v>
      </c>
      <c r="T70" s="228"/>
      <c r="U70" s="232">
        <f>U21/U$50</f>
        <v>2.0727528200454929E-2</v>
      </c>
      <c r="V70" s="232">
        <f>V21/V$50</f>
        <v>1.9117359817296717E-2</v>
      </c>
      <c r="W70" s="232">
        <f>W21/W$50</f>
        <v>1.9271561280672672E-2</v>
      </c>
      <c r="X70" s="232">
        <f>X21/X$50</f>
        <v>1.8108223059665609E-2</v>
      </c>
      <c r="Y70" s="228"/>
      <c r="Z70" s="232">
        <f>Z21/Z$50</f>
        <v>1.7727744740968839E-2</v>
      </c>
      <c r="AA70" s="232">
        <f>AA21/AA$50</f>
        <v>1.815239618345181E-2</v>
      </c>
      <c r="AB70" s="232">
        <f>AB21/AB$50</f>
        <v>1.320083294549565E-2</v>
      </c>
      <c r="AC70" s="232">
        <f>AC21/AC$50</f>
        <v>1.9566107318085203E-2</v>
      </c>
      <c r="AD70" s="230"/>
      <c r="AE70" s="232">
        <f>AE21/AE$50</f>
        <v>1.8796617647154661E-2</v>
      </c>
      <c r="AF70" s="232">
        <f>AF21/AF$50</f>
        <v>1.7557806952709417E-2</v>
      </c>
      <c r="AG70" s="232">
        <f>AG21/AG$50</f>
        <v>1.6384981953742328E-2</v>
      </c>
      <c r="AH70" s="232">
        <f>AH21/AH$50</f>
        <v>4.1078376220817843E-2</v>
      </c>
      <c r="AI70" s="230"/>
      <c r="AJ70" s="232">
        <f>AJ21/AJ$50</f>
        <v>4.0214593908218361E-2</v>
      </c>
      <c r="AK70" s="232">
        <f>AK21/AK$50</f>
        <v>4.4844167364871887E-2</v>
      </c>
      <c r="AL70" s="232">
        <f>AL21/AL$50</f>
        <v>4.106754403705476E-2</v>
      </c>
      <c r="AM70" s="232">
        <f>AM21/AM$50</f>
        <v>9.2105480169171906E-3</v>
      </c>
      <c r="AN70" s="230"/>
      <c r="AO70" s="232">
        <f>AO21/AO$50</f>
        <v>9.0734581523864346E-3</v>
      </c>
      <c r="AP70" s="232">
        <f>AP21/AP$50</f>
        <v>8.2775576775429537E-3</v>
      </c>
      <c r="AQ70" s="232">
        <f>AQ21/AQ$50</f>
        <v>8.4833120233710462E-3</v>
      </c>
      <c r="AR70" s="232">
        <f>AR21/AR$50</f>
        <v>1.0042024649752544E-2</v>
      </c>
      <c r="AS70" s="230"/>
      <c r="AT70" s="232">
        <f>AT21/AT$50</f>
        <v>1.0470644513296158E-2</v>
      </c>
      <c r="AU70" s="232">
        <f>AU21/AU$50</f>
        <v>1.1048900043031931E-2</v>
      </c>
      <c r="AV70" s="232">
        <f>AV21/AV$50</f>
        <v>1.1195342042439309E-2</v>
      </c>
      <c r="AW70" s="232">
        <f>AW21/AW$50</f>
        <v>1.1341601225861805E-2</v>
      </c>
      <c r="AX70" s="230"/>
      <c r="AY70" s="232">
        <f>AY21/AY$50</f>
        <v>2.0935951323069385E-2</v>
      </c>
      <c r="AZ70" s="232">
        <f>AZ21/AZ$50</f>
        <v>2.1159937979806313E-2</v>
      </c>
      <c r="BA70" s="232">
        <f>BA21/BA$50</f>
        <v>2.0407320632323332E-2</v>
      </c>
      <c r="BB70" s="231">
        <v>1.320083294549565E-2</v>
      </c>
      <c r="BC70" s="230"/>
      <c r="BD70" s="231">
        <v>1.320083294549565E-2</v>
      </c>
      <c r="BE70" s="231">
        <v>1.320083294549565E-2</v>
      </c>
      <c r="BF70" s="231">
        <v>1.320083294549565E-2</v>
      </c>
      <c r="BG70" s="231">
        <v>1.320083294549565E-2</v>
      </c>
      <c r="BH70" s="230"/>
      <c r="BI70" s="231">
        <v>1.320083294549565E-2</v>
      </c>
      <c r="BJ70" s="231">
        <v>1.320083294549565E-2</v>
      </c>
      <c r="BK70" s="231">
        <v>1.320083294549565E-2</v>
      </c>
      <c r="BL70" s="231">
        <v>1.320083294549565E-2</v>
      </c>
      <c r="BM70" s="230"/>
      <c r="BN70" s="231">
        <v>1.320083294549565E-2</v>
      </c>
      <c r="BO70" s="231">
        <v>1.320083294549565E-2</v>
      </c>
      <c r="BP70" s="231">
        <v>1.320083294549565E-2</v>
      </c>
      <c r="BQ70" s="231">
        <v>1.320083294549565E-2</v>
      </c>
      <c r="BR70" s="230"/>
      <c r="XDL70" s="252"/>
      <c r="XDM70" s="252"/>
      <c r="XDN70" s="252"/>
      <c r="XDO70" s="252"/>
      <c r="XDP70" s="252"/>
      <c r="XDQ70" s="252"/>
      <c r="XDR70" s="252"/>
      <c r="XDS70" s="252"/>
      <c r="XDT70" s="252"/>
      <c r="XDU70" s="252"/>
      <c r="XDV70" s="252"/>
      <c r="XDW70" s="252"/>
      <c r="XDX70" s="252"/>
      <c r="XDY70" s="252"/>
      <c r="XDZ70" s="252"/>
      <c r="XEA70" s="252"/>
      <c r="XEB70" s="252"/>
      <c r="XEC70" s="252"/>
      <c r="XED70" s="252"/>
      <c r="XEE70" s="252"/>
      <c r="XEF70" s="252"/>
      <c r="XEG70" s="252"/>
      <c r="XEH70" s="252"/>
      <c r="XEI70" s="252"/>
      <c r="XEJ70" s="252"/>
      <c r="XEK70" s="252"/>
      <c r="XEL70" s="252"/>
      <c r="XEM70" s="252"/>
      <c r="XEN70" s="252"/>
      <c r="XEO70" s="252"/>
      <c r="XEP70" s="252"/>
      <c r="XEQ70" s="252"/>
      <c r="XER70" s="252"/>
      <c r="XES70" s="252"/>
      <c r="XET70" s="252"/>
      <c r="XEU70" s="252"/>
      <c r="XEV70" s="252"/>
      <c r="XEW70" s="252"/>
      <c r="XEX70" s="252"/>
      <c r="XEY70" s="252"/>
      <c r="XEZ70" s="252"/>
      <c r="XFA70" s="252"/>
      <c r="XFB70" s="252"/>
      <c r="XFC70" s="252"/>
      <c r="XFD70" s="252"/>
    </row>
    <row r="71" spans="1:70 16340:16384" s="117" customFormat="1" ht="13" thickBot="1">
      <c r="A71" s="127"/>
      <c r="B71" s="127"/>
      <c r="C71" s="130"/>
      <c r="D71" s="127"/>
      <c r="E71" s="127"/>
      <c r="F71" s="232"/>
      <c r="G71" s="232"/>
      <c r="H71" s="232"/>
      <c r="I71" s="227"/>
      <c r="J71" s="228"/>
      <c r="K71" s="227"/>
      <c r="L71" s="227"/>
      <c r="M71" s="227"/>
      <c r="N71" s="227"/>
      <c r="O71" s="228"/>
      <c r="P71" s="227"/>
      <c r="Q71" s="227"/>
      <c r="R71" s="227"/>
      <c r="S71" s="227"/>
      <c r="T71" s="228"/>
      <c r="U71" s="227"/>
      <c r="V71" s="227"/>
      <c r="W71" s="227"/>
      <c r="X71" s="227"/>
      <c r="Y71" s="228"/>
      <c r="Z71" s="227"/>
      <c r="AA71" s="227"/>
      <c r="AB71" s="227"/>
      <c r="AC71" s="227"/>
      <c r="AD71" s="230"/>
      <c r="AE71" s="227"/>
      <c r="AF71" s="227"/>
      <c r="AG71" s="227"/>
      <c r="AH71" s="227"/>
      <c r="AI71" s="230"/>
      <c r="AJ71" s="227"/>
      <c r="AK71" s="227"/>
      <c r="AL71" s="227"/>
      <c r="AM71" s="227"/>
      <c r="AN71" s="230"/>
      <c r="AO71" s="227"/>
      <c r="AP71" s="227"/>
      <c r="AQ71" s="227"/>
      <c r="AR71" s="227"/>
      <c r="AS71" s="230"/>
      <c r="AT71" s="227"/>
      <c r="AU71" s="227"/>
      <c r="AV71" s="227"/>
      <c r="AW71" s="227"/>
      <c r="AX71" s="230"/>
      <c r="AY71" s="227"/>
      <c r="AZ71" s="227"/>
      <c r="BA71" s="227"/>
      <c r="BB71" s="231"/>
      <c r="BC71" s="230"/>
      <c r="BD71" s="229"/>
      <c r="BE71" s="231"/>
      <c r="BF71" s="231"/>
      <c r="BG71" s="231"/>
      <c r="BH71" s="230"/>
      <c r="BI71" s="229"/>
      <c r="BJ71" s="231"/>
      <c r="BK71" s="231"/>
      <c r="BL71" s="231"/>
      <c r="BM71" s="230"/>
      <c r="BN71" s="229"/>
      <c r="BO71" s="231"/>
      <c r="BP71" s="231"/>
      <c r="BQ71" s="231"/>
      <c r="BR71" s="230"/>
      <c r="XDL71" s="252"/>
      <c r="XDM71" s="252"/>
      <c r="XDN71" s="252"/>
      <c r="XDO71" s="252"/>
      <c r="XDP71" s="252"/>
      <c r="XDQ71" s="252"/>
      <c r="XDR71" s="252"/>
      <c r="XDS71" s="252"/>
      <c r="XDT71" s="252"/>
      <c r="XDU71" s="252"/>
      <c r="XDV71" s="252"/>
      <c r="XDW71" s="252"/>
      <c r="XDX71" s="252"/>
      <c r="XDY71" s="252"/>
      <c r="XDZ71" s="252"/>
      <c r="XEA71" s="252"/>
      <c r="XEB71" s="252"/>
      <c r="XEC71" s="252"/>
      <c r="XED71" s="252"/>
      <c r="XEE71" s="252"/>
      <c r="XEF71" s="252"/>
      <c r="XEG71" s="252"/>
      <c r="XEH71" s="252"/>
      <c r="XEI71" s="252"/>
      <c r="XEJ71" s="252"/>
      <c r="XEK71" s="252"/>
      <c r="XEL71" s="252"/>
      <c r="XEM71" s="252"/>
      <c r="XEN71" s="252"/>
      <c r="XEO71" s="252"/>
      <c r="XEP71" s="252"/>
      <c r="XEQ71" s="252"/>
      <c r="XER71" s="252"/>
      <c r="XES71" s="252"/>
      <c r="XET71" s="252"/>
      <c r="XEU71" s="252"/>
      <c r="XEV71" s="252"/>
      <c r="XEW71" s="252"/>
      <c r="XEX71" s="252"/>
      <c r="XEY71" s="252"/>
      <c r="XEZ71" s="252"/>
      <c r="XFA71" s="252"/>
      <c r="XFB71" s="252"/>
      <c r="XFC71" s="252"/>
      <c r="XFD71" s="252"/>
    </row>
    <row r="72" spans="1:70 16340:16384" s="117" customFormat="1" ht="13" thickTop="1">
      <c r="A72" s="127"/>
      <c r="B72" s="127"/>
      <c r="C72" s="127"/>
      <c r="D72" s="127"/>
      <c r="E72" s="127"/>
      <c r="F72" s="232"/>
      <c r="G72" s="232"/>
      <c r="H72" s="232"/>
      <c r="I72" s="227"/>
      <c r="J72" s="228"/>
      <c r="K72" s="227"/>
      <c r="L72" s="227"/>
      <c r="M72" s="227"/>
      <c r="N72" s="227"/>
      <c r="O72" s="228"/>
      <c r="P72" s="227"/>
      <c r="Q72" s="227"/>
      <c r="R72" s="227"/>
      <c r="S72" s="227"/>
      <c r="T72" s="228"/>
      <c r="U72" s="227"/>
      <c r="V72" s="227"/>
      <c r="W72" s="227"/>
      <c r="X72" s="227"/>
      <c r="Y72" s="228"/>
      <c r="Z72" s="227"/>
      <c r="AA72" s="227"/>
      <c r="AB72" s="227"/>
      <c r="AC72" s="227"/>
      <c r="AD72" s="230"/>
      <c r="AE72" s="227"/>
      <c r="AF72" s="227"/>
      <c r="AG72" s="227"/>
      <c r="AH72" s="227"/>
      <c r="AI72" s="230"/>
      <c r="AJ72" s="227"/>
      <c r="AK72" s="227"/>
      <c r="AL72" s="227"/>
      <c r="AM72" s="227"/>
      <c r="AN72" s="230"/>
      <c r="AO72" s="227"/>
      <c r="AP72" s="227"/>
      <c r="AQ72" s="227"/>
      <c r="AR72" s="227"/>
      <c r="AS72" s="230"/>
      <c r="AT72" s="227"/>
      <c r="AU72" s="227"/>
      <c r="AV72" s="227"/>
      <c r="AW72" s="227"/>
      <c r="AX72" s="230"/>
      <c r="AY72" s="227"/>
      <c r="AZ72" s="227"/>
      <c r="BA72" s="227"/>
      <c r="BB72" s="231"/>
      <c r="BC72" s="230"/>
      <c r="BD72" s="229"/>
      <c r="BE72" s="231"/>
      <c r="BF72" s="231"/>
      <c r="BG72" s="231"/>
      <c r="BH72" s="230"/>
      <c r="BI72" s="229"/>
      <c r="BJ72" s="231"/>
      <c r="BK72" s="231"/>
      <c r="BL72" s="231"/>
      <c r="BM72" s="230"/>
      <c r="BN72" s="229"/>
      <c r="BO72" s="231"/>
      <c r="BP72" s="231"/>
      <c r="BQ72" s="231"/>
      <c r="BR72" s="230"/>
      <c r="XDL72" s="252"/>
      <c r="XDM72" s="252"/>
      <c r="XDN72" s="252"/>
      <c r="XDO72" s="252"/>
      <c r="XDP72" s="252"/>
      <c r="XDQ72" s="252"/>
      <c r="XDR72" s="252"/>
      <c r="XDS72" s="252"/>
      <c r="XDT72" s="252"/>
      <c r="XDU72" s="252"/>
      <c r="XDV72" s="252"/>
      <c r="XDW72" s="252"/>
      <c r="XDX72" s="252"/>
      <c r="XDY72" s="252"/>
      <c r="XDZ72" s="252"/>
      <c r="XEA72" s="252"/>
      <c r="XEB72" s="252"/>
      <c r="XEC72" s="252"/>
      <c r="XED72" s="252"/>
      <c r="XEE72" s="252"/>
      <c r="XEF72" s="252"/>
      <c r="XEG72" s="252"/>
      <c r="XEH72" s="252"/>
      <c r="XEI72" s="252"/>
      <c r="XEJ72" s="252"/>
      <c r="XEK72" s="252"/>
      <c r="XEL72" s="252"/>
      <c r="XEM72" s="252"/>
      <c r="XEN72" s="252"/>
      <c r="XEO72" s="252"/>
      <c r="XEP72" s="252"/>
      <c r="XEQ72" s="252"/>
      <c r="XER72" s="252"/>
      <c r="XES72" s="252"/>
      <c r="XET72" s="252"/>
      <c r="XEU72" s="252"/>
      <c r="XEV72" s="252"/>
      <c r="XEW72" s="252"/>
      <c r="XEX72" s="252"/>
      <c r="XEY72" s="252"/>
      <c r="XEZ72" s="252"/>
      <c r="XFA72" s="252"/>
      <c r="XFB72" s="252"/>
      <c r="XFC72" s="252"/>
      <c r="XFD72" s="252"/>
    </row>
    <row r="73" spans="1:70 16340:16384" s="117" customFormat="1">
      <c r="A73" s="127"/>
      <c r="B73" s="127"/>
      <c r="C73" s="131"/>
      <c r="D73" s="127"/>
      <c r="E73" s="127"/>
      <c r="F73" s="232"/>
      <c r="G73" s="232"/>
      <c r="H73" s="232"/>
      <c r="I73" s="227"/>
      <c r="J73" s="228"/>
      <c r="K73" s="227"/>
      <c r="L73" s="227"/>
      <c r="M73" s="227"/>
      <c r="N73" s="227"/>
      <c r="O73" s="228"/>
      <c r="P73" s="227"/>
      <c r="Q73" s="227"/>
      <c r="R73" s="227"/>
      <c r="S73" s="227"/>
      <c r="T73" s="228"/>
      <c r="U73" s="227"/>
      <c r="V73" s="227"/>
      <c r="W73" s="227"/>
      <c r="X73" s="227"/>
      <c r="Y73" s="228"/>
      <c r="Z73" s="227"/>
      <c r="AA73" s="227"/>
      <c r="AB73" s="227"/>
      <c r="AC73" s="227"/>
      <c r="AD73" s="230"/>
      <c r="AE73" s="227"/>
      <c r="AF73" s="227"/>
      <c r="AG73" s="227"/>
      <c r="AH73" s="227"/>
      <c r="AI73" s="230"/>
      <c r="AJ73" s="227"/>
      <c r="AK73" s="227"/>
      <c r="AL73" s="227"/>
      <c r="AM73" s="227"/>
      <c r="AN73" s="230"/>
      <c r="AO73" s="227"/>
      <c r="AP73" s="227"/>
      <c r="AQ73" s="227"/>
      <c r="AR73" s="227"/>
      <c r="AS73" s="230"/>
      <c r="AT73" s="227"/>
      <c r="AU73" s="227"/>
      <c r="AV73" s="227"/>
      <c r="AW73" s="227"/>
      <c r="AX73" s="230"/>
      <c r="AY73" s="227"/>
      <c r="AZ73" s="227"/>
      <c r="BA73" s="227"/>
      <c r="BB73" s="231"/>
      <c r="BC73" s="230"/>
      <c r="BD73" s="229"/>
      <c r="BE73" s="231"/>
      <c r="BF73" s="231"/>
      <c r="BG73" s="231"/>
      <c r="BH73" s="230"/>
      <c r="BI73" s="229"/>
      <c r="BJ73" s="231"/>
      <c r="BK73" s="231"/>
      <c r="BL73" s="231"/>
      <c r="BM73" s="230"/>
      <c r="BN73" s="229"/>
      <c r="BO73" s="231"/>
      <c r="BP73" s="231"/>
      <c r="BQ73" s="231"/>
      <c r="BR73" s="230"/>
      <c r="XDL73" s="252"/>
      <c r="XDM73" s="252"/>
      <c r="XDN73" s="252"/>
      <c r="XDO73" s="252"/>
      <c r="XDP73" s="252"/>
      <c r="XDQ73" s="252"/>
      <c r="XDR73" s="252"/>
      <c r="XDS73" s="252"/>
      <c r="XDT73" s="252"/>
      <c r="XDU73" s="252"/>
      <c r="XDV73" s="252"/>
      <c r="XDW73" s="252"/>
      <c r="XDX73" s="252"/>
      <c r="XDY73" s="252"/>
      <c r="XDZ73" s="252"/>
      <c r="XEA73" s="252"/>
      <c r="XEB73" s="252"/>
      <c r="XEC73" s="252"/>
      <c r="XED73" s="252"/>
      <c r="XEE73" s="252"/>
      <c r="XEF73" s="252"/>
      <c r="XEG73" s="252"/>
      <c r="XEH73" s="252"/>
      <c r="XEI73" s="252"/>
      <c r="XEJ73" s="252"/>
      <c r="XEK73" s="252"/>
      <c r="XEL73" s="252"/>
      <c r="XEM73" s="252"/>
      <c r="XEN73" s="252"/>
      <c r="XEO73" s="252"/>
      <c r="XEP73" s="252"/>
      <c r="XEQ73" s="252"/>
      <c r="XER73" s="252"/>
      <c r="XES73" s="252"/>
      <c r="XET73" s="252"/>
      <c r="XEU73" s="252"/>
      <c r="XEV73" s="252"/>
      <c r="XEW73" s="252"/>
      <c r="XEX73" s="252"/>
      <c r="XEY73" s="252"/>
      <c r="XEZ73" s="252"/>
      <c r="XFA73" s="252"/>
      <c r="XFB73" s="252"/>
      <c r="XFC73" s="252"/>
      <c r="XFD73" s="252"/>
    </row>
    <row r="74" spans="1:70 16340:16384" s="117" customFormat="1">
      <c r="A74" s="127"/>
      <c r="B74" s="127"/>
      <c r="C74" s="127"/>
      <c r="D74" s="127"/>
      <c r="E74" s="127"/>
      <c r="F74" s="232"/>
      <c r="G74" s="232"/>
      <c r="H74" s="232"/>
      <c r="I74" s="227"/>
      <c r="J74" s="228"/>
      <c r="K74" s="227"/>
      <c r="L74" s="227"/>
      <c r="M74" s="227"/>
      <c r="N74" s="227"/>
      <c r="O74" s="228"/>
      <c r="P74" s="227"/>
      <c r="Q74" s="227"/>
      <c r="R74" s="227"/>
      <c r="S74" s="227"/>
      <c r="T74" s="228"/>
      <c r="U74" s="227"/>
      <c r="V74" s="227"/>
      <c r="W74" s="227"/>
      <c r="X74" s="227"/>
      <c r="Y74" s="228"/>
      <c r="Z74" s="227"/>
      <c r="AA74" s="227"/>
      <c r="AB74" s="227"/>
      <c r="AC74" s="227"/>
      <c r="AD74" s="230"/>
      <c r="AE74" s="227"/>
      <c r="AF74" s="227"/>
      <c r="AG74" s="227"/>
      <c r="AH74" s="227"/>
      <c r="AI74" s="230"/>
      <c r="AJ74" s="227"/>
      <c r="AK74" s="227"/>
      <c r="AL74" s="227"/>
      <c r="AM74" s="227"/>
      <c r="AN74" s="230"/>
      <c r="AO74" s="227"/>
      <c r="AP74" s="227"/>
      <c r="AQ74" s="227"/>
      <c r="AR74" s="227"/>
      <c r="AS74" s="230"/>
      <c r="AT74" s="227"/>
      <c r="AU74" s="227"/>
      <c r="AV74" s="227"/>
      <c r="AW74" s="227"/>
      <c r="AX74" s="230"/>
      <c r="AY74" s="227"/>
      <c r="AZ74" s="227"/>
      <c r="BA74" s="227"/>
      <c r="BB74" s="231"/>
      <c r="BC74" s="230"/>
      <c r="BD74" s="229"/>
      <c r="BE74" s="231"/>
      <c r="BF74" s="231"/>
      <c r="BG74" s="231"/>
      <c r="BH74" s="230"/>
      <c r="BI74" s="229"/>
      <c r="BJ74" s="231"/>
      <c r="BK74" s="231"/>
      <c r="BL74" s="231"/>
      <c r="BM74" s="230"/>
      <c r="BN74" s="229"/>
      <c r="BO74" s="231"/>
      <c r="BP74" s="231"/>
      <c r="BQ74" s="231"/>
      <c r="BR74" s="230"/>
      <c r="XDL74" s="252"/>
      <c r="XDM74" s="252"/>
      <c r="XDN74" s="252"/>
      <c r="XDO74" s="252"/>
      <c r="XDP74" s="252"/>
      <c r="XDQ74" s="252"/>
      <c r="XDR74" s="252"/>
      <c r="XDS74" s="252"/>
      <c r="XDT74" s="252"/>
      <c r="XDU74" s="252"/>
      <c r="XDV74" s="252"/>
      <c r="XDW74" s="252"/>
      <c r="XDX74" s="252"/>
      <c r="XDY74" s="252"/>
      <c r="XDZ74" s="252"/>
      <c r="XEA74" s="252"/>
      <c r="XEB74" s="252"/>
      <c r="XEC74" s="252"/>
      <c r="XED74" s="252"/>
      <c r="XEE74" s="252"/>
      <c r="XEF74" s="252"/>
      <c r="XEG74" s="252"/>
      <c r="XEH74" s="252"/>
      <c r="XEI74" s="252"/>
      <c r="XEJ74" s="252"/>
      <c r="XEK74" s="252"/>
      <c r="XEL74" s="252"/>
      <c r="XEM74" s="252"/>
      <c r="XEN74" s="252"/>
      <c r="XEO74" s="252"/>
      <c r="XEP74" s="252"/>
      <c r="XEQ74" s="252"/>
      <c r="XER74" s="252"/>
      <c r="XES74" s="252"/>
      <c r="XET74" s="252"/>
      <c r="XEU74" s="252"/>
      <c r="XEV74" s="252"/>
      <c r="XEW74" s="252"/>
      <c r="XEX74" s="252"/>
      <c r="XEY74" s="252"/>
      <c r="XEZ74" s="252"/>
      <c r="XFA74" s="252"/>
      <c r="XFB74" s="252"/>
      <c r="XFC74" s="252"/>
      <c r="XFD74" s="252"/>
    </row>
    <row r="75" spans="1:70 16340:16384" s="117" customFormat="1" ht="13" thickBot="1">
      <c r="A75" s="130"/>
      <c r="B75" s="130"/>
      <c r="C75" s="127" t="s">
        <v>11</v>
      </c>
      <c r="D75" s="130"/>
      <c r="E75" s="127"/>
      <c r="F75" s="232"/>
      <c r="G75" s="232"/>
      <c r="H75" s="232"/>
      <c r="I75" s="232">
        <f>I26/I$50</f>
        <v>6.6685212911937628E-3</v>
      </c>
      <c r="J75" s="228"/>
      <c r="K75" s="232">
        <f>K26/K$50</f>
        <v>4.8202632107150417E-3</v>
      </c>
      <c r="L75" s="232">
        <f>L26/L$50</f>
        <v>1.1353438607085486E-2</v>
      </c>
      <c r="M75" s="232">
        <f>M26/M$50</f>
        <v>2.2445896197305984E-2</v>
      </c>
      <c r="N75" s="232">
        <f>N26/N$50</f>
        <v>1.6133984264528566E-2</v>
      </c>
      <c r="O75" s="228"/>
      <c r="P75" s="232">
        <f>P26/P$50</f>
        <v>1.5177540548769398E-2</v>
      </c>
      <c r="Q75" s="232">
        <f>Q26/Q$50</f>
        <v>1.556310644763762E-2</v>
      </c>
      <c r="R75" s="232">
        <f>R26/R$50</f>
        <v>1.5523221725117477E-2</v>
      </c>
      <c r="S75" s="232">
        <f>S26/S$50</f>
        <v>1.6468558333501561E-2</v>
      </c>
      <c r="T75" s="228"/>
      <c r="U75" s="232">
        <f>U26/U$50</f>
        <v>1.606206306739363E-2</v>
      </c>
      <c r="V75" s="232">
        <f>V26/V$50</f>
        <v>2.5386047088166361E-2</v>
      </c>
      <c r="W75" s="232">
        <f>W26/W$50</f>
        <v>2.5729380116685546E-2</v>
      </c>
      <c r="X75" s="232">
        <f>X26/X$50</f>
        <v>2.7458574332466731E-2</v>
      </c>
      <c r="Y75" s="228"/>
      <c r="Z75" s="232">
        <f>Z26/Z$50</f>
        <v>2.9711861617403874E-2</v>
      </c>
      <c r="AA75" s="232">
        <f>AA26/AA$50</f>
        <v>1.636485824653873E-2</v>
      </c>
      <c r="AB75" s="232">
        <f>AB26/AB$50</f>
        <v>1.4900028999551907E-2</v>
      </c>
      <c r="AC75" s="232">
        <f>AC26/AC$50</f>
        <v>1.8095816650190361E-2</v>
      </c>
      <c r="AD75" s="230"/>
      <c r="AE75" s="232">
        <f t="shared" ref="AE75:AH76" si="329">AE26/AE$50</f>
        <v>1.902883019831908E-2</v>
      </c>
      <c r="AF75" s="232">
        <f t="shared" si="329"/>
        <v>1.7820873941238165E-2</v>
      </c>
      <c r="AG75" s="232">
        <f t="shared" si="329"/>
        <v>1.7453351292558254E-2</v>
      </c>
      <c r="AH75" s="232">
        <f t="shared" si="329"/>
        <v>1.8070827351522375E-2</v>
      </c>
      <c r="AI75" s="230"/>
      <c r="AJ75" s="232">
        <f>AJ26/AJ$50</f>
        <v>2.0239398660883479E-2</v>
      </c>
      <c r="AK75" s="232">
        <f>AK26/AK$50</f>
        <v>2.4676963372594934E-2</v>
      </c>
      <c r="AL75" s="232">
        <f>AL26/AL$50</f>
        <v>2.238170051349845E-2</v>
      </c>
      <c r="AM75" s="232">
        <f>AM26/AM$50</f>
        <v>1.7488536955300487E-2</v>
      </c>
      <c r="AN75" s="230"/>
      <c r="AO75" s="232">
        <f>AO26/AO$50</f>
        <v>5.5830129780067971E-3</v>
      </c>
      <c r="AP75" s="232">
        <f>AP26/AP$50</f>
        <v>6.1350524613426769E-3</v>
      </c>
      <c r="AQ75" s="232">
        <f>AQ26/AQ$50</f>
        <v>6.4337308675444672E-3</v>
      </c>
      <c r="AR75" s="232">
        <f>AR26/AR$50</f>
        <v>6.4634550349700927E-3</v>
      </c>
      <c r="AS75" s="230"/>
      <c r="AT75" s="232">
        <f>AT26/AT$50</f>
        <v>5.8194050003823909E-3</v>
      </c>
      <c r="AU75" s="232">
        <f>AU26/AU$50</f>
        <v>6.1894189015449649E-3</v>
      </c>
      <c r="AV75" s="232">
        <f>AV26/AV$50</f>
        <v>4.6144583224883894E-3</v>
      </c>
      <c r="AW75" s="232">
        <f>AW26/AW$50</f>
        <v>3.7639219316751749E-3</v>
      </c>
      <c r="AX75" s="230"/>
      <c r="AY75" s="232">
        <f>AY26/AY$50</f>
        <v>2.7185904287646522E-3</v>
      </c>
      <c r="AZ75" s="232">
        <f>AZ26/AZ$50</f>
        <v>3.2832344346465747E-3</v>
      </c>
      <c r="BA75" s="232">
        <f>BA26/BA$50</f>
        <v>2.437398334212595E-3</v>
      </c>
      <c r="BB75" s="231">
        <v>1.4900028999551907E-2</v>
      </c>
      <c r="BC75" s="230"/>
      <c r="BD75" s="231">
        <v>1.4900028999551907E-2</v>
      </c>
      <c r="BE75" s="231">
        <v>1.4900028999551907E-2</v>
      </c>
      <c r="BF75" s="231">
        <v>1.4900028999551907E-2</v>
      </c>
      <c r="BG75" s="231">
        <v>1.4900028999551907E-2</v>
      </c>
      <c r="BH75" s="230"/>
      <c r="BI75" s="231">
        <v>1.4900028999551907E-2</v>
      </c>
      <c r="BJ75" s="231">
        <v>1.4900028999551907E-2</v>
      </c>
      <c r="BK75" s="231">
        <v>1.4900028999551907E-2</v>
      </c>
      <c r="BL75" s="231">
        <v>1.4900028999551907E-2</v>
      </c>
      <c r="BM75" s="230"/>
      <c r="BN75" s="231">
        <v>1.4900028999551907E-2</v>
      </c>
      <c r="BO75" s="231">
        <v>1.4900028999551907E-2</v>
      </c>
      <c r="BP75" s="231">
        <v>1.4900028999551907E-2</v>
      </c>
      <c r="BQ75" s="231">
        <v>1.4900028999551907E-2</v>
      </c>
      <c r="BR75" s="230"/>
      <c r="XDL75" s="252"/>
      <c r="XDM75" s="252"/>
      <c r="XDN75" s="252"/>
      <c r="XDO75" s="252"/>
      <c r="XDP75" s="252"/>
      <c r="XDQ75" s="252"/>
      <c r="XDR75" s="252"/>
      <c r="XDS75" s="252"/>
      <c r="XDT75" s="252"/>
      <c r="XDU75" s="252"/>
      <c r="XDV75" s="252"/>
      <c r="XDW75" s="252"/>
      <c r="XDX75" s="252"/>
      <c r="XDY75" s="252"/>
      <c r="XDZ75" s="252"/>
      <c r="XEA75" s="252"/>
      <c r="XEB75" s="252"/>
      <c r="XEC75" s="252"/>
      <c r="XED75" s="252"/>
      <c r="XEE75" s="252"/>
      <c r="XEF75" s="252"/>
      <c r="XEG75" s="252"/>
      <c r="XEH75" s="252"/>
      <c r="XEI75" s="252"/>
      <c r="XEJ75" s="252"/>
      <c r="XEK75" s="252"/>
      <c r="XEL75" s="252"/>
      <c r="XEM75" s="252"/>
      <c r="XEN75" s="252"/>
      <c r="XEO75" s="252"/>
      <c r="XEP75" s="252"/>
      <c r="XEQ75" s="252"/>
      <c r="XER75" s="252"/>
      <c r="XES75" s="252"/>
      <c r="XET75" s="252"/>
      <c r="XEU75" s="252"/>
      <c r="XEV75" s="252"/>
      <c r="XEW75" s="252"/>
      <c r="XEX75" s="252"/>
      <c r="XEY75" s="252"/>
      <c r="XEZ75" s="252"/>
      <c r="XFA75" s="252"/>
      <c r="XFB75" s="252"/>
      <c r="XFC75" s="252"/>
      <c r="XFD75" s="252"/>
    </row>
    <row r="76" spans="1:70 16340:16384" s="117" customFormat="1" ht="13" thickTop="1">
      <c r="A76" s="127"/>
      <c r="B76" s="127"/>
      <c r="C76" s="127" t="s">
        <v>74</v>
      </c>
      <c r="D76" s="127"/>
      <c r="E76" s="127"/>
      <c r="F76" s="232"/>
      <c r="G76" s="232"/>
      <c r="H76" s="232"/>
      <c r="I76" s="232">
        <f>I27/I$50</f>
        <v>0.20428230719458867</v>
      </c>
      <c r="J76" s="228"/>
      <c r="K76" s="232">
        <f>K27/K$50</f>
        <v>0.20263583669218124</v>
      </c>
      <c r="L76" s="232">
        <f t="shared" ref="L76:N76" si="330">L27/L$50</f>
        <v>0.22073511352037511</v>
      </c>
      <c r="M76" s="232">
        <f t="shared" si="330"/>
        <v>0.23309581062225074</v>
      </c>
      <c r="N76" s="232">
        <f t="shared" si="330"/>
        <v>0.21142572067990972</v>
      </c>
      <c r="O76" s="228"/>
      <c r="P76" s="232">
        <f t="shared" ref="P76:S76" si="331">P27/P$50</f>
        <v>0.17050365734975564</v>
      </c>
      <c r="Q76" s="232">
        <f t="shared" si="331"/>
        <v>0.16581280434548523</v>
      </c>
      <c r="R76" s="232">
        <f t="shared" si="331"/>
        <v>0.18256103489441838</v>
      </c>
      <c r="S76" s="232">
        <f t="shared" si="331"/>
        <v>0.16939752220069168</v>
      </c>
      <c r="T76" s="228"/>
      <c r="U76" s="232">
        <f t="shared" ref="U76:X76" si="332">U27/U$50</f>
        <v>0.16840141559902336</v>
      </c>
      <c r="V76" s="232">
        <f t="shared" si="332"/>
        <v>0.17854137868862316</v>
      </c>
      <c r="W76" s="232">
        <f t="shared" si="332"/>
        <v>0.19021929905151533</v>
      </c>
      <c r="X76" s="232">
        <f t="shared" si="332"/>
        <v>0.18158155142453719</v>
      </c>
      <c r="Y76" s="228"/>
      <c r="Z76" s="232">
        <f t="shared" ref="Z76:AB76" si="333">Z27/Z$50</f>
        <v>0.1913103915270675</v>
      </c>
      <c r="AA76" s="232">
        <f t="shared" si="333"/>
        <v>0.20377596702852341</v>
      </c>
      <c r="AB76" s="232">
        <f t="shared" si="333"/>
        <v>0.19674202677481017</v>
      </c>
      <c r="AC76" s="232">
        <f t="shared" ref="AC76" si="334">AC27/AC$50</f>
        <v>0.17767566745742558</v>
      </c>
      <c r="AD76" s="230"/>
      <c r="AE76" s="232">
        <f t="shared" si="329"/>
        <v>0.17425520919657284</v>
      </c>
      <c r="AF76" s="232">
        <f t="shared" si="329"/>
        <v>0.19936586574393839</v>
      </c>
      <c r="AG76" s="232">
        <f t="shared" si="329"/>
        <v>0.20018555246865855</v>
      </c>
      <c r="AH76" s="232">
        <f t="shared" si="329"/>
        <v>0.19052318558057035</v>
      </c>
      <c r="AI76" s="230"/>
      <c r="AJ76" s="232">
        <f t="shared" ref="AJ76:AM76" si="335">AJ27/AJ$50</f>
        <v>0.20365042061993255</v>
      </c>
      <c r="AK76" s="232">
        <f t="shared" si="335"/>
        <v>0.1986766830644858</v>
      </c>
      <c r="AL76" s="232">
        <f t="shared" si="335"/>
        <v>0.19518202640332399</v>
      </c>
      <c r="AM76" s="232">
        <f t="shared" si="335"/>
        <v>0.20239708406287074</v>
      </c>
      <c r="AN76" s="230"/>
      <c r="AO76" s="232">
        <f t="shared" ref="AO76:AP76" si="336">AO27/AO$50</f>
        <v>0.19540565652797606</v>
      </c>
      <c r="AP76" s="232">
        <f t="shared" si="336"/>
        <v>0.18188621361705365</v>
      </c>
      <c r="AQ76" s="232">
        <f t="shared" ref="AQ76:AR76" si="337">AQ27/AQ$50</f>
        <v>0.19740730062470652</v>
      </c>
      <c r="AR76" s="232">
        <f t="shared" si="337"/>
        <v>0.20217551975864836</v>
      </c>
      <c r="AS76" s="230"/>
      <c r="AT76" s="232">
        <f t="shared" ref="AT76:AW76" si="338">AT27/AT$50</f>
        <v>0.19394224896599252</v>
      </c>
      <c r="AU76" s="232">
        <f t="shared" si="338"/>
        <v>0.18982962085652483</v>
      </c>
      <c r="AV76" s="232">
        <f t="shared" si="338"/>
        <v>0.18468808895885402</v>
      </c>
      <c r="AW76" s="232">
        <f t="shared" si="338"/>
        <v>0.18714865460050614</v>
      </c>
      <c r="AX76" s="230"/>
      <c r="AY76" s="232">
        <f t="shared" ref="AY76:BA76" si="339">AY27/AY$50</f>
        <v>0.18666529228210854</v>
      </c>
      <c r="AZ76" s="232">
        <f t="shared" si="339"/>
        <v>0.20810727024363226</v>
      </c>
      <c r="BA76" s="232">
        <f t="shared" si="339"/>
        <v>0.20255561058264412</v>
      </c>
      <c r="BB76" s="231">
        <v>0.17</v>
      </c>
      <c r="BC76" s="230"/>
      <c r="BD76" s="231">
        <v>0.17</v>
      </c>
      <c r="BE76" s="231">
        <v>0.17</v>
      </c>
      <c r="BF76" s="231">
        <v>0.17</v>
      </c>
      <c r="BG76" s="231">
        <v>0.17</v>
      </c>
      <c r="BH76" s="230"/>
      <c r="BI76" s="231">
        <v>0.17</v>
      </c>
      <c r="BJ76" s="231">
        <v>0.17</v>
      </c>
      <c r="BK76" s="231">
        <v>0.17</v>
      </c>
      <c r="BL76" s="231">
        <v>0.17</v>
      </c>
      <c r="BM76" s="230"/>
      <c r="BN76" s="231">
        <v>0.17</v>
      </c>
      <c r="BO76" s="231">
        <v>0.17</v>
      </c>
      <c r="BP76" s="231">
        <v>0.17</v>
      </c>
      <c r="BQ76" s="231">
        <v>0.17</v>
      </c>
      <c r="BR76" s="230"/>
      <c r="XDL76" s="252"/>
      <c r="XDM76" s="252"/>
      <c r="XDN76" s="252"/>
      <c r="XDO76" s="252"/>
      <c r="XDP76" s="252"/>
      <c r="XDQ76" s="252"/>
      <c r="XDR76" s="252"/>
      <c r="XDS76" s="252"/>
      <c r="XDT76" s="252"/>
      <c r="XDU76" s="252"/>
      <c r="XDV76" s="252"/>
      <c r="XDW76" s="252"/>
      <c r="XDX76" s="252"/>
      <c r="XDY76" s="252"/>
      <c r="XDZ76" s="252"/>
      <c r="XEA76" s="252"/>
      <c r="XEB76" s="252"/>
      <c r="XEC76" s="252"/>
      <c r="XED76" s="252"/>
      <c r="XEE76" s="252"/>
      <c r="XEF76" s="252"/>
      <c r="XEG76" s="252"/>
      <c r="XEH76" s="252"/>
      <c r="XEI76" s="252"/>
      <c r="XEJ76" s="252"/>
      <c r="XEK76" s="252"/>
      <c r="XEL76" s="252"/>
      <c r="XEM76" s="252"/>
      <c r="XEN76" s="252"/>
      <c r="XEO76" s="252"/>
      <c r="XEP76" s="252"/>
      <c r="XEQ76" s="252"/>
      <c r="XER76" s="252"/>
      <c r="XES76" s="252"/>
      <c r="XET76" s="252"/>
      <c r="XEU76" s="252"/>
      <c r="XEV76" s="252"/>
      <c r="XEW76" s="252"/>
      <c r="XEX76" s="252"/>
      <c r="XEY76" s="252"/>
      <c r="XEZ76" s="252"/>
      <c r="XFA76" s="252"/>
      <c r="XFB76" s="252"/>
      <c r="XFC76" s="252"/>
      <c r="XFD76" s="252"/>
    </row>
    <row r="77" spans="1:70 16340:16384" s="117" customFormat="1">
      <c r="A77" s="131"/>
      <c r="B77" s="131"/>
      <c r="C77" s="226" t="s">
        <v>75</v>
      </c>
      <c r="D77" s="131"/>
      <c r="E77" s="127"/>
      <c r="F77" s="232"/>
      <c r="G77" s="232"/>
      <c r="H77" s="232"/>
      <c r="I77" s="232">
        <f>I28/I$50</f>
        <v>6.2437289205772677E-2</v>
      </c>
      <c r="J77" s="228"/>
      <c r="K77" s="232">
        <f>K28/K$50</f>
        <v>7.9972564134556445E-2</v>
      </c>
      <c r="L77" s="232">
        <f t="shared" ref="L77:N77" si="340">L28/L$50</f>
        <v>0.10333545132484222</v>
      </c>
      <c r="M77" s="232">
        <f t="shared" si="340"/>
        <v>0.11596377575991562</v>
      </c>
      <c r="N77" s="232">
        <f t="shared" si="340"/>
        <v>0.10340398841110701</v>
      </c>
      <c r="O77" s="228"/>
      <c r="P77" s="232">
        <f t="shared" ref="P77:S77" si="341">P28/P$50</f>
        <v>9.3779789623282275E-2</v>
      </c>
      <c r="Q77" s="232">
        <f t="shared" si="341"/>
        <v>8.6785034876347492E-2</v>
      </c>
      <c r="R77" s="232">
        <f t="shared" si="341"/>
        <v>8.4004189655092737E-2</v>
      </c>
      <c r="S77" s="232">
        <f t="shared" si="341"/>
        <v>7.3394899295167126E-2</v>
      </c>
      <c r="T77" s="228"/>
      <c r="U77" s="232">
        <f t="shared" ref="U77:X77" si="342">U28/U$50</f>
        <v>7.043762144057597E-2</v>
      </c>
      <c r="V77" s="232">
        <f t="shared" si="342"/>
        <v>7.1929794083178095E-2</v>
      </c>
      <c r="W77" s="232">
        <f t="shared" si="342"/>
        <v>6.7356086116023589E-2</v>
      </c>
      <c r="X77" s="232">
        <f t="shared" si="342"/>
        <v>6.4082140551269359E-2</v>
      </c>
      <c r="Y77" s="228"/>
      <c r="Z77" s="232">
        <f t="shared" ref="Z77:AB77" si="343">Z28/Z$50</f>
        <v>6.3827807646103407E-2</v>
      </c>
      <c r="AA77" s="232">
        <f t="shared" si="343"/>
        <v>7.1805876210179739E-2</v>
      </c>
      <c r="AB77" s="232">
        <f t="shared" si="343"/>
        <v>7.4639333734725408E-2</v>
      </c>
      <c r="AC77" s="232">
        <f t="shared" ref="AC77" si="344">AC28/AC$50</f>
        <v>7.107614369358832E-2</v>
      </c>
      <c r="AD77" s="230"/>
      <c r="AE77" s="232">
        <f t="shared" ref="AE77:AG77" si="345">AE28/AE$50</f>
        <v>6.2135212872004401E-2</v>
      </c>
      <c r="AF77" s="232">
        <f t="shared" si="345"/>
        <v>5.4517580470867147E-2</v>
      </c>
      <c r="AG77" s="232">
        <f t="shared" si="345"/>
        <v>5.8226941722667326E-2</v>
      </c>
      <c r="AH77" s="232">
        <f>AH28/AH$50</f>
        <v>5.8594175518121024E-2</v>
      </c>
      <c r="AI77" s="230"/>
      <c r="AJ77" s="232">
        <f t="shared" ref="AJ77:AM77" si="346">AJ28/AJ$50</f>
        <v>5.7817424711137599E-2</v>
      </c>
      <c r="AK77" s="232">
        <f t="shared" si="346"/>
        <v>6.6750677017956742E-2</v>
      </c>
      <c r="AL77" s="232">
        <f t="shared" si="346"/>
        <v>6.8658631229847694E-2</v>
      </c>
      <c r="AM77" s="232">
        <f t="shared" si="346"/>
        <v>6.7419541836575336E-2</v>
      </c>
      <c r="AN77" s="230"/>
      <c r="AO77" s="232">
        <f t="shared" ref="AO77:AP77" si="347">AO28/AO$50</f>
        <v>5.8422575294712405E-2</v>
      </c>
      <c r="AP77" s="232">
        <f t="shared" si="347"/>
        <v>6.8728444492266921E-2</v>
      </c>
      <c r="AQ77" s="232">
        <f t="shared" ref="AQ77:AR77" si="348">AQ28/AQ$50</f>
        <v>8.3902909719275984E-2</v>
      </c>
      <c r="AR77" s="232">
        <f t="shared" si="348"/>
        <v>9.6037213424344708E-2</v>
      </c>
      <c r="AS77" s="230"/>
      <c r="AT77" s="232">
        <f t="shared" ref="AT77:AW77" si="349">AT28/AT$50</f>
        <v>0.10895794197218811</v>
      </c>
      <c r="AU77" s="232">
        <f t="shared" si="349"/>
        <v>0.12649538166504948</v>
      </c>
      <c r="AV77" s="232">
        <f t="shared" si="349"/>
        <v>0.14521107434158684</v>
      </c>
      <c r="AW77" s="232">
        <f t="shared" si="349"/>
        <v>0.12867193964435461</v>
      </c>
      <c r="AX77" s="230"/>
      <c r="AY77" s="232">
        <f t="shared" ref="AY77:BA77" si="350">AY28/AY$50</f>
        <v>0.13204125981500994</v>
      </c>
      <c r="AZ77" s="232">
        <f t="shared" si="350"/>
        <v>0.14485136496587958</v>
      </c>
      <c r="BA77" s="232">
        <f t="shared" si="350"/>
        <v>0.18373746827870358</v>
      </c>
      <c r="BB77" s="231">
        <v>0.06</v>
      </c>
      <c r="BC77" s="230"/>
      <c r="BD77" s="231">
        <v>0.06</v>
      </c>
      <c r="BE77" s="231">
        <v>0.06</v>
      </c>
      <c r="BF77" s="231">
        <v>0.06</v>
      </c>
      <c r="BG77" s="231">
        <v>0.06</v>
      </c>
      <c r="BH77" s="230"/>
      <c r="BI77" s="231">
        <v>0.06</v>
      </c>
      <c r="BJ77" s="231">
        <v>0.06</v>
      </c>
      <c r="BK77" s="231">
        <v>0.06</v>
      </c>
      <c r="BL77" s="231">
        <v>0.06</v>
      </c>
      <c r="BM77" s="230"/>
      <c r="BN77" s="231">
        <v>0.06</v>
      </c>
      <c r="BO77" s="231">
        <v>0.06</v>
      </c>
      <c r="BP77" s="231">
        <v>0.06</v>
      </c>
      <c r="BQ77" s="231">
        <v>0.06</v>
      </c>
      <c r="BR77" s="230"/>
      <c r="XDL77" s="252"/>
      <c r="XDM77" s="252"/>
      <c r="XDN77" s="252"/>
      <c r="XDO77" s="252"/>
      <c r="XDP77" s="252"/>
      <c r="XDQ77" s="252"/>
      <c r="XDR77" s="252"/>
      <c r="XDS77" s="252"/>
      <c r="XDT77" s="252"/>
      <c r="XDU77" s="252"/>
      <c r="XDV77" s="252"/>
      <c r="XDW77" s="252"/>
      <c r="XDX77" s="252"/>
      <c r="XDY77" s="252"/>
      <c r="XDZ77" s="252"/>
      <c r="XEA77" s="252"/>
      <c r="XEB77" s="252"/>
      <c r="XEC77" s="252"/>
      <c r="XED77" s="252"/>
      <c r="XEE77" s="252"/>
      <c r="XEF77" s="252"/>
      <c r="XEG77" s="252"/>
      <c r="XEH77" s="252"/>
      <c r="XEI77" s="252"/>
      <c r="XEJ77" s="252"/>
      <c r="XEK77" s="252"/>
      <c r="XEL77" s="252"/>
      <c r="XEM77" s="252"/>
      <c r="XEN77" s="252"/>
      <c r="XEO77" s="252"/>
      <c r="XEP77" s="252"/>
      <c r="XEQ77" s="252"/>
      <c r="XER77" s="252"/>
      <c r="XES77" s="252"/>
      <c r="XET77" s="252"/>
      <c r="XEU77" s="252"/>
      <c r="XEV77" s="252"/>
      <c r="XEW77" s="252"/>
      <c r="XEX77" s="252"/>
      <c r="XEY77" s="252"/>
      <c r="XEZ77" s="252"/>
      <c r="XFA77" s="252"/>
      <c r="XFB77" s="252"/>
      <c r="XFC77" s="252"/>
      <c r="XFD77" s="252"/>
    </row>
    <row r="78" spans="1:70 16340:16384" s="117" customFormat="1">
      <c r="A78" s="127"/>
      <c r="B78" s="127"/>
      <c r="C78" s="127" t="s">
        <v>76</v>
      </c>
      <c r="D78" s="127"/>
      <c r="E78" s="127"/>
      <c r="F78" s="232"/>
      <c r="G78" s="232"/>
      <c r="H78" s="232"/>
      <c r="I78" s="232">
        <f>I29/I$50</f>
        <v>2.9222214234139052E-2</v>
      </c>
      <c r="J78" s="228"/>
      <c r="K78" s="232">
        <f>K29/K$50</f>
        <v>3.1817737971888749E-2</v>
      </c>
      <c r="L78" s="232">
        <f t="shared" ref="L78:N78" si="351">L29/L$50</f>
        <v>3.4015480719855579E-2</v>
      </c>
      <c r="M78" s="232">
        <f t="shared" si="351"/>
        <v>6.2041155065648085E-2</v>
      </c>
      <c r="N78" s="232">
        <f t="shared" si="351"/>
        <v>4.3932743089461962E-2</v>
      </c>
      <c r="O78" s="228"/>
      <c r="P78" s="232">
        <f t="shared" ref="P78:S78" si="352">P29/P$50</f>
        <v>3.9768166033064892E-2</v>
      </c>
      <c r="Q78" s="232">
        <f t="shared" si="352"/>
        <v>4.5486892954140296E-2</v>
      </c>
      <c r="R78" s="232">
        <f t="shared" si="352"/>
        <v>3.9273760692095608E-2</v>
      </c>
      <c r="S78" s="232">
        <f t="shared" si="352"/>
        <v>4.0940578201816333E-2</v>
      </c>
      <c r="T78" s="228"/>
      <c r="U78" s="232">
        <f t="shared" ref="U78:X78" si="353">U29/U$50</f>
        <v>4.2045485720556365E-2</v>
      </c>
      <c r="V78" s="232">
        <f t="shared" si="353"/>
        <v>4.2385594461806606E-2</v>
      </c>
      <c r="W78" s="232">
        <f t="shared" si="353"/>
        <v>3.857438315803139E-2</v>
      </c>
      <c r="X78" s="232">
        <f t="shared" si="353"/>
        <v>3.7842292210690881E-2</v>
      </c>
      <c r="Y78" s="228"/>
      <c r="Z78" s="232">
        <f t="shared" ref="Z78:AB78" si="354">Z29/Z$50</f>
        <v>3.6004550049456539E-2</v>
      </c>
      <c r="AA78" s="232">
        <f t="shared" si="354"/>
        <v>3.2804067326358433E-2</v>
      </c>
      <c r="AB78" s="232">
        <f t="shared" si="354"/>
        <v>3.3108239403716364E-2</v>
      </c>
      <c r="AC78" s="232">
        <f t="shared" ref="AC78" si="355">AC29/AC$50</f>
        <v>3.5575023890832093E-2</v>
      </c>
      <c r="AD78" s="230"/>
      <c r="AE78" s="232">
        <f t="shared" ref="AE78:AG78" si="356">AE29/AE$50</f>
        <v>3.3217038796873974E-2</v>
      </c>
      <c r="AF78" s="232">
        <f t="shared" si="356"/>
        <v>3.4399061651849583E-2</v>
      </c>
      <c r="AG78" s="232">
        <f t="shared" si="356"/>
        <v>3.7745257104564667E-2</v>
      </c>
      <c r="AH78" s="232">
        <f>AH29/AH$50</f>
        <v>3.2317224851599602E-2</v>
      </c>
      <c r="AI78" s="230"/>
      <c r="AJ78" s="232">
        <f t="shared" ref="AJ78:AM78" si="357">AJ29/AJ$50</f>
        <v>3.2587922037115614E-2</v>
      </c>
      <c r="AK78" s="232">
        <f t="shared" si="357"/>
        <v>3.5120595074005646E-2</v>
      </c>
      <c r="AL78" s="232">
        <f t="shared" si="357"/>
        <v>4.302645922842048E-2</v>
      </c>
      <c r="AM78" s="232">
        <f t="shared" si="357"/>
        <v>2.1975204923749041E-2</v>
      </c>
      <c r="AN78" s="230"/>
      <c r="AO78" s="232">
        <f t="shared" ref="AO78:AP78" si="358">AO29/AO$50</f>
        <v>2.2747976061704048E-2</v>
      </c>
      <c r="AP78" s="232">
        <f t="shared" si="358"/>
        <v>3.5627113076866446E-2</v>
      </c>
      <c r="AQ78" s="232">
        <f t="shared" ref="AQ78:AR78" si="359">AQ29/AQ$50</f>
        <v>2.5855694935850815E-2</v>
      </c>
      <c r="AR78" s="232">
        <f t="shared" si="359"/>
        <v>2.7839438595075094E-2</v>
      </c>
      <c r="AS78" s="230"/>
      <c r="AT78" s="232">
        <f t="shared" ref="AT78:AW78" si="360">AT29/AT$50</f>
        <v>2.5350026553110614E-2</v>
      </c>
      <c r="AU78" s="232">
        <f t="shared" si="360"/>
        <v>2.9568266834977167E-2</v>
      </c>
      <c r="AV78" s="232">
        <f t="shared" si="360"/>
        <v>3.6309544342119943E-2</v>
      </c>
      <c r="AW78" s="232">
        <f t="shared" si="360"/>
        <v>3.913315982222669E-2</v>
      </c>
      <c r="AX78" s="230"/>
      <c r="AY78" s="232">
        <f t="shared" ref="AY78:BA78" si="361">AY29/AY$50</f>
        <v>3.9641340362458956E-2</v>
      </c>
      <c r="AZ78" s="232">
        <f t="shared" si="361"/>
        <v>3.9981249073216318E-2</v>
      </c>
      <c r="BA78" s="232">
        <f t="shared" si="361"/>
        <v>4.2270303481000658E-2</v>
      </c>
      <c r="BB78" s="231">
        <v>3.3108239403716364E-2</v>
      </c>
      <c r="BC78" s="230"/>
      <c r="BD78" s="231">
        <v>3.3108239403716364E-2</v>
      </c>
      <c r="BE78" s="231">
        <v>3.3108239403716364E-2</v>
      </c>
      <c r="BF78" s="231">
        <v>3.3108239403716364E-2</v>
      </c>
      <c r="BG78" s="231">
        <v>3.3108239403716364E-2</v>
      </c>
      <c r="BH78" s="230"/>
      <c r="BI78" s="231">
        <v>3.3108239403716364E-2</v>
      </c>
      <c r="BJ78" s="231">
        <v>3.3108239403716364E-2</v>
      </c>
      <c r="BK78" s="231">
        <v>3.3108239403716364E-2</v>
      </c>
      <c r="BL78" s="231">
        <v>3.3108239403716364E-2</v>
      </c>
      <c r="BM78" s="230"/>
      <c r="BN78" s="231">
        <v>3.3108239403716364E-2</v>
      </c>
      <c r="BO78" s="231">
        <v>3.3108239403716364E-2</v>
      </c>
      <c r="BP78" s="231">
        <v>3.3108239403716364E-2</v>
      </c>
      <c r="BQ78" s="231">
        <v>3.3108239403716364E-2</v>
      </c>
      <c r="BR78" s="230"/>
      <c r="XDL78" s="252"/>
      <c r="XDM78" s="252"/>
      <c r="XDN78" s="252"/>
      <c r="XDO78" s="252"/>
      <c r="XDP78" s="252"/>
      <c r="XDQ78" s="252"/>
      <c r="XDR78" s="252"/>
      <c r="XDS78" s="252"/>
      <c r="XDT78" s="252"/>
      <c r="XDU78" s="252"/>
      <c r="XDV78" s="252"/>
      <c r="XDW78" s="252"/>
      <c r="XDX78" s="252"/>
      <c r="XDY78" s="252"/>
      <c r="XDZ78" s="252"/>
      <c r="XEA78" s="252"/>
      <c r="XEB78" s="252"/>
      <c r="XEC78" s="252"/>
      <c r="XED78" s="252"/>
      <c r="XEE78" s="252"/>
      <c r="XEF78" s="252"/>
      <c r="XEG78" s="252"/>
      <c r="XEH78" s="252"/>
      <c r="XEI78" s="252"/>
      <c r="XEJ78" s="252"/>
      <c r="XEK78" s="252"/>
      <c r="XEL78" s="252"/>
      <c r="XEM78" s="252"/>
      <c r="XEN78" s="252"/>
      <c r="XEO78" s="252"/>
      <c r="XEP78" s="252"/>
      <c r="XEQ78" s="252"/>
      <c r="XER78" s="252"/>
      <c r="XES78" s="252"/>
      <c r="XET78" s="252"/>
      <c r="XEU78" s="252"/>
      <c r="XEV78" s="252"/>
      <c r="XEW78" s="252"/>
      <c r="XEX78" s="252"/>
      <c r="XEY78" s="252"/>
      <c r="XEZ78" s="252"/>
      <c r="XFA78" s="252"/>
      <c r="XFB78" s="252"/>
      <c r="XFC78" s="252"/>
      <c r="XFD78" s="252"/>
    </row>
    <row r="79" spans="1:70 16340:16384" s="117" customFormat="1">
      <c r="A79" s="127"/>
      <c r="B79" s="127"/>
      <c r="C79" s="129"/>
      <c r="D79" s="127"/>
      <c r="E79" s="127"/>
      <c r="F79" s="232"/>
      <c r="G79" s="232"/>
      <c r="H79" s="232"/>
      <c r="I79" s="227"/>
      <c r="J79" s="228"/>
      <c r="K79" s="227"/>
      <c r="L79" s="227"/>
      <c r="M79" s="227"/>
      <c r="N79" s="227"/>
      <c r="O79" s="228"/>
      <c r="P79" s="227"/>
      <c r="Q79" s="227"/>
      <c r="R79" s="227"/>
      <c r="S79" s="227"/>
      <c r="T79" s="228"/>
      <c r="U79" s="227"/>
      <c r="V79" s="227"/>
      <c r="W79" s="227"/>
      <c r="X79" s="227"/>
      <c r="Y79" s="228"/>
      <c r="Z79" s="227"/>
      <c r="AA79" s="227"/>
      <c r="AB79" s="227"/>
      <c r="AC79" s="227"/>
      <c r="AD79" s="230"/>
      <c r="AE79" s="227"/>
      <c r="AF79" s="227"/>
      <c r="AG79" s="227"/>
      <c r="AH79" s="227"/>
      <c r="AI79" s="230"/>
      <c r="AJ79" s="227"/>
      <c r="AK79" s="227"/>
      <c r="AL79" s="227"/>
      <c r="AM79" s="227"/>
      <c r="AN79" s="230"/>
      <c r="AO79" s="227"/>
      <c r="AP79" s="227"/>
      <c r="AQ79" s="227"/>
      <c r="AR79" s="227"/>
      <c r="AS79" s="230"/>
      <c r="AT79" s="227"/>
      <c r="AU79" s="227"/>
      <c r="AV79" s="227"/>
      <c r="AW79" s="227"/>
      <c r="AX79" s="230"/>
      <c r="AY79" s="227"/>
      <c r="AZ79" s="227"/>
      <c r="BA79" s="227"/>
      <c r="BB79" s="231"/>
      <c r="BC79" s="230"/>
      <c r="BD79" s="229"/>
      <c r="BE79" s="231"/>
      <c r="BF79" s="231"/>
      <c r="BG79" s="231"/>
      <c r="BH79" s="230"/>
      <c r="BI79" s="229"/>
      <c r="BJ79" s="231"/>
      <c r="BK79" s="231"/>
      <c r="BL79" s="231"/>
      <c r="BM79" s="230"/>
      <c r="BN79" s="229"/>
      <c r="BO79" s="231"/>
      <c r="BP79" s="231"/>
      <c r="BQ79" s="231"/>
      <c r="BR79" s="230"/>
      <c r="XDL79" s="252"/>
      <c r="XDM79" s="252"/>
      <c r="XDN79" s="252"/>
      <c r="XDO79" s="252"/>
      <c r="XDP79" s="252"/>
      <c r="XDQ79" s="252"/>
      <c r="XDR79" s="252"/>
      <c r="XDS79" s="252"/>
      <c r="XDT79" s="252"/>
      <c r="XDU79" s="252"/>
      <c r="XDV79" s="252"/>
      <c r="XDW79" s="252"/>
      <c r="XDX79" s="252"/>
      <c r="XDY79" s="252"/>
      <c r="XDZ79" s="252"/>
      <c r="XEA79" s="252"/>
      <c r="XEB79" s="252"/>
      <c r="XEC79" s="252"/>
      <c r="XED79" s="252"/>
      <c r="XEE79" s="252"/>
      <c r="XEF79" s="252"/>
      <c r="XEG79" s="252"/>
      <c r="XEH79" s="252"/>
      <c r="XEI79" s="252"/>
      <c r="XEJ79" s="252"/>
      <c r="XEK79" s="252"/>
      <c r="XEL79" s="252"/>
      <c r="XEM79" s="252"/>
      <c r="XEN79" s="252"/>
      <c r="XEO79" s="252"/>
      <c r="XEP79" s="252"/>
      <c r="XEQ79" s="252"/>
      <c r="XER79" s="252"/>
      <c r="XES79" s="252"/>
      <c r="XET79" s="252"/>
      <c r="XEU79" s="252"/>
      <c r="XEV79" s="252"/>
      <c r="XEW79" s="252"/>
      <c r="XEX79" s="252"/>
      <c r="XEY79" s="252"/>
      <c r="XEZ79" s="252"/>
      <c r="XFA79" s="252"/>
      <c r="XFB79" s="252"/>
      <c r="XFC79" s="252"/>
      <c r="XFD79" s="252"/>
    </row>
    <row r="80" spans="1:70 16340:16384" s="117" customFormat="1">
      <c r="A80" s="127"/>
      <c r="B80" s="127"/>
      <c r="C80" s="127"/>
      <c r="D80" s="127"/>
      <c r="E80" s="127"/>
      <c r="F80" s="232"/>
      <c r="G80" s="232"/>
      <c r="H80" s="232"/>
      <c r="I80" s="227"/>
      <c r="J80" s="228"/>
      <c r="K80" s="227"/>
      <c r="L80" s="227"/>
      <c r="M80" s="227"/>
      <c r="N80" s="227"/>
      <c r="O80" s="228"/>
      <c r="P80" s="227"/>
      <c r="Q80" s="227"/>
      <c r="R80" s="227"/>
      <c r="S80" s="227"/>
      <c r="T80" s="228"/>
      <c r="U80" s="227"/>
      <c r="V80" s="227"/>
      <c r="W80" s="227"/>
      <c r="X80" s="227"/>
      <c r="Y80" s="228"/>
      <c r="Z80" s="227"/>
      <c r="AA80" s="227"/>
      <c r="AB80" s="227"/>
      <c r="AC80" s="227"/>
      <c r="AD80" s="230"/>
      <c r="AE80" s="227"/>
      <c r="AF80" s="227"/>
      <c r="AG80" s="227"/>
      <c r="AH80" s="227"/>
      <c r="AI80" s="230"/>
      <c r="AJ80" s="227"/>
      <c r="AK80" s="227"/>
      <c r="AL80" s="227"/>
      <c r="AM80" s="227"/>
      <c r="AN80" s="230"/>
      <c r="AO80" s="227"/>
      <c r="AP80" s="227"/>
      <c r="AQ80" s="227"/>
      <c r="AR80" s="227"/>
      <c r="AS80" s="230"/>
      <c r="AT80" s="227"/>
      <c r="AU80" s="227"/>
      <c r="AV80" s="227"/>
      <c r="AW80" s="227"/>
      <c r="AX80" s="230"/>
      <c r="AY80" s="227"/>
      <c r="AZ80" s="227"/>
      <c r="BA80" s="227"/>
      <c r="BB80" s="231"/>
      <c r="BC80" s="230"/>
      <c r="BD80" s="229"/>
      <c r="BE80" s="231"/>
      <c r="BF80" s="231"/>
      <c r="BG80" s="231"/>
      <c r="BH80" s="230"/>
      <c r="BI80" s="229"/>
      <c r="BJ80" s="231"/>
      <c r="BK80" s="231"/>
      <c r="BL80" s="231"/>
      <c r="BM80" s="230"/>
      <c r="BN80" s="229"/>
      <c r="BO80" s="231"/>
      <c r="BP80" s="231"/>
      <c r="BQ80" s="231"/>
      <c r="BR80" s="230"/>
      <c r="XDL80" s="252"/>
      <c r="XDM80" s="252"/>
      <c r="XDN80" s="252"/>
      <c r="XDO80" s="252"/>
      <c r="XDP80" s="252"/>
      <c r="XDQ80" s="252"/>
      <c r="XDR80" s="252"/>
      <c r="XDS80" s="252"/>
      <c r="XDT80" s="252"/>
      <c r="XDU80" s="252"/>
      <c r="XDV80" s="252"/>
      <c r="XDW80" s="252"/>
      <c r="XDX80" s="252"/>
      <c r="XDY80" s="252"/>
      <c r="XDZ80" s="252"/>
      <c r="XEA80" s="252"/>
      <c r="XEB80" s="252"/>
      <c r="XEC80" s="252"/>
      <c r="XED80" s="252"/>
      <c r="XEE80" s="252"/>
      <c r="XEF80" s="252"/>
      <c r="XEG80" s="252"/>
      <c r="XEH80" s="252"/>
      <c r="XEI80" s="252"/>
      <c r="XEJ80" s="252"/>
      <c r="XEK80" s="252"/>
      <c r="XEL80" s="252"/>
      <c r="XEM80" s="252"/>
      <c r="XEN80" s="252"/>
      <c r="XEO80" s="252"/>
      <c r="XEP80" s="252"/>
      <c r="XEQ80" s="252"/>
      <c r="XER80" s="252"/>
      <c r="XES80" s="252"/>
      <c r="XET80" s="252"/>
      <c r="XEU80" s="252"/>
      <c r="XEV80" s="252"/>
      <c r="XEW80" s="252"/>
      <c r="XEX80" s="252"/>
      <c r="XEY80" s="252"/>
      <c r="XEZ80" s="252"/>
      <c r="XFA80" s="252"/>
      <c r="XFB80" s="252"/>
      <c r="XFC80" s="252"/>
      <c r="XFD80" s="252"/>
    </row>
    <row r="81" spans="1:70 16340:16384" s="117" customFormat="1">
      <c r="A81" s="127"/>
      <c r="B81" s="127"/>
      <c r="C81" s="127" t="s">
        <v>80</v>
      </c>
      <c r="D81" s="127"/>
      <c r="E81" s="127"/>
      <c r="F81" s="232"/>
      <c r="G81" s="232"/>
      <c r="H81" s="232"/>
      <c r="I81" s="232">
        <f>I32/I$50</f>
        <v>0.11701326264921653</v>
      </c>
      <c r="J81" s="228"/>
      <c r="K81" s="232">
        <f>K32/K$50</f>
        <v>0.13839278448944606</v>
      </c>
      <c r="L81" s="232">
        <f t="shared" ref="L81:N81" si="362">L32/L$50</f>
        <v>0.21225532469370273</v>
      </c>
      <c r="M81" s="232">
        <f t="shared" si="362"/>
        <v>0.23072433280336588</v>
      </c>
      <c r="N81" s="232">
        <f t="shared" si="362"/>
        <v>0.16482662808366455</v>
      </c>
      <c r="O81" s="228"/>
      <c r="P81" s="232">
        <f t="shared" ref="P81:S81" si="363">P32/P$50</f>
        <v>0.15375245231044146</v>
      </c>
      <c r="Q81" s="232">
        <f t="shared" si="363"/>
        <v>0.14962658977518814</v>
      </c>
      <c r="R81" s="232">
        <f t="shared" si="363"/>
        <v>0.15489467132194706</v>
      </c>
      <c r="S81" s="232">
        <f t="shared" si="363"/>
        <v>0.1628079098697279</v>
      </c>
      <c r="T81" s="228"/>
      <c r="U81" s="232">
        <f t="shared" ref="U81:X81" si="364">U32/U$50</f>
        <v>0.1758365309951537</v>
      </c>
      <c r="V81" s="232">
        <f t="shared" si="364"/>
        <v>0.15861689780034863</v>
      </c>
      <c r="W81" s="232">
        <f t="shared" si="364"/>
        <v>0.15981323821839419</v>
      </c>
      <c r="X81" s="232">
        <f t="shared" si="364"/>
        <v>0.14829373571487417</v>
      </c>
      <c r="Y81" s="228"/>
      <c r="Z81" s="232">
        <f t="shared" ref="Z81:AB81" si="365">Z32/Z$50</f>
        <v>0.16863868503860707</v>
      </c>
      <c r="AA81" s="232">
        <f t="shared" si="365"/>
        <v>0.18252745824241348</v>
      </c>
      <c r="AB81" s="232">
        <f t="shared" si="365"/>
        <v>0.20049579438155893</v>
      </c>
      <c r="AC81" s="232">
        <f t="shared" ref="AC81" si="366">AC32/AC$50</f>
        <v>0.17453541152222612</v>
      </c>
      <c r="AD81" s="230"/>
      <c r="AE81" s="232">
        <f>AE32/AE$50</f>
        <v>0.17285433104647055</v>
      </c>
      <c r="AF81" s="232">
        <f>AF32/AF$50</f>
        <v>0.16695791693996179</v>
      </c>
      <c r="AG81" s="232">
        <f>AG32/AG$50</f>
        <v>0.15163672028900019</v>
      </c>
      <c r="AH81" s="232">
        <f>AH32/AH$50</f>
        <v>0.14928059747113692</v>
      </c>
      <c r="AI81" s="230"/>
      <c r="AJ81" s="232">
        <f t="shared" ref="AJ81:AM81" si="367">AJ32/AJ$50</f>
        <v>0.14693414714733197</v>
      </c>
      <c r="AK81" s="232">
        <f t="shared" si="367"/>
        <v>0.13959282271702278</v>
      </c>
      <c r="AL81" s="232">
        <f t="shared" si="367"/>
        <v>0.14062466601225621</v>
      </c>
      <c r="AM81" s="232">
        <f t="shared" si="367"/>
        <v>0.13716131867111553</v>
      </c>
      <c r="AN81" s="230"/>
      <c r="AO81" s="232">
        <f t="shared" ref="AO81:AP81" si="368">AO32/AO$50</f>
        <v>0.15236883570975859</v>
      </c>
      <c r="AP81" s="232">
        <f t="shared" si="368"/>
        <v>0.16834371179876592</v>
      </c>
      <c r="AQ81" s="232">
        <f t="shared" ref="AQ81:AR81" si="369">AQ32/AQ$50</f>
        <v>0.17779492921981427</v>
      </c>
      <c r="AR81" s="232">
        <f t="shared" si="369"/>
        <v>0.14830715831639063</v>
      </c>
      <c r="AS81" s="230"/>
      <c r="AT81" s="232">
        <f t="shared" ref="AT81:AW81" si="370">AT32/AT$50</f>
        <v>0.16926274468975278</v>
      </c>
      <c r="AU81" s="232">
        <f t="shared" si="370"/>
        <v>0.17497061099617822</v>
      </c>
      <c r="AV81" s="232">
        <f t="shared" si="370"/>
        <v>0.17487567326382714</v>
      </c>
      <c r="AW81" s="232">
        <f t="shared" si="370"/>
        <v>0.16718148312935974</v>
      </c>
      <c r="AX81" s="230"/>
      <c r="AY81" s="232">
        <f t="shared" ref="AY81:BA81" si="371">AY32/AY$50</f>
        <v>0.20221354971376237</v>
      </c>
      <c r="AZ81" s="232">
        <f t="shared" si="371"/>
        <v>0.21451565914222714</v>
      </c>
      <c r="BA81" s="232">
        <f t="shared" si="371"/>
        <v>0.18521310181265513</v>
      </c>
      <c r="BB81" s="231">
        <f t="shared" ref="BB81" si="372">+BA81-0.005</f>
        <v>0.18021310181265512</v>
      </c>
      <c r="BC81" s="230"/>
      <c r="BD81" s="231">
        <f>BB81</f>
        <v>0.18021310181265512</v>
      </c>
      <c r="BE81" s="231">
        <f>+BD81-0.005</f>
        <v>0.17521310181265512</v>
      </c>
      <c r="BF81" s="231">
        <f t="shared" ref="BF81" si="373">+BE81-0.005</f>
        <v>0.17021310181265512</v>
      </c>
      <c r="BG81" s="231">
        <f t="shared" ref="BG81" si="374">+BF81-0.005</f>
        <v>0.16521310181265511</v>
      </c>
      <c r="BH81" s="230"/>
      <c r="BI81" s="231">
        <f>BG81</f>
        <v>0.16521310181265511</v>
      </c>
      <c r="BJ81" s="231">
        <f>+BI81-0.005</f>
        <v>0.16021310181265511</v>
      </c>
      <c r="BK81" s="231">
        <f t="shared" ref="BK81" si="375">+BJ81-0.005</f>
        <v>0.1552131018126551</v>
      </c>
      <c r="BL81" s="231">
        <f t="shared" ref="BL81" si="376">+BK81-0.005</f>
        <v>0.1502131018126551</v>
      </c>
      <c r="BM81" s="230"/>
      <c r="BN81" s="231">
        <f>BL81</f>
        <v>0.1502131018126551</v>
      </c>
      <c r="BO81" s="231">
        <f>+BN81-0.005</f>
        <v>0.14521310181265509</v>
      </c>
      <c r="BP81" s="231">
        <f t="shared" ref="BP81" si="377">+BO81-0.005</f>
        <v>0.14021310181265509</v>
      </c>
      <c r="BQ81" s="231">
        <f t="shared" ref="BQ81" si="378">+BP81-0.005</f>
        <v>0.13521310181265508</v>
      </c>
      <c r="BR81" s="230"/>
      <c r="XDL81" s="252"/>
      <c r="XDM81" s="252"/>
      <c r="XDN81" s="252"/>
      <c r="XDO81" s="252"/>
      <c r="XDP81" s="252"/>
      <c r="XDQ81" s="252"/>
      <c r="XDR81" s="252"/>
      <c r="XDS81" s="252"/>
      <c r="XDT81" s="252"/>
      <c r="XDU81" s="252"/>
      <c r="XDV81" s="252"/>
      <c r="XDW81" s="252"/>
      <c r="XDX81" s="252"/>
      <c r="XDY81" s="252"/>
      <c r="XDZ81" s="252"/>
      <c r="XEA81" s="252"/>
      <c r="XEB81" s="252"/>
      <c r="XEC81" s="252"/>
      <c r="XED81" s="252"/>
      <c r="XEE81" s="252"/>
      <c r="XEF81" s="252"/>
      <c r="XEG81" s="252"/>
      <c r="XEH81" s="252"/>
      <c r="XEI81" s="252"/>
      <c r="XEJ81" s="252"/>
      <c r="XEK81" s="252"/>
      <c r="XEL81" s="252"/>
      <c r="XEM81" s="252"/>
      <c r="XEN81" s="252"/>
      <c r="XEO81" s="252"/>
      <c r="XEP81" s="252"/>
      <c r="XEQ81" s="252"/>
      <c r="XER81" s="252"/>
      <c r="XES81" s="252"/>
      <c r="XET81" s="252"/>
      <c r="XEU81" s="252"/>
      <c r="XEV81" s="252"/>
      <c r="XEW81" s="252"/>
      <c r="XEX81" s="252"/>
      <c r="XEY81" s="252"/>
      <c r="XEZ81" s="252"/>
      <c r="XFA81" s="252"/>
      <c r="XFB81" s="252"/>
      <c r="XFC81" s="252"/>
      <c r="XFD81" s="252"/>
    </row>
    <row r="82" spans="1:70 16340:16384" s="117" customFormat="1">
      <c r="A82" s="127"/>
      <c r="B82" s="127"/>
      <c r="C82" s="127" t="s">
        <v>77</v>
      </c>
      <c r="D82" s="127"/>
      <c r="E82" s="127"/>
      <c r="F82" s="232"/>
      <c r="G82" s="232"/>
      <c r="H82" s="232"/>
      <c r="I82" s="232">
        <f>I33/I$50</f>
        <v>2.47192275593037E-2</v>
      </c>
      <c r="J82" s="228"/>
      <c r="K82" s="232">
        <f>K33/K$50</f>
        <v>2.6688600892920106E-2</v>
      </c>
      <c r="L82" s="232">
        <f t="shared" ref="L82:N82" si="379">L33/L$50</f>
        <v>2.9282225053994772E-2</v>
      </c>
      <c r="M82" s="232">
        <f t="shared" si="379"/>
        <v>2.8710963030968137E-2</v>
      </c>
      <c r="N82" s="232">
        <f t="shared" si="379"/>
        <v>2.6348936325937752E-2</v>
      </c>
      <c r="O82" s="228"/>
      <c r="P82" s="232">
        <f t="shared" ref="P82:S82" si="380">P33/P$50</f>
        <v>2.6331473140317755E-2</v>
      </c>
      <c r="Q82" s="232">
        <f t="shared" si="380"/>
        <v>1.4113494693770115E-2</v>
      </c>
      <c r="R82" s="232">
        <f t="shared" si="380"/>
        <v>1.4537821072933995E-2</v>
      </c>
      <c r="S82" s="232">
        <f t="shared" si="380"/>
        <v>2.6730092465689293E-2</v>
      </c>
      <c r="T82" s="228"/>
      <c r="U82" s="232">
        <f t="shared" ref="U82:X82" si="381">U33/U$50</f>
        <v>2.6238440407789852E-2</v>
      </c>
      <c r="V82" s="232">
        <f t="shared" si="381"/>
        <v>2.5800641564997905E-2</v>
      </c>
      <c r="W82" s="232">
        <f t="shared" si="381"/>
        <v>2.6230742816207499E-2</v>
      </c>
      <c r="X82" s="232">
        <f t="shared" si="381"/>
        <v>2.7380742548744251E-2</v>
      </c>
      <c r="Y82" s="228"/>
      <c r="Z82" s="232">
        <f t="shared" ref="Z82:AB82" si="382">Z33/Z$50</f>
        <v>2.7594643469502134E-2</v>
      </c>
      <c r="AA82" s="232">
        <f t="shared" si="382"/>
        <v>2.7710315722419082E-2</v>
      </c>
      <c r="AB82" s="232">
        <f t="shared" si="382"/>
        <v>2.6271589346298162E-2</v>
      </c>
      <c r="AC82" s="232">
        <f t="shared" ref="AC82" si="383">AC33/AC$50</f>
        <v>3.3472986831493565E-2</v>
      </c>
      <c r="AD82" s="230"/>
      <c r="AE82" s="232">
        <f t="shared" ref="AE82:AG82" si="384">AE33/AE$50</f>
        <v>3.2587523386888487E-2</v>
      </c>
      <c r="AF82" s="232">
        <f t="shared" si="384"/>
        <v>3.1086404569707481E-2</v>
      </c>
      <c r="AG82" s="232">
        <f t="shared" si="384"/>
        <v>3.0279472658746209E-2</v>
      </c>
      <c r="AH82" s="232">
        <f>AH33/AH$50</f>
        <v>5.5545484254356091E-2</v>
      </c>
      <c r="AI82" s="230"/>
      <c r="AJ82" s="232">
        <f t="shared" ref="AJ82:AM82" si="385">AJ33/AJ$50</f>
        <v>5.551956360479543E-2</v>
      </c>
      <c r="AK82" s="232">
        <f t="shared" si="385"/>
        <v>6.088965197265292E-2</v>
      </c>
      <c r="AL82" s="232">
        <f t="shared" si="385"/>
        <v>5.8331935723082429E-2</v>
      </c>
      <c r="AM82" s="232">
        <f t="shared" si="385"/>
        <v>2.6675058340936673E-2</v>
      </c>
      <c r="AN82" s="230"/>
      <c r="AO82" s="232">
        <f t="shared" ref="AO82:AP82" si="386">AO33/AO$50</f>
        <v>2.6423321368770777E-2</v>
      </c>
      <c r="AP82" s="232">
        <f t="shared" si="386"/>
        <v>2.655468657088329E-2</v>
      </c>
      <c r="AQ82" s="232">
        <f t="shared" ref="AQ82:AR82" si="387">AQ33/AQ$50</f>
        <v>2.7508247693337765E-2</v>
      </c>
      <c r="AR82" s="232">
        <f t="shared" si="387"/>
        <v>2.2808336318277445E-2</v>
      </c>
      <c r="AS82" s="230"/>
      <c r="AT82" s="232">
        <f t="shared" ref="AT82:AW82" si="388">AT33/AT$50</f>
        <v>2.2871236372384512E-2</v>
      </c>
      <c r="AU82" s="232">
        <f t="shared" si="388"/>
        <v>2.3406376037424126E-2</v>
      </c>
      <c r="AV82" s="232">
        <f t="shared" si="388"/>
        <v>2.3885606411187411E-2</v>
      </c>
      <c r="AW82" s="232">
        <f t="shared" si="388"/>
        <v>2.3687768005743196E-2</v>
      </c>
      <c r="AX82" s="230"/>
      <c r="AY82" s="232">
        <f t="shared" ref="AY82:BA82" si="389">AY33/AY$50</f>
        <v>2.4199126429620296E-2</v>
      </c>
      <c r="AZ82" s="232">
        <f t="shared" si="389"/>
        <v>1.2812222178437666E-2</v>
      </c>
      <c r="BA82" s="232">
        <f t="shared" si="389"/>
        <v>1.3083456994684713E-2</v>
      </c>
      <c r="BB82" s="231">
        <v>2.6271589346298162E-2</v>
      </c>
      <c r="BC82" s="230"/>
      <c r="BD82" s="231">
        <v>2.6271589346298162E-2</v>
      </c>
      <c r="BE82" s="231">
        <v>2.6271589346298162E-2</v>
      </c>
      <c r="BF82" s="231">
        <v>2.6271589346298162E-2</v>
      </c>
      <c r="BG82" s="231">
        <v>2.6271589346298162E-2</v>
      </c>
      <c r="BH82" s="230"/>
      <c r="BI82" s="231">
        <v>2.6271589346298162E-2</v>
      </c>
      <c r="BJ82" s="231">
        <v>2.6271589346298162E-2</v>
      </c>
      <c r="BK82" s="231">
        <v>2.6271589346298162E-2</v>
      </c>
      <c r="BL82" s="231">
        <v>2.6271589346298162E-2</v>
      </c>
      <c r="BM82" s="230"/>
      <c r="BN82" s="231">
        <v>2.6271589346298162E-2</v>
      </c>
      <c r="BO82" s="231">
        <v>2.6271589346298162E-2</v>
      </c>
      <c r="BP82" s="231">
        <v>2.6271589346298162E-2</v>
      </c>
      <c r="BQ82" s="231">
        <v>2.6271589346298162E-2</v>
      </c>
      <c r="BR82" s="230"/>
      <c r="XDL82" s="252"/>
      <c r="XDM82" s="252"/>
      <c r="XDN82" s="252"/>
      <c r="XDO82" s="252"/>
      <c r="XDP82" s="252"/>
      <c r="XDQ82" s="252"/>
      <c r="XDR82" s="252"/>
      <c r="XDS82" s="252"/>
      <c r="XDT82" s="252"/>
      <c r="XDU82" s="252"/>
      <c r="XDV82" s="252"/>
      <c r="XDW82" s="252"/>
      <c r="XDX82" s="252"/>
      <c r="XDY82" s="252"/>
      <c r="XDZ82" s="252"/>
      <c r="XEA82" s="252"/>
      <c r="XEB82" s="252"/>
      <c r="XEC82" s="252"/>
      <c r="XED82" s="252"/>
      <c r="XEE82" s="252"/>
      <c r="XEF82" s="252"/>
      <c r="XEG82" s="252"/>
      <c r="XEH82" s="252"/>
      <c r="XEI82" s="252"/>
      <c r="XEJ82" s="252"/>
      <c r="XEK82" s="252"/>
      <c r="XEL82" s="252"/>
      <c r="XEM82" s="252"/>
      <c r="XEN82" s="252"/>
      <c r="XEO82" s="252"/>
      <c r="XEP82" s="252"/>
      <c r="XEQ82" s="252"/>
      <c r="XER82" s="252"/>
      <c r="XES82" s="252"/>
      <c r="XET82" s="252"/>
      <c r="XEU82" s="252"/>
      <c r="XEV82" s="252"/>
      <c r="XEW82" s="252"/>
      <c r="XEX82" s="252"/>
      <c r="XEY82" s="252"/>
      <c r="XEZ82" s="252"/>
      <c r="XFA82" s="252"/>
      <c r="XFB82" s="252"/>
      <c r="XFC82" s="252"/>
      <c r="XFD82" s="252"/>
    </row>
    <row r="83" spans="1:70 16340:16384" s="117" customFormat="1">
      <c r="A83" s="127"/>
      <c r="B83" s="127"/>
      <c r="C83" s="127" t="s">
        <v>78</v>
      </c>
      <c r="D83" s="127"/>
      <c r="E83" s="127"/>
      <c r="F83" s="232"/>
      <c r="G83" s="232"/>
      <c r="H83" s="232"/>
      <c r="I83" s="232">
        <f>I34/I$50</f>
        <v>1.3965947843373832E-2</v>
      </c>
      <c r="J83" s="228"/>
      <c r="K83" s="232">
        <f>K34/K$50</f>
        <v>1.5469122106553686E-2</v>
      </c>
      <c r="L83" s="232">
        <f t="shared" ref="L83:N83" si="390">L34/L$50</f>
        <v>1.6827173994520311E-2</v>
      </c>
      <c r="M83" s="232">
        <f t="shared" si="390"/>
        <v>2.8262871977893369E-2</v>
      </c>
      <c r="N83" s="232">
        <f t="shared" si="390"/>
        <v>2.9490756574318065E-2</v>
      </c>
      <c r="O83" s="228"/>
      <c r="P83" s="232">
        <f t="shared" ref="P83:S83" si="391">P34/P$50</f>
        <v>2.7698338782358414E-2</v>
      </c>
      <c r="Q83" s="232">
        <f t="shared" si="391"/>
        <v>2.9933358059846135E-2</v>
      </c>
      <c r="R83" s="232">
        <f t="shared" si="391"/>
        <v>2.8345346450283835E-2</v>
      </c>
      <c r="S83" s="232">
        <f t="shared" si="391"/>
        <v>3.3806878365431746E-2</v>
      </c>
      <c r="T83" s="228"/>
      <c r="U83" s="232">
        <f t="shared" ref="U83:X83" si="392">U34/U$50</f>
        <v>3.1944969601835939E-2</v>
      </c>
      <c r="V83" s="232">
        <f t="shared" si="392"/>
        <v>3.1811791949636403E-2</v>
      </c>
      <c r="W83" s="232">
        <f t="shared" si="392"/>
        <v>3.4955551488231103E-2</v>
      </c>
      <c r="X83" s="232">
        <f t="shared" si="392"/>
        <v>2.8224918049118804E-2</v>
      </c>
      <c r="Y83" s="228"/>
      <c r="Z83" s="232">
        <f t="shared" ref="Z83:AB83" si="393">Z34/Z$50</f>
        <v>2.8668839870303782E-2</v>
      </c>
      <c r="AA83" s="232">
        <f t="shared" si="393"/>
        <v>2.9371697084152194E-2</v>
      </c>
      <c r="AB83" s="232">
        <f t="shared" si="393"/>
        <v>2.2123263814140436E-2</v>
      </c>
      <c r="AC83" s="232">
        <f t="shared" ref="AC83" si="394">AC34/AC$50</f>
        <v>2.5553896670954743E-2</v>
      </c>
      <c r="AD83" s="230"/>
      <c r="AE83" s="232">
        <f t="shared" ref="AE83:AG83" si="395">AE34/AE$50</f>
        <v>2.4656454672609632E-2</v>
      </c>
      <c r="AF83" s="232">
        <f t="shared" si="395"/>
        <v>2.3447113082998159E-2</v>
      </c>
      <c r="AG83" s="232">
        <f t="shared" si="395"/>
        <v>2.3346856935836272E-2</v>
      </c>
      <c r="AH83" s="232">
        <f>AH34/AH$50</f>
        <v>2.8587704594193401E-2</v>
      </c>
      <c r="AI83" s="230"/>
      <c r="AJ83" s="232">
        <f t="shared" ref="AJ83:AM83" si="396">AJ34/AJ$50</f>
        <v>2.8087353544253364E-2</v>
      </c>
      <c r="AK83" s="232">
        <f t="shared" si="396"/>
        <v>2.8907030254602253E-2</v>
      </c>
      <c r="AL83" s="232">
        <f t="shared" si="396"/>
        <v>2.6095438693415279E-2</v>
      </c>
      <c r="AM83" s="232">
        <f t="shared" si="396"/>
        <v>3.2989379210896196E-2</v>
      </c>
      <c r="AN83" s="230"/>
      <c r="AO83" s="232">
        <f t="shared" ref="AO83:AP83" si="397">AO34/AO$50</f>
        <v>3.2322525711536779E-2</v>
      </c>
      <c r="AP83" s="232">
        <f t="shared" si="397"/>
        <v>3.1513616325513555E-2</v>
      </c>
      <c r="AQ83" s="232">
        <f t="shared" ref="AQ83:AR83" si="398">AQ34/AQ$50</f>
        <v>3.2334533218285173E-2</v>
      </c>
      <c r="AR83" s="232">
        <f t="shared" si="398"/>
        <v>3.4361541475588203E-2</v>
      </c>
      <c r="AS83" s="230"/>
      <c r="AT83" s="232">
        <f t="shared" ref="AT83:AW83" si="399">AT34/AT$50</f>
        <v>3.5605161350581831E-2</v>
      </c>
      <c r="AU83" s="232">
        <f t="shared" si="399"/>
        <v>3.2100852402234488E-2</v>
      </c>
      <c r="AV83" s="232">
        <f t="shared" si="399"/>
        <v>3.3356210378622568E-2</v>
      </c>
      <c r="AW83" s="232">
        <f t="shared" si="399"/>
        <v>3.4040517552173431E-2</v>
      </c>
      <c r="AX83" s="230"/>
      <c r="AY83" s="232">
        <f t="shared" ref="AY83:BA83" si="400">AY34/AY$50</f>
        <v>4.2189120940443914E-2</v>
      </c>
      <c r="AZ83" s="232">
        <f t="shared" si="400"/>
        <v>4.2466111321555394E-2</v>
      </c>
      <c r="BA83" s="232">
        <f t="shared" si="400"/>
        <v>4.1954352748670397E-2</v>
      </c>
      <c r="BB83" s="231">
        <v>2.2123263814140436E-2</v>
      </c>
      <c r="BC83" s="230"/>
      <c r="BD83" s="231">
        <v>2.2123263814140436E-2</v>
      </c>
      <c r="BE83" s="231">
        <v>2.2123263814140436E-2</v>
      </c>
      <c r="BF83" s="231">
        <v>2.2123263814140436E-2</v>
      </c>
      <c r="BG83" s="231">
        <v>2.2123263814140436E-2</v>
      </c>
      <c r="BH83" s="230"/>
      <c r="BI83" s="231">
        <v>2.2123263814140436E-2</v>
      </c>
      <c r="BJ83" s="231">
        <v>2.2123263814140436E-2</v>
      </c>
      <c r="BK83" s="231">
        <v>2.2123263814140436E-2</v>
      </c>
      <c r="BL83" s="231">
        <v>2.2123263814140436E-2</v>
      </c>
      <c r="BM83" s="230"/>
      <c r="BN83" s="231">
        <v>2.2123263814140436E-2</v>
      </c>
      <c r="BO83" s="231">
        <v>2.2123263814140436E-2</v>
      </c>
      <c r="BP83" s="231">
        <v>2.2123263814140436E-2</v>
      </c>
      <c r="BQ83" s="231">
        <v>2.2123263814140436E-2</v>
      </c>
      <c r="BR83" s="230"/>
      <c r="XDL83" s="252"/>
      <c r="XDM83" s="252"/>
      <c r="XDN83" s="252"/>
      <c r="XDO83" s="252"/>
      <c r="XDP83" s="252"/>
      <c r="XDQ83" s="252"/>
      <c r="XDR83" s="252"/>
      <c r="XDS83" s="252"/>
      <c r="XDT83" s="252"/>
      <c r="XDU83" s="252"/>
      <c r="XDV83" s="252"/>
      <c r="XDW83" s="252"/>
      <c r="XDX83" s="252"/>
      <c r="XDY83" s="252"/>
      <c r="XDZ83" s="252"/>
      <c r="XEA83" s="252"/>
      <c r="XEB83" s="252"/>
      <c r="XEC83" s="252"/>
      <c r="XED83" s="252"/>
      <c r="XEE83" s="252"/>
      <c r="XEF83" s="252"/>
      <c r="XEG83" s="252"/>
      <c r="XEH83" s="252"/>
      <c r="XEI83" s="252"/>
      <c r="XEJ83" s="252"/>
      <c r="XEK83" s="252"/>
      <c r="XEL83" s="252"/>
      <c r="XEM83" s="252"/>
      <c r="XEN83" s="252"/>
      <c r="XEO83" s="252"/>
      <c r="XEP83" s="252"/>
      <c r="XEQ83" s="252"/>
      <c r="XER83" s="252"/>
      <c r="XES83" s="252"/>
      <c r="XET83" s="252"/>
      <c r="XEU83" s="252"/>
      <c r="XEV83" s="252"/>
      <c r="XEW83" s="252"/>
      <c r="XEX83" s="252"/>
      <c r="XEY83" s="252"/>
      <c r="XEZ83" s="252"/>
      <c r="XFA83" s="252"/>
      <c r="XFB83" s="252"/>
      <c r="XFC83" s="252"/>
      <c r="XFD83" s="252"/>
    </row>
    <row r="84" spans="1:70 16340:16384" s="117" customFormat="1">
      <c r="A84" s="127"/>
      <c r="B84" s="127"/>
      <c r="C84" s="127" t="s">
        <v>79</v>
      </c>
      <c r="D84" s="127"/>
      <c r="E84" s="127"/>
      <c r="F84" s="232"/>
      <c r="G84" s="232"/>
      <c r="H84" s="232"/>
      <c r="I84" s="232">
        <f>I35/I$50</f>
        <v>0</v>
      </c>
      <c r="J84" s="228"/>
      <c r="K84" s="232">
        <f>K35/K$50</f>
        <v>0</v>
      </c>
      <c r="L84" s="232">
        <f t="shared" ref="L84:N84" si="401">L35/L$50</f>
        <v>0</v>
      </c>
      <c r="M84" s="232">
        <f t="shared" si="401"/>
        <v>0</v>
      </c>
      <c r="N84" s="232">
        <f t="shared" si="401"/>
        <v>0</v>
      </c>
      <c r="O84" s="228"/>
      <c r="P84" s="232">
        <f t="shared" ref="P84:S84" si="402">P35/P$50</f>
        <v>0</v>
      </c>
      <c r="Q84" s="232">
        <f t="shared" si="402"/>
        <v>0</v>
      </c>
      <c r="R84" s="232">
        <f t="shared" si="402"/>
        <v>0</v>
      </c>
      <c r="S84" s="232">
        <f t="shared" si="402"/>
        <v>0</v>
      </c>
      <c r="T84" s="228"/>
      <c r="U84" s="232">
        <f t="shared" ref="U84:X84" si="403">U35/U$50</f>
        <v>0</v>
      </c>
      <c r="V84" s="232">
        <f t="shared" si="403"/>
        <v>0</v>
      </c>
      <c r="W84" s="232">
        <f t="shared" si="403"/>
        <v>0</v>
      </c>
      <c r="X84" s="232">
        <f t="shared" si="403"/>
        <v>0</v>
      </c>
      <c r="Y84" s="228"/>
      <c r="Z84" s="232">
        <f t="shared" ref="Z84:AB84" si="404">Z35/Z$50</f>
        <v>0</v>
      </c>
      <c r="AA84" s="232">
        <f t="shared" si="404"/>
        <v>0</v>
      </c>
      <c r="AB84" s="232">
        <f t="shared" si="404"/>
        <v>0</v>
      </c>
      <c r="AC84" s="232">
        <f t="shared" ref="AC84" si="405">AC35/AC$50</f>
        <v>0</v>
      </c>
      <c r="AD84" s="230"/>
      <c r="AE84" s="232">
        <f t="shared" ref="AE84:AG84" si="406">AE35/AE$50</f>
        <v>0</v>
      </c>
      <c r="AF84" s="232">
        <f t="shared" si="406"/>
        <v>0</v>
      </c>
      <c r="AG84" s="232">
        <f t="shared" si="406"/>
        <v>0</v>
      </c>
      <c r="AH84" s="232">
        <f>AH35/AH$50</f>
        <v>0</v>
      </c>
      <c r="AI84" s="230"/>
      <c r="AJ84" s="232">
        <f t="shared" ref="AJ84:AM84" si="407">AJ35/AJ$50</f>
        <v>0</v>
      </c>
      <c r="AK84" s="232">
        <f t="shared" si="407"/>
        <v>0</v>
      </c>
      <c r="AL84" s="232">
        <f t="shared" si="407"/>
        <v>0</v>
      </c>
      <c r="AM84" s="232">
        <f t="shared" si="407"/>
        <v>0</v>
      </c>
      <c r="AN84" s="230"/>
      <c r="AO84" s="232">
        <f t="shared" ref="AO84:AP84" si="408">AO35/AO$50</f>
        <v>0</v>
      </c>
      <c r="AP84" s="232">
        <f t="shared" si="408"/>
        <v>0</v>
      </c>
      <c r="AQ84" s="232">
        <f t="shared" ref="AQ84:AR84" si="409">AQ35/AQ$50</f>
        <v>0</v>
      </c>
      <c r="AR84" s="232">
        <f t="shared" si="409"/>
        <v>0</v>
      </c>
      <c r="AS84" s="230"/>
      <c r="AT84" s="232">
        <f t="shared" ref="AT84:AW84" si="410">AT35/AT$50</f>
        <v>0</v>
      </c>
      <c r="AU84" s="232">
        <f t="shared" si="410"/>
        <v>0</v>
      </c>
      <c r="AV84" s="232">
        <f t="shared" si="410"/>
        <v>0</v>
      </c>
      <c r="AW84" s="232">
        <f t="shared" si="410"/>
        <v>0</v>
      </c>
      <c r="AX84" s="230"/>
      <c r="AY84" s="232">
        <f t="shared" ref="AY84:BA84" si="411">AY35/AY$50</f>
        <v>0</v>
      </c>
      <c r="AZ84" s="232">
        <f t="shared" si="411"/>
        <v>0</v>
      </c>
      <c r="BA84" s="232">
        <f t="shared" si="411"/>
        <v>0</v>
      </c>
      <c r="BB84" s="231">
        <v>0</v>
      </c>
      <c r="BC84" s="230"/>
      <c r="BD84" s="231">
        <v>0</v>
      </c>
      <c r="BE84" s="231">
        <v>0</v>
      </c>
      <c r="BF84" s="231">
        <v>0</v>
      </c>
      <c r="BG84" s="231">
        <v>0</v>
      </c>
      <c r="BH84" s="230"/>
      <c r="BI84" s="231">
        <v>0</v>
      </c>
      <c r="BJ84" s="231">
        <v>0</v>
      </c>
      <c r="BK84" s="231">
        <v>0</v>
      </c>
      <c r="BL84" s="231">
        <v>0</v>
      </c>
      <c r="BM84" s="230"/>
      <c r="BN84" s="231">
        <v>0</v>
      </c>
      <c r="BO84" s="231">
        <v>0</v>
      </c>
      <c r="BP84" s="231">
        <v>0</v>
      </c>
      <c r="BQ84" s="231">
        <v>0</v>
      </c>
      <c r="BR84" s="230"/>
      <c r="XDL84" s="252"/>
      <c r="XDM84" s="252"/>
      <c r="XDN84" s="252"/>
      <c r="XDO84" s="252"/>
      <c r="XDP84" s="252"/>
      <c r="XDQ84" s="252"/>
      <c r="XDR84" s="252"/>
      <c r="XDS84" s="252"/>
      <c r="XDT84" s="252"/>
      <c r="XDU84" s="252"/>
      <c r="XDV84" s="252"/>
      <c r="XDW84" s="252"/>
      <c r="XDX84" s="252"/>
      <c r="XDY84" s="252"/>
      <c r="XDZ84" s="252"/>
      <c r="XEA84" s="252"/>
      <c r="XEB84" s="252"/>
      <c r="XEC84" s="252"/>
      <c r="XED84" s="252"/>
      <c r="XEE84" s="252"/>
      <c r="XEF84" s="252"/>
      <c r="XEG84" s="252"/>
      <c r="XEH84" s="252"/>
      <c r="XEI84" s="252"/>
      <c r="XEJ84" s="252"/>
      <c r="XEK84" s="252"/>
      <c r="XEL84" s="252"/>
      <c r="XEM84" s="252"/>
      <c r="XEN84" s="252"/>
      <c r="XEO84" s="252"/>
      <c r="XEP84" s="252"/>
      <c r="XEQ84" s="252"/>
      <c r="XER84" s="252"/>
      <c r="XES84" s="252"/>
      <c r="XET84" s="252"/>
      <c r="XEU84" s="252"/>
      <c r="XEV84" s="252"/>
      <c r="XEW84" s="252"/>
      <c r="XEX84" s="252"/>
      <c r="XEY84" s="252"/>
      <c r="XEZ84" s="252"/>
      <c r="XFA84" s="252"/>
      <c r="XFB84" s="252"/>
      <c r="XFC84" s="252"/>
      <c r="XFD84" s="252"/>
    </row>
    <row r="85" spans="1:70 16340:16384" s="117" customFormat="1">
      <c r="A85" s="127"/>
      <c r="B85" s="127"/>
      <c r="D85" s="127"/>
      <c r="E85" s="127"/>
      <c r="F85" s="232"/>
      <c r="G85" s="232"/>
      <c r="H85" s="232"/>
      <c r="I85" s="227"/>
      <c r="J85" s="228"/>
      <c r="K85" s="227"/>
      <c r="L85" s="227"/>
      <c r="M85" s="227"/>
      <c r="N85" s="227"/>
      <c r="O85" s="228"/>
      <c r="P85" s="227"/>
      <c r="Q85" s="227"/>
      <c r="R85" s="227"/>
      <c r="S85" s="227"/>
      <c r="T85" s="228"/>
      <c r="U85" s="227"/>
      <c r="V85" s="227"/>
      <c r="W85" s="227"/>
      <c r="X85" s="227"/>
      <c r="Y85" s="228"/>
      <c r="Z85" s="227"/>
      <c r="AA85" s="227"/>
      <c r="AB85" s="227"/>
      <c r="AC85" s="229"/>
      <c r="AD85" s="230"/>
      <c r="AE85" s="231"/>
      <c r="AF85" s="231"/>
      <c r="AG85" s="231"/>
      <c r="AH85" s="231"/>
      <c r="AI85" s="230"/>
      <c r="AJ85" s="231"/>
      <c r="AK85" s="231"/>
      <c r="AL85" s="231"/>
      <c r="AM85" s="231"/>
      <c r="AN85" s="230"/>
      <c r="AO85" s="231"/>
      <c r="AP85" s="231"/>
      <c r="AQ85" s="231"/>
      <c r="AR85" s="231"/>
      <c r="AS85" s="230"/>
      <c r="AT85" s="231"/>
      <c r="AU85" s="231"/>
      <c r="AV85" s="231"/>
      <c r="AW85" s="231"/>
      <c r="AX85" s="230"/>
      <c r="AY85" s="231"/>
      <c r="AZ85" s="231"/>
      <c r="BA85" s="231"/>
      <c r="BB85" s="231"/>
      <c r="BC85" s="230"/>
      <c r="XDL85" s="252"/>
      <c r="XDM85" s="252"/>
      <c r="XDN85" s="252"/>
      <c r="XDO85" s="252"/>
      <c r="XDP85" s="252"/>
      <c r="XDQ85" s="252"/>
      <c r="XDR85" s="252"/>
      <c r="XDS85" s="252"/>
      <c r="XDT85" s="252"/>
      <c r="XDU85" s="252"/>
      <c r="XDV85" s="252"/>
      <c r="XDW85" s="252"/>
      <c r="XDX85" s="252"/>
      <c r="XDY85" s="252"/>
      <c r="XDZ85" s="252"/>
      <c r="XEA85" s="252"/>
      <c r="XEB85" s="252"/>
      <c r="XEC85" s="252"/>
      <c r="XED85" s="252"/>
      <c r="XEE85" s="252"/>
      <c r="XEF85" s="252"/>
      <c r="XEG85" s="252"/>
      <c r="XEH85" s="252"/>
      <c r="XEI85" s="252"/>
      <c r="XEJ85" s="252"/>
      <c r="XEK85" s="252"/>
      <c r="XEL85" s="252"/>
      <c r="XEM85" s="252"/>
      <c r="XEN85" s="252"/>
      <c r="XEO85" s="252"/>
      <c r="XEP85" s="252"/>
      <c r="XEQ85" s="252"/>
      <c r="XER85" s="252"/>
      <c r="XES85" s="252"/>
      <c r="XET85" s="252"/>
      <c r="XEU85" s="252"/>
      <c r="XEV85" s="252"/>
      <c r="XEW85" s="252"/>
      <c r="XEX85" s="252"/>
      <c r="XEY85" s="252"/>
      <c r="XEZ85" s="252"/>
      <c r="XFA85" s="252"/>
      <c r="XFB85" s="252"/>
      <c r="XFC85" s="252"/>
      <c r="XFD85" s="252"/>
    </row>
    <row r="86" spans="1:70 16340:16384" s="117" customFormat="1">
      <c r="A86" s="127"/>
      <c r="B86" s="127"/>
      <c r="D86" s="127"/>
      <c r="E86" s="127"/>
      <c r="F86" s="198"/>
      <c r="G86" s="198"/>
      <c r="H86" s="198"/>
      <c r="I86" s="193"/>
      <c r="J86" s="194"/>
      <c r="K86" s="193"/>
      <c r="L86" s="193"/>
      <c r="M86" s="193"/>
      <c r="N86" s="193"/>
      <c r="O86" s="194"/>
      <c r="P86" s="193"/>
      <c r="Q86" s="193"/>
      <c r="R86" s="193"/>
      <c r="S86" s="193"/>
      <c r="T86" s="194"/>
      <c r="U86" s="193"/>
      <c r="V86" s="193"/>
      <c r="W86" s="193"/>
      <c r="X86" s="193"/>
      <c r="Y86" s="194"/>
      <c r="Z86" s="193"/>
      <c r="AA86" s="193"/>
      <c r="AB86" s="193"/>
      <c r="AC86" s="195"/>
      <c r="AD86" s="196"/>
      <c r="AE86" s="197"/>
      <c r="AF86" s="197"/>
      <c r="AG86" s="197"/>
      <c r="AH86" s="197"/>
      <c r="AI86" s="196"/>
      <c r="AJ86" s="197"/>
      <c r="AK86" s="197"/>
      <c r="AL86" s="197"/>
      <c r="AM86" s="197"/>
      <c r="AN86" s="196"/>
      <c r="AO86" s="197"/>
      <c r="AP86" s="197"/>
      <c r="AQ86" s="197"/>
      <c r="AR86" s="197"/>
      <c r="AS86" s="196"/>
      <c r="AT86" s="197"/>
      <c r="AU86" s="197"/>
      <c r="AV86" s="197"/>
      <c r="AW86" s="197"/>
      <c r="AX86" s="196"/>
      <c r="AY86" s="197"/>
      <c r="AZ86" s="197"/>
      <c r="BA86" s="197"/>
      <c r="BB86" s="197"/>
      <c r="BC86" s="196"/>
      <c r="XDL86" s="252"/>
      <c r="XDM86" s="252"/>
      <c r="XDN86" s="252"/>
      <c r="XDO86" s="252"/>
      <c r="XDP86" s="252"/>
      <c r="XDQ86" s="252"/>
      <c r="XDR86" s="252"/>
      <c r="XDS86" s="252"/>
      <c r="XDT86" s="252"/>
      <c r="XDU86" s="252"/>
      <c r="XDV86" s="252"/>
      <c r="XDW86" s="252"/>
      <c r="XDX86" s="252"/>
      <c r="XDY86" s="252"/>
      <c r="XDZ86" s="252"/>
      <c r="XEA86" s="252"/>
      <c r="XEB86" s="252"/>
      <c r="XEC86" s="252"/>
      <c r="XED86" s="252"/>
      <c r="XEE86" s="252"/>
      <c r="XEF86" s="252"/>
      <c r="XEG86" s="252"/>
      <c r="XEH86" s="252"/>
      <c r="XEI86" s="252"/>
      <c r="XEJ86" s="252"/>
      <c r="XEK86" s="252"/>
      <c r="XEL86" s="252"/>
      <c r="XEM86" s="252"/>
      <c r="XEN86" s="252"/>
      <c r="XEO86" s="252"/>
      <c r="XEP86" s="252"/>
      <c r="XEQ86" s="252"/>
      <c r="XER86" s="252"/>
      <c r="XES86" s="252"/>
      <c r="XET86" s="252"/>
      <c r="XEU86" s="252"/>
      <c r="XEV86" s="252"/>
      <c r="XEW86" s="252"/>
      <c r="XEX86" s="252"/>
      <c r="XEY86" s="252"/>
      <c r="XEZ86" s="252"/>
      <c r="XFA86" s="252"/>
      <c r="XFB86" s="252"/>
      <c r="XFC86" s="252"/>
      <c r="XFD86" s="252"/>
    </row>
    <row r="87" spans="1:70 16340:16384" s="117" customFormat="1">
      <c r="A87" s="129"/>
      <c r="B87" s="129"/>
      <c r="C87" s="129"/>
      <c r="D87" s="129"/>
      <c r="E87" s="127"/>
      <c r="F87" s="198"/>
      <c r="G87" s="198"/>
      <c r="H87" s="198"/>
      <c r="I87" s="198"/>
      <c r="J87" s="194"/>
      <c r="K87" s="198"/>
      <c r="L87" s="198"/>
      <c r="M87" s="198"/>
      <c r="N87" s="198"/>
      <c r="O87" s="194"/>
      <c r="P87" s="198"/>
      <c r="Q87" s="198"/>
      <c r="R87" s="198"/>
      <c r="S87" s="198"/>
      <c r="T87" s="194"/>
      <c r="U87" s="198"/>
      <c r="V87" s="198"/>
      <c r="W87" s="198"/>
      <c r="X87" s="198"/>
      <c r="Y87" s="194"/>
      <c r="Z87" s="198"/>
      <c r="AA87" s="198"/>
      <c r="AB87" s="198"/>
      <c r="AC87" s="195"/>
      <c r="AD87" s="196"/>
      <c r="AE87" s="197"/>
      <c r="AF87" s="197"/>
      <c r="AG87" s="197"/>
      <c r="AH87" s="197"/>
      <c r="AI87" s="196"/>
      <c r="AJ87" s="197"/>
      <c r="AK87" s="197"/>
      <c r="AL87" s="197"/>
      <c r="AM87" s="197"/>
      <c r="AN87" s="196"/>
      <c r="AO87" s="197"/>
      <c r="AP87" s="197"/>
      <c r="AQ87" s="197"/>
      <c r="AR87" s="197"/>
      <c r="AS87" s="196"/>
      <c r="AT87" s="197"/>
      <c r="AU87" s="197"/>
      <c r="AV87" s="197"/>
      <c r="AW87" s="197"/>
      <c r="AX87" s="196"/>
      <c r="AY87" s="197"/>
      <c r="AZ87" s="197"/>
      <c r="BA87" s="197"/>
      <c r="BB87" s="197"/>
      <c r="BC87" s="196"/>
      <c r="XDL87" s="252"/>
      <c r="XDM87" s="252"/>
      <c r="XDN87" s="252"/>
      <c r="XDO87" s="252"/>
      <c r="XDP87" s="252"/>
      <c r="XDQ87" s="252"/>
      <c r="XDR87" s="252"/>
      <c r="XDS87" s="252"/>
      <c r="XDT87" s="252"/>
      <c r="XDU87" s="252"/>
      <c r="XDV87" s="252"/>
      <c r="XDW87" s="252"/>
      <c r="XDX87" s="252"/>
      <c r="XDY87" s="252"/>
      <c r="XDZ87" s="252"/>
      <c r="XEA87" s="252"/>
      <c r="XEB87" s="252"/>
      <c r="XEC87" s="252"/>
      <c r="XED87" s="252"/>
      <c r="XEE87" s="252"/>
      <c r="XEF87" s="252"/>
      <c r="XEG87" s="252"/>
      <c r="XEH87" s="252"/>
      <c r="XEI87" s="252"/>
      <c r="XEJ87" s="252"/>
      <c r="XEK87" s="252"/>
      <c r="XEL87" s="252"/>
      <c r="XEM87" s="252"/>
      <c r="XEN87" s="252"/>
      <c r="XEO87" s="252"/>
      <c r="XEP87" s="252"/>
      <c r="XEQ87" s="252"/>
      <c r="XER87" s="252"/>
      <c r="XES87" s="252"/>
      <c r="XET87" s="252"/>
      <c r="XEU87" s="252"/>
      <c r="XEV87" s="252"/>
      <c r="XEW87" s="252"/>
      <c r="XEX87" s="252"/>
      <c r="XEY87" s="252"/>
      <c r="XEZ87" s="252"/>
      <c r="XFA87" s="252"/>
      <c r="XFB87" s="252"/>
      <c r="XFC87" s="252"/>
      <c r="XFD87" s="252"/>
    </row>
    <row r="88" spans="1:70 16340:16384" s="117" customFormat="1">
      <c r="A88" s="127"/>
      <c r="B88" s="127"/>
      <c r="C88" s="127"/>
      <c r="D88" s="127"/>
      <c r="E88" s="127"/>
      <c r="F88" s="198"/>
      <c r="G88" s="198"/>
      <c r="H88" s="198"/>
      <c r="I88" s="198"/>
      <c r="J88" s="194"/>
      <c r="K88" s="198"/>
      <c r="L88" s="198"/>
      <c r="M88" s="198"/>
      <c r="N88" s="198"/>
      <c r="O88" s="194"/>
      <c r="P88" s="198"/>
      <c r="Q88" s="198"/>
      <c r="R88" s="198"/>
      <c r="S88" s="198"/>
      <c r="T88" s="194"/>
      <c r="U88" s="198"/>
      <c r="V88" s="198"/>
      <c r="W88" s="198"/>
      <c r="X88" s="198"/>
      <c r="Y88" s="194"/>
      <c r="Z88" s="198"/>
      <c r="AA88" s="198"/>
      <c r="AB88" s="198"/>
      <c r="AC88" s="195"/>
      <c r="AD88" s="196"/>
      <c r="AE88" s="197"/>
      <c r="AF88" s="197"/>
      <c r="AG88" s="197"/>
      <c r="AH88" s="197"/>
      <c r="AI88" s="196"/>
      <c r="AJ88" s="197"/>
      <c r="AK88" s="197"/>
      <c r="AL88" s="197"/>
      <c r="AM88" s="197"/>
      <c r="AN88" s="196"/>
      <c r="AO88" s="197"/>
      <c r="AP88" s="197"/>
      <c r="AQ88" s="197"/>
      <c r="AR88" s="197"/>
      <c r="AS88" s="196"/>
      <c r="AT88" s="197"/>
      <c r="AU88" s="197"/>
      <c r="AV88" s="197"/>
      <c r="AW88" s="197"/>
      <c r="AX88" s="196"/>
      <c r="AY88" s="197"/>
      <c r="AZ88" s="197"/>
      <c r="BA88" s="197"/>
      <c r="BB88" s="197"/>
      <c r="BC88" s="196"/>
      <c r="XDL88" s="252"/>
      <c r="XDM88" s="252"/>
      <c r="XDN88" s="252"/>
      <c r="XDO88" s="252"/>
      <c r="XDP88" s="252"/>
      <c r="XDQ88" s="252"/>
      <c r="XDR88" s="252"/>
      <c r="XDS88" s="252"/>
      <c r="XDT88" s="252"/>
      <c r="XDU88" s="252"/>
      <c r="XDV88" s="252"/>
      <c r="XDW88" s="252"/>
      <c r="XDX88" s="252"/>
      <c r="XDY88" s="252"/>
      <c r="XDZ88" s="252"/>
      <c r="XEA88" s="252"/>
      <c r="XEB88" s="252"/>
      <c r="XEC88" s="252"/>
      <c r="XED88" s="252"/>
      <c r="XEE88" s="252"/>
      <c r="XEF88" s="252"/>
      <c r="XEG88" s="252"/>
      <c r="XEH88" s="252"/>
      <c r="XEI88" s="252"/>
      <c r="XEJ88" s="252"/>
      <c r="XEK88" s="252"/>
      <c r="XEL88" s="252"/>
      <c r="XEM88" s="252"/>
      <c r="XEN88" s="252"/>
      <c r="XEO88" s="252"/>
      <c r="XEP88" s="252"/>
      <c r="XEQ88" s="252"/>
      <c r="XER88" s="252"/>
      <c r="XES88" s="252"/>
      <c r="XET88" s="252"/>
      <c r="XEU88" s="252"/>
      <c r="XEV88" s="252"/>
      <c r="XEW88" s="252"/>
      <c r="XEX88" s="252"/>
      <c r="XEY88" s="252"/>
      <c r="XEZ88" s="252"/>
      <c r="XFA88" s="252"/>
      <c r="XFB88" s="252"/>
      <c r="XFC88" s="252"/>
      <c r="XFD88" s="252"/>
    </row>
    <row r="89" spans="1:70 16340:16384" s="117" customFormat="1">
      <c r="A89" s="127"/>
      <c r="B89" s="127"/>
      <c r="C89" s="127"/>
      <c r="D89" s="127"/>
      <c r="E89" s="127"/>
      <c r="F89" s="198"/>
      <c r="G89" s="198"/>
      <c r="H89" s="198"/>
      <c r="I89" s="193"/>
      <c r="J89" s="194"/>
      <c r="K89" s="193"/>
      <c r="L89" s="193"/>
      <c r="M89" s="193"/>
      <c r="N89" s="193"/>
      <c r="O89" s="194"/>
      <c r="P89" s="193"/>
      <c r="Q89" s="193"/>
      <c r="R89" s="193"/>
      <c r="S89" s="193"/>
      <c r="T89" s="194"/>
      <c r="U89" s="193"/>
      <c r="V89" s="193"/>
      <c r="W89" s="193"/>
      <c r="X89" s="193"/>
      <c r="Y89" s="194"/>
      <c r="Z89" s="193"/>
      <c r="AA89" s="193"/>
      <c r="AB89" s="193"/>
      <c r="AC89" s="195"/>
      <c r="AD89" s="196"/>
      <c r="AE89" s="197"/>
      <c r="AF89" s="197"/>
      <c r="AG89" s="197"/>
      <c r="AH89" s="197"/>
      <c r="AI89" s="196"/>
      <c r="AJ89" s="197"/>
      <c r="AK89" s="197"/>
      <c r="AL89" s="197"/>
      <c r="AM89" s="197"/>
      <c r="AN89" s="196"/>
      <c r="AO89" s="197"/>
      <c r="AP89" s="197"/>
      <c r="AQ89" s="197"/>
      <c r="AR89" s="197"/>
      <c r="AS89" s="196"/>
      <c r="AT89" s="197"/>
      <c r="AU89" s="197"/>
      <c r="AV89" s="197"/>
      <c r="AW89" s="197"/>
      <c r="AX89" s="196"/>
      <c r="AY89" s="197"/>
      <c r="AZ89" s="197"/>
      <c r="BA89" s="197"/>
      <c r="BB89" s="197"/>
      <c r="BC89" s="196"/>
      <c r="XDL89" s="252"/>
      <c r="XDM89" s="252"/>
      <c r="XDN89" s="252"/>
      <c r="XDO89" s="252"/>
      <c r="XDP89" s="252"/>
      <c r="XDQ89" s="252"/>
      <c r="XDR89" s="252"/>
      <c r="XDS89" s="252"/>
      <c r="XDT89" s="252"/>
      <c r="XDU89" s="252"/>
      <c r="XDV89" s="252"/>
      <c r="XDW89" s="252"/>
      <c r="XDX89" s="252"/>
      <c r="XDY89" s="252"/>
      <c r="XDZ89" s="252"/>
      <c r="XEA89" s="252"/>
      <c r="XEB89" s="252"/>
      <c r="XEC89" s="252"/>
      <c r="XED89" s="252"/>
      <c r="XEE89" s="252"/>
      <c r="XEF89" s="252"/>
      <c r="XEG89" s="252"/>
      <c r="XEH89" s="252"/>
      <c r="XEI89" s="252"/>
      <c r="XEJ89" s="252"/>
      <c r="XEK89" s="252"/>
      <c r="XEL89" s="252"/>
      <c r="XEM89" s="252"/>
      <c r="XEN89" s="252"/>
      <c r="XEO89" s="252"/>
      <c r="XEP89" s="252"/>
      <c r="XEQ89" s="252"/>
      <c r="XER89" s="252"/>
      <c r="XES89" s="252"/>
      <c r="XET89" s="252"/>
      <c r="XEU89" s="252"/>
      <c r="XEV89" s="252"/>
      <c r="XEW89" s="252"/>
      <c r="XEX89" s="252"/>
      <c r="XEY89" s="252"/>
      <c r="XEZ89" s="252"/>
      <c r="XFA89" s="252"/>
      <c r="XFB89" s="252"/>
      <c r="XFC89" s="252"/>
      <c r="XFD89" s="252"/>
    </row>
    <row r="90" spans="1:70 16340:16384" s="117" customFormat="1">
      <c r="A90" s="127"/>
      <c r="B90" s="127"/>
      <c r="C90" s="127"/>
      <c r="D90" s="127"/>
      <c r="E90" s="127"/>
      <c r="F90" s="198"/>
      <c r="G90" s="198"/>
      <c r="H90" s="198"/>
      <c r="I90" s="193"/>
      <c r="J90" s="194"/>
      <c r="K90" s="193"/>
      <c r="L90" s="193"/>
      <c r="M90" s="193"/>
      <c r="N90" s="193"/>
      <c r="O90" s="194"/>
      <c r="P90" s="193"/>
      <c r="Q90" s="193"/>
      <c r="R90" s="193"/>
      <c r="S90" s="193"/>
      <c r="T90" s="194"/>
      <c r="U90" s="193"/>
      <c r="V90" s="193"/>
      <c r="W90" s="193"/>
      <c r="X90" s="193"/>
      <c r="Y90" s="194"/>
      <c r="Z90" s="193"/>
      <c r="AA90" s="193"/>
      <c r="AB90" s="428">
        <v>40268</v>
      </c>
      <c r="AC90" s="195">
        <f>+HLOOKUP(AB90,$F$2:$AW$54,53,FALSE)</f>
        <v>0</v>
      </c>
      <c r="AD90" s="196"/>
      <c r="AE90" s="197"/>
      <c r="AF90" s="197"/>
      <c r="AG90" s="197"/>
      <c r="AH90" s="197"/>
      <c r="AI90" s="196"/>
      <c r="AJ90" s="197"/>
      <c r="AK90" s="197"/>
      <c r="AL90" s="197"/>
      <c r="AM90" s="197"/>
      <c r="AN90" s="196"/>
      <c r="AO90" s="197"/>
      <c r="AP90" s="197"/>
      <c r="AQ90" s="197"/>
      <c r="AR90" s="197"/>
      <c r="AS90" s="196"/>
      <c r="AT90" s="197"/>
      <c r="AU90" s="197"/>
      <c r="AV90" s="197"/>
      <c r="AW90" s="197"/>
      <c r="AX90" s="196"/>
      <c r="AY90" s="197"/>
      <c r="AZ90" s="197"/>
      <c r="BA90" s="197"/>
      <c r="BB90" s="197"/>
      <c r="BC90" s="196"/>
      <c r="XDL90" s="252"/>
      <c r="XDM90" s="252"/>
      <c r="XDN90" s="252"/>
      <c r="XDO90" s="252"/>
      <c r="XDP90" s="252"/>
      <c r="XDQ90" s="252"/>
      <c r="XDR90" s="252"/>
      <c r="XDS90" s="252"/>
      <c r="XDT90" s="252"/>
      <c r="XDU90" s="252"/>
      <c r="XDV90" s="252"/>
      <c r="XDW90" s="252"/>
      <c r="XDX90" s="252"/>
      <c r="XDY90" s="252"/>
      <c r="XDZ90" s="252"/>
      <c r="XEA90" s="252"/>
      <c r="XEB90" s="252"/>
      <c r="XEC90" s="252"/>
      <c r="XED90" s="252"/>
      <c r="XEE90" s="252"/>
      <c r="XEF90" s="252"/>
      <c r="XEG90" s="252"/>
      <c r="XEH90" s="252"/>
      <c r="XEI90" s="252"/>
      <c r="XEJ90" s="252"/>
      <c r="XEK90" s="252"/>
      <c r="XEL90" s="252"/>
      <c r="XEM90" s="252"/>
      <c r="XEN90" s="252"/>
      <c r="XEO90" s="252"/>
      <c r="XEP90" s="252"/>
      <c r="XEQ90" s="252"/>
      <c r="XER90" s="252"/>
      <c r="XES90" s="252"/>
      <c r="XET90" s="252"/>
      <c r="XEU90" s="252"/>
      <c r="XEV90" s="252"/>
      <c r="XEW90" s="252"/>
      <c r="XEX90" s="252"/>
      <c r="XEY90" s="252"/>
      <c r="XEZ90" s="252"/>
      <c r="XFA90" s="252"/>
      <c r="XFB90" s="252"/>
      <c r="XFC90" s="252"/>
      <c r="XFD90" s="252"/>
    </row>
    <row r="91" spans="1:70 16340:16384" s="117" customFormat="1">
      <c r="A91" s="127"/>
      <c r="B91" s="127"/>
      <c r="C91" s="127"/>
      <c r="D91" s="127"/>
      <c r="E91" s="127"/>
      <c r="F91" s="198"/>
      <c r="G91" s="198"/>
      <c r="H91" s="198"/>
      <c r="I91" s="193"/>
      <c r="J91" s="194"/>
      <c r="K91" s="193"/>
      <c r="L91" s="193"/>
      <c r="M91" s="193"/>
      <c r="N91" s="193"/>
      <c r="O91" s="194"/>
      <c r="P91" s="193"/>
      <c r="Q91" s="193"/>
      <c r="R91" s="193"/>
      <c r="S91" s="193"/>
      <c r="T91" s="194"/>
      <c r="U91" s="193"/>
      <c r="V91" s="193"/>
      <c r="W91" s="193"/>
      <c r="X91" s="193"/>
      <c r="Y91" s="194"/>
      <c r="Z91" s="193"/>
      <c r="AA91" s="193"/>
      <c r="AB91" s="428">
        <f>+EOMONTH(AB90,3)</f>
        <v>40359</v>
      </c>
      <c r="AC91" s="195">
        <f t="shared" ref="AC91:AC118" si="412">+HLOOKUP(AB91,$F$2:$AW$54,53,FALSE)</f>
        <v>0</v>
      </c>
      <c r="AD91" s="196"/>
      <c r="AE91" s="197"/>
      <c r="AF91" s="197"/>
      <c r="AG91" s="197"/>
      <c r="AH91" s="197"/>
      <c r="AI91" s="196"/>
      <c r="AJ91" s="197"/>
      <c r="AK91" s="197"/>
      <c r="AL91" s="197"/>
      <c r="AM91" s="197"/>
      <c r="AN91" s="196"/>
      <c r="AO91" s="197"/>
      <c r="AP91" s="197"/>
      <c r="AQ91" s="197"/>
      <c r="AR91" s="197"/>
      <c r="AS91" s="196"/>
      <c r="AT91" s="197"/>
      <c r="AU91" s="197"/>
      <c r="AV91" s="197"/>
      <c r="AW91" s="197"/>
      <c r="AX91" s="196"/>
      <c r="AY91" s="197"/>
      <c r="AZ91" s="197"/>
      <c r="BA91" s="197"/>
      <c r="BB91" s="197"/>
      <c r="BC91" s="196"/>
      <c r="XDL91" s="252"/>
      <c r="XDM91" s="252"/>
      <c r="XDN91" s="252"/>
      <c r="XDO91" s="252"/>
      <c r="XDP91" s="252"/>
      <c r="XDQ91" s="252"/>
      <c r="XDR91" s="252"/>
      <c r="XDS91" s="252"/>
      <c r="XDT91" s="252"/>
      <c r="XDU91" s="252"/>
      <c r="XDV91" s="252"/>
      <c r="XDW91" s="252"/>
      <c r="XDX91" s="252"/>
      <c r="XDY91" s="252"/>
      <c r="XDZ91" s="252"/>
      <c r="XEA91" s="252"/>
      <c r="XEB91" s="252"/>
      <c r="XEC91" s="252"/>
      <c r="XED91" s="252"/>
      <c r="XEE91" s="252"/>
      <c r="XEF91" s="252"/>
      <c r="XEG91" s="252"/>
      <c r="XEH91" s="252"/>
      <c r="XEI91" s="252"/>
      <c r="XEJ91" s="252"/>
      <c r="XEK91" s="252"/>
      <c r="XEL91" s="252"/>
      <c r="XEM91" s="252"/>
      <c r="XEN91" s="252"/>
      <c r="XEO91" s="252"/>
      <c r="XEP91" s="252"/>
      <c r="XEQ91" s="252"/>
      <c r="XER91" s="252"/>
      <c r="XES91" s="252"/>
      <c r="XET91" s="252"/>
      <c r="XEU91" s="252"/>
      <c r="XEV91" s="252"/>
      <c r="XEW91" s="252"/>
      <c r="XEX91" s="252"/>
      <c r="XEY91" s="252"/>
      <c r="XEZ91" s="252"/>
      <c r="XFA91" s="252"/>
      <c r="XFB91" s="252"/>
      <c r="XFC91" s="252"/>
      <c r="XFD91" s="252"/>
    </row>
    <row r="92" spans="1:70 16340:16384" s="117" customFormat="1">
      <c r="A92" s="127"/>
      <c r="B92" s="127"/>
      <c r="C92" s="127"/>
      <c r="D92" s="127"/>
      <c r="E92" s="127"/>
      <c r="F92" s="198"/>
      <c r="G92" s="198"/>
      <c r="H92" s="198"/>
      <c r="I92" s="193"/>
      <c r="J92" s="194"/>
      <c r="K92" s="193"/>
      <c r="L92" s="193"/>
      <c r="M92" s="193"/>
      <c r="N92" s="193"/>
      <c r="O92" s="194"/>
      <c r="P92" s="193"/>
      <c r="Q92" s="193"/>
      <c r="R92" s="193"/>
      <c r="S92" s="193"/>
      <c r="T92" s="194"/>
      <c r="U92" s="193"/>
      <c r="V92" s="193"/>
      <c r="W92" s="193"/>
      <c r="X92" s="193"/>
      <c r="Y92" s="194"/>
      <c r="Z92" s="193"/>
      <c r="AA92" s="193"/>
      <c r="AB92" s="428">
        <f t="shared" ref="AB92:AB121" si="413">+EOMONTH(AB91,3)</f>
        <v>40451</v>
      </c>
      <c r="AC92" s="195">
        <f t="shared" si="412"/>
        <v>0</v>
      </c>
      <c r="AD92" s="196"/>
      <c r="AE92" s="197"/>
      <c r="AF92" s="197"/>
      <c r="AG92" s="197"/>
      <c r="AH92" s="197"/>
      <c r="AI92" s="196"/>
      <c r="AJ92" s="197"/>
      <c r="AK92" s="197"/>
      <c r="AL92" s="197"/>
      <c r="AM92" s="197"/>
      <c r="AN92" s="196"/>
      <c r="AO92" s="197"/>
      <c r="AP92" s="197"/>
      <c r="AQ92" s="197"/>
      <c r="AR92" s="197"/>
      <c r="AS92" s="196"/>
      <c r="AT92" s="197"/>
      <c r="AU92" s="197"/>
      <c r="AV92" s="197"/>
      <c r="AW92" s="197"/>
      <c r="AX92" s="196"/>
      <c r="AY92" s="197"/>
      <c r="AZ92" s="197"/>
      <c r="BA92" s="197"/>
      <c r="BB92" s="197"/>
      <c r="BC92" s="196"/>
      <c r="XDL92" s="252"/>
      <c r="XDM92" s="252"/>
      <c r="XDN92" s="252"/>
      <c r="XDO92" s="252"/>
      <c r="XDP92" s="252"/>
      <c r="XDQ92" s="252"/>
      <c r="XDR92" s="252"/>
      <c r="XDS92" s="252"/>
      <c r="XDT92" s="252"/>
      <c r="XDU92" s="252"/>
      <c r="XDV92" s="252"/>
      <c r="XDW92" s="252"/>
      <c r="XDX92" s="252"/>
      <c r="XDY92" s="252"/>
      <c r="XDZ92" s="252"/>
      <c r="XEA92" s="252"/>
      <c r="XEB92" s="252"/>
      <c r="XEC92" s="252"/>
      <c r="XED92" s="252"/>
      <c r="XEE92" s="252"/>
      <c r="XEF92" s="252"/>
      <c r="XEG92" s="252"/>
      <c r="XEH92" s="252"/>
      <c r="XEI92" s="252"/>
      <c r="XEJ92" s="252"/>
      <c r="XEK92" s="252"/>
      <c r="XEL92" s="252"/>
      <c r="XEM92" s="252"/>
      <c r="XEN92" s="252"/>
      <c r="XEO92" s="252"/>
      <c r="XEP92" s="252"/>
      <c r="XEQ92" s="252"/>
      <c r="XER92" s="252"/>
      <c r="XES92" s="252"/>
      <c r="XET92" s="252"/>
      <c r="XEU92" s="252"/>
      <c r="XEV92" s="252"/>
      <c r="XEW92" s="252"/>
      <c r="XEX92" s="252"/>
      <c r="XEY92" s="252"/>
      <c r="XEZ92" s="252"/>
      <c r="XFA92" s="252"/>
      <c r="XFB92" s="252"/>
      <c r="XFC92" s="252"/>
      <c r="XFD92" s="252"/>
    </row>
    <row r="93" spans="1:70 16340:16384" s="117" customFormat="1" ht="13" thickBot="1">
      <c r="A93" s="130"/>
      <c r="B93" s="130"/>
      <c r="C93" s="130"/>
      <c r="D93" s="130"/>
      <c r="E93" s="127"/>
      <c r="F93" s="198"/>
      <c r="G93" s="198"/>
      <c r="H93" s="198"/>
      <c r="I93" s="198"/>
      <c r="J93" s="194"/>
      <c r="K93" s="198"/>
      <c r="L93" s="198"/>
      <c r="M93" s="198"/>
      <c r="N93" s="198"/>
      <c r="O93" s="194"/>
      <c r="P93" s="198"/>
      <c r="Q93" s="198"/>
      <c r="R93" s="198"/>
      <c r="S93" s="198"/>
      <c r="T93" s="194"/>
      <c r="U93" s="198"/>
      <c r="V93" s="198"/>
      <c r="W93" s="198"/>
      <c r="X93" s="198"/>
      <c r="Y93" s="194"/>
      <c r="Z93" s="198"/>
      <c r="AA93" s="198"/>
      <c r="AB93" s="428">
        <f t="shared" si="413"/>
        <v>40543</v>
      </c>
      <c r="AC93" s="195">
        <f t="shared" si="412"/>
        <v>25.906795740198362</v>
      </c>
      <c r="AD93" s="196"/>
      <c r="AE93" s="197"/>
      <c r="AF93" s="197"/>
      <c r="AG93" s="197"/>
      <c r="AH93" s="197"/>
      <c r="AI93" s="196"/>
      <c r="AJ93" s="197"/>
      <c r="AK93" s="197"/>
      <c r="AL93" s="197"/>
      <c r="AM93" s="197"/>
      <c r="AN93" s="196"/>
      <c r="AO93" s="197"/>
      <c r="AP93" s="197"/>
      <c r="AQ93" s="197"/>
      <c r="AR93" s="197"/>
      <c r="AS93" s="196"/>
      <c r="AT93" s="197"/>
      <c r="AU93" s="197"/>
      <c r="AV93" s="197"/>
      <c r="AW93" s="197"/>
      <c r="AX93" s="196"/>
      <c r="AY93" s="197"/>
      <c r="AZ93" s="197"/>
      <c r="BA93" s="197"/>
      <c r="BB93" s="197"/>
      <c r="BC93" s="196"/>
      <c r="XDL93" s="252"/>
      <c r="XDM93" s="252"/>
      <c r="XDN93" s="252"/>
      <c r="XDO93" s="252"/>
      <c r="XDP93" s="252"/>
      <c r="XDQ93" s="252"/>
      <c r="XDR93" s="252"/>
      <c r="XDS93" s="252"/>
      <c r="XDT93" s="252"/>
      <c r="XDU93" s="252"/>
      <c r="XDV93" s="252"/>
      <c r="XDW93" s="252"/>
      <c r="XDX93" s="252"/>
      <c r="XDY93" s="252"/>
      <c r="XDZ93" s="252"/>
      <c r="XEA93" s="252"/>
      <c r="XEB93" s="252"/>
      <c r="XEC93" s="252"/>
      <c r="XED93" s="252"/>
      <c r="XEE93" s="252"/>
      <c r="XEF93" s="252"/>
      <c r="XEG93" s="252"/>
      <c r="XEH93" s="252"/>
      <c r="XEI93" s="252"/>
      <c r="XEJ93" s="252"/>
      <c r="XEK93" s="252"/>
      <c r="XEL93" s="252"/>
      <c r="XEM93" s="252"/>
      <c r="XEN93" s="252"/>
      <c r="XEO93" s="252"/>
      <c r="XEP93" s="252"/>
      <c r="XEQ93" s="252"/>
      <c r="XER93" s="252"/>
      <c r="XES93" s="252"/>
      <c r="XET93" s="252"/>
      <c r="XEU93" s="252"/>
      <c r="XEV93" s="252"/>
      <c r="XEW93" s="252"/>
      <c r="XEX93" s="252"/>
      <c r="XEY93" s="252"/>
      <c r="XEZ93" s="252"/>
      <c r="XFA93" s="252"/>
      <c r="XFB93" s="252"/>
      <c r="XFC93" s="252"/>
      <c r="XFD93" s="252"/>
    </row>
    <row r="94" spans="1:70 16340:16384" s="117" customFormat="1" ht="13" thickTop="1">
      <c r="A94" s="127"/>
      <c r="B94" s="127"/>
      <c r="C94" s="127"/>
      <c r="D94" s="127"/>
      <c r="E94" s="127"/>
      <c r="F94" s="198"/>
      <c r="G94" s="198"/>
      <c r="H94" s="198"/>
      <c r="I94" s="198"/>
      <c r="J94" s="194"/>
      <c r="K94" s="198"/>
      <c r="L94" s="198"/>
      <c r="M94" s="198"/>
      <c r="N94" s="198"/>
      <c r="O94" s="194"/>
      <c r="P94" s="198"/>
      <c r="Q94" s="198"/>
      <c r="R94" s="198"/>
      <c r="S94" s="198"/>
      <c r="T94" s="194"/>
      <c r="U94" s="198"/>
      <c r="V94" s="198"/>
      <c r="W94" s="198"/>
      <c r="X94" s="198"/>
      <c r="Y94" s="194"/>
      <c r="Z94" s="198"/>
      <c r="AA94" s="198"/>
      <c r="AB94" s="428">
        <f t="shared" si="413"/>
        <v>40633</v>
      </c>
      <c r="AC94" s="195">
        <f t="shared" si="412"/>
        <v>38.798167031935733</v>
      </c>
      <c r="AD94" s="196"/>
      <c r="AE94" s="197"/>
      <c r="AF94" s="197"/>
      <c r="AG94" s="197"/>
      <c r="AH94" s="197"/>
      <c r="AI94" s="196"/>
      <c r="AJ94" s="197"/>
      <c r="AK94" s="197"/>
      <c r="AL94" s="197"/>
      <c r="AM94" s="197"/>
      <c r="AN94" s="196"/>
      <c r="AO94" s="197"/>
      <c r="AP94" s="197"/>
      <c r="AQ94" s="197"/>
      <c r="AR94" s="197"/>
      <c r="AS94" s="196"/>
      <c r="AT94" s="197"/>
      <c r="AU94" s="197"/>
      <c r="AV94" s="197"/>
      <c r="AW94" s="197"/>
      <c r="AX94" s="196"/>
      <c r="AY94" s="197"/>
      <c r="AZ94" s="197"/>
      <c r="BA94" s="197"/>
      <c r="BB94" s="197"/>
      <c r="BC94" s="196"/>
      <c r="XDL94" s="252"/>
      <c r="XDM94" s="252"/>
      <c r="XDN94" s="252"/>
      <c r="XDO94" s="252"/>
      <c r="XDP94" s="252"/>
      <c r="XDQ94" s="252"/>
      <c r="XDR94" s="252"/>
      <c r="XDS94" s="252"/>
      <c r="XDT94" s="252"/>
      <c r="XDU94" s="252"/>
      <c r="XDV94" s="252"/>
      <c r="XDW94" s="252"/>
      <c r="XDX94" s="252"/>
      <c r="XDY94" s="252"/>
      <c r="XDZ94" s="252"/>
      <c r="XEA94" s="252"/>
      <c r="XEB94" s="252"/>
      <c r="XEC94" s="252"/>
      <c r="XED94" s="252"/>
      <c r="XEE94" s="252"/>
      <c r="XEF94" s="252"/>
      <c r="XEG94" s="252"/>
      <c r="XEH94" s="252"/>
      <c r="XEI94" s="252"/>
      <c r="XEJ94" s="252"/>
      <c r="XEK94" s="252"/>
      <c r="XEL94" s="252"/>
      <c r="XEM94" s="252"/>
      <c r="XEN94" s="252"/>
      <c r="XEO94" s="252"/>
      <c r="XEP94" s="252"/>
      <c r="XEQ94" s="252"/>
      <c r="XER94" s="252"/>
      <c r="XES94" s="252"/>
      <c r="XET94" s="252"/>
      <c r="XEU94" s="252"/>
      <c r="XEV94" s="252"/>
      <c r="XEW94" s="252"/>
      <c r="XEX94" s="252"/>
      <c r="XEY94" s="252"/>
      <c r="XEZ94" s="252"/>
      <c r="XFA94" s="252"/>
      <c r="XFB94" s="252"/>
      <c r="XFC94" s="252"/>
      <c r="XFD94" s="252"/>
    </row>
    <row r="95" spans="1:70 16340:16384" s="117" customFormat="1">
      <c r="A95" s="131"/>
      <c r="B95" s="131"/>
      <c r="C95" s="131"/>
      <c r="D95" s="131"/>
      <c r="E95" s="127"/>
      <c r="F95" s="198"/>
      <c r="G95" s="198"/>
      <c r="H95" s="198"/>
      <c r="I95" s="198"/>
      <c r="J95" s="194"/>
      <c r="K95" s="198"/>
      <c r="L95" s="198"/>
      <c r="M95" s="198"/>
      <c r="N95" s="198"/>
      <c r="O95" s="194"/>
      <c r="P95" s="198"/>
      <c r="Q95" s="198"/>
      <c r="R95" s="198"/>
      <c r="S95" s="198"/>
      <c r="T95" s="194"/>
      <c r="U95" s="198"/>
      <c r="V95" s="198"/>
      <c r="W95" s="198"/>
      <c r="X95" s="198"/>
      <c r="Y95" s="194"/>
      <c r="Z95" s="198"/>
      <c r="AA95" s="198"/>
      <c r="AB95" s="428">
        <f t="shared" si="413"/>
        <v>40724</v>
      </c>
      <c r="AC95" s="195">
        <f t="shared" si="412"/>
        <v>50.001148899473407</v>
      </c>
      <c r="AD95" s="196"/>
      <c r="AE95" s="197"/>
      <c r="AF95" s="197"/>
      <c r="AG95" s="197"/>
      <c r="AH95" s="197"/>
      <c r="AI95" s="196"/>
      <c r="AJ95" s="197"/>
      <c r="AK95" s="197"/>
      <c r="AL95" s="197"/>
      <c r="AM95" s="197"/>
      <c r="AN95" s="196"/>
      <c r="AO95" s="197"/>
      <c r="AP95" s="197"/>
      <c r="AQ95" s="197"/>
      <c r="AR95" s="197"/>
      <c r="AS95" s="196"/>
      <c r="AT95" s="197"/>
      <c r="AU95" s="197"/>
      <c r="AV95" s="197"/>
      <c r="AW95" s="197"/>
      <c r="AX95" s="196"/>
      <c r="AY95" s="197"/>
      <c r="AZ95" s="197"/>
      <c r="BA95" s="197"/>
      <c r="BB95" s="197"/>
      <c r="BC95" s="196"/>
      <c r="XDL95" s="252"/>
      <c r="XDM95" s="252"/>
      <c r="XDN95" s="252"/>
      <c r="XDO95" s="252"/>
      <c r="XDP95" s="252"/>
      <c r="XDQ95" s="252"/>
      <c r="XDR95" s="252"/>
      <c r="XDS95" s="252"/>
      <c r="XDT95" s="252"/>
      <c r="XDU95" s="252"/>
      <c r="XDV95" s="252"/>
      <c r="XDW95" s="252"/>
      <c r="XDX95" s="252"/>
      <c r="XDY95" s="252"/>
      <c r="XDZ95" s="252"/>
      <c r="XEA95" s="252"/>
      <c r="XEB95" s="252"/>
      <c r="XEC95" s="252"/>
      <c r="XED95" s="252"/>
      <c r="XEE95" s="252"/>
      <c r="XEF95" s="252"/>
      <c r="XEG95" s="252"/>
      <c r="XEH95" s="252"/>
      <c r="XEI95" s="252"/>
      <c r="XEJ95" s="252"/>
      <c r="XEK95" s="252"/>
      <c r="XEL95" s="252"/>
      <c r="XEM95" s="252"/>
      <c r="XEN95" s="252"/>
      <c r="XEO95" s="252"/>
      <c r="XEP95" s="252"/>
      <c r="XEQ95" s="252"/>
      <c r="XER95" s="252"/>
      <c r="XES95" s="252"/>
      <c r="XET95" s="252"/>
      <c r="XEU95" s="252"/>
      <c r="XEV95" s="252"/>
      <c r="XEW95" s="252"/>
      <c r="XEX95" s="252"/>
      <c r="XEY95" s="252"/>
      <c r="XEZ95" s="252"/>
      <c r="XFA95" s="252"/>
      <c r="XFB95" s="252"/>
      <c r="XFC95" s="252"/>
      <c r="XFD95" s="252"/>
    </row>
    <row r="96" spans="1:70 16340:16384" s="117" customFormat="1">
      <c r="A96" s="127"/>
      <c r="B96" s="127"/>
      <c r="C96" s="127"/>
      <c r="D96" s="127"/>
      <c r="E96" s="127"/>
      <c r="F96" s="198"/>
      <c r="G96" s="198"/>
      <c r="H96" s="198"/>
      <c r="I96" s="198"/>
      <c r="J96" s="194"/>
      <c r="K96" s="198"/>
      <c r="L96" s="198"/>
      <c r="M96" s="198"/>
      <c r="N96" s="198"/>
      <c r="O96" s="194"/>
      <c r="P96" s="198"/>
      <c r="Q96" s="198"/>
      <c r="R96" s="198"/>
      <c r="S96" s="198"/>
      <c r="T96" s="194"/>
      <c r="U96" s="198"/>
      <c r="V96" s="198"/>
      <c r="W96" s="198"/>
      <c r="X96" s="198"/>
      <c r="Y96" s="194"/>
      <c r="Z96" s="198"/>
      <c r="AA96" s="198"/>
      <c r="AB96" s="428">
        <f t="shared" si="413"/>
        <v>40816</v>
      </c>
      <c r="AC96" s="195">
        <f t="shared" si="412"/>
        <v>60.537887101726398</v>
      </c>
      <c r="AD96" s="196"/>
      <c r="AE96" s="197"/>
      <c r="AF96" s="197"/>
      <c r="AG96" s="197"/>
      <c r="AH96" s="197"/>
      <c r="AI96" s="196"/>
      <c r="AJ96" s="197"/>
      <c r="AK96" s="197"/>
      <c r="AL96" s="197"/>
      <c r="AM96" s="197"/>
      <c r="AN96" s="196"/>
      <c r="AO96" s="197"/>
      <c r="AP96" s="197"/>
      <c r="AQ96" s="197"/>
      <c r="AR96" s="197"/>
      <c r="AS96" s="196"/>
      <c r="AT96" s="197"/>
      <c r="AU96" s="197"/>
      <c r="AV96" s="197"/>
      <c r="AW96" s="197"/>
      <c r="AX96" s="196"/>
      <c r="AY96" s="197"/>
      <c r="AZ96" s="197"/>
      <c r="BA96" s="197"/>
      <c r="BB96" s="197"/>
      <c r="BC96" s="196"/>
      <c r="XDL96" s="252"/>
      <c r="XDM96" s="252"/>
      <c r="XDN96" s="252"/>
      <c r="XDO96" s="252"/>
      <c r="XDP96" s="252"/>
      <c r="XDQ96" s="252"/>
      <c r="XDR96" s="252"/>
      <c r="XDS96" s="252"/>
      <c r="XDT96" s="252"/>
      <c r="XDU96" s="252"/>
      <c r="XDV96" s="252"/>
      <c r="XDW96" s="252"/>
      <c r="XDX96" s="252"/>
      <c r="XDY96" s="252"/>
      <c r="XDZ96" s="252"/>
      <c r="XEA96" s="252"/>
      <c r="XEB96" s="252"/>
      <c r="XEC96" s="252"/>
      <c r="XED96" s="252"/>
      <c r="XEE96" s="252"/>
      <c r="XEF96" s="252"/>
      <c r="XEG96" s="252"/>
      <c r="XEH96" s="252"/>
      <c r="XEI96" s="252"/>
      <c r="XEJ96" s="252"/>
      <c r="XEK96" s="252"/>
      <c r="XEL96" s="252"/>
      <c r="XEM96" s="252"/>
      <c r="XEN96" s="252"/>
      <c r="XEO96" s="252"/>
      <c r="XEP96" s="252"/>
      <c r="XEQ96" s="252"/>
      <c r="XER96" s="252"/>
      <c r="XES96" s="252"/>
      <c r="XET96" s="252"/>
      <c r="XEU96" s="252"/>
      <c r="XEV96" s="252"/>
      <c r="XEW96" s="252"/>
      <c r="XEX96" s="252"/>
      <c r="XEY96" s="252"/>
      <c r="XEZ96" s="252"/>
      <c r="XFA96" s="252"/>
      <c r="XFB96" s="252"/>
      <c r="XFC96" s="252"/>
      <c r="XFD96" s="252"/>
    </row>
    <row r="97" spans="1:55 16340:16384" s="117" customFormat="1">
      <c r="A97" s="127"/>
      <c r="B97" s="127"/>
      <c r="C97" s="127"/>
      <c r="D97" s="127"/>
      <c r="E97" s="127"/>
      <c r="F97" s="198"/>
      <c r="G97" s="198"/>
      <c r="H97" s="198"/>
      <c r="I97" s="198"/>
      <c r="J97" s="194"/>
      <c r="K97" s="198"/>
      <c r="L97" s="198"/>
      <c r="M97" s="198"/>
      <c r="N97" s="198"/>
      <c r="O97" s="194"/>
      <c r="P97" s="198"/>
      <c r="Q97" s="198"/>
      <c r="R97" s="198"/>
      <c r="S97" s="198"/>
      <c r="T97" s="194"/>
      <c r="U97" s="198"/>
      <c r="V97" s="198"/>
      <c r="W97" s="198"/>
      <c r="X97" s="198"/>
      <c r="Y97" s="194"/>
      <c r="Z97" s="198"/>
      <c r="AA97" s="198"/>
      <c r="AB97" s="428">
        <f t="shared" si="413"/>
        <v>40908</v>
      </c>
      <c r="AC97" s="195">
        <f t="shared" si="412"/>
        <v>48.057442354890597</v>
      </c>
      <c r="AD97" s="196"/>
      <c r="AE97" s="197"/>
      <c r="AF97" s="197"/>
      <c r="AG97" s="197"/>
      <c r="AH97" s="197"/>
      <c r="AI97" s="196"/>
      <c r="AJ97" s="197"/>
      <c r="AK97" s="197"/>
      <c r="AL97" s="197"/>
      <c r="AM97" s="197"/>
      <c r="AN97" s="196"/>
      <c r="AO97" s="197"/>
      <c r="AP97" s="197"/>
      <c r="AQ97" s="197"/>
      <c r="AR97" s="197"/>
      <c r="AS97" s="196"/>
      <c r="AT97" s="197"/>
      <c r="AU97" s="197"/>
      <c r="AV97" s="197"/>
      <c r="AW97" s="197"/>
      <c r="AX97" s="196"/>
      <c r="AY97" s="197"/>
      <c r="AZ97" s="197"/>
      <c r="BA97" s="197"/>
      <c r="BB97" s="197"/>
      <c r="BC97" s="196"/>
      <c r="XDL97" s="252"/>
      <c r="XDM97" s="252"/>
      <c r="XDN97" s="252"/>
      <c r="XDO97" s="252"/>
      <c r="XDP97" s="252"/>
      <c r="XDQ97" s="252"/>
      <c r="XDR97" s="252"/>
      <c r="XDS97" s="252"/>
      <c r="XDT97" s="252"/>
      <c r="XDU97" s="252"/>
      <c r="XDV97" s="252"/>
      <c r="XDW97" s="252"/>
      <c r="XDX97" s="252"/>
      <c r="XDY97" s="252"/>
      <c r="XDZ97" s="252"/>
      <c r="XEA97" s="252"/>
      <c r="XEB97" s="252"/>
      <c r="XEC97" s="252"/>
      <c r="XED97" s="252"/>
      <c r="XEE97" s="252"/>
      <c r="XEF97" s="252"/>
      <c r="XEG97" s="252"/>
      <c r="XEH97" s="252"/>
      <c r="XEI97" s="252"/>
      <c r="XEJ97" s="252"/>
      <c r="XEK97" s="252"/>
      <c r="XEL97" s="252"/>
      <c r="XEM97" s="252"/>
      <c r="XEN97" s="252"/>
      <c r="XEO97" s="252"/>
      <c r="XEP97" s="252"/>
      <c r="XEQ97" s="252"/>
      <c r="XER97" s="252"/>
      <c r="XES97" s="252"/>
      <c r="XET97" s="252"/>
      <c r="XEU97" s="252"/>
      <c r="XEV97" s="252"/>
      <c r="XEW97" s="252"/>
      <c r="XEX97" s="252"/>
      <c r="XEY97" s="252"/>
      <c r="XEZ97" s="252"/>
      <c r="XFA97" s="252"/>
      <c r="XFB97" s="252"/>
      <c r="XFC97" s="252"/>
      <c r="XFD97" s="252"/>
    </row>
    <row r="98" spans="1:55 16340:16384" s="117" customFormat="1">
      <c r="A98" s="127"/>
      <c r="B98" s="127"/>
      <c r="C98" s="127"/>
      <c r="D98" s="127"/>
      <c r="E98" s="127"/>
      <c r="F98" s="198"/>
      <c r="G98" s="198"/>
      <c r="H98" s="198"/>
      <c r="I98" s="198"/>
      <c r="J98" s="194"/>
      <c r="K98" s="198"/>
      <c r="L98" s="198"/>
      <c r="M98" s="198"/>
      <c r="N98" s="198"/>
      <c r="O98" s="194"/>
      <c r="P98" s="198"/>
      <c r="Q98" s="198"/>
      <c r="R98" s="198"/>
      <c r="S98" s="198"/>
      <c r="T98" s="194"/>
      <c r="U98" s="198"/>
      <c r="V98" s="198"/>
      <c r="W98" s="198"/>
      <c r="X98" s="198"/>
      <c r="Y98" s="194"/>
      <c r="Z98" s="198"/>
      <c r="AA98" s="198"/>
      <c r="AB98" s="428">
        <f t="shared" si="413"/>
        <v>40999</v>
      </c>
      <c r="AC98" s="195">
        <f t="shared" si="412"/>
        <v>45.460463797494597</v>
      </c>
      <c r="AD98" s="196"/>
      <c r="AE98" s="197"/>
      <c r="AF98" s="197"/>
      <c r="AG98" s="197"/>
      <c r="AH98" s="197"/>
      <c r="AI98" s="196"/>
      <c r="AJ98" s="197"/>
      <c r="AK98" s="197"/>
      <c r="AL98" s="197"/>
      <c r="AM98" s="197"/>
      <c r="AN98" s="196"/>
      <c r="AO98" s="197"/>
      <c r="AP98" s="197"/>
      <c r="AQ98" s="197"/>
      <c r="AR98" s="197"/>
      <c r="AS98" s="196"/>
      <c r="AT98" s="197"/>
      <c r="AU98" s="197"/>
      <c r="AV98" s="197"/>
      <c r="AW98" s="197"/>
      <c r="AX98" s="196"/>
      <c r="AY98" s="197"/>
      <c r="AZ98" s="197"/>
      <c r="BA98" s="197"/>
      <c r="BB98" s="197"/>
      <c r="BC98" s="196"/>
      <c r="XDL98" s="252"/>
      <c r="XDM98" s="252"/>
      <c r="XDN98" s="252"/>
      <c r="XDO98" s="252"/>
      <c r="XDP98" s="252"/>
      <c r="XDQ98" s="252"/>
      <c r="XDR98" s="252"/>
      <c r="XDS98" s="252"/>
      <c r="XDT98" s="252"/>
      <c r="XDU98" s="252"/>
      <c r="XDV98" s="252"/>
      <c r="XDW98" s="252"/>
      <c r="XDX98" s="252"/>
      <c r="XDY98" s="252"/>
      <c r="XDZ98" s="252"/>
      <c r="XEA98" s="252"/>
      <c r="XEB98" s="252"/>
      <c r="XEC98" s="252"/>
      <c r="XED98" s="252"/>
      <c r="XEE98" s="252"/>
      <c r="XEF98" s="252"/>
      <c r="XEG98" s="252"/>
      <c r="XEH98" s="252"/>
      <c r="XEI98" s="252"/>
      <c r="XEJ98" s="252"/>
      <c r="XEK98" s="252"/>
      <c r="XEL98" s="252"/>
      <c r="XEM98" s="252"/>
      <c r="XEN98" s="252"/>
      <c r="XEO98" s="252"/>
      <c r="XEP98" s="252"/>
      <c r="XEQ98" s="252"/>
      <c r="XER98" s="252"/>
      <c r="XES98" s="252"/>
      <c r="XET98" s="252"/>
      <c r="XEU98" s="252"/>
      <c r="XEV98" s="252"/>
      <c r="XEW98" s="252"/>
      <c r="XEX98" s="252"/>
      <c r="XEY98" s="252"/>
      <c r="XEZ98" s="252"/>
      <c r="XFA98" s="252"/>
      <c r="XFB98" s="252"/>
      <c r="XFC98" s="252"/>
      <c r="XFD98" s="252"/>
    </row>
    <row r="99" spans="1:55 16340:16384" s="117" customFormat="1">
      <c r="A99" s="127"/>
      <c r="B99" s="127"/>
      <c r="C99" s="127"/>
      <c r="D99" s="127"/>
      <c r="E99" s="127"/>
      <c r="F99" s="198"/>
      <c r="G99" s="198"/>
      <c r="H99" s="198"/>
      <c r="I99" s="198"/>
      <c r="J99" s="194"/>
      <c r="K99" s="198"/>
      <c r="L99" s="198"/>
      <c r="M99" s="198"/>
      <c r="N99" s="198"/>
      <c r="O99" s="194"/>
      <c r="P99" s="198"/>
      <c r="Q99" s="198"/>
      <c r="R99" s="198"/>
      <c r="S99" s="198"/>
      <c r="T99" s="194"/>
      <c r="U99" s="198"/>
      <c r="V99" s="198"/>
      <c r="W99" s="198"/>
      <c r="X99" s="198"/>
      <c r="Y99" s="194"/>
      <c r="Z99" s="198"/>
      <c r="AA99" s="198"/>
      <c r="AB99" s="428">
        <f t="shared" si="413"/>
        <v>41090</v>
      </c>
      <c r="AC99" s="195">
        <f t="shared" si="412"/>
        <v>44.178882760435954</v>
      </c>
      <c r="AD99" s="196"/>
      <c r="AE99" s="197"/>
      <c r="AF99" s="197"/>
      <c r="AG99" s="197"/>
      <c r="AH99" s="197"/>
      <c r="AI99" s="196"/>
      <c r="AJ99" s="197"/>
      <c r="AK99" s="197"/>
      <c r="AL99" s="197"/>
      <c r="AM99" s="197"/>
      <c r="AN99" s="196"/>
      <c r="AO99" s="197"/>
      <c r="AP99" s="197"/>
      <c r="AQ99" s="197"/>
      <c r="AR99" s="197"/>
      <c r="AS99" s="196"/>
      <c r="AT99" s="197"/>
      <c r="AU99" s="197"/>
      <c r="AV99" s="197"/>
      <c r="AW99" s="197"/>
      <c r="AX99" s="196"/>
      <c r="AY99" s="197"/>
      <c r="AZ99" s="197"/>
      <c r="BA99" s="197"/>
      <c r="BB99" s="197"/>
      <c r="BC99" s="196"/>
      <c r="XDL99" s="252"/>
      <c r="XDM99" s="252"/>
      <c r="XDN99" s="252"/>
      <c r="XDO99" s="252"/>
      <c r="XDP99" s="252"/>
      <c r="XDQ99" s="252"/>
      <c r="XDR99" s="252"/>
      <c r="XDS99" s="252"/>
      <c r="XDT99" s="252"/>
      <c r="XDU99" s="252"/>
      <c r="XDV99" s="252"/>
      <c r="XDW99" s="252"/>
      <c r="XDX99" s="252"/>
      <c r="XDY99" s="252"/>
      <c r="XDZ99" s="252"/>
      <c r="XEA99" s="252"/>
      <c r="XEB99" s="252"/>
      <c r="XEC99" s="252"/>
      <c r="XED99" s="252"/>
      <c r="XEE99" s="252"/>
      <c r="XEF99" s="252"/>
      <c r="XEG99" s="252"/>
      <c r="XEH99" s="252"/>
      <c r="XEI99" s="252"/>
      <c r="XEJ99" s="252"/>
      <c r="XEK99" s="252"/>
      <c r="XEL99" s="252"/>
      <c r="XEM99" s="252"/>
      <c r="XEN99" s="252"/>
      <c r="XEO99" s="252"/>
      <c r="XEP99" s="252"/>
      <c r="XEQ99" s="252"/>
      <c r="XER99" s="252"/>
      <c r="XES99" s="252"/>
      <c r="XET99" s="252"/>
      <c r="XEU99" s="252"/>
      <c r="XEV99" s="252"/>
      <c r="XEW99" s="252"/>
      <c r="XEX99" s="252"/>
      <c r="XEY99" s="252"/>
      <c r="XEZ99" s="252"/>
      <c r="XFA99" s="252"/>
      <c r="XFB99" s="252"/>
      <c r="XFC99" s="252"/>
      <c r="XFD99" s="252"/>
    </row>
    <row r="100" spans="1:55 16340:16384" s="117" customFormat="1">
      <c r="A100" s="127"/>
      <c r="B100" s="127"/>
      <c r="C100" s="127"/>
      <c r="D100" s="127"/>
      <c r="E100" s="127"/>
      <c r="F100" s="198"/>
      <c r="G100" s="198"/>
      <c r="H100" s="198"/>
      <c r="I100" s="198"/>
      <c r="J100" s="194"/>
      <c r="K100" s="198"/>
      <c r="L100" s="198"/>
      <c r="M100" s="198"/>
      <c r="N100" s="198"/>
      <c r="O100" s="194"/>
      <c r="P100" s="198"/>
      <c r="Q100" s="198"/>
      <c r="R100" s="198"/>
      <c r="S100" s="198"/>
      <c r="T100" s="194"/>
      <c r="U100" s="198"/>
      <c r="V100" s="198"/>
      <c r="W100" s="198"/>
      <c r="X100" s="198"/>
      <c r="Y100" s="194"/>
      <c r="Z100" s="198"/>
      <c r="AA100" s="198"/>
      <c r="AB100" s="428">
        <f t="shared" si="413"/>
        <v>41182</v>
      </c>
      <c r="AC100" s="195">
        <f t="shared" si="412"/>
        <v>44.301164411861478</v>
      </c>
      <c r="AD100" s="196"/>
      <c r="AE100" s="197"/>
      <c r="AF100" s="197"/>
      <c r="AG100" s="197"/>
      <c r="AH100" s="197"/>
      <c r="AI100" s="196"/>
      <c r="AJ100" s="197"/>
      <c r="AK100" s="197"/>
      <c r="AL100" s="197"/>
      <c r="AM100" s="197"/>
      <c r="AN100" s="196"/>
      <c r="AO100" s="197"/>
      <c r="AP100" s="197"/>
      <c r="AQ100" s="197"/>
      <c r="AR100" s="197"/>
      <c r="AS100" s="196"/>
      <c r="AT100" s="197"/>
      <c r="AU100" s="197"/>
      <c r="AV100" s="197"/>
      <c r="AW100" s="197"/>
      <c r="AX100" s="196"/>
      <c r="AY100" s="197"/>
      <c r="AZ100" s="197"/>
      <c r="BA100" s="197"/>
      <c r="BB100" s="197"/>
      <c r="BC100" s="196"/>
      <c r="XDL100" s="252"/>
      <c r="XDM100" s="252"/>
      <c r="XDN100" s="252"/>
      <c r="XDO100" s="252"/>
      <c r="XDP100" s="252"/>
      <c r="XDQ100" s="252"/>
      <c r="XDR100" s="252"/>
      <c r="XDS100" s="252"/>
      <c r="XDT100" s="252"/>
      <c r="XDU100" s="252"/>
      <c r="XDV100" s="252"/>
      <c r="XDW100" s="252"/>
      <c r="XDX100" s="252"/>
      <c r="XDY100" s="252"/>
      <c r="XDZ100" s="252"/>
      <c r="XEA100" s="252"/>
      <c r="XEB100" s="252"/>
      <c r="XEC100" s="252"/>
      <c r="XED100" s="252"/>
      <c r="XEE100" s="252"/>
      <c r="XEF100" s="252"/>
      <c r="XEG100" s="252"/>
      <c r="XEH100" s="252"/>
      <c r="XEI100" s="252"/>
      <c r="XEJ100" s="252"/>
      <c r="XEK100" s="252"/>
      <c r="XEL100" s="252"/>
      <c r="XEM100" s="252"/>
      <c r="XEN100" s="252"/>
      <c r="XEO100" s="252"/>
      <c r="XEP100" s="252"/>
      <c r="XEQ100" s="252"/>
      <c r="XER100" s="252"/>
      <c r="XES100" s="252"/>
      <c r="XET100" s="252"/>
      <c r="XEU100" s="252"/>
      <c r="XEV100" s="252"/>
      <c r="XEW100" s="252"/>
      <c r="XEX100" s="252"/>
      <c r="XEY100" s="252"/>
      <c r="XEZ100" s="252"/>
      <c r="XFA100" s="252"/>
      <c r="XFB100" s="252"/>
      <c r="XFC100" s="252"/>
      <c r="XFD100" s="252"/>
    </row>
    <row r="101" spans="1:55 16340:16384" s="117" customFormat="1">
      <c r="A101" s="127"/>
      <c r="B101" s="127"/>
      <c r="C101" s="127"/>
      <c r="D101" s="127"/>
      <c r="E101" s="127"/>
      <c r="F101" s="198"/>
      <c r="G101" s="198"/>
      <c r="H101" s="198"/>
      <c r="I101" s="198"/>
      <c r="J101" s="194"/>
      <c r="K101" s="198"/>
      <c r="L101" s="198"/>
      <c r="M101" s="198"/>
      <c r="N101" s="198"/>
      <c r="O101" s="194"/>
      <c r="P101" s="198"/>
      <c r="Q101" s="198"/>
      <c r="R101" s="198"/>
      <c r="S101" s="198"/>
      <c r="T101" s="194"/>
      <c r="U101" s="198"/>
      <c r="V101" s="198"/>
      <c r="W101" s="198"/>
      <c r="X101" s="198"/>
      <c r="Y101" s="194"/>
      <c r="Z101" s="198"/>
      <c r="AA101" s="198"/>
      <c r="AB101" s="428">
        <f t="shared" si="413"/>
        <v>41274</v>
      </c>
      <c r="AC101" s="195">
        <f t="shared" si="412"/>
        <v>46.886163127503529</v>
      </c>
      <c r="AD101" s="196"/>
      <c r="AE101" s="197"/>
      <c r="AF101" s="197"/>
      <c r="AG101" s="197"/>
      <c r="AH101" s="197"/>
      <c r="AI101" s="196"/>
      <c r="AJ101" s="197"/>
      <c r="AK101" s="197"/>
      <c r="AL101" s="197"/>
      <c r="AM101" s="197"/>
      <c r="AN101" s="196"/>
      <c r="AO101" s="197"/>
      <c r="AP101" s="197"/>
      <c r="AQ101" s="197"/>
      <c r="AR101" s="197"/>
      <c r="AS101" s="196"/>
      <c r="AT101" s="197"/>
      <c r="AU101" s="197"/>
      <c r="AV101" s="197"/>
      <c r="AW101" s="197"/>
      <c r="AX101" s="196"/>
      <c r="AY101" s="197"/>
      <c r="AZ101" s="197"/>
      <c r="BA101" s="197"/>
      <c r="BB101" s="197"/>
      <c r="BC101" s="196"/>
      <c r="XDL101" s="252"/>
      <c r="XDM101" s="252"/>
      <c r="XDN101" s="252"/>
      <c r="XDO101" s="252"/>
      <c r="XDP101" s="252"/>
      <c r="XDQ101" s="252"/>
      <c r="XDR101" s="252"/>
      <c r="XDS101" s="252"/>
      <c r="XDT101" s="252"/>
      <c r="XDU101" s="252"/>
      <c r="XDV101" s="252"/>
      <c r="XDW101" s="252"/>
      <c r="XDX101" s="252"/>
      <c r="XDY101" s="252"/>
      <c r="XDZ101" s="252"/>
      <c r="XEA101" s="252"/>
      <c r="XEB101" s="252"/>
      <c r="XEC101" s="252"/>
      <c r="XED101" s="252"/>
      <c r="XEE101" s="252"/>
      <c r="XEF101" s="252"/>
      <c r="XEG101" s="252"/>
      <c r="XEH101" s="252"/>
      <c r="XEI101" s="252"/>
      <c r="XEJ101" s="252"/>
      <c r="XEK101" s="252"/>
      <c r="XEL101" s="252"/>
      <c r="XEM101" s="252"/>
      <c r="XEN101" s="252"/>
      <c r="XEO101" s="252"/>
      <c r="XEP101" s="252"/>
      <c r="XEQ101" s="252"/>
      <c r="XER101" s="252"/>
      <c r="XES101" s="252"/>
      <c r="XET101" s="252"/>
      <c r="XEU101" s="252"/>
      <c r="XEV101" s="252"/>
      <c r="XEW101" s="252"/>
      <c r="XEX101" s="252"/>
      <c r="XEY101" s="252"/>
      <c r="XEZ101" s="252"/>
      <c r="XFA101" s="252"/>
      <c r="XFB101" s="252"/>
      <c r="XFC101" s="252"/>
      <c r="XFD101" s="252"/>
    </row>
    <row r="102" spans="1:55 16340:16384" s="117" customFormat="1">
      <c r="A102" s="127"/>
      <c r="B102" s="127"/>
      <c r="C102" s="127"/>
      <c r="D102" s="127"/>
      <c r="E102" s="127"/>
      <c r="F102" s="198"/>
      <c r="G102" s="198"/>
      <c r="H102" s="198"/>
      <c r="I102" s="198"/>
      <c r="J102" s="194"/>
      <c r="K102" s="198"/>
      <c r="L102" s="198"/>
      <c r="M102" s="198"/>
      <c r="N102" s="198"/>
      <c r="O102" s="194"/>
      <c r="P102" s="198"/>
      <c r="Q102" s="198"/>
      <c r="R102" s="198"/>
      <c r="S102" s="198"/>
      <c r="T102" s="194"/>
      <c r="U102" s="198"/>
      <c r="V102" s="198"/>
      <c r="W102" s="198"/>
      <c r="X102" s="198"/>
      <c r="Y102" s="194"/>
      <c r="Z102" s="198"/>
      <c r="AA102" s="198"/>
      <c r="AB102" s="428">
        <f t="shared" si="413"/>
        <v>41364</v>
      </c>
      <c r="AC102" s="195">
        <f t="shared" si="412"/>
        <v>54.476524172414898</v>
      </c>
      <c r="AD102" s="196"/>
      <c r="AE102" s="197"/>
      <c r="AF102" s="197"/>
      <c r="AG102" s="197"/>
      <c r="AH102" s="197"/>
      <c r="AI102" s="196"/>
      <c r="AJ102" s="197"/>
      <c r="AK102" s="197"/>
      <c r="AL102" s="197"/>
      <c r="AM102" s="197"/>
      <c r="AN102" s="196"/>
      <c r="AO102" s="197"/>
      <c r="AP102" s="197"/>
      <c r="AQ102" s="197"/>
      <c r="AR102" s="197"/>
      <c r="AS102" s="196"/>
      <c r="AT102" s="197"/>
      <c r="AU102" s="197"/>
      <c r="AV102" s="197"/>
      <c r="AW102" s="197"/>
      <c r="AX102" s="196"/>
      <c r="AY102" s="197"/>
      <c r="AZ102" s="197"/>
      <c r="BA102" s="197"/>
      <c r="BB102" s="197"/>
      <c r="BC102" s="196"/>
      <c r="XDL102" s="252"/>
      <c r="XDM102" s="252"/>
      <c r="XDN102" s="252"/>
      <c r="XDO102" s="252"/>
      <c r="XDP102" s="252"/>
      <c r="XDQ102" s="252"/>
      <c r="XDR102" s="252"/>
      <c r="XDS102" s="252"/>
      <c r="XDT102" s="252"/>
      <c r="XDU102" s="252"/>
      <c r="XDV102" s="252"/>
      <c r="XDW102" s="252"/>
      <c r="XDX102" s="252"/>
      <c r="XDY102" s="252"/>
      <c r="XDZ102" s="252"/>
      <c r="XEA102" s="252"/>
      <c r="XEB102" s="252"/>
      <c r="XEC102" s="252"/>
      <c r="XED102" s="252"/>
      <c r="XEE102" s="252"/>
      <c r="XEF102" s="252"/>
      <c r="XEG102" s="252"/>
      <c r="XEH102" s="252"/>
      <c r="XEI102" s="252"/>
      <c r="XEJ102" s="252"/>
      <c r="XEK102" s="252"/>
      <c r="XEL102" s="252"/>
      <c r="XEM102" s="252"/>
      <c r="XEN102" s="252"/>
      <c r="XEO102" s="252"/>
      <c r="XEP102" s="252"/>
      <c r="XEQ102" s="252"/>
      <c r="XER102" s="252"/>
      <c r="XES102" s="252"/>
      <c r="XET102" s="252"/>
      <c r="XEU102" s="252"/>
      <c r="XEV102" s="252"/>
      <c r="XEW102" s="252"/>
      <c r="XEX102" s="252"/>
      <c r="XEY102" s="252"/>
      <c r="XEZ102" s="252"/>
      <c r="XFA102" s="252"/>
      <c r="XFB102" s="252"/>
      <c r="XFC102" s="252"/>
      <c r="XFD102" s="252"/>
    </row>
    <row r="103" spans="1:55 16340:16384" s="117" customFormat="1">
      <c r="A103" s="127"/>
      <c r="B103" s="127"/>
      <c r="C103" s="127"/>
      <c r="D103" s="127"/>
      <c r="E103" s="127"/>
      <c r="F103" s="198"/>
      <c r="G103" s="198"/>
      <c r="H103" s="198"/>
      <c r="I103" s="198"/>
      <c r="J103" s="194"/>
      <c r="K103" s="198"/>
      <c r="L103" s="198"/>
      <c r="M103" s="198"/>
      <c r="N103" s="198"/>
      <c r="O103" s="194"/>
      <c r="P103" s="198"/>
      <c r="Q103" s="198"/>
      <c r="R103" s="198"/>
      <c r="S103" s="198"/>
      <c r="T103" s="194"/>
      <c r="U103" s="198"/>
      <c r="V103" s="198"/>
      <c r="W103" s="198"/>
      <c r="X103" s="198"/>
      <c r="Y103" s="194"/>
      <c r="Z103" s="198"/>
      <c r="AA103" s="198"/>
      <c r="AB103" s="428">
        <f t="shared" si="413"/>
        <v>41455</v>
      </c>
      <c r="AC103" s="195">
        <f t="shared" si="412"/>
        <v>53.898370122528405</v>
      </c>
      <c r="AD103" s="196"/>
      <c r="AE103" s="197"/>
      <c r="AF103" s="197"/>
      <c r="AG103" s="197"/>
      <c r="AH103" s="197"/>
      <c r="AI103" s="196"/>
      <c r="AJ103" s="197"/>
      <c r="AK103" s="197"/>
      <c r="AL103" s="197"/>
      <c r="AM103" s="197"/>
      <c r="AN103" s="196"/>
      <c r="AO103" s="197"/>
      <c r="AP103" s="197"/>
      <c r="AQ103" s="197"/>
      <c r="AR103" s="197"/>
      <c r="AS103" s="196"/>
      <c r="AT103" s="197"/>
      <c r="AU103" s="197"/>
      <c r="AV103" s="197"/>
      <c r="AW103" s="197"/>
      <c r="AX103" s="196"/>
      <c r="AY103" s="197"/>
      <c r="AZ103" s="197"/>
      <c r="BA103" s="197"/>
      <c r="BB103" s="197"/>
      <c r="BC103" s="196"/>
      <c r="XDL103" s="252"/>
      <c r="XDM103" s="252"/>
      <c r="XDN103" s="252"/>
      <c r="XDO103" s="252"/>
      <c r="XDP103" s="252"/>
      <c r="XDQ103" s="252"/>
      <c r="XDR103" s="252"/>
      <c r="XDS103" s="252"/>
      <c r="XDT103" s="252"/>
      <c r="XDU103" s="252"/>
      <c r="XDV103" s="252"/>
      <c r="XDW103" s="252"/>
      <c r="XDX103" s="252"/>
      <c r="XDY103" s="252"/>
      <c r="XDZ103" s="252"/>
      <c r="XEA103" s="252"/>
      <c r="XEB103" s="252"/>
      <c r="XEC103" s="252"/>
      <c r="XED103" s="252"/>
      <c r="XEE103" s="252"/>
      <c r="XEF103" s="252"/>
      <c r="XEG103" s="252"/>
      <c r="XEH103" s="252"/>
      <c r="XEI103" s="252"/>
      <c r="XEJ103" s="252"/>
      <c r="XEK103" s="252"/>
      <c r="XEL103" s="252"/>
      <c r="XEM103" s="252"/>
      <c r="XEN103" s="252"/>
      <c r="XEO103" s="252"/>
      <c r="XEP103" s="252"/>
      <c r="XEQ103" s="252"/>
      <c r="XER103" s="252"/>
      <c r="XES103" s="252"/>
      <c r="XET103" s="252"/>
      <c r="XEU103" s="252"/>
      <c r="XEV103" s="252"/>
      <c r="XEW103" s="252"/>
      <c r="XEX103" s="252"/>
      <c r="XEY103" s="252"/>
      <c r="XEZ103" s="252"/>
      <c r="XFA103" s="252"/>
      <c r="XFB103" s="252"/>
      <c r="XFC103" s="252"/>
      <c r="XFD103" s="252"/>
    </row>
    <row r="104" spans="1:55 16340:16384" s="117" customFormat="1">
      <c r="A104" s="132"/>
      <c r="B104" s="132"/>
      <c r="C104" s="132"/>
      <c r="D104" s="132"/>
      <c r="E104" s="127"/>
      <c r="F104" s="198"/>
      <c r="G104" s="198"/>
      <c r="H104" s="198"/>
      <c r="I104" s="198"/>
      <c r="J104" s="194"/>
      <c r="K104" s="198"/>
      <c r="L104" s="198"/>
      <c r="M104" s="198"/>
      <c r="N104" s="198"/>
      <c r="O104" s="194"/>
      <c r="P104" s="198"/>
      <c r="Q104" s="198"/>
      <c r="R104" s="198"/>
      <c r="S104" s="198"/>
      <c r="T104" s="194"/>
      <c r="U104" s="198"/>
      <c r="V104" s="198"/>
      <c r="W104" s="198"/>
      <c r="X104" s="198"/>
      <c r="Y104" s="194"/>
      <c r="Z104" s="198"/>
      <c r="AA104" s="198"/>
      <c r="AB104" s="428">
        <f t="shared" si="413"/>
        <v>41547</v>
      </c>
      <c r="AC104" s="195">
        <f t="shared" si="412"/>
        <v>52.323490381639388</v>
      </c>
      <c r="AD104" s="196"/>
      <c r="AE104" s="197"/>
      <c r="AF104" s="197"/>
      <c r="AG104" s="197"/>
      <c r="AH104" s="197"/>
      <c r="AI104" s="196"/>
      <c r="AJ104" s="197"/>
      <c r="AK104" s="197"/>
      <c r="AL104" s="197"/>
      <c r="AM104" s="197"/>
      <c r="AN104" s="196"/>
      <c r="AO104" s="197"/>
      <c r="AP104" s="197"/>
      <c r="AQ104" s="197"/>
      <c r="AR104" s="197"/>
      <c r="AS104" s="196"/>
      <c r="AT104" s="197"/>
      <c r="AU104" s="197"/>
      <c r="AV104" s="197"/>
      <c r="AW104" s="197"/>
      <c r="AX104" s="196"/>
      <c r="AY104" s="197"/>
      <c r="AZ104" s="197"/>
      <c r="BA104" s="197"/>
      <c r="BB104" s="197"/>
      <c r="BC104" s="196"/>
      <c r="XDL104" s="252"/>
      <c r="XDM104" s="252"/>
      <c r="XDN104" s="252"/>
      <c r="XDO104" s="252"/>
      <c r="XDP104" s="252"/>
      <c r="XDQ104" s="252"/>
      <c r="XDR104" s="252"/>
      <c r="XDS104" s="252"/>
      <c r="XDT104" s="252"/>
      <c r="XDU104" s="252"/>
      <c r="XDV104" s="252"/>
      <c r="XDW104" s="252"/>
      <c r="XDX104" s="252"/>
      <c r="XDY104" s="252"/>
      <c r="XDZ104" s="252"/>
      <c r="XEA104" s="252"/>
      <c r="XEB104" s="252"/>
      <c r="XEC104" s="252"/>
      <c r="XED104" s="252"/>
      <c r="XEE104" s="252"/>
      <c r="XEF104" s="252"/>
      <c r="XEG104" s="252"/>
      <c r="XEH104" s="252"/>
      <c r="XEI104" s="252"/>
      <c r="XEJ104" s="252"/>
      <c r="XEK104" s="252"/>
      <c r="XEL104" s="252"/>
      <c r="XEM104" s="252"/>
      <c r="XEN104" s="252"/>
      <c r="XEO104" s="252"/>
      <c r="XEP104" s="252"/>
      <c r="XEQ104" s="252"/>
      <c r="XER104" s="252"/>
      <c r="XES104" s="252"/>
      <c r="XET104" s="252"/>
      <c r="XEU104" s="252"/>
      <c r="XEV104" s="252"/>
      <c r="XEW104" s="252"/>
      <c r="XEX104" s="252"/>
      <c r="XEY104" s="252"/>
      <c r="XEZ104" s="252"/>
      <c r="XFA104" s="252"/>
      <c r="XFB104" s="252"/>
      <c r="XFC104" s="252"/>
      <c r="XFD104" s="252"/>
    </row>
    <row r="105" spans="1:55 16340:16384" s="117" customFormat="1">
      <c r="A105" s="127"/>
      <c r="B105" s="127"/>
      <c r="C105" s="127"/>
      <c r="D105" s="127"/>
      <c r="E105" s="127"/>
      <c r="F105" s="198"/>
      <c r="G105" s="198"/>
      <c r="H105" s="198"/>
      <c r="I105" s="198"/>
      <c r="J105" s="194"/>
      <c r="K105" s="198"/>
      <c r="L105" s="198"/>
      <c r="M105" s="198"/>
      <c r="N105" s="198"/>
      <c r="O105" s="194"/>
      <c r="P105" s="198"/>
      <c r="Q105" s="198"/>
      <c r="R105" s="198"/>
      <c r="S105" s="198"/>
      <c r="T105" s="194"/>
      <c r="U105" s="198"/>
      <c r="V105" s="198"/>
      <c r="W105" s="198"/>
      <c r="X105" s="198"/>
      <c r="Y105" s="194"/>
      <c r="Z105" s="198"/>
      <c r="AA105" s="198"/>
      <c r="AB105" s="428">
        <f t="shared" si="413"/>
        <v>41639</v>
      </c>
      <c r="AC105" s="195">
        <f t="shared" si="412"/>
        <v>46.591941368958118</v>
      </c>
      <c r="AD105" s="196"/>
      <c r="AE105" s="197"/>
      <c r="AF105" s="197"/>
      <c r="AG105" s="197"/>
      <c r="AH105" s="197"/>
      <c r="AI105" s="196"/>
      <c r="AJ105" s="197"/>
      <c r="AK105" s="197"/>
      <c r="AL105" s="197"/>
      <c r="AM105" s="197"/>
      <c r="AN105" s="196"/>
      <c r="AO105" s="197"/>
      <c r="AP105" s="197"/>
      <c r="AQ105" s="197"/>
      <c r="AR105" s="197"/>
      <c r="AS105" s="196"/>
      <c r="AT105" s="197"/>
      <c r="AU105" s="197"/>
      <c r="AV105" s="197"/>
      <c r="AW105" s="197"/>
      <c r="AX105" s="196"/>
      <c r="AY105" s="197"/>
      <c r="AZ105" s="197"/>
      <c r="BA105" s="197"/>
      <c r="BB105" s="197"/>
      <c r="BC105" s="196"/>
      <c r="XDL105" s="252"/>
      <c r="XDM105" s="252"/>
      <c r="XDN105" s="252"/>
      <c r="XDO105" s="252"/>
      <c r="XDP105" s="252"/>
      <c r="XDQ105" s="252"/>
      <c r="XDR105" s="252"/>
      <c r="XDS105" s="252"/>
      <c r="XDT105" s="252"/>
      <c r="XDU105" s="252"/>
      <c r="XDV105" s="252"/>
      <c r="XDW105" s="252"/>
      <c r="XDX105" s="252"/>
      <c r="XDY105" s="252"/>
      <c r="XDZ105" s="252"/>
      <c r="XEA105" s="252"/>
      <c r="XEB105" s="252"/>
      <c r="XEC105" s="252"/>
      <c r="XED105" s="252"/>
      <c r="XEE105" s="252"/>
      <c r="XEF105" s="252"/>
      <c r="XEG105" s="252"/>
      <c r="XEH105" s="252"/>
      <c r="XEI105" s="252"/>
      <c r="XEJ105" s="252"/>
      <c r="XEK105" s="252"/>
      <c r="XEL105" s="252"/>
      <c r="XEM105" s="252"/>
      <c r="XEN105" s="252"/>
      <c r="XEO105" s="252"/>
      <c r="XEP105" s="252"/>
      <c r="XEQ105" s="252"/>
      <c r="XER105" s="252"/>
      <c r="XES105" s="252"/>
      <c r="XET105" s="252"/>
      <c r="XEU105" s="252"/>
      <c r="XEV105" s="252"/>
      <c r="XEW105" s="252"/>
      <c r="XEX105" s="252"/>
      <c r="XEY105" s="252"/>
      <c r="XEZ105" s="252"/>
      <c r="XFA105" s="252"/>
      <c r="XFB105" s="252"/>
      <c r="XFC105" s="252"/>
      <c r="XFD105" s="252"/>
    </row>
    <row r="106" spans="1:55 16340:16384" s="117" customFormat="1">
      <c r="A106" s="127"/>
      <c r="B106" s="127"/>
      <c r="C106" s="127"/>
      <c r="D106" s="127"/>
      <c r="E106" s="127"/>
      <c r="F106" s="198"/>
      <c r="G106" s="198"/>
      <c r="H106" s="198"/>
      <c r="I106" s="193"/>
      <c r="J106" s="194"/>
      <c r="K106" s="193"/>
      <c r="L106" s="193"/>
      <c r="M106" s="193"/>
      <c r="N106" s="193"/>
      <c r="O106" s="194"/>
      <c r="P106" s="193"/>
      <c r="Q106" s="193"/>
      <c r="R106" s="193"/>
      <c r="S106" s="193"/>
      <c r="T106" s="194"/>
      <c r="U106" s="193"/>
      <c r="V106" s="193"/>
      <c r="W106" s="193"/>
      <c r="X106" s="193"/>
      <c r="Y106" s="194"/>
      <c r="Z106" s="193"/>
      <c r="AA106" s="193"/>
      <c r="AB106" s="428">
        <f t="shared" si="413"/>
        <v>41729</v>
      </c>
      <c r="AC106" s="195">
        <f t="shared" si="412"/>
        <v>41.611995426750838</v>
      </c>
      <c r="AD106" s="196"/>
      <c r="AE106" s="197"/>
      <c r="AF106" s="197"/>
      <c r="AG106" s="197"/>
      <c r="AH106" s="197"/>
      <c r="AI106" s="196"/>
      <c r="AJ106" s="197"/>
      <c r="AK106" s="197"/>
      <c r="AL106" s="197"/>
      <c r="AM106" s="197"/>
      <c r="AN106" s="196"/>
      <c r="AO106" s="197"/>
      <c r="AP106" s="197"/>
      <c r="AQ106" s="197"/>
      <c r="AR106" s="197"/>
      <c r="AS106" s="196"/>
      <c r="AT106" s="197"/>
      <c r="AU106" s="197"/>
      <c r="AV106" s="197"/>
      <c r="AW106" s="197"/>
      <c r="AX106" s="196"/>
      <c r="AY106" s="197"/>
      <c r="AZ106" s="197"/>
      <c r="BA106" s="197"/>
      <c r="BB106" s="197"/>
      <c r="BC106" s="196"/>
      <c r="XDL106" s="252"/>
      <c r="XDM106" s="252"/>
      <c r="XDN106" s="252"/>
      <c r="XDO106" s="252"/>
      <c r="XDP106" s="252"/>
      <c r="XDQ106" s="252"/>
      <c r="XDR106" s="252"/>
      <c r="XDS106" s="252"/>
      <c r="XDT106" s="252"/>
      <c r="XDU106" s="252"/>
      <c r="XDV106" s="252"/>
      <c r="XDW106" s="252"/>
      <c r="XDX106" s="252"/>
      <c r="XDY106" s="252"/>
      <c r="XDZ106" s="252"/>
      <c r="XEA106" s="252"/>
      <c r="XEB106" s="252"/>
      <c r="XEC106" s="252"/>
      <c r="XED106" s="252"/>
      <c r="XEE106" s="252"/>
      <c r="XEF106" s="252"/>
      <c r="XEG106" s="252"/>
      <c r="XEH106" s="252"/>
      <c r="XEI106" s="252"/>
      <c r="XEJ106" s="252"/>
      <c r="XEK106" s="252"/>
      <c r="XEL106" s="252"/>
      <c r="XEM106" s="252"/>
      <c r="XEN106" s="252"/>
      <c r="XEO106" s="252"/>
      <c r="XEP106" s="252"/>
      <c r="XEQ106" s="252"/>
      <c r="XER106" s="252"/>
      <c r="XES106" s="252"/>
      <c r="XET106" s="252"/>
      <c r="XEU106" s="252"/>
      <c r="XEV106" s="252"/>
      <c r="XEW106" s="252"/>
      <c r="XEX106" s="252"/>
      <c r="XEY106" s="252"/>
      <c r="XEZ106" s="252"/>
      <c r="XFA106" s="252"/>
      <c r="XFB106" s="252"/>
      <c r="XFC106" s="252"/>
      <c r="XFD106" s="252"/>
    </row>
    <row r="107" spans="1:55 16340:16384" s="117" customFormat="1">
      <c r="A107" s="129"/>
      <c r="B107" s="129"/>
      <c r="C107" s="129"/>
      <c r="D107" s="129"/>
      <c r="E107" s="127"/>
      <c r="F107" s="198"/>
      <c r="G107" s="198"/>
      <c r="H107" s="198"/>
      <c r="I107" s="198"/>
      <c r="J107" s="194"/>
      <c r="K107" s="198"/>
      <c r="L107" s="198"/>
      <c r="M107" s="198"/>
      <c r="N107" s="198"/>
      <c r="O107" s="194"/>
      <c r="P107" s="198"/>
      <c r="Q107" s="198"/>
      <c r="R107" s="198"/>
      <c r="S107" s="198"/>
      <c r="T107" s="194"/>
      <c r="U107" s="198"/>
      <c r="V107" s="198"/>
      <c r="W107" s="198"/>
      <c r="X107" s="198"/>
      <c r="Y107" s="194"/>
      <c r="Z107" s="198"/>
      <c r="AA107" s="198"/>
      <c r="AB107" s="428">
        <f t="shared" si="413"/>
        <v>41820</v>
      </c>
      <c r="AC107" s="195">
        <f t="shared" si="412"/>
        <v>52.911939592586236</v>
      </c>
      <c r="AD107" s="196"/>
      <c r="AE107" s="197"/>
      <c r="AF107" s="197"/>
      <c r="AG107" s="197"/>
      <c r="AH107" s="197"/>
      <c r="AI107" s="196"/>
      <c r="AJ107" s="197"/>
      <c r="AK107" s="197"/>
      <c r="AL107" s="197"/>
      <c r="AM107" s="197"/>
      <c r="AN107" s="196"/>
      <c r="AO107" s="197"/>
      <c r="AP107" s="197"/>
      <c r="AQ107" s="197"/>
      <c r="AR107" s="197"/>
      <c r="AS107" s="196"/>
      <c r="AT107" s="197"/>
      <c r="AU107" s="197"/>
      <c r="AV107" s="197"/>
      <c r="AW107" s="197"/>
      <c r="AX107" s="196"/>
      <c r="AY107" s="197"/>
      <c r="AZ107" s="197"/>
      <c r="BA107" s="197"/>
      <c r="BB107" s="197"/>
      <c r="BC107" s="196"/>
      <c r="XDL107" s="252"/>
      <c r="XDM107" s="252"/>
      <c r="XDN107" s="252"/>
      <c r="XDO107" s="252"/>
      <c r="XDP107" s="252"/>
      <c r="XDQ107" s="252"/>
      <c r="XDR107" s="252"/>
      <c r="XDS107" s="252"/>
      <c r="XDT107" s="252"/>
      <c r="XDU107" s="252"/>
      <c r="XDV107" s="252"/>
      <c r="XDW107" s="252"/>
      <c r="XDX107" s="252"/>
      <c r="XDY107" s="252"/>
      <c r="XDZ107" s="252"/>
      <c r="XEA107" s="252"/>
      <c r="XEB107" s="252"/>
      <c r="XEC107" s="252"/>
      <c r="XED107" s="252"/>
      <c r="XEE107" s="252"/>
      <c r="XEF107" s="252"/>
      <c r="XEG107" s="252"/>
      <c r="XEH107" s="252"/>
      <c r="XEI107" s="252"/>
      <c r="XEJ107" s="252"/>
      <c r="XEK107" s="252"/>
      <c r="XEL107" s="252"/>
      <c r="XEM107" s="252"/>
      <c r="XEN107" s="252"/>
      <c r="XEO107" s="252"/>
      <c r="XEP107" s="252"/>
      <c r="XEQ107" s="252"/>
      <c r="XER107" s="252"/>
      <c r="XES107" s="252"/>
      <c r="XET107" s="252"/>
      <c r="XEU107" s="252"/>
      <c r="XEV107" s="252"/>
      <c r="XEW107" s="252"/>
      <c r="XEX107" s="252"/>
      <c r="XEY107" s="252"/>
      <c r="XEZ107" s="252"/>
      <c r="XFA107" s="252"/>
      <c r="XFB107" s="252"/>
      <c r="XFC107" s="252"/>
      <c r="XFD107" s="252"/>
    </row>
    <row r="108" spans="1:55 16340:16384">
      <c r="A108" s="110"/>
      <c r="B108" s="110"/>
      <c r="C108" s="110"/>
      <c r="D108" s="110"/>
      <c r="E108" s="110"/>
      <c r="F108" s="164"/>
      <c r="G108" s="164"/>
      <c r="H108" s="164"/>
      <c r="I108" s="164"/>
      <c r="J108" s="169"/>
      <c r="K108" s="164"/>
      <c r="L108" s="164"/>
      <c r="M108" s="164"/>
      <c r="N108" s="164"/>
      <c r="O108" s="169"/>
      <c r="P108" s="164"/>
      <c r="Q108" s="164"/>
      <c r="R108" s="164"/>
      <c r="S108" s="164"/>
      <c r="T108" s="169"/>
      <c r="U108" s="164"/>
      <c r="V108" s="164"/>
      <c r="W108" s="164"/>
      <c r="X108" s="164"/>
      <c r="Y108" s="169"/>
      <c r="Z108" s="164"/>
      <c r="AA108" s="164"/>
      <c r="AB108" s="428">
        <f t="shared" si="413"/>
        <v>41912</v>
      </c>
      <c r="AC108" s="195">
        <f t="shared" si="412"/>
        <v>59.613582679362707</v>
      </c>
      <c r="AD108" s="196"/>
      <c r="AE108" s="180"/>
      <c r="AF108" s="180"/>
      <c r="AG108" s="180"/>
      <c r="AH108" s="180"/>
      <c r="AI108" s="187"/>
      <c r="AJ108" s="180"/>
      <c r="AK108" s="180"/>
      <c r="AL108" s="180"/>
      <c r="AM108" s="180"/>
      <c r="AN108" s="187"/>
      <c r="AO108" s="180"/>
      <c r="AP108" s="180"/>
      <c r="AQ108" s="180"/>
      <c r="AR108" s="180"/>
      <c r="AS108" s="187"/>
      <c r="AT108" s="180"/>
      <c r="AU108" s="180"/>
      <c r="AV108" s="180"/>
      <c r="AW108" s="180"/>
      <c r="AX108" s="187"/>
      <c r="AY108" s="180"/>
      <c r="AZ108" s="180"/>
      <c r="BA108" s="180"/>
      <c r="BB108" s="180"/>
      <c r="BC108" s="187"/>
    </row>
    <row r="109" spans="1:55 16340:16384">
      <c r="A109" s="110"/>
      <c r="B109" s="110"/>
      <c r="C109" s="110"/>
      <c r="D109" s="110"/>
      <c r="E109" s="110"/>
      <c r="F109" s="164"/>
      <c r="G109" s="164"/>
      <c r="H109" s="164"/>
      <c r="I109" s="164"/>
      <c r="J109" s="169"/>
      <c r="K109" s="164"/>
      <c r="L109" s="164"/>
      <c r="M109" s="164"/>
      <c r="N109" s="164"/>
      <c r="O109" s="169"/>
      <c r="P109" s="164"/>
      <c r="Q109" s="164"/>
      <c r="R109" s="164"/>
      <c r="S109" s="164"/>
      <c r="T109" s="169"/>
      <c r="U109" s="164"/>
      <c r="V109" s="164"/>
      <c r="W109" s="164"/>
      <c r="X109" s="164"/>
      <c r="Y109" s="169"/>
      <c r="Z109" s="164"/>
      <c r="AA109" s="164"/>
      <c r="AB109" s="428">
        <f t="shared" si="413"/>
        <v>42004</v>
      </c>
      <c r="AC109" s="195">
        <f t="shared" si="412"/>
        <v>55.358046385500188</v>
      </c>
      <c r="AD109" s="196"/>
      <c r="AE109" s="180"/>
      <c r="AF109" s="180"/>
      <c r="AG109" s="180"/>
      <c r="AH109" s="180"/>
      <c r="AI109" s="187"/>
      <c r="AJ109" s="180"/>
      <c r="AK109" s="180"/>
      <c r="AL109" s="180"/>
      <c r="AM109" s="180"/>
      <c r="AN109" s="187"/>
      <c r="AO109" s="180"/>
      <c r="AP109" s="180"/>
      <c r="AQ109" s="180"/>
      <c r="AR109" s="180"/>
      <c r="AS109" s="187"/>
      <c r="AT109" s="180"/>
      <c r="AU109" s="180"/>
      <c r="AV109" s="180"/>
      <c r="AW109" s="180"/>
      <c r="AX109" s="187"/>
      <c r="AY109" s="180"/>
      <c r="AZ109" s="180"/>
      <c r="BA109" s="180"/>
      <c r="BB109" s="180"/>
      <c r="BC109" s="187"/>
    </row>
    <row r="110" spans="1:55 16340:16384">
      <c r="A110" s="110"/>
      <c r="B110" s="110"/>
      <c r="C110" s="110"/>
      <c r="D110" s="110"/>
      <c r="E110" s="110"/>
      <c r="F110" s="164"/>
      <c r="G110" s="164"/>
      <c r="H110" s="164"/>
      <c r="I110" s="164"/>
      <c r="J110" s="169"/>
      <c r="K110" s="164"/>
      <c r="L110" s="164"/>
      <c r="M110" s="164"/>
      <c r="N110" s="164"/>
      <c r="O110" s="169"/>
      <c r="P110" s="164"/>
      <c r="Q110" s="164"/>
      <c r="R110" s="164"/>
      <c r="S110" s="164"/>
      <c r="T110" s="169"/>
      <c r="U110" s="164"/>
      <c r="V110" s="164"/>
      <c r="W110" s="164"/>
      <c r="X110" s="164"/>
      <c r="Y110" s="169"/>
      <c r="Z110" s="164"/>
      <c r="AA110" s="164"/>
      <c r="AB110" s="428">
        <f t="shared" si="413"/>
        <v>42094</v>
      </c>
      <c r="AC110" s="195">
        <f t="shared" si="412"/>
        <v>46.932151793586719</v>
      </c>
      <c r="AD110" s="196"/>
      <c r="AE110" s="180"/>
      <c r="AF110" s="180"/>
      <c r="AG110" s="180"/>
      <c r="AH110" s="180"/>
      <c r="AI110" s="187"/>
      <c r="AJ110" s="180"/>
      <c r="AK110" s="180"/>
      <c r="AL110" s="180"/>
      <c r="AM110" s="180"/>
      <c r="AN110" s="187"/>
      <c r="AO110" s="180"/>
      <c r="AP110" s="180"/>
      <c r="AQ110" s="180"/>
      <c r="AR110" s="180"/>
      <c r="AS110" s="187"/>
      <c r="AT110" s="180"/>
      <c r="AU110" s="180"/>
      <c r="AV110" s="180"/>
      <c r="AW110" s="180"/>
      <c r="AX110" s="187"/>
      <c r="AY110" s="180"/>
      <c r="AZ110" s="180"/>
      <c r="BA110" s="180"/>
      <c r="BB110" s="180"/>
      <c r="BC110" s="187"/>
    </row>
    <row r="111" spans="1:55 16340:16384">
      <c r="A111" s="110"/>
      <c r="B111" s="110"/>
      <c r="C111" s="110"/>
      <c r="D111" s="110"/>
      <c r="E111" s="110"/>
      <c r="F111" s="164"/>
      <c r="G111" s="164"/>
      <c r="H111" s="164"/>
      <c r="I111" s="164"/>
      <c r="J111" s="169"/>
      <c r="K111" s="164"/>
      <c r="L111" s="164"/>
      <c r="M111" s="164"/>
      <c r="N111" s="164"/>
      <c r="O111" s="169"/>
      <c r="P111" s="164"/>
      <c r="Q111" s="164"/>
      <c r="R111" s="164"/>
      <c r="S111" s="164"/>
      <c r="T111" s="169"/>
      <c r="U111" s="164"/>
      <c r="V111" s="164"/>
      <c r="W111" s="164"/>
      <c r="X111" s="164"/>
      <c r="Y111" s="169"/>
      <c r="Z111" s="164"/>
      <c r="AA111" s="164"/>
      <c r="AB111" s="428">
        <f t="shared" si="413"/>
        <v>42185</v>
      </c>
      <c r="AC111" s="195">
        <f t="shared" si="412"/>
        <v>44.593820223207473</v>
      </c>
      <c r="AD111" s="196"/>
      <c r="AE111" s="180"/>
      <c r="AF111" s="180"/>
      <c r="AG111" s="180"/>
      <c r="AH111" s="180"/>
      <c r="AI111" s="187"/>
      <c r="AJ111" s="180"/>
      <c r="AK111" s="180"/>
      <c r="AL111" s="180"/>
      <c r="AM111" s="180"/>
      <c r="AN111" s="187"/>
      <c r="AO111" s="180"/>
      <c r="AP111" s="180"/>
      <c r="AQ111" s="180"/>
      <c r="AR111" s="180"/>
      <c r="AS111" s="187"/>
      <c r="AT111" s="180"/>
      <c r="AU111" s="180"/>
      <c r="AV111" s="180"/>
      <c r="AW111" s="180"/>
      <c r="AX111" s="187"/>
      <c r="AY111" s="180"/>
      <c r="AZ111" s="180"/>
      <c r="BA111" s="180"/>
      <c r="BB111" s="180"/>
      <c r="BC111" s="187"/>
    </row>
    <row r="112" spans="1:55 16340:16384">
      <c r="A112" s="110"/>
      <c r="B112" s="110"/>
      <c r="C112" s="110"/>
      <c r="D112" s="110"/>
      <c r="E112" s="110"/>
      <c r="F112" s="164"/>
      <c r="G112" s="164"/>
      <c r="H112" s="164"/>
      <c r="I112" s="164"/>
      <c r="J112" s="169"/>
      <c r="K112" s="164"/>
      <c r="L112" s="164"/>
      <c r="M112" s="164"/>
      <c r="N112" s="164"/>
      <c r="O112" s="169"/>
      <c r="P112" s="164"/>
      <c r="Q112" s="164"/>
      <c r="R112" s="164"/>
      <c r="S112" s="164"/>
      <c r="T112" s="169"/>
      <c r="U112" s="164"/>
      <c r="V112" s="164"/>
      <c r="W112" s="164"/>
      <c r="X112" s="164"/>
      <c r="Y112" s="169"/>
      <c r="Z112" s="164"/>
      <c r="AA112" s="164"/>
      <c r="AB112" s="428">
        <f t="shared" si="413"/>
        <v>42277</v>
      </c>
      <c r="AC112" s="195">
        <f t="shared" si="412"/>
        <v>41.950771702801518</v>
      </c>
      <c r="AD112" s="196"/>
      <c r="AE112" s="180"/>
      <c r="AF112" s="180"/>
      <c r="AG112" s="180"/>
      <c r="AH112" s="180"/>
      <c r="AI112" s="187"/>
      <c r="AJ112" s="180"/>
      <c r="AK112" s="180"/>
      <c r="AL112" s="180"/>
      <c r="AM112" s="180"/>
      <c r="AN112" s="187"/>
      <c r="AO112" s="180"/>
      <c r="AP112" s="180"/>
      <c r="AQ112" s="180"/>
      <c r="AR112" s="180"/>
      <c r="AS112" s="187"/>
      <c r="AT112" s="180"/>
      <c r="AU112" s="180"/>
      <c r="AV112" s="180"/>
      <c r="AW112" s="180"/>
      <c r="AX112" s="187"/>
      <c r="AY112" s="180"/>
      <c r="AZ112" s="180"/>
      <c r="BA112" s="180"/>
      <c r="BB112" s="180"/>
      <c r="BC112" s="187"/>
    </row>
    <row r="113" spans="1:55">
      <c r="A113" s="110"/>
      <c r="B113" s="110"/>
      <c r="C113" s="110"/>
      <c r="D113" s="110"/>
      <c r="E113" s="110"/>
      <c r="F113" s="164"/>
      <c r="G113" s="164"/>
      <c r="H113" s="164"/>
      <c r="I113" s="164"/>
      <c r="J113" s="169"/>
      <c r="K113" s="164"/>
      <c r="L113" s="164"/>
      <c r="M113" s="164"/>
      <c r="N113" s="164"/>
      <c r="O113" s="169"/>
      <c r="P113" s="164"/>
      <c r="Q113" s="164"/>
      <c r="R113" s="164"/>
      <c r="S113" s="164"/>
      <c r="T113" s="169"/>
      <c r="U113" s="164"/>
      <c r="V113" s="164"/>
      <c r="W113" s="164"/>
      <c r="X113" s="164"/>
      <c r="Y113" s="169"/>
      <c r="Z113" s="164"/>
      <c r="AA113" s="164"/>
      <c r="AB113" s="428">
        <f t="shared" si="413"/>
        <v>42369</v>
      </c>
      <c r="AC113" s="195">
        <f t="shared" si="412"/>
        <v>39.771614389839016</v>
      </c>
      <c r="AD113" s="196"/>
      <c r="AE113" s="180"/>
      <c r="AF113" s="180"/>
      <c r="AG113" s="180"/>
      <c r="AH113" s="180"/>
      <c r="AI113" s="187"/>
      <c r="AJ113" s="180"/>
      <c r="AK113" s="180"/>
      <c r="AL113" s="180"/>
      <c r="AM113" s="180"/>
      <c r="AN113" s="187"/>
      <c r="AO113" s="180"/>
      <c r="AP113" s="180"/>
      <c r="AQ113" s="180"/>
      <c r="AR113" s="180"/>
      <c r="AS113" s="187"/>
      <c r="AT113" s="180"/>
      <c r="AU113" s="180"/>
      <c r="AV113" s="180"/>
      <c r="AW113" s="180"/>
      <c r="AX113" s="187"/>
      <c r="AY113" s="180"/>
      <c r="AZ113" s="180"/>
      <c r="BA113" s="180"/>
      <c r="BB113" s="180"/>
      <c r="BC113" s="187"/>
    </row>
    <row r="114" spans="1:55">
      <c r="A114" s="110"/>
      <c r="B114" s="110"/>
      <c r="C114" s="110"/>
      <c r="D114" s="110"/>
      <c r="E114" s="110"/>
      <c r="F114" s="164"/>
      <c r="G114" s="164"/>
      <c r="H114" s="164"/>
      <c r="I114" s="164"/>
      <c r="J114" s="169"/>
      <c r="K114" s="164"/>
      <c r="L114" s="164"/>
      <c r="M114" s="164"/>
      <c r="N114" s="164"/>
      <c r="O114" s="169"/>
      <c r="P114" s="164"/>
      <c r="Q114" s="164"/>
      <c r="R114" s="164"/>
      <c r="S114" s="164"/>
      <c r="T114" s="169"/>
      <c r="U114" s="164"/>
      <c r="V114" s="164"/>
      <c r="W114" s="164"/>
      <c r="X114" s="164"/>
      <c r="Y114" s="164"/>
      <c r="Z114" s="164"/>
      <c r="AA114" s="164"/>
      <c r="AB114" s="428">
        <f t="shared" si="413"/>
        <v>42460</v>
      </c>
      <c r="AC114" s="195">
        <f t="shared" si="412"/>
        <v>45.058439568074988</v>
      </c>
      <c r="AD114" s="196">
        <f>+AC114-AC113</f>
        <v>5.2868251782359721</v>
      </c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7"/>
      <c r="AO114" s="180"/>
      <c r="AP114" s="180"/>
      <c r="AQ114" s="180"/>
      <c r="AR114" s="180"/>
      <c r="AS114" s="187"/>
      <c r="AT114" s="180"/>
      <c r="AU114" s="180"/>
      <c r="AV114" s="180"/>
      <c r="AW114" s="180"/>
      <c r="AX114" s="187"/>
      <c r="AY114" s="180"/>
      <c r="AZ114" s="180"/>
      <c r="BA114" s="180"/>
      <c r="BB114" s="180"/>
      <c r="BC114" s="187"/>
    </row>
    <row r="115" spans="1:55">
      <c r="A115" s="110"/>
      <c r="B115" s="110"/>
      <c r="C115" s="110"/>
      <c r="D115" s="110"/>
      <c r="E115" s="110"/>
      <c r="F115" s="69"/>
      <c r="G115" s="69"/>
      <c r="H115" s="69"/>
      <c r="I115" s="69"/>
      <c r="J115" s="70"/>
      <c r="K115" s="69"/>
      <c r="L115" s="69"/>
      <c r="M115" s="69"/>
      <c r="N115" s="69"/>
      <c r="O115" s="70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428">
        <f t="shared" si="413"/>
        <v>42551</v>
      </c>
      <c r="AC115" s="195">
        <f t="shared" si="412"/>
        <v>57.75860423798774</v>
      </c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</row>
    <row r="116" spans="1:55">
      <c r="A116" s="110"/>
      <c r="B116" s="110"/>
      <c r="C116" s="110"/>
      <c r="D116" s="110"/>
      <c r="E116" s="110"/>
      <c r="F116" s="69"/>
      <c r="G116" s="69"/>
      <c r="H116" s="69"/>
      <c r="I116" s="69"/>
      <c r="J116" s="70"/>
      <c r="K116" s="69"/>
      <c r="L116" s="69"/>
      <c r="M116" s="69"/>
      <c r="N116" s="69"/>
      <c r="O116" s="70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428">
        <f t="shared" si="413"/>
        <v>42643</v>
      </c>
      <c r="AC116" s="195">
        <f t="shared" si="412"/>
        <v>57.692221764573361</v>
      </c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</row>
    <row r="117" spans="1:55">
      <c r="A117" s="110"/>
      <c r="B117" s="110"/>
      <c r="C117" s="110"/>
      <c r="D117" s="110"/>
      <c r="E117" s="110"/>
      <c r="F117" s="69"/>
      <c r="G117" s="69"/>
      <c r="H117" s="69"/>
      <c r="I117" s="69"/>
      <c r="J117" s="70"/>
      <c r="K117" s="69"/>
      <c r="L117" s="69"/>
      <c r="M117" s="69"/>
      <c r="N117" s="69"/>
      <c r="O117" s="70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428">
        <f t="shared" si="413"/>
        <v>42735</v>
      </c>
      <c r="AC117" s="195">
        <f t="shared" si="412"/>
        <v>55.686535536914775</v>
      </c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</row>
    <row r="118" spans="1:55">
      <c r="A118" s="110"/>
      <c r="B118" s="110"/>
      <c r="C118" s="110"/>
      <c r="D118" s="110"/>
      <c r="E118" s="110"/>
      <c r="F118" s="69"/>
      <c r="G118" s="69"/>
      <c r="H118" s="69"/>
      <c r="I118" s="69"/>
      <c r="J118" s="69"/>
      <c r="K118" s="69"/>
      <c r="L118" s="69"/>
      <c r="M118" s="69"/>
      <c r="N118" s="69"/>
      <c r="O118" s="70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428">
        <f t="shared" si="413"/>
        <v>42825</v>
      </c>
      <c r="AC118" s="195">
        <f t="shared" si="412"/>
        <v>57.865227830747187</v>
      </c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</row>
    <row r="119" spans="1:55">
      <c r="A119" s="110"/>
      <c r="B119" s="110"/>
      <c r="C119" s="110"/>
      <c r="D119" s="110"/>
      <c r="E119" s="110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428">
        <f t="shared" si="413"/>
        <v>42916</v>
      </c>
      <c r="AC119" s="195">
        <f>+HLOOKUP(AB119,$F$2:$AW$54,53,FALSE)</f>
        <v>69.325986628405104</v>
      </c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</row>
    <row r="120" spans="1:55">
      <c r="A120" s="110"/>
      <c r="B120" s="110"/>
      <c r="C120" s="110"/>
      <c r="D120" s="110"/>
      <c r="E120" s="110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428">
        <f t="shared" si="413"/>
        <v>43008</v>
      </c>
      <c r="AC120" s="195">
        <f>+HLOOKUP(AB120,$F$2:$AW$54,53,FALSE)</f>
        <v>68.90649752564002</v>
      </c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</row>
    <row r="121" spans="1:55">
      <c r="A121" s="110"/>
      <c r="B121" s="110"/>
      <c r="C121" s="110"/>
      <c r="D121" s="110"/>
      <c r="E121" s="110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428">
        <f t="shared" si="413"/>
        <v>43100</v>
      </c>
      <c r="AC121" s="195">
        <f>+HLOOKUP(AB121,$F$2:$AW$54,53,FALSE)</f>
        <v>64.439209931539693</v>
      </c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</row>
    <row r="122" spans="1:55">
      <c r="A122" s="110"/>
      <c r="B122" s="110"/>
      <c r="C122" s="110"/>
      <c r="D122" s="110"/>
      <c r="E122" s="110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</row>
    <row r="123" spans="1:55">
      <c r="A123" s="110"/>
      <c r="B123" s="110"/>
      <c r="C123" s="110"/>
      <c r="D123" s="110"/>
      <c r="E123" s="110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</row>
    <row r="124" spans="1:55">
      <c r="A124" s="110"/>
      <c r="B124" s="110"/>
      <c r="C124" s="110"/>
      <c r="D124" s="110"/>
      <c r="E124" s="110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</row>
    <row r="125" spans="1:55">
      <c r="A125" s="110"/>
      <c r="B125" s="110"/>
      <c r="C125" s="110"/>
      <c r="D125" s="110"/>
      <c r="E125" s="110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</row>
    <row r="126" spans="1:55">
      <c r="A126" s="110"/>
      <c r="B126" s="110"/>
      <c r="C126" s="110"/>
      <c r="D126" s="110"/>
      <c r="E126" s="110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</row>
    <row r="127" spans="1:55">
      <c r="A127" s="110"/>
      <c r="B127" s="110"/>
      <c r="C127" s="110"/>
      <c r="D127" s="110"/>
      <c r="E127" s="110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</row>
    <row r="128" spans="1:55">
      <c r="A128" s="110"/>
      <c r="B128" s="110"/>
      <c r="C128" s="110"/>
      <c r="D128" s="110"/>
      <c r="E128" s="110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</row>
    <row r="129" spans="1:55">
      <c r="A129" s="110"/>
      <c r="B129" s="110"/>
      <c r="C129" s="110"/>
      <c r="D129" s="110"/>
      <c r="E129" s="110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</row>
    <row r="130" spans="1:55">
      <c r="A130" s="110"/>
      <c r="B130" s="110"/>
      <c r="C130" s="110"/>
      <c r="D130" s="110"/>
      <c r="E130" s="110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</row>
    <row r="131" spans="1:55">
      <c r="A131" s="110"/>
      <c r="B131" s="110"/>
      <c r="C131" s="110"/>
      <c r="D131" s="110"/>
      <c r="E131" s="110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</row>
    <row r="132" spans="1:55">
      <c r="A132" s="110"/>
      <c r="B132" s="110"/>
      <c r="C132" s="110"/>
      <c r="D132" s="110"/>
      <c r="E132" s="110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</row>
    <row r="133" spans="1:55">
      <c r="A133" s="110"/>
      <c r="B133" s="110"/>
      <c r="C133" s="110"/>
      <c r="D133" s="110"/>
      <c r="E133" s="110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</row>
    <row r="134" spans="1:55">
      <c r="A134" s="110"/>
      <c r="B134" s="110"/>
      <c r="C134" s="110"/>
      <c r="D134" s="110"/>
      <c r="E134" s="110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</row>
    <row r="135" spans="1:55">
      <c r="A135" s="110"/>
      <c r="B135" s="110"/>
      <c r="C135" s="110"/>
      <c r="D135" s="110"/>
      <c r="E135" s="110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</row>
    <row r="136" spans="1:55">
      <c r="A136" s="110"/>
      <c r="B136" s="110"/>
      <c r="C136" s="110"/>
      <c r="D136" s="110"/>
      <c r="E136" s="110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</row>
    <row r="137" spans="1:55">
      <c r="A137" s="110"/>
      <c r="B137" s="110"/>
      <c r="C137" s="110"/>
      <c r="D137" s="110"/>
      <c r="E137" s="110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</row>
    <row r="138" spans="1:55">
      <c r="A138" s="110"/>
      <c r="B138" s="110"/>
      <c r="C138" s="110"/>
      <c r="D138" s="110"/>
      <c r="E138" s="110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</row>
    <row r="139" spans="1:55">
      <c r="A139" s="110"/>
      <c r="B139" s="110"/>
      <c r="C139" s="110"/>
      <c r="D139" s="110"/>
      <c r="E139" s="110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</row>
    <row r="140" spans="1:55">
      <c r="A140" s="110"/>
      <c r="B140" s="110"/>
      <c r="C140" s="110"/>
      <c r="D140" s="110"/>
      <c r="E140" s="110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</row>
    <row r="141" spans="1:55">
      <c r="A141" s="110"/>
      <c r="B141" s="110"/>
      <c r="C141" s="110"/>
      <c r="D141" s="110"/>
      <c r="E141" s="110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</row>
    <row r="142" spans="1:55">
      <c r="A142" s="110"/>
      <c r="B142" s="110"/>
      <c r="C142" s="110"/>
      <c r="D142" s="110"/>
      <c r="E142" s="110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</row>
    <row r="143" spans="1:55">
      <c r="A143" s="110"/>
      <c r="B143" s="110"/>
      <c r="C143" s="110"/>
      <c r="D143" s="110"/>
      <c r="E143" s="110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</row>
    <row r="144" spans="1:55">
      <c r="A144" s="110"/>
      <c r="B144" s="110"/>
      <c r="C144" s="110"/>
      <c r="D144" s="110"/>
      <c r="E144" s="110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</row>
    <row r="145" spans="1:55">
      <c r="A145" s="110"/>
      <c r="B145" s="110"/>
      <c r="C145" s="110"/>
      <c r="D145" s="110"/>
      <c r="E145" s="110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</row>
    <row r="146" spans="1:55">
      <c r="A146" s="110"/>
      <c r="B146" s="110"/>
      <c r="C146" s="110"/>
      <c r="D146" s="110"/>
      <c r="E146" s="110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</row>
    <row r="147" spans="1:55">
      <c r="A147" s="110"/>
      <c r="B147" s="110"/>
      <c r="C147" s="110"/>
      <c r="D147" s="110"/>
      <c r="E147" s="110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</row>
    <row r="148" spans="1:55">
      <c r="A148" s="110"/>
      <c r="B148" s="110"/>
      <c r="C148" s="110"/>
      <c r="D148" s="110"/>
      <c r="E148" s="110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</row>
    <row r="149" spans="1:55">
      <c r="A149" s="110"/>
      <c r="B149" s="110"/>
      <c r="C149" s="110"/>
      <c r="D149" s="110"/>
      <c r="E149" s="110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</row>
    <row r="150" spans="1:55">
      <c r="A150" s="110"/>
      <c r="B150" s="110"/>
      <c r="C150" s="110"/>
      <c r="D150" s="110"/>
      <c r="E150" s="110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</row>
    <row r="151" spans="1:55">
      <c r="A151" s="110"/>
      <c r="B151" s="110"/>
      <c r="C151" s="110"/>
      <c r="D151" s="110"/>
      <c r="E151" s="110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  <c r="AU151" s="116"/>
      <c r="AV151" s="116"/>
      <c r="AW151" s="116"/>
      <c r="AX151" s="116"/>
      <c r="AY151" s="116"/>
      <c r="AZ151" s="116"/>
      <c r="BA151" s="116"/>
      <c r="BB151" s="116"/>
      <c r="BC151" s="116"/>
    </row>
    <row r="152" spans="1:55">
      <c r="A152" s="110"/>
      <c r="B152" s="110"/>
      <c r="C152" s="110"/>
      <c r="D152" s="110"/>
      <c r="E152" s="110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</row>
    <row r="153" spans="1:55">
      <c r="A153" s="110"/>
      <c r="B153" s="110"/>
      <c r="C153" s="110"/>
      <c r="D153" s="110"/>
      <c r="E153" s="110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</row>
    <row r="154" spans="1:55">
      <c r="A154" s="110"/>
      <c r="B154" s="110"/>
      <c r="C154" s="110"/>
      <c r="D154" s="110"/>
      <c r="E154" s="110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</row>
    <row r="155" spans="1:55">
      <c r="A155" s="110"/>
      <c r="B155" s="110"/>
      <c r="C155" s="110"/>
      <c r="D155" s="110"/>
      <c r="E155" s="110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</row>
    <row r="156" spans="1:55">
      <c r="A156" s="110"/>
      <c r="B156" s="110"/>
      <c r="C156" s="110"/>
      <c r="D156" s="110"/>
      <c r="E156" s="110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</row>
    <row r="157" spans="1:55">
      <c r="A157" s="110"/>
      <c r="B157" s="110"/>
      <c r="C157" s="110"/>
      <c r="D157" s="110"/>
      <c r="E157" s="110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</row>
    <row r="158" spans="1:55">
      <c r="A158" s="110"/>
      <c r="B158" s="110"/>
      <c r="C158" s="110"/>
      <c r="D158" s="110"/>
      <c r="E158" s="110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</row>
    <row r="159" spans="1:55">
      <c r="A159" s="110"/>
      <c r="B159" s="110"/>
      <c r="C159" s="110"/>
      <c r="D159" s="110"/>
      <c r="E159" s="110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</row>
    <row r="160" spans="1:55">
      <c r="A160" s="110"/>
      <c r="B160" s="110"/>
      <c r="C160" s="110"/>
      <c r="D160" s="110"/>
      <c r="E160" s="110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</row>
    <row r="161" spans="1:55">
      <c r="A161" s="110"/>
      <c r="B161" s="110"/>
      <c r="C161" s="110"/>
      <c r="D161" s="110"/>
      <c r="E161" s="110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</row>
    <row r="162" spans="1:55">
      <c r="A162" s="110"/>
      <c r="B162" s="110"/>
      <c r="C162" s="110"/>
      <c r="D162" s="110"/>
      <c r="E162" s="110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</row>
    <row r="163" spans="1:55">
      <c r="A163" s="110"/>
      <c r="B163" s="110"/>
      <c r="C163" s="110"/>
      <c r="D163" s="110"/>
      <c r="E163" s="110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</row>
    <row r="164" spans="1:55">
      <c r="A164" s="110"/>
      <c r="B164" s="110"/>
      <c r="C164" s="110"/>
      <c r="D164" s="110"/>
      <c r="E164" s="110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</row>
    <row r="165" spans="1:55">
      <c r="A165" s="110"/>
      <c r="B165" s="110"/>
      <c r="C165" s="110"/>
      <c r="D165" s="110"/>
      <c r="E165" s="110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</row>
    <row r="166" spans="1:55">
      <c r="A166" s="110"/>
      <c r="B166" s="110"/>
      <c r="C166" s="110"/>
      <c r="D166" s="110"/>
      <c r="E166" s="110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</row>
    <row r="167" spans="1:55">
      <c r="A167" s="110"/>
      <c r="B167" s="110"/>
      <c r="C167" s="110"/>
      <c r="D167" s="110"/>
      <c r="E167" s="110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</row>
    <row r="168" spans="1:55">
      <c r="A168" s="110"/>
      <c r="B168" s="110"/>
      <c r="C168" s="110"/>
      <c r="D168" s="110"/>
      <c r="E168" s="110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</row>
    <row r="169" spans="1:55">
      <c r="A169" s="110"/>
      <c r="B169" s="110"/>
      <c r="C169" s="110"/>
      <c r="D169" s="110"/>
      <c r="E169" s="110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</row>
    <row r="170" spans="1:55">
      <c r="A170" s="110"/>
      <c r="B170" s="110"/>
      <c r="C170" s="110"/>
      <c r="D170" s="110"/>
      <c r="E170" s="110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</row>
    <row r="171" spans="1:55">
      <c r="A171" s="110"/>
      <c r="B171" s="110"/>
      <c r="C171" s="110"/>
      <c r="D171" s="110"/>
      <c r="E171" s="110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</row>
    <row r="172" spans="1:55">
      <c r="A172" s="110"/>
      <c r="B172" s="110"/>
      <c r="C172" s="110"/>
      <c r="D172" s="110"/>
      <c r="E172" s="110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</row>
    <row r="173" spans="1:55">
      <c r="A173" s="110"/>
      <c r="B173" s="110"/>
      <c r="C173" s="110"/>
      <c r="D173" s="110"/>
      <c r="E173" s="110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</row>
    <row r="174" spans="1:55">
      <c r="A174" s="110"/>
      <c r="B174" s="110"/>
      <c r="C174" s="110"/>
      <c r="D174" s="110"/>
      <c r="E174" s="110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</row>
    <row r="175" spans="1:55">
      <c r="A175" s="110"/>
      <c r="B175" s="110"/>
      <c r="C175" s="110"/>
      <c r="D175" s="110"/>
      <c r="E175" s="110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</row>
    <row r="176" spans="1:55">
      <c r="A176" s="110"/>
      <c r="B176" s="110"/>
      <c r="C176" s="110"/>
      <c r="D176" s="110"/>
      <c r="E176" s="110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</row>
    <row r="177" spans="1:55">
      <c r="A177" s="110"/>
      <c r="B177" s="110"/>
      <c r="C177" s="110"/>
      <c r="D177" s="110"/>
      <c r="E177" s="110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</row>
    <row r="178" spans="1:55">
      <c r="A178" s="110"/>
      <c r="B178" s="110"/>
      <c r="C178" s="110"/>
      <c r="D178" s="110"/>
      <c r="E178" s="110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</row>
    <row r="179" spans="1:55">
      <c r="A179" s="110"/>
      <c r="B179" s="110"/>
      <c r="C179" s="110"/>
      <c r="D179" s="110"/>
      <c r="E179" s="110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</row>
    <row r="180" spans="1:55">
      <c r="A180" s="110"/>
      <c r="B180" s="110"/>
      <c r="C180" s="110"/>
      <c r="D180" s="110"/>
      <c r="E180" s="110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</row>
    <row r="181" spans="1:55">
      <c r="A181" s="110"/>
      <c r="B181" s="110"/>
      <c r="C181" s="110"/>
      <c r="D181" s="110"/>
      <c r="E181" s="110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</row>
    <row r="182" spans="1:55">
      <c r="A182" s="110"/>
      <c r="B182" s="110"/>
      <c r="C182" s="110"/>
      <c r="D182" s="110"/>
      <c r="E182" s="110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</row>
    <row r="183" spans="1:55">
      <c r="A183" s="110"/>
      <c r="B183" s="110"/>
      <c r="C183" s="110"/>
      <c r="D183" s="110"/>
      <c r="E183" s="110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</row>
    <row r="184" spans="1:55">
      <c r="A184" s="110"/>
      <c r="B184" s="110"/>
      <c r="C184" s="110"/>
      <c r="D184" s="110"/>
      <c r="E184" s="110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</row>
    <row r="185" spans="1:55">
      <c r="A185" s="110"/>
      <c r="B185" s="110"/>
      <c r="C185" s="110"/>
      <c r="D185" s="110"/>
      <c r="E185" s="110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</row>
    <row r="186" spans="1:55">
      <c r="A186" s="110"/>
      <c r="B186" s="110"/>
      <c r="C186" s="110"/>
      <c r="D186" s="110"/>
      <c r="E186" s="110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</row>
    <row r="187" spans="1:55">
      <c r="A187" s="110"/>
      <c r="B187" s="110"/>
      <c r="C187" s="110"/>
      <c r="D187" s="110"/>
      <c r="E187" s="110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</row>
    <row r="188" spans="1:55">
      <c r="A188" s="110"/>
      <c r="B188" s="110"/>
      <c r="C188" s="110"/>
      <c r="D188" s="110"/>
      <c r="E188" s="110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</row>
    <row r="189" spans="1:55">
      <c r="A189" s="110"/>
      <c r="B189" s="110"/>
      <c r="C189" s="110"/>
      <c r="D189" s="110"/>
      <c r="E189" s="110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</row>
    <row r="190" spans="1:55">
      <c r="A190" s="110"/>
      <c r="B190" s="110"/>
      <c r="C190" s="110"/>
      <c r="D190" s="110"/>
      <c r="E190" s="110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</row>
    <row r="191" spans="1:55">
      <c r="A191" s="110"/>
      <c r="B191" s="110"/>
      <c r="C191" s="110"/>
      <c r="D191" s="110"/>
      <c r="E191" s="110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</row>
    <row r="192" spans="1:55">
      <c r="A192" s="110"/>
      <c r="B192" s="110"/>
      <c r="C192" s="110"/>
      <c r="D192" s="110"/>
      <c r="E192" s="110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</row>
    <row r="193" spans="1:55">
      <c r="A193" s="110"/>
      <c r="B193" s="110"/>
      <c r="C193" s="110"/>
      <c r="D193" s="110"/>
      <c r="E193" s="110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</row>
    <row r="194" spans="1:55">
      <c r="A194" s="110"/>
      <c r="B194" s="110"/>
      <c r="C194" s="110"/>
      <c r="D194" s="110"/>
      <c r="E194" s="110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</row>
    <row r="195" spans="1:55">
      <c r="A195" s="110"/>
      <c r="B195" s="110"/>
      <c r="C195" s="110"/>
      <c r="D195" s="110"/>
      <c r="E195" s="110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</row>
    <row r="196" spans="1:55">
      <c r="A196" s="110"/>
      <c r="B196" s="110"/>
      <c r="C196" s="110"/>
      <c r="D196" s="110"/>
      <c r="E196" s="110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</row>
    <row r="197" spans="1:55">
      <c r="A197" s="110"/>
      <c r="B197" s="110"/>
      <c r="C197" s="110"/>
      <c r="D197" s="110"/>
      <c r="E197" s="110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</row>
    <row r="198" spans="1:55">
      <c r="A198" s="110"/>
      <c r="B198" s="110"/>
      <c r="C198" s="110"/>
      <c r="D198" s="110"/>
      <c r="E198" s="110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</row>
    <row r="199" spans="1:55">
      <c r="A199" s="110"/>
      <c r="B199" s="110"/>
      <c r="C199" s="110"/>
      <c r="D199" s="110"/>
      <c r="E199" s="110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</row>
    <row r="200" spans="1:55">
      <c r="A200" s="110"/>
      <c r="B200" s="110"/>
      <c r="C200" s="110"/>
      <c r="D200" s="110"/>
      <c r="E200" s="110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</row>
    <row r="201" spans="1:55">
      <c r="A201" s="110"/>
      <c r="B201" s="110"/>
      <c r="C201" s="110"/>
      <c r="D201" s="110"/>
      <c r="E201" s="110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</row>
    <row r="202" spans="1:55">
      <c r="A202" s="110"/>
      <c r="B202" s="110"/>
      <c r="C202" s="110"/>
      <c r="D202" s="110"/>
      <c r="E202" s="110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</row>
    <row r="203" spans="1:55">
      <c r="A203" s="110"/>
      <c r="B203" s="110"/>
      <c r="C203" s="110"/>
      <c r="D203" s="110"/>
      <c r="E203" s="110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</row>
    <row r="204" spans="1:55">
      <c r="A204" s="110"/>
      <c r="B204" s="110"/>
      <c r="C204" s="110"/>
      <c r="D204" s="110"/>
      <c r="E204" s="110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</row>
    <row r="205" spans="1:55">
      <c r="A205" s="110"/>
      <c r="B205" s="110"/>
      <c r="C205" s="110"/>
      <c r="D205" s="110"/>
      <c r="E205" s="110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</row>
  </sheetData>
  <mergeCells count="13">
    <mergeCell ref="F3:I3"/>
    <mergeCell ref="AO3:AR3"/>
    <mergeCell ref="AJ3:AM3"/>
    <mergeCell ref="AE3:AH3"/>
    <mergeCell ref="Z3:AC3"/>
    <mergeCell ref="U3:X3"/>
    <mergeCell ref="P3:S3"/>
    <mergeCell ref="K3:N3"/>
    <mergeCell ref="BI3:BL3"/>
    <mergeCell ref="BN3:BQ3"/>
    <mergeCell ref="BD3:BG3"/>
    <mergeCell ref="AY3:BB3"/>
    <mergeCell ref="AT3:AW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1"/>
  <sheetViews>
    <sheetView showGridLines="0" zoomScale="71" zoomScaleNormal="130" workbookViewId="0">
      <pane xSplit="4" ySplit="4" topLeftCell="AI16" activePane="bottomRight" state="frozen"/>
      <selection pane="topRight" activeCell="E1" sqref="E1"/>
      <selection pane="bottomLeft" activeCell="A5" sqref="A5"/>
      <selection pane="bottomRight" activeCell="AI17" sqref="AI17"/>
    </sheetView>
  </sheetViews>
  <sheetFormatPr defaultRowHeight="12.5" outlineLevelCol="1"/>
  <cols>
    <col min="1" max="1" width="5" customWidth="1"/>
    <col min="2" max="2" width="5.81640625" customWidth="1"/>
    <col min="3" max="3" width="6.81640625" customWidth="1"/>
    <col min="4" max="4" width="35.26953125" customWidth="1"/>
    <col min="5" max="5" width="9.1796875" style="50" customWidth="1"/>
    <col min="6" max="9" width="9.1796875" hidden="1" customWidth="1" outlineLevel="1"/>
    <col min="10" max="10" width="9.1796875" customWidth="1" collapsed="1"/>
    <col min="11" max="14" width="9.1796875" hidden="1" customWidth="1" outlineLevel="1"/>
    <col min="15" max="15" width="9.453125" customWidth="1" collapsed="1"/>
    <col min="16" max="19" width="9.1796875" hidden="1" customWidth="1" outlineLevel="1"/>
    <col min="20" max="20" width="9.1796875" customWidth="1" collapsed="1"/>
    <col min="21" max="22" width="9.1796875" hidden="1" customWidth="1" outlineLevel="1"/>
    <col min="23" max="23" width="9" hidden="1" customWidth="1" outlineLevel="1"/>
    <col min="24" max="24" width="9.1796875" hidden="1" customWidth="1" outlineLevel="1"/>
    <col min="25" max="25" width="9.1796875" customWidth="1" collapsed="1"/>
    <col min="26" max="29" width="9.1796875" hidden="1" customWidth="1" outlineLevel="1"/>
    <col min="30" max="30" width="8.7265625" collapsed="1"/>
    <col min="31" max="34" width="9.1796875" hidden="1" customWidth="1" outlineLevel="1"/>
    <col min="35" max="35" width="8.7265625" collapsed="1"/>
    <col min="36" max="39" width="9.1796875" hidden="1" customWidth="1" outlineLevel="1"/>
    <col min="40" max="40" width="8.7265625" collapsed="1"/>
    <col min="41" max="44" width="9.1796875" hidden="1" customWidth="1" outlineLevel="1"/>
    <col min="45" max="45" width="8.7265625" collapsed="1"/>
    <col min="46" max="49" width="9.1796875" hidden="1" customWidth="1" outlineLevel="1"/>
    <col min="50" max="50" width="8.7265625" collapsed="1"/>
    <col min="51" max="54" width="9.1796875" customWidth="1" outlineLevel="1"/>
  </cols>
  <sheetData>
    <row r="1" spans="1:70" s="8" customFormat="1" ht="15.5">
      <c r="A1" s="26" t="s">
        <v>55</v>
      </c>
      <c r="B1" s="27"/>
      <c r="C1" s="27"/>
      <c r="D1" s="27"/>
      <c r="E1" s="49"/>
      <c r="F1" s="7"/>
      <c r="G1" s="7"/>
      <c r="H1" s="7"/>
      <c r="I1" s="7"/>
      <c r="J1" s="7"/>
      <c r="K1" s="7"/>
      <c r="L1" s="7"/>
      <c r="M1" s="7"/>
      <c r="N1" s="7"/>
      <c r="O1" s="9"/>
      <c r="P1" s="7"/>
      <c r="Q1" s="7"/>
      <c r="R1" s="7"/>
      <c r="S1" s="7"/>
      <c r="T1" s="9"/>
      <c r="U1" s="7"/>
      <c r="V1" s="7"/>
      <c r="W1" s="7"/>
      <c r="X1" s="10"/>
      <c r="Y1" s="11">
        <f>+Y44</f>
        <v>0</v>
      </c>
      <c r="Z1" s="7"/>
      <c r="AA1" s="7"/>
      <c r="AB1" s="7"/>
      <c r="AC1" s="7"/>
      <c r="AD1" s="11">
        <f>+AD44</f>
        <v>0</v>
      </c>
      <c r="AE1" s="7"/>
      <c r="AF1" s="7"/>
      <c r="AG1" s="7"/>
      <c r="AH1" s="7"/>
      <c r="AI1" s="7"/>
    </row>
    <row r="2" spans="1:70" s="8" customFormat="1">
      <c r="A2" s="29" t="s">
        <v>43</v>
      </c>
      <c r="B2" s="29"/>
      <c r="C2" s="29"/>
      <c r="D2" s="30"/>
      <c r="E2" s="49"/>
      <c r="F2" s="14">
        <v>40268</v>
      </c>
      <c r="G2" s="14">
        <f>+EOMONTH(B2,12)</f>
        <v>397</v>
      </c>
      <c r="H2" s="14">
        <f>+EOMONTH(C2,12)</f>
        <v>397</v>
      </c>
      <c r="I2" s="14">
        <f>+EOMONTH(D2,12)</f>
        <v>397</v>
      </c>
      <c r="J2" s="14"/>
      <c r="K2" s="14">
        <f>+EOMONTH(F2,12)</f>
        <v>40633</v>
      </c>
      <c r="L2" s="14">
        <f>+EOMONTH(G2,12)</f>
        <v>762</v>
      </c>
      <c r="M2" s="14">
        <f>+EOMONTH(H2,12)</f>
        <v>762</v>
      </c>
      <c r="N2" s="14">
        <f>+EOMONTH(I2,12)</f>
        <v>762</v>
      </c>
      <c r="O2" s="15"/>
      <c r="P2" s="16"/>
      <c r="Q2" s="16"/>
      <c r="R2" s="16"/>
      <c r="S2" s="16"/>
      <c r="T2" s="15"/>
      <c r="U2" s="17"/>
      <c r="V2" s="16"/>
      <c r="W2" s="16"/>
      <c r="X2" s="16"/>
      <c r="Y2" s="15">
        <f>+Y6-T6</f>
        <v>352.69599999999997</v>
      </c>
      <c r="Z2" s="16"/>
      <c r="AA2" s="16"/>
      <c r="AB2" s="16"/>
      <c r="AC2" s="16"/>
      <c r="AD2" s="15"/>
      <c r="AE2" s="14">
        <f>+EOMONTH(Z2,12)</f>
        <v>397</v>
      </c>
      <c r="AF2" s="14">
        <f>+EOMONTH(AA2,12)</f>
        <v>397</v>
      </c>
      <c r="AG2" s="14">
        <f>+EOMONTH(AB2,12)</f>
        <v>397</v>
      </c>
      <c r="AH2" s="14">
        <f>+EOMONTH(AC2,12)</f>
        <v>397</v>
      </c>
      <c r="AI2" s="18">
        <f>AI3</f>
        <v>2015</v>
      </c>
    </row>
    <row r="3" spans="1:70" s="8" customFormat="1">
      <c r="A3" s="29" t="s">
        <v>56</v>
      </c>
      <c r="B3" s="29"/>
      <c r="C3" s="29"/>
      <c r="D3" s="29"/>
      <c r="E3" s="49"/>
      <c r="F3" s="470">
        <v>2010</v>
      </c>
      <c r="G3" s="470"/>
      <c r="H3" s="470"/>
      <c r="I3" s="472"/>
      <c r="J3" s="19">
        <f>+F3</f>
        <v>2010</v>
      </c>
      <c r="K3" s="471">
        <v>2011</v>
      </c>
      <c r="L3" s="470"/>
      <c r="M3" s="470"/>
      <c r="N3" s="472"/>
      <c r="O3" s="19">
        <f>+K3</f>
        <v>2011</v>
      </c>
      <c r="P3" s="471">
        <v>2012</v>
      </c>
      <c r="Q3" s="470"/>
      <c r="R3" s="470"/>
      <c r="S3" s="472"/>
      <c r="T3" s="19">
        <f>+P3</f>
        <v>2012</v>
      </c>
      <c r="U3" s="471">
        <v>2013</v>
      </c>
      <c r="V3" s="470"/>
      <c r="W3" s="470"/>
      <c r="X3" s="472"/>
      <c r="Y3" s="19">
        <f>+U3</f>
        <v>2013</v>
      </c>
      <c r="Z3" s="471">
        <v>2014</v>
      </c>
      <c r="AA3" s="470"/>
      <c r="AB3" s="470"/>
      <c r="AC3" s="472"/>
      <c r="AD3" s="19">
        <f>+Z3</f>
        <v>2014</v>
      </c>
      <c r="AE3" s="471">
        <v>2015</v>
      </c>
      <c r="AF3" s="470"/>
      <c r="AG3" s="470"/>
      <c r="AH3" s="472"/>
      <c r="AI3" s="19">
        <f>+AE3</f>
        <v>2015</v>
      </c>
      <c r="AJ3" s="471">
        <v>2016</v>
      </c>
      <c r="AK3" s="470"/>
      <c r="AL3" s="470"/>
      <c r="AM3" s="472"/>
      <c r="AN3" s="19">
        <v>2016</v>
      </c>
      <c r="AO3" s="471">
        <v>2017</v>
      </c>
      <c r="AP3" s="470"/>
      <c r="AQ3" s="470"/>
      <c r="AR3" s="472"/>
      <c r="AS3" s="19">
        <v>2017</v>
      </c>
      <c r="AT3" s="471">
        <v>2018</v>
      </c>
      <c r="AU3" s="470"/>
      <c r="AV3" s="470"/>
      <c r="AW3" s="472"/>
      <c r="AX3" s="19">
        <f>+AT3</f>
        <v>2018</v>
      </c>
      <c r="AY3" s="471" t="s">
        <v>146</v>
      </c>
      <c r="AZ3" s="470"/>
      <c r="BA3" s="470"/>
      <c r="BB3" s="472"/>
      <c r="BC3" s="19" t="str">
        <f>+AY3</f>
        <v>2019E</v>
      </c>
      <c r="BD3" s="471" t="s">
        <v>148</v>
      </c>
      <c r="BE3" s="470"/>
      <c r="BF3" s="470"/>
      <c r="BG3" s="472"/>
      <c r="BH3" s="19" t="str">
        <f>+BD3</f>
        <v>2020E</v>
      </c>
      <c r="BI3" s="471" t="s">
        <v>149</v>
      </c>
      <c r="BJ3" s="470"/>
      <c r="BK3" s="470"/>
      <c r="BL3" s="472"/>
      <c r="BM3" s="19" t="str">
        <f>+BI3</f>
        <v>2021E</v>
      </c>
      <c r="BN3" s="471" t="s">
        <v>150</v>
      </c>
      <c r="BO3" s="470"/>
      <c r="BP3" s="470"/>
      <c r="BQ3" s="472"/>
      <c r="BR3" s="19" t="str">
        <f>+BN3</f>
        <v>2022E</v>
      </c>
    </row>
    <row r="4" spans="1:70" s="8" customFormat="1">
      <c r="A4" s="29" t="s">
        <v>28</v>
      </c>
      <c r="B4" s="29"/>
      <c r="C4" s="29"/>
      <c r="D4" s="29"/>
      <c r="E4" s="49"/>
      <c r="F4" s="20" t="s">
        <v>29</v>
      </c>
      <c r="G4" s="20" t="s">
        <v>30</v>
      </c>
      <c r="H4" s="20" t="s">
        <v>31</v>
      </c>
      <c r="I4" s="20" t="s">
        <v>32</v>
      </c>
      <c r="J4" s="21" t="s">
        <v>33</v>
      </c>
      <c r="K4" s="20" t="s">
        <v>29</v>
      </c>
      <c r="L4" s="20" t="s">
        <v>30</v>
      </c>
      <c r="M4" s="20" t="s">
        <v>31</v>
      </c>
      <c r="N4" s="20" t="s">
        <v>32</v>
      </c>
      <c r="O4" s="21" t="s">
        <v>33</v>
      </c>
      <c r="P4" s="20" t="s">
        <v>29</v>
      </c>
      <c r="Q4" s="20" t="s">
        <v>30</v>
      </c>
      <c r="R4" s="20" t="s">
        <v>31</v>
      </c>
      <c r="S4" s="20" t="s">
        <v>32</v>
      </c>
      <c r="T4" s="21" t="s">
        <v>33</v>
      </c>
      <c r="U4" s="20" t="s">
        <v>29</v>
      </c>
      <c r="V4" s="20" t="s">
        <v>34</v>
      </c>
      <c r="W4" s="20" t="s">
        <v>35</v>
      </c>
      <c r="X4" s="20" t="s">
        <v>36</v>
      </c>
      <c r="Y4" s="21" t="s">
        <v>33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29</v>
      </c>
      <c r="AF4" s="20" t="s">
        <v>30</v>
      </c>
      <c r="AG4" s="20" t="s">
        <v>31</v>
      </c>
      <c r="AH4" s="20" t="s">
        <v>32</v>
      </c>
      <c r="AI4" s="21" t="s">
        <v>33</v>
      </c>
      <c r="AJ4" s="20" t="s">
        <v>29</v>
      </c>
      <c r="AK4" s="20" t="s">
        <v>30</v>
      </c>
      <c r="AL4" s="20" t="s">
        <v>31</v>
      </c>
      <c r="AM4" s="20" t="s">
        <v>32</v>
      </c>
      <c r="AN4" s="21" t="s">
        <v>33</v>
      </c>
      <c r="AO4" s="20" t="s">
        <v>29</v>
      </c>
      <c r="AP4" s="20" t="s">
        <v>30</v>
      </c>
      <c r="AQ4" s="20" t="s">
        <v>31</v>
      </c>
      <c r="AR4" s="20" t="s">
        <v>32</v>
      </c>
      <c r="AS4" s="21" t="s">
        <v>33</v>
      </c>
      <c r="AT4" s="20" t="s">
        <v>29</v>
      </c>
      <c r="AU4" s="20" t="s">
        <v>30</v>
      </c>
      <c r="AV4" s="20" t="s">
        <v>31</v>
      </c>
      <c r="AW4" s="20" t="s">
        <v>32</v>
      </c>
      <c r="AX4" s="21" t="s">
        <v>33</v>
      </c>
      <c r="AY4" s="20" t="s">
        <v>29</v>
      </c>
      <c r="AZ4" s="20" t="s">
        <v>30</v>
      </c>
      <c r="BA4" s="20" t="s">
        <v>31</v>
      </c>
      <c r="BB4" s="20" t="s">
        <v>36</v>
      </c>
      <c r="BC4" s="21" t="s">
        <v>33</v>
      </c>
      <c r="BD4" s="20" t="s">
        <v>37</v>
      </c>
      <c r="BE4" s="20" t="s">
        <v>34</v>
      </c>
      <c r="BF4" s="20" t="s">
        <v>35</v>
      </c>
      <c r="BG4" s="20" t="s">
        <v>36</v>
      </c>
      <c r="BH4" s="21" t="s">
        <v>33</v>
      </c>
      <c r="BI4" s="20" t="s">
        <v>37</v>
      </c>
      <c r="BJ4" s="20" t="s">
        <v>34</v>
      </c>
      <c r="BK4" s="20" t="s">
        <v>35</v>
      </c>
      <c r="BL4" s="20" t="s">
        <v>36</v>
      </c>
      <c r="BM4" s="21" t="s">
        <v>33</v>
      </c>
      <c r="BN4" s="20" t="s">
        <v>37</v>
      </c>
      <c r="BO4" s="20" t="s">
        <v>34</v>
      </c>
      <c r="BP4" s="20" t="s">
        <v>35</v>
      </c>
      <c r="BQ4" s="20" t="s">
        <v>36</v>
      </c>
      <c r="BR4" s="21" t="s">
        <v>33</v>
      </c>
    </row>
    <row r="5" spans="1:70">
      <c r="A5" s="88" t="s">
        <v>16</v>
      </c>
      <c r="B5" s="89"/>
      <c r="C5" s="89"/>
      <c r="D5" s="89"/>
      <c r="E5" s="90"/>
      <c r="F5" s="89"/>
      <c r="G5" s="89"/>
      <c r="H5" s="89"/>
      <c r="I5" s="89"/>
      <c r="J5" s="91"/>
      <c r="K5" s="89"/>
      <c r="L5" s="89"/>
      <c r="M5" s="89"/>
      <c r="N5" s="89"/>
      <c r="O5" s="91"/>
      <c r="P5" s="89"/>
      <c r="Q5" s="89"/>
      <c r="R5" s="89"/>
      <c r="S5" s="89"/>
      <c r="T5" s="91"/>
      <c r="U5" s="89"/>
      <c r="V5" s="89"/>
      <c r="W5" s="89"/>
      <c r="X5" s="89"/>
      <c r="Y5" s="91"/>
      <c r="Z5" s="89"/>
      <c r="AA5" s="89"/>
      <c r="AB5" s="89"/>
      <c r="AC5" s="89"/>
      <c r="AD5" s="91"/>
      <c r="AE5" s="89"/>
      <c r="AF5" s="89"/>
      <c r="AG5" s="89"/>
      <c r="AH5" s="89"/>
      <c r="AI5" s="91"/>
      <c r="AJ5" s="89"/>
      <c r="AK5" s="89"/>
      <c r="AL5" s="89"/>
      <c r="AM5" s="89"/>
      <c r="AN5" s="91"/>
      <c r="AO5" s="89"/>
      <c r="AP5" s="89"/>
      <c r="AQ5" s="89"/>
      <c r="AR5" s="89"/>
      <c r="AS5" s="91"/>
      <c r="AT5" s="89"/>
      <c r="AU5" s="89"/>
      <c r="AV5" s="89"/>
      <c r="AW5" s="89"/>
      <c r="AX5" s="91"/>
      <c r="AY5" s="89"/>
      <c r="AZ5" s="89"/>
      <c r="BA5" s="89"/>
      <c r="BB5" s="89"/>
      <c r="BC5" s="91"/>
      <c r="BD5" s="89"/>
      <c r="BE5" s="89"/>
      <c r="BF5" s="89"/>
      <c r="BG5" s="89"/>
      <c r="BH5" s="91"/>
      <c r="BI5" s="89"/>
      <c r="BJ5" s="89"/>
      <c r="BK5" s="89"/>
      <c r="BL5" s="89"/>
      <c r="BM5" s="91"/>
      <c r="BN5" s="89"/>
      <c r="BO5" s="89"/>
      <c r="BP5" s="89"/>
      <c r="BQ5" s="89"/>
      <c r="BR5" s="91"/>
    </row>
    <row r="6" spans="1:70">
      <c r="A6" s="92" t="s">
        <v>17</v>
      </c>
      <c r="B6" s="89"/>
      <c r="C6" s="89"/>
      <c r="D6" s="89"/>
      <c r="E6" s="90"/>
      <c r="F6" s="89">
        <f>IS!F48</f>
        <v>62.909000000000034</v>
      </c>
      <c r="G6" s="89">
        <f>IS!G48</f>
        <v>75.785999999999916</v>
      </c>
      <c r="H6" s="89">
        <f>IS!H48</f>
        <v>71.643000000000086</v>
      </c>
      <c r="I6" s="89">
        <f>J6-H6-G6-F6</f>
        <v>-106.83800000000004</v>
      </c>
      <c r="J6" s="91">
        <v>103.5</v>
      </c>
      <c r="K6" s="89">
        <f>IS!K48</f>
        <v>50.878999999999962</v>
      </c>
      <c r="L6" s="89">
        <f>IS!L48</f>
        <v>69.868999999999929</v>
      </c>
      <c r="M6" s="89">
        <f>IS!M48</f>
        <v>93.796000000000021</v>
      </c>
      <c r="N6" s="89">
        <f>O6-M6-L6-K6</f>
        <v>-128.3959999999999</v>
      </c>
      <c r="O6" s="91">
        <v>86.147999999999996</v>
      </c>
      <c r="P6" s="89">
        <f>IS!P48</f>
        <v>67.993000000000009</v>
      </c>
      <c r="Q6" s="89">
        <f>IS!Q48</f>
        <v>-283.76199999999994</v>
      </c>
      <c r="R6" s="89">
        <f>IS!R48</f>
        <v>103.37800000000009</v>
      </c>
      <c r="S6" s="89">
        <f>T6-R6-Q6-P6</f>
        <v>-153.00900000000013</v>
      </c>
      <c r="T6" s="91">
        <v>-265.39999999999998</v>
      </c>
      <c r="U6" s="89">
        <v>14.8</v>
      </c>
      <c r="V6" s="89">
        <f>IS!V48</f>
        <v>81.959000000000046</v>
      </c>
      <c r="W6" s="89">
        <f>IS!W48</f>
        <v>86.521999999999977</v>
      </c>
      <c r="X6" s="89">
        <f>Y6-W6-V6-U6</f>
        <v>-95.985000000000014</v>
      </c>
      <c r="Y6" s="91">
        <v>87.296000000000006</v>
      </c>
      <c r="Z6" s="89">
        <f>IS!Z48</f>
        <v>15.939000000000004</v>
      </c>
      <c r="AA6" s="89">
        <f>IS!AA48</f>
        <v>28.544999999999995</v>
      </c>
      <c r="AB6" s="89">
        <f>IS!AB48</f>
        <v>102.81299999999978</v>
      </c>
      <c r="AC6" s="77">
        <f>IS!AC48</f>
        <v>27.72199999999998</v>
      </c>
      <c r="AD6" s="91">
        <f>SUM(Z6:AC6)</f>
        <v>175.01899999999975</v>
      </c>
      <c r="AE6" s="77">
        <f>IS!AE48</f>
        <v>5.1259999999999977</v>
      </c>
      <c r="AF6" s="77">
        <f>IS!AF48</f>
        <v>11.777000000000005</v>
      </c>
      <c r="AG6" s="77">
        <f>36.58-AF6-AE6</f>
        <v>19.676999999999996</v>
      </c>
      <c r="AH6" s="77">
        <f>IS!AH48</f>
        <v>8.7120000000000015</v>
      </c>
      <c r="AI6" s="91">
        <v>45.292000000000002</v>
      </c>
      <c r="AJ6" s="77">
        <v>15.4</v>
      </c>
      <c r="AK6" s="77">
        <f>36.76-AJ6</f>
        <v>21.36</v>
      </c>
      <c r="AL6" s="77">
        <f>65.561-AK6-AJ6</f>
        <v>28.801000000000009</v>
      </c>
      <c r="AM6" s="77">
        <f>IS!AM48</f>
        <v>30.259999999999994</v>
      </c>
      <c r="AN6" s="91">
        <v>95.822000000000003</v>
      </c>
      <c r="AO6" s="77">
        <v>13.763999999999999</v>
      </c>
      <c r="AP6" s="77">
        <f>46.397-AO6</f>
        <v>32.632999999999996</v>
      </c>
      <c r="AQ6" s="77">
        <f>71.697-SUM(AO6:AP6)</f>
        <v>25.300000000000011</v>
      </c>
      <c r="AR6" s="359">
        <f>AS6-SUM(AO6:AQ6)</f>
        <v>82.847000000000008</v>
      </c>
      <c r="AS6" s="91">
        <v>154.54400000000001</v>
      </c>
      <c r="AT6" s="89">
        <v>-10.942</v>
      </c>
      <c r="AU6" s="89">
        <f>16.954-AT6</f>
        <v>27.896000000000001</v>
      </c>
      <c r="AV6" s="89">
        <f>42.39-SUM(AT6:AU6)</f>
        <v>25.436</v>
      </c>
      <c r="AW6" s="359">
        <f>AX6-SUM(AT6:AV6)</f>
        <v>55.391000000000005</v>
      </c>
      <c r="AX6" s="91">
        <v>97.781000000000006</v>
      </c>
      <c r="AY6" s="89">
        <v>4.7220000000000004</v>
      </c>
      <c r="AZ6" s="89">
        <f>-310.717-AY6</f>
        <v>-315.43899999999996</v>
      </c>
      <c r="BA6" s="89">
        <f>-283.996-SUM(AY6:AZ6)</f>
        <v>26.721000000000004</v>
      </c>
      <c r="BB6" s="89">
        <f>IS!BB48</f>
        <v>30.34995022356388</v>
      </c>
      <c r="BC6" s="91">
        <f>SUM(AY6:BB6)</f>
        <v>-253.64604977643609</v>
      </c>
      <c r="BD6" s="89">
        <f>IS!BD48</f>
        <v>37.63418535400119</v>
      </c>
      <c r="BE6" s="89">
        <f>IS!BE48</f>
        <v>58.748027237167349</v>
      </c>
      <c r="BF6" s="89">
        <f>IS!BF48</f>
        <v>59.276335340845769</v>
      </c>
      <c r="BG6" s="89">
        <f>IS!BG48</f>
        <v>59.674089377672324</v>
      </c>
      <c r="BH6" s="91">
        <f>SUM(BD6:BG6)</f>
        <v>215.33263730968662</v>
      </c>
      <c r="BI6" s="89">
        <f>IS!BI48</f>
        <v>36.176038031348355</v>
      </c>
      <c r="BJ6" s="89">
        <f>IS!BJ48</f>
        <v>59.445525055541346</v>
      </c>
      <c r="BK6" s="89">
        <f>IS!BK48</f>
        <v>58.742979069293582</v>
      </c>
      <c r="BL6" s="89">
        <f>IS!BL48</f>
        <v>60.968095153503327</v>
      </c>
      <c r="BM6" s="91">
        <f>SUM(BI6:BL6)</f>
        <v>215.33263730968662</v>
      </c>
      <c r="BN6" s="89">
        <f>IS!BN48</f>
        <v>34.82538571163856</v>
      </c>
      <c r="BO6" s="89">
        <f>IS!BO48</f>
        <v>58.718825974315351</v>
      </c>
      <c r="BP6" s="89">
        <f>IS!BP48</f>
        <v>59.864108671922402</v>
      </c>
      <c r="BQ6" s="89">
        <f>IS!BQ48</f>
        <v>61.924316951810312</v>
      </c>
      <c r="BR6" s="91">
        <f>SUM(BN6:BQ6)</f>
        <v>215.33263730968662</v>
      </c>
    </row>
    <row r="7" spans="1:70">
      <c r="A7" s="92" t="s">
        <v>18</v>
      </c>
      <c r="B7" s="89"/>
      <c r="C7" s="89"/>
      <c r="D7" s="89"/>
      <c r="E7" s="90"/>
      <c r="F7" s="89"/>
      <c r="G7" s="89"/>
      <c r="H7" s="89"/>
      <c r="I7" s="89"/>
      <c r="J7" s="91"/>
      <c r="K7" s="89"/>
      <c r="L7" s="89"/>
      <c r="M7" s="89"/>
      <c r="N7" s="89"/>
      <c r="O7" s="91"/>
      <c r="P7" s="89"/>
      <c r="Q7" s="89">
        <v>376.57400000000001</v>
      </c>
      <c r="R7" s="89">
        <v>0</v>
      </c>
      <c r="S7" s="89">
        <v>0</v>
      </c>
      <c r="T7" s="91">
        <v>376.57400000000001</v>
      </c>
      <c r="U7" s="89"/>
      <c r="V7" s="89"/>
      <c r="W7" s="89"/>
      <c r="X7" s="89"/>
      <c r="Y7" s="91"/>
      <c r="Z7" s="89"/>
      <c r="AA7" s="89"/>
      <c r="AB7" s="89"/>
      <c r="AC7" s="77"/>
      <c r="AD7" s="91"/>
      <c r="AE7" s="77"/>
      <c r="AF7" s="77"/>
      <c r="AG7" s="77"/>
      <c r="AH7" s="77"/>
      <c r="AI7" s="91"/>
      <c r="AJ7" s="77"/>
      <c r="AK7" s="77"/>
      <c r="AL7" s="77"/>
      <c r="AM7" s="77"/>
      <c r="AN7" s="91"/>
      <c r="AO7" s="77"/>
      <c r="AP7" s="77"/>
      <c r="AQ7" s="77"/>
      <c r="AR7" s="359">
        <f t="shared" ref="AR7:AR15" si="0">AS7-SUM(AO7:AQ7)</f>
        <v>0</v>
      </c>
      <c r="AS7" s="91"/>
      <c r="AT7" s="89"/>
      <c r="AU7" s="89"/>
      <c r="AV7" s="89"/>
      <c r="AW7" s="359">
        <f t="shared" ref="AW7:AW15" si="1">AX7-SUM(AT7:AV7)</f>
        <v>0</v>
      </c>
      <c r="AX7" s="91"/>
      <c r="AY7" s="89"/>
      <c r="AZ7" s="89"/>
      <c r="BA7" s="89"/>
      <c r="BB7" s="89"/>
      <c r="BC7" s="91"/>
      <c r="BD7" s="89"/>
      <c r="BE7" s="89"/>
      <c r="BF7" s="89"/>
      <c r="BG7" s="89"/>
      <c r="BH7" s="91"/>
      <c r="BI7" s="89"/>
      <c r="BJ7" s="89"/>
      <c r="BK7" s="89"/>
      <c r="BL7" s="89"/>
      <c r="BM7" s="91"/>
      <c r="BN7" s="89"/>
      <c r="BO7" s="89"/>
      <c r="BP7" s="89"/>
      <c r="BQ7" s="89"/>
      <c r="BR7" s="91"/>
    </row>
    <row r="8" spans="1:70">
      <c r="A8" s="92"/>
      <c r="B8" s="92" t="s">
        <v>19</v>
      </c>
      <c r="C8" s="92"/>
      <c r="D8" s="96"/>
      <c r="E8" s="97"/>
      <c r="F8" s="94">
        <v>8.0299999999999994</v>
      </c>
      <c r="G8" s="92">
        <f>15.889-F8</f>
        <v>7.859</v>
      </c>
      <c r="H8" s="98">
        <f>23.328-G8-F8</f>
        <v>7.4390000000000001</v>
      </c>
      <c r="I8" s="89">
        <f t="shared" ref="I8:I13" si="2">J8-H8-G8-F8</f>
        <v>8.006000000000002</v>
      </c>
      <c r="J8" s="95">
        <f>21.38+9.954</f>
        <v>31.334</v>
      </c>
      <c r="K8" s="89">
        <v>8.0429999999999993</v>
      </c>
      <c r="L8" s="89">
        <f>16.985-K8</f>
        <v>8.9420000000000002</v>
      </c>
      <c r="M8" s="89">
        <f>29.594-L8-K8</f>
        <v>12.609000000000002</v>
      </c>
      <c r="N8" s="89">
        <f t="shared" ref="N8:N15" si="3">O8-M8-L8-K8</f>
        <v>18.036999999999999</v>
      </c>
      <c r="O8" s="91">
        <f>32.193+15.438</f>
        <v>47.631</v>
      </c>
      <c r="P8" s="89">
        <v>15.79</v>
      </c>
      <c r="Q8" s="89">
        <f>32.106-P8</f>
        <v>16.316000000000003</v>
      </c>
      <c r="R8" s="89">
        <f>46.676-Q8-P8</f>
        <v>14.57</v>
      </c>
      <c r="S8" s="89">
        <f t="shared" ref="S8:S15" si="4">T8-R8-Q8-P8</f>
        <v>14.780999999999992</v>
      </c>
      <c r="T8" s="91">
        <f>40.583+20.874</f>
        <v>61.456999999999994</v>
      </c>
      <c r="U8" s="89">
        <v>13.792999999999999</v>
      </c>
      <c r="V8" s="89">
        <f>27.566-U8</f>
        <v>13.773</v>
      </c>
      <c r="W8" s="89">
        <f>41.766-V8-U8</f>
        <v>14.2</v>
      </c>
      <c r="X8" s="89">
        <f t="shared" ref="X8:X15" si="5">Y8-W8-V8-U8</f>
        <v>17.644000000000009</v>
      </c>
      <c r="Y8" s="91">
        <f>43.383+16.027</f>
        <v>59.410000000000004</v>
      </c>
      <c r="Z8" s="89">
        <v>14.659000000000001</v>
      </c>
      <c r="AA8" s="89">
        <f>30.078-Z8</f>
        <v>15.418999999999999</v>
      </c>
      <c r="AB8" s="89">
        <f>42.165-AA8-Z8</f>
        <v>12.087000000000002</v>
      </c>
      <c r="AC8" s="77">
        <f>AD8-AB8-AA8-Z8</f>
        <v>13.807</v>
      </c>
      <c r="AD8" s="91">
        <v>55.972000000000001</v>
      </c>
      <c r="AE8" s="77">
        <v>10.593999999999999</v>
      </c>
      <c r="AF8" s="77">
        <f>21.434-AE8</f>
        <v>10.840000000000002</v>
      </c>
      <c r="AG8" s="77">
        <f>32.528-AF8-AE8</f>
        <v>11.093999999999996</v>
      </c>
      <c r="AH8" s="77">
        <f>AI8-AG8-AF8-AE8</f>
        <v>11.201000000000002</v>
      </c>
      <c r="AI8" s="91">
        <v>43.728999999999999</v>
      </c>
      <c r="AJ8" s="77">
        <v>14.496</v>
      </c>
      <c r="AK8" s="77">
        <f>29.956-AJ8</f>
        <v>15.459999999999999</v>
      </c>
      <c r="AL8" s="77">
        <f>47.295-AK8-AJ8</f>
        <v>17.338999999999999</v>
      </c>
      <c r="AM8" s="77">
        <f>AN8-AL8-AK8-AJ8</f>
        <v>20.007000000000005</v>
      </c>
      <c r="AN8" s="91">
        <f>63.759+3.543</f>
        <v>67.302000000000007</v>
      </c>
      <c r="AO8" s="77">
        <f>20.11+0.886</f>
        <v>20.995999999999999</v>
      </c>
      <c r="AP8" s="77">
        <f>28.987-AO8+1.771</f>
        <v>9.7620000000000005</v>
      </c>
      <c r="AQ8" s="77">
        <f>37.806+2.657-SUM(AO8:AP8)</f>
        <v>9.7049999999999947</v>
      </c>
      <c r="AR8" s="359">
        <f t="shared" si="0"/>
        <v>11.467000000000006</v>
      </c>
      <c r="AS8" s="91">
        <f>3.543+48.387</f>
        <v>51.93</v>
      </c>
      <c r="AT8" s="89">
        <f>9.301+0.886</f>
        <v>10.186999999999999</v>
      </c>
      <c r="AU8" s="89">
        <f>21.164-AT8</f>
        <v>10.977000000000002</v>
      </c>
      <c r="AV8" s="89">
        <f>33.581-SUM(AT8:AU8)</f>
        <v>12.417000000000002</v>
      </c>
      <c r="AW8" s="359">
        <f t="shared" si="1"/>
        <v>13.685999999999993</v>
      </c>
      <c r="AX8" s="91">
        <v>47.266999999999996</v>
      </c>
      <c r="AY8" s="89">
        <v>13.716999999999999</v>
      </c>
      <c r="AZ8" s="89">
        <f>28.314-AY8</f>
        <v>14.597000000000001</v>
      </c>
      <c r="BA8" s="89">
        <f>44.541-SUM(AY8:AZ8)</f>
        <v>16.226999999999997</v>
      </c>
      <c r="BB8" s="89">
        <f>+BC8-BA8-AZ8-AY8</f>
        <v>20.459000000000003</v>
      </c>
      <c r="BC8" s="91">
        <v>65</v>
      </c>
      <c r="BD8" s="89">
        <f>BH8/4</f>
        <v>16.25</v>
      </c>
      <c r="BE8" s="89">
        <f>+(BH8-BD8)/3</f>
        <v>16.25</v>
      </c>
      <c r="BF8" s="89">
        <f>+(BH8-BE8-BD8)/2</f>
        <v>16.25</v>
      </c>
      <c r="BG8" s="89">
        <f>+BH8-BF8-BE8-BD8</f>
        <v>16.25</v>
      </c>
      <c r="BH8" s="91">
        <v>65</v>
      </c>
      <c r="BI8" s="89">
        <f>BM8/4</f>
        <v>16.25</v>
      </c>
      <c r="BJ8" s="89">
        <f>+(BM8-BI8)/3</f>
        <v>16.25</v>
      </c>
      <c r="BK8" s="89">
        <f>+(BM8-BJ8-BI8)/2</f>
        <v>16.25</v>
      </c>
      <c r="BL8" s="89">
        <f>+BM8-BK8-BJ8-BI8</f>
        <v>16.25</v>
      </c>
      <c r="BM8" s="91">
        <v>65</v>
      </c>
      <c r="BN8" s="89">
        <f>BR8/4</f>
        <v>16.25</v>
      </c>
      <c r="BO8" s="89">
        <f>+(BR8-BN8)/3</f>
        <v>16.25</v>
      </c>
      <c r="BP8" s="89">
        <f>+(BR8-BO8-BN8)/2</f>
        <v>16.25</v>
      </c>
      <c r="BQ8" s="89">
        <f>+BR8-BP8-BO8-BN8</f>
        <v>16.25</v>
      </c>
      <c r="BR8" s="91">
        <v>65</v>
      </c>
    </row>
    <row r="9" spans="1:70">
      <c r="A9" s="92"/>
      <c r="B9" s="92" t="s">
        <v>20</v>
      </c>
      <c r="C9" s="92"/>
      <c r="D9" s="92"/>
      <c r="E9" s="93"/>
      <c r="F9" s="94">
        <v>3.9089999999999998</v>
      </c>
      <c r="G9" s="92">
        <f>7.477-F9</f>
        <v>3.5680000000000005</v>
      </c>
      <c r="H9" s="92">
        <f>10.168-G9-F9</f>
        <v>2.6909999999999989</v>
      </c>
      <c r="I9" s="89">
        <f t="shared" si="2"/>
        <v>2.5840000000000014</v>
      </c>
      <c r="J9" s="95">
        <v>12.752000000000001</v>
      </c>
      <c r="K9" s="89">
        <v>3.6150000000000002</v>
      </c>
      <c r="L9" s="89">
        <f>7.085-K9</f>
        <v>3.4699999999999998</v>
      </c>
      <c r="M9" s="89">
        <f>6.82-L9-K9</f>
        <v>-0.26499999999999968</v>
      </c>
      <c r="N9" s="89">
        <f t="shared" si="3"/>
        <v>1.9979999999999984</v>
      </c>
      <c r="O9" s="91">
        <v>8.8179999999999996</v>
      </c>
      <c r="P9" s="89">
        <v>3.419</v>
      </c>
      <c r="Q9" s="89">
        <f>5.074-P9</f>
        <v>1.6549999999999998</v>
      </c>
      <c r="R9" s="89">
        <f>7.424-Q9-P9</f>
        <v>2.35</v>
      </c>
      <c r="S9" s="89">
        <f t="shared" si="4"/>
        <v>2.0460000000000016</v>
      </c>
      <c r="T9" s="91">
        <v>9.4700000000000006</v>
      </c>
      <c r="U9" s="89">
        <v>3.0779999999999998</v>
      </c>
      <c r="V9" s="89">
        <f>4.624-U9</f>
        <v>1.5459999999999998</v>
      </c>
      <c r="W9" s="89">
        <f>6.597-V9-U9</f>
        <v>1.9730000000000003</v>
      </c>
      <c r="X9" s="89">
        <f t="shared" si="5"/>
        <v>2.6000000000000689E-2</v>
      </c>
      <c r="Y9" s="91">
        <v>6.6230000000000002</v>
      </c>
      <c r="Z9" s="89">
        <v>5.4290000000000003</v>
      </c>
      <c r="AA9" s="89">
        <f>9.92-Z9</f>
        <v>4.4909999999999997</v>
      </c>
      <c r="AB9" s="89">
        <f>14.376-AA9-Z9</f>
        <v>4.4559999999999995</v>
      </c>
      <c r="AC9" s="77">
        <f t="shared" ref="AC9:AC15" si="6">AD9-AB9-AA9-Z9</f>
        <v>3.452</v>
      </c>
      <c r="AD9" s="91">
        <f>18.615-0.787</f>
        <v>17.827999999999999</v>
      </c>
      <c r="AE9" s="77">
        <v>9.1590000000000007</v>
      </c>
      <c r="AF9" s="77">
        <f>13.324-AE9</f>
        <v>4.1649999999999991</v>
      </c>
      <c r="AG9" s="77">
        <f>17.064-AF9-AE9-0.186</f>
        <v>3.5540000000000003</v>
      </c>
      <c r="AH9" s="77">
        <f t="shared" ref="AH9:AH15" si="7">AI9-AG9-AF9-AE9</f>
        <v>-7.4009999999999998</v>
      </c>
      <c r="AI9" s="91">
        <v>9.4770000000000003</v>
      </c>
      <c r="AJ9" s="77">
        <v>3.6469999999999998</v>
      </c>
      <c r="AK9" s="77">
        <f>6.959-AJ9</f>
        <v>3.3119999999999998</v>
      </c>
      <c r="AL9" s="77">
        <f>10.109-AK9-AJ9</f>
        <v>3.1500000000000008</v>
      </c>
      <c r="AM9" s="77">
        <f t="shared" ref="AM9:AM15" si="8">AN9-AL9-AK9-AJ9</f>
        <v>3.3140000000000005</v>
      </c>
      <c r="AN9" s="91">
        <v>13.423</v>
      </c>
      <c r="AO9" s="77">
        <v>4.306</v>
      </c>
      <c r="AP9" s="77">
        <f>10.42-AO9</f>
        <v>6.1139999999999999</v>
      </c>
      <c r="AQ9" s="77">
        <f>16.057-SUM(AO9:AP9)</f>
        <v>5.6369999999999987</v>
      </c>
      <c r="AR9" s="359">
        <f t="shared" si="0"/>
        <v>5.1170000000000009</v>
      </c>
      <c r="AS9" s="91">
        <v>21.173999999999999</v>
      </c>
      <c r="AT9" s="89">
        <v>6.0810000000000004</v>
      </c>
      <c r="AU9" s="89">
        <f>12.063-AT9</f>
        <v>5.9820000000000002</v>
      </c>
      <c r="AV9" s="89">
        <f>17.779-SUM(AT9:AU9)</f>
        <v>5.7159999999999993</v>
      </c>
      <c r="AW9" s="359">
        <f t="shared" si="1"/>
        <v>5.0030000000000001</v>
      </c>
      <c r="AX9" s="91">
        <v>22.782</v>
      </c>
      <c r="AY9" s="89">
        <v>5.5060000000000002</v>
      </c>
      <c r="AZ9" s="89">
        <f>10.078-AY9</f>
        <v>4.5719999999999992</v>
      </c>
      <c r="BA9" s="89">
        <f>14.331-SUM(AY9:AZ9)</f>
        <v>4.2530000000000001</v>
      </c>
      <c r="BB9" s="89">
        <f t="shared" ref="BB9" si="9">$AI$9/4</f>
        <v>2.3692500000000001</v>
      </c>
      <c r="BC9" s="91">
        <v>10</v>
      </c>
      <c r="BD9" s="89">
        <f>$AI$9/4</f>
        <v>2.3692500000000001</v>
      </c>
      <c r="BE9" s="89">
        <f t="shared" ref="BE9:BG9" si="10">$AI$9/4</f>
        <v>2.3692500000000001</v>
      </c>
      <c r="BF9" s="89">
        <f t="shared" si="10"/>
        <v>2.3692500000000001</v>
      </c>
      <c r="BG9" s="89">
        <f t="shared" si="10"/>
        <v>2.3692500000000001</v>
      </c>
      <c r="BH9" s="91">
        <v>10</v>
      </c>
      <c r="BI9" s="89">
        <f>$AI$9/4</f>
        <v>2.3692500000000001</v>
      </c>
      <c r="BJ9" s="89">
        <f t="shared" ref="BJ9:BL9" si="11">$AI$9/4</f>
        <v>2.3692500000000001</v>
      </c>
      <c r="BK9" s="89">
        <f t="shared" si="11"/>
        <v>2.3692500000000001</v>
      </c>
      <c r="BL9" s="89">
        <f t="shared" si="11"/>
        <v>2.3692500000000001</v>
      </c>
      <c r="BM9" s="91">
        <v>10</v>
      </c>
      <c r="BN9" s="89">
        <f>$AI$9/4</f>
        <v>2.3692500000000001</v>
      </c>
      <c r="BO9" s="89">
        <f t="shared" ref="BO9:BQ9" si="12">$AI$9/4</f>
        <v>2.3692500000000001</v>
      </c>
      <c r="BP9" s="89">
        <f t="shared" si="12"/>
        <v>2.3692500000000001</v>
      </c>
      <c r="BQ9" s="89">
        <f t="shared" si="12"/>
        <v>2.3692500000000001</v>
      </c>
      <c r="BR9" s="91">
        <v>10</v>
      </c>
    </row>
    <row r="10" spans="1:70" ht="13">
      <c r="A10" s="92"/>
      <c r="B10" s="92" t="s">
        <v>83</v>
      </c>
      <c r="C10" s="92"/>
      <c r="D10" s="92"/>
      <c r="E10" s="93"/>
      <c r="F10" s="94">
        <v>-5.7000000000000002E-2</v>
      </c>
      <c r="G10" s="92">
        <f>0.182-F10</f>
        <v>0.23899999999999999</v>
      </c>
      <c r="H10" s="92">
        <f>0.025-G10-F10</f>
        <v>-0.157</v>
      </c>
      <c r="I10" s="89">
        <f t="shared" si="2"/>
        <v>5.7170000000000005</v>
      </c>
      <c r="J10" s="95">
        <v>5.742</v>
      </c>
      <c r="K10" s="89"/>
      <c r="L10" s="89">
        <v>0</v>
      </c>
      <c r="M10" s="89">
        <v>0</v>
      </c>
      <c r="N10" s="89">
        <f t="shared" si="3"/>
        <v>4.75</v>
      </c>
      <c r="O10" s="91">
        <v>4.75</v>
      </c>
      <c r="P10" s="89">
        <v>0</v>
      </c>
      <c r="Q10" s="89">
        <v>0</v>
      </c>
      <c r="R10" s="89">
        <v>0</v>
      </c>
      <c r="S10" s="89">
        <f t="shared" si="4"/>
        <v>0</v>
      </c>
      <c r="T10" s="91">
        <v>0</v>
      </c>
      <c r="U10" s="89">
        <v>0</v>
      </c>
      <c r="V10" s="89">
        <v>0</v>
      </c>
      <c r="W10" s="89">
        <v>0</v>
      </c>
      <c r="X10" s="89">
        <f t="shared" si="5"/>
        <v>0</v>
      </c>
      <c r="Y10" s="91">
        <v>0</v>
      </c>
      <c r="Z10" s="89">
        <v>0</v>
      </c>
      <c r="AA10" s="89">
        <v>0</v>
      </c>
      <c r="AB10" s="89">
        <v>0</v>
      </c>
      <c r="AC10" s="77">
        <f t="shared" si="6"/>
        <v>0</v>
      </c>
      <c r="AD10" s="91">
        <v>0</v>
      </c>
      <c r="AE10" s="77">
        <v>0</v>
      </c>
      <c r="AF10" s="77"/>
      <c r="AG10" s="77"/>
      <c r="AH10" s="77">
        <f t="shared" si="7"/>
        <v>0</v>
      </c>
      <c r="AI10" s="91">
        <v>0</v>
      </c>
      <c r="AJ10" s="77">
        <v>0</v>
      </c>
      <c r="AK10" s="77"/>
      <c r="AL10" s="77"/>
      <c r="AM10" s="77">
        <f t="shared" si="8"/>
        <v>0</v>
      </c>
      <c r="AN10" s="91">
        <v>0</v>
      </c>
      <c r="AO10" s="77">
        <v>0</v>
      </c>
      <c r="AP10" s="77">
        <f>0-AO10</f>
        <v>0</v>
      </c>
      <c r="AQ10" s="77">
        <v>0</v>
      </c>
      <c r="AR10" s="359">
        <f t="shared" si="0"/>
        <v>0</v>
      </c>
      <c r="AS10" s="91"/>
      <c r="AT10" s="467"/>
      <c r="AU10" s="89"/>
      <c r="AV10" s="89"/>
      <c r="AW10" s="359">
        <f t="shared" si="1"/>
        <v>0</v>
      </c>
      <c r="AX10" s="91"/>
      <c r="AY10" s="467"/>
      <c r="AZ10" s="89"/>
      <c r="BA10" s="89"/>
      <c r="BB10" s="89"/>
      <c r="BC10" s="91">
        <f>SUM(AY10:BB10)</f>
        <v>0</v>
      </c>
      <c r="BD10" s="89"/>
      <c r="BE10" s="89"/>
      <c r="BF10" s="89"/>
      <c r="BG10" s="89"/>
      <c r="BH10" s="91">
        <f>SUM(BD10:BG10)</f>
        <v>0</v>
      </c>
      <c r="BI10" s="89"/>
      <c r="BJ10" s="89"/>
      <c r="BK10" s="89"/>
      <c r="BL10" s="89"/>
      <c r="BM10" s="91">
        <f>SUM(BI10:BL10)</f>
        <v>0</v>
      </c>
      <c r="BN10" s="89"/>
      <c r="BO10" s="89"/>
      <c r="BP10" s="89"/>
      <c r="BQ10" s="89"/>
      <c r="BR10" s="91">
        <f>SUM(BN10:BQ10)</f>
        <v>0</v>
      </c>
    </row>
    <row r="11" spans="1:70">
      <c r="A11" s="92"/>
      <c r="B11" s="92" t="s">
        <v>3</v>
      </c>
      <c r="C11" s="89"/>
      <c r="D11" s="92"/>
      <c r="E11" s="97"/>
      <c r="F11" s="94">
        <v>-1.137</v>
      </c>
      <c r="G11" s="92">
        <f>-2.124-F11</f>
        <v>-0.9870000000000001</v>
      </c>
      <c r="H11" s="92">
        <f>-3.059-G11-F11</f>
        <v>-0.93500000000000005</v>
      </c>
      <c r="I11" s="89">
        <f t="shared" si="2"/>
        <v>-0.7669999999999999</v>
      </c>
      <c r="J11" s="95">
        <v>-3.8260000000000001</v>
      </c>
      <c r="K11" s="89">
        <v>-0.41099999999999998</v>
      </c>
      <c r="L11" s="89">
        <f>-1.275-K11</f>
        <v>-0.86399999999999988</v>
      </c>
      <c r="M11" s="89">
        <f>0.412-L11-K11</f>
        <v>1.6869999999999998</v>
      </c>
      <c r="N11" s="89">
        <f t="shared" si="3"/>
        <v>10.441999999999998</v>
      </c>
      <c r="O11" s="91">
        <v>10.853999999999999</v>
      </c>
      <c r="P11" s="89">
        <v>5.6929999999999996</v>
      </c>
      <c r="Q11" s="89">
        <f>-42.421-P11</f>
        <v>-48.113999999999997</v>
      </c>
      <c r="R11" s="89">
        <f>-42.008-Q11-P11</f>
        <v>0.41299999999999493</v>
      </c>
      <c r="S11" s="89">
        <f t="shared" si="4"/>
        <v>16.402000000000001</v>
      </c>
      <c r="T11" s="91">
        <v>-25.606000000000002</v>
      </c>
      <c r="U11" s="89">
        <v>0.34799999999999998</v>
      </c>
      <c r="V11" s="89">
        <f>0.5-U11</f>
        <v>0.15200000000000002</v>
      </c>
      <c r="W11" s="89">
        <f>-0.503-V11-U11</f>
        <v>-1.0030000000000001</v>
      </c>
      <c r="X11" s="89">
        <f t="shared" si="5"/>
        <v>9.5120000000000005</v>
      </c>
      <c r="Y11" s="91">
        <v>9.0090000000000003</v>
      </c>
      <c r="Z11" s="89">
        <v>4.4999999999999998E-2</v>
      </c>
      <c r="AA11" s="89">
        <f>-0.064-Z11</f>
        <v>-0.109</v>
      </c>
      <c r="AB11" s="89">
        <f>15.988-AA11-Z11</f>
        <v>16.052</v>
      </c>
      <c r="AC11" s="77">
        <f t="shared" si="6"/>
        <v>5.4720000000000013</v>
      </c>
      <c r="AD11" s="91">
        <v>21.46</v>
      </c>
      <c r="AE11" s="77">
        <v>0</v>
      </c>
      <c r="AF11" s="77">
        <v>-0.17699999999999999</v>
      </c>
      <c r="AG11" s="77">
        <f>6.366-AF11-AE11</f>
        <v>6.5429999999999993</v>
      </c>
      <c r="AH11" s="77">
        <f t="shared" si="7"/>
        <v>15.847999999999999</v>
      </c>
      <c r="AI11" s="91">
        <v>22.213999999999999</v>
      </c>
      <c r="AJ11" s="77">
        <v>-0.155</v>
      </c>
      <c r="AK11" s="77">
        <f>-0.371-AJ11</f>
        <v>-0.216</v>
      </c>
      <c r="AL11" s="77">
        <f>-8.636-AK11-AJ11</f>
        <v>-8.2650000000000006</v>
      </c>
      <c r="AM11" s="77">
        <f t="shared" si="8"/>
        <v>-1.5329999999999999</v>
      </c>
      <c r="AN11" s="91">
        <v>-10.169</v>
      </c>
      <c r="AO11" s="77">
        <v>-0.52600000000000002</v>
      </c>
      <c r="AP11" s="77">
        <f>-0.001-AO11</f>
        <v>0.52500000000000002</v>
      </c>
      <c r="AQ11" s="77">
        <f>0.642-SUM(AO11:AP11)</f>
        <v>0.64300000000000002</v>
      </c>
      <c r="AR11" s="359">
        <f t="shared" si="0"/>
        <v>-23.738</v>
      </c>
      <c r="AS11" s="91">
        <v>-23.096</v>
      </c>
      <c r="AT11" s="89">
        <v>0.186</v>
      </c>
      <c r="AU11" s="89">
        <f>0.116-AT11</f>
        <v>-6.9999999999999993E-2</v>
      </c>
      <c r="AV11" s="89">
        <f>0.233-SUM(AT11:AU11)</f>
        <v>0.11700000000000001</v>
      </c>
      <c r="AW11" s="359">
        <f t="shared" si="1"/>
        <v>-0.68200000000000005</v>
      </c>
      <c r="AX11" s="91">
        <v>-0.44900000000000001</v>
      </c>
      <c r="AY11" s="89">
        <v>0.14199999999999999</v>
      </c>
      <c r="AZ11" s="89">
        <f>-50.321-AY11</f>
        <v>-50.463000000000001</v>
      </c>
      <c r="BA11" s="89">
        <f>-48.318-SUM(AY11:AZ11)</f>
        <v>2.0030000000000001</v>
      </c>
      <c r="BB11" s="89"/>
      <c r="BC11" s="91">
        <f t="shared" ref="BC11:BC14" si="13">SUM(AY11:BB11)</f>
        <v>-48.317999999999998</v>
      </c>
      <c r="BD11" s="89"/>
      <c r="BE11" s="89"/>
      <c r="BF11" s="89"/>
      <c r="BG11" s="89"/>
      <c r="BH11" s="91">
        <f t="shared" ref="BH11:BH14" si="14">SUM(BD11:BG11)</f>
        <v>0</v>
      </c>
      <c r="BI11" s="89"/>
      <c r="BJ11" s="89"/>
      <c r="BK11" s="89"/>
      <c r="BL11" s="89"/>
      <c r="BM11" s="91">
        <f t="shared" ref="BM11:BM14" si="15">SUM(BI11:BL11)</f>
        <v>0</v>
      </c>
      <c r="BN11" s="89"/>
      <c r="BO11" s="89"/>
      <c r="BP11" s="89"/>
      <c r="BQ11" s="89"/>
      <c r="BR11" s="91">
        <f t="shared" ref="BR11:BR14" si="16">SUM(BN11:BQ11)</f>
        <v>0</v>
      </c>
    </row>
    <row r="12" spans="1:70">
      <c r="A12" s="92"/>
      <c r="B12" s="92" t="s">
        <v>84</v>
      </c>
      <c r="C12" s="89"/>
      <c r="D12" s="92"/>
      <c r="E12" s="97"/>
      <c r="F12" s="92">
        <v>0</v>
      </c>
      <c r="G12" s="92">
        <f>0.434-F12</f>
        <v>0.434</v>
      </c>
      <c r="H12" s="92">
        <f>0.35-G12-F12</f>
        <v>-8.4000000000000019E-2</v>
      </c>
      <c r="I12" s="89">
        <f t="shared" si="2"/>
        <v>0.92400000000000015</v>
      </c>
      <c r="J12" s="95">
        <v>1.274</v>
      </c>
      <c r="K12" s="89">
        <v>0.59599999999999997</v>
      </c>
      <c r="L12" s="89">
        <f>0.146-K12</f>
        <v>-0.44999999999999996</v>
      </c>
      <c r="M12" s="89">
        <f>-0.896-L12-K12</f>
        <v>-1.042</v>
      </c>
      <c r="N12" s="89">
        <f t="shared" si="3"/>
        <v>0.18000000000000005</v>
      </c>
      <c r="O12" s="91">
        <v>-0.71599999999999997</v>
      </c>
      <c r="P12" s="89">
        <v>-7.9000000000000001E-2</v>
      </c>
      <c r="Q12" s="89">
        <f>0.53-P12</f>
        <v>0.60899999999999999</v>
      </c>
      <c r="R12" s="89">
        <f>0.509-Q12-P12</f>
        <v>-2.0999999999999977E-2</v>
      </c>
      <c r="S12" s="89">
        <f t="shared" si="4"/>
        <v>-0.193</v>
      </c>
      <c r="T12" s="91">
        <v>0.316</v>
      </c>
      <c r="U12" s="89">
        <v>-7.5999999999999998E-2</v>
      </c>
      <c r="V12" s="89">
        <f>-0.18-U12</f>
        <v>-0.104</v>
      </c>
      <c r="W12" s="89">
        <f>-0.22-V12-U12</f>
        <v>-4.0000000000000008E-2</v>
      </c>
      <c r="X12" s="89">
        <f t="shared" si="5"/>
        <v>0.26900000000000002</v>
      </c>
      <c r="Y12" s="91">
        <v>4.9000000000000002E-2</v>
      </c>
      <c r="Z12" s="89">
        <v>0.42699999999999999</v>
      </c>
      <c r="AA12" s="89">
        <f>0.427-Z12</f>
        <v>0</v>
      </c>
      <c r="AB12" s="89">
        <f>0.926-AA12-Z12</f>
        <v>0.49900000000000005</v>
      </c>
      <c r="AC12" s="77">
        <f t="shared" si="6"/>
        <v>-0.125</v>
      </c>
      <c r="AD12" s="91">
        <v>0.80100000000000005</v>
      </c>
      <c r="AE12" s="77">
        <v>-0.27600000000000002</v>
      </c>
      <c r="AF12" s="77">
        <f>-0.313-AE12</f>
        <v>-3.6999999999999977E-2</v>
      </c>
      <c r="AG12" s="77">
        <f>-0.821-AF12-AE12</f>
        <v>-0.50800000000000001</v>
      </c>
      <c r="AH12" s="77">
        <f t="shared" si="7"/>
        <v>-2.0880000000000001</v>
      </c>
      <c r="AI12" s="91">
        <v>-2.9089999999999998</v>
      </c>
      <c r="AJ12" s="77">
        <v>0.28499999999999998</v>
      </c>
      <c r="AK12" s="77">
        <f>0.204-AJ12</f>
        <v>-8.0999999999999989E-2</v>
      </c>
      <c r="AL12" s="77">
        <f>0.3-AK12-AJ12</f>
        <v>9.600000000000003E-2</v>
      </c>
      <c r="AM12" s="77">
        <f t="shared" si="8"/>
        <v>-0.30000000000000004</v>
      </c>
      <c r="AN12" s="91">
        <v>0</v>
      </c>
      <c r="AO12" s="77">
        <v>-0.13100000000000001</v>
      </c>
      <c r="AP12" s="77">
        <f>-0.349-AO12</f>
        <v>-0.21799999999999997</v>
      </c>
      <c r="AQ12" s="77">
        <f>-0.376-SUM(AO12:AP12)</f>
        <v>-2.7000000000000024E-2</v>
      </c>
      <c r="AR12" s="359">
        <f t="shared" si="0"/>
        <v>1.5070000000000001</v>
      </c>
      <c r="AS12" s="91">
        <v>1.131</v>
      </c>
      <c r="AT12" s="89">
        <v>1.4710000000000001</v>
      </c>
      <c r="AU12" s="89">
        <f>1.474-AT12</f>
        <v>2.9999999999998916E-3</v>
      </c>
      <c r="AV12" s="89">
        <f>0.823-SUM(AT12:AU12)</f>
        <v>-0.65100000000000002</v>
      </c>
      <c r="AW12" s="359">
        <f t="shared" si="1"/>
        <v>-0.42099999999999993</v>
      </c>
      <c r="AX12" s="91">
        <v>0.40200000000000002</v>
      </c>
      <c r="AY12" s="89">
        <v>-0.107</v>
      </c>
      <c r="AZ12" s="89">
        <f>-1.479-AY12</f>
        <v>-1.3720000000000001</v>
      </c>
      <c r="BA12" s="89">
        <f>-1.799-SUM(AY12:AZ12)</f>
        <v>-0.31999999999999984</v>
      </c>
      <c r="BB12" s="89"/>
      <c r="BC12" s="91">
        <f t="shared" si="13"/>
        <v>-1.7989999999999999</v>
      </c>
      <c r="BD12" s="89"/>
      <c r="BE12" s="89"/>
      <c r="BF12" s="89"/>
      <c r="BG12" s="89"/>
      <c r="BH12" s="91">
        <f t="shared" si="14"/>
        <v>0</v>
      </c>
      <c r="BI12" s="89"/>
      <c r="BJ12" s="89"/>
      <c r="BK12" s="89"/>
      <c r="BL12" s="89"/>
      <c r="BM12" s="91">
        <f t="shared" si="15"/>
        <v>0</v>
      </c>
      <c r="BN12" s="89"/>
      <c r="BO12" s="89"/>
      <c r="BP12" s="89"/>
      <c r="BQ12" s="89"/>
      <c r="BR12" s="91">
        <f t="shared" si="16"/>
        <v>0</v>
      </c>
    </row>
    <row r="13" spans="1:70">
      <c r="A13" s="92"/>
      <c r="B13" s="92" t="s">
        <v>78</v>
      </c>
      <c r="C13" s="89"/>
      <c r="D13" s="92"/>
      <c r="E13" s="97"/>
      <c r="F13" s="92">
        <v>-4.0890000000000004</v>
      </c>
      <c r="G13" s="92">
        <f>-3.077-F13</f>
        <v>1.0120000000000005</v>
      </c>
      <c r="H13" s="92">
        <f>-3.677-G13-F13</f>
        <v>-0.59999999999999964</v>
      </c>
      <c r="I13" s="89">
        <f t="shared" si="2"/>
        <v>-0.94600000000000062</v>
      </c>
      <c r="J13" s="99">
        <v>-4.6230000000000002</v>
      </c>
      <c r="K13" s="89">
        <v>-0.24299999999999999</v>
      </c>
      <c r="L13" s="89">
        <f>-3.323-K13</f>
        <v>-3.08</v>
      </c>
      <c r="M13" s="89">
        <f>-6.823-L13-K13</f>
        <v>-3.5000000000000004</v>
      </c>
      <c r="N13" s="89">
        <f t="shared" si="3"/>
        <v>-5.9</v>
      </c>
      <c r="O13" s="91">
        <v>-12.723000000000001</v>
      </c>
      <c r="P13" s="89">
        <v>0.214</v>
      </c>
      <c r="Q13" s="89">
        <f>-4.006-P13</f>
        <v>-4.2200000000000006</v>
      </c>
      <c r="R13" s="89">
        <f>-8.399-Q13-P13</f>
        <v>-4.3929999999999989</v>
      </c>
      <c r="S13" s="89">
        <f t="shared" si="4"/>
        <v>3.2949999999999995</v>
      </c>
      <c r="T13" s="91">
        <v>-5.1040000000000001</v>
      </c>
      <c r="U13" s="89">
        <v>1.851</v>
      </c>
      <c r="V13" s="89">
        <f>8.449-U13</f>
        <v>6.5979999999999999</v>
      </c>
      <c r="W13" s="89">
        <f>17.877-V13-U13</f>
        <v>9.4280000000000008</v>
      </c>
      <c r="X13" s="89">
        <f t="shared" si="5"/>
        <v>5.2299999999999986</v>
      </c>
      <c r="Y13" s="91">
        <v>23.106999999999999</v>
      </c>
      <c r="Z13" s="89">
        <v>3.4940000000000002</v>
      </c>
      <c r="AA13" s="89">
        <f>5.559-Z13</f>
        <v>2.0649999999999999</v>
      </c>
      <c r="AB13" s="89">
        <f>1.256-AA13-Z13</f>
        <v>-4.3029999999999999</v>
      </c>
      <c r="AC13" s="77">
        <f t="shared" si="6"/>
        <v>1.8179999999999992</v>
      </c>
      <c r="AD13" s="91">
        <v>3.0739999999999998</v>
      </c>
      <c r="AE13" s="77">
        <v>2.3809999999999998</v>
      </c>
      <c r="AF13" s="77">
        <f>0.042-AE13</f>
        <v>-2.339</v>
      </c>
      <c r="AG13" s="77">
        <f>-1.379-AF13-AE13</f>
        <v>-1.4209999999999998</v>
      </c>
      <c r="AH13" s="77">
        <f t="shared" si="7"/>
        <v>30.290999999999997</v>
      </c>
      <c r="AI13" s="91">
        <v>28.911999999999999</v>
      </c>
      <c r="AJ13" s="77">
        <v>-4.0609999999999999</v>
      </c>
      <c r="AK13" s="77">
        <f>3.348-3.811+1.2-AJ13</f>
        <v>4.798</v>
      </c>
      <c r="AL13" s="77">
        <f>-8.555-AK13-AJ13</f>
        <v>-9.2919999999999998</v>
      </c>
      <c r="AM13" s="77">
        <f t="shared" si="8"/>
        <v>36.765000000000001</v>
      </c>
      <c r="AN13" s="91">
        <v>28.21</v>
      </c>
      <c r="AO13" s="77">
        <v>3.8359999999999999</v>
      </c>
      <c r="AP13" s="77">
        <f>-2.801-AO13</f>
        <v>-6.6370000000000005</v>
      </c>
      <c r="AQ13" s="77">
        <f>-2.876-SUM(AO13:AP13)</f>
        <v>-7.4999999999999289E-2</v>
      </c>
      <c r="AR13" s="359">
        <f t="shared" si="0"/>
        <v>6.532</v>
      </c>
      <c r="AS13" s="91">
        <v>3.6560000000000001</v>
      </c>
      <c r="AT13" s="89">
        <v>1.139</v>
      </c>
      <c r="AU13" s="89">
        <f>-5.276-AT13</f>
        <v>-6.415</v>
      </c>
      <c r="AV13" s="89">
        <f>-2.606-SUM(AT13:AU13)</f>
        <v>2.67</v>
      </c>
      <c r="AW13" s="359">
        <f t="shared" si="1"/>
        <v>0.59899999999999975</v>
      </c>
      <c r="AX13" s="91">
        <v>-2.0070000000000001</v>
      </c>
      <c r="AY13" s="89">
        <v>2.177</v>
      </c>
      <c r="AZ13" s="89">
        <f>3.209-AY13</f>
        <v>1.032</v>
      </c>
      <c r="BA13" s="89">
        <f>3.979-SUM(AY13:AZ13)</f>
        <v>0.77</v>
      </c>
      <c r="BB13" s="89"/>
      <c r="BC13" s="91">
        <f t="shared" si="13"/>
        <v>3.9790000000000001</v>
      </c>
      <c r="BD13" s="89"/>
      <c r="BE13" s="89"/>
      <c r="BF13" s="89"/>
      <c r="BG13" s="89"/>
      <c r="BH13" s="91">
        <f t="shared" si="14"/>
        <v>0</v>
      </c>
      <c r="BI13" s="89"/>
      <c r="BJ13" s="89"/>
      <c r="BK13" s="89"/>
      <c r="BL13" s="89"/>
      <c r="BM13" s="91">
        <f t="shared" si="15"/>
        <v>0</v>
      </c>
      <c r="BN13" s="89"/>
      <c r="BO13" s="89"/>
      <c r="BP13" s="89"/>
      <c r="BQ13" s="89"/>
      <c r="BR13" s="91">
        <f t="shared" si="16"/>
        <v>0</v>
      </c>
    </row>
    <row r="14" spans="1:70">
      <c r="A14" s="92"/>
      <c r="B14" s="92" t="s">
        <v>98</v>
      </c>
      <c r="C14" s="89"/>
      <c r="D14" s="92"/>
      <c r="E14" s="97"/>
      <c r="F14" s="92">
        <v>0</v>
      </c>
      <c r="G14" s="92">
        <v>0</v>
      </c>
      <c r="H14" s="92">
        <v>0</v>
      </c>
      <c r="I14" s="89">
        <v>0</v>
      </c>
      <c r="J14" s="99">
        <v>0</v>
      </c>
      <c r="K14" s="89">
        <f>0.064-0.018</f>
        <v>4.5999999999999999E-2</v>
      </c>
      <c r="L14" s="89">
        <f>-1.399-0.018-K14</f>
        <v>-1.4630000000000001</v>
      </c>
      <c r="M14" s="89">
        <f>-3.251-L14-K14-4-0.018</f>
        <v>-5.8519999999999994</v>
      </c>
      <c r="N14" s="89">
        <f t="shared" si="3"/>
        <v>6.6029999999999989</v>
      </c>
      <c r="O14" s="91">
        <f>-0.601-0.047-0.018</f>
        <v>-0.66600000000000004</v>
      </c>
      <c r="P14" s="89">
        <f>1.031+2.699</f>
        <v>3.7299999999999995</v>
      </c>
      <c r="Q14" s="89">
        <f>2.699+0.517-P14</f>
        <v>-0.51399999999999979</v>
      </c>
      <c r="R14" s="89">
        <f>-0.446+2.699+0.264-Q14-P14</f>
        <v>-0.69900000000000029</v>
      </c>
      <c r="S14" s="89">
        <f t="shared" si="4"/>
        <v>0.59400000000000031</v>
      </c>
      <c r="T14" s="91">
        <f>0.148+2.699+0.264</f>
        <v>3.1109999999999998</v>
      </c>
      <c r="U14" s="89">
        <f>+-0.197</f>
        <v>-0.19700000000000001</v>
      </c>
      <c r="V14" s="89">
        <f>-0.358-0.111-U14</f>
        <v>-0.27199999999999996</v>
      </c>
      <c r="W14" s="89">
        <f>0.444-0.356-V14-U14</f>
        <v>0.55699999999999994</v>
      </c>
      <c r="X14" s="89">
        <f t="shared" si="5"/>
        <v>-4.9549999999999992</v>
      </c>
      <c r="Y14" s="91">
        <f>-3.719-1.148</f>
        <v>-4.867</v>
      </c>
      <c r="Z14" s="89">
        <v>-0.42699999999999999</v>
      </c>
      <c r="AA14" s="89">
        <f>1.562+1.786-Z14</f>
        <v>3.7749999999999999</v>
      </c>
      <c r="AB14" s="89">
        <f>1.324+1.786-0.656-AA14-Z14</f>
        <v>-0.89399999999999968</v>
      </c>
      <c r="AC14" s="77">
        <f t="shared" si="6"/>
        <v>2.6049999999999995</v>
      </c>
      <c r="AD14" s="91">
        <f>3.273+1.786</f>
        <v>5.0590000000000002</v>
      </c>
      <c r="AE14" s="77">
        <v>-2.2269999999999999</v>
      </c>
      <c r="AF14" s="77">
        <f>-3.259-0.162-AE14</f>
        <v>-1.194</v>
      </c>
      <c r="AG14" s="77">
        <f>-5.692-AF14-AE14</f>
        <v>-2.2710000000000004</v>
      </c>
      <c r="AH14" s="77">
        <f t="shared" si="7"/>
        <v>1.8260000000000001</v>
      </c>
      <c r="AI14" s="91">
        <f>-0.186-3.68</f>
        <v>-3.8660000000000001</v>
      </c>
      <c r="AJ14" s="77">
        <v>1.399</v>
      </c>
      <c r="AK14" s="77">
        <f>0-AJ14</f>
        <v>-1.399</v>
      </c>
      <c r="AL14" s="77">
        <f>-0.01+7.124-0.353-AK14-AJ14</f>
        <v>6.7610000000000001</v>
      </c>
      <c r="AM14" s="77">
        <f t="shared" si="8"/>
        <v>2.5169999999999986</v>
      </c>
      <c r="AN14" s="91">
        <f>-0.269+10.968+0.453-1.874</f>
        <v>9.2779999999999987</v>
      </c>
      <c r="AO14" s="77">
        <f>-1.824+0.267</f>
        <v>-1.5569999999999999</v>
      </c>
      <c r="AP14" s="77">
        <f>11.95+1.785-AO14</f>
        <v>15.292</v>
      </c>
      <c r="AQ14" s="77">
        <f>4.785-SUM(AO14:AP14)+14.725</f>
        <v>5.7750000000000004</v>
      </c>
      <c r="AR14" s="359">
        <f t="shared" si="0"/>
        <v>-5.0849999999999991</v>
      </c>
      <c r="AS14" s="91">
        <f>-3.17+17.595</f>
        <v>14.424999999999999</v>
      </c>
      <c r="AT14" s="89">
        <f>-0.18+2.927</f>
        <v>2.7469999999999999</v>
      </c>
      <c r="AU14" s="89">
        <f>5.012-AT14</f>
        <v>2.2649999999999997</v>
      </c>
      <c r="AV14" s="89">
        <f>9.152-SUM(AT14:AU14)</f>
        <v>4.1399999999999997</v>
      </c>
      <c r="AW14" s="359">
        <f t="shared" si="1"/>
        <v>3.3179999999999996</v>
      </c>
      <c r="AX14" s="91">
        <v>12.469999999999999</v>
      </c>
      <c r="AY14" s="89">
        <f>0.076+3.174</f>
        <v>3.25</v>
      </c>
      <c r="AZ14" s="89">
        <f>386.901-AY14</f>
        <v>383.65100000000001</v>
      </c>
      <c r="BA14" s="89">
        <f>389.775-SUM(AY14:AZ14)</f>
        <v>2.8739999999999668</v>
      </c>
      <c r="BB14" s="89"/>
      <c r="BC14" s="91">
        <f t="shared" si="13"/>
        <v>389.77499999999998</v>
      </c>
      <c r="BD14" s="89"/>
      <c r="BE14" s="89"/>
      <c r="BF14" s="89"/>
      <c r="BG14" s="89"/>
      <c r="BH14" s="91">
        <f t="shared" si="14"/>
        <v>0</v>
      </c>
      <c r="BI14" s="89"/>
      <c r="BJ14" s="89"/>
      <c r="BK14" s="89"/>
      <c r="BL14" s="89"/>
      <c r="BM14" s="91">
        <f t="shared" si="15"/>
        <v>0</v>
      </c>
      <c r="BN14" s="89"/>
      <c r="BO14" s="89"/>
      <c r="BP14" s="89"/>
      <c r="BQ14" s="89"/>
      <c r="BR14" s="91">
        <f t="shared" si="16"/>
        <v>0</v>
      </c>
    </row>
    <row r="15" spans="1:70">
      <c r="A15" s="92"/>
      <c r="B15" s="92" t="s">
        <v>85</v>
      </c>
      <c r="C15" s="89"/>
      <c r="D15" s="92"/>
      <c r="E15" s="97"/>
      <c r="F15" s="92">
        <v>-87.88</v>
      </c>
      <c r="G15" s="92">
        <f>-59.755-F15</f>
        <v>28.124999999999993</v>
      </c>
      <c r="H15" s="92">
        <f>-147.675-G15-F15</f>
        <v>-87.920000000000016</v>
      </c>
      <c r="I15" s="89">
        <f>J15-H15-G15-F15</f>
        <v>27.794000000000018</v>
      </c>
      <c r="J15" s="99">
        <f>-22.054+7.144-4.69-101.143+11.957-10.791-0.086-0.218</f>
        <v>-119.881</v>
      </c>
      <c r="K15" s="89">
        <v>-66.228999999999999</v>
      </c>
      <c r="L15" s="89">
        <f>-132.2-K15</f>
        <v>-65.970999999999989</v>
      </c>
      <c r="M15" s="89">
        <f>-207.854-L15-K15</f>
        <v>-75.654000000000039</v>
      </c>
      <c r="N15" s="89">
        <f t="shared" si="3"/>
        <v>33.234000000000023</v>
      </c>
      <c r="O15" s="91">
        <f>6.657-80.67+6.631-45.278-25.31-36.65</f>
        <v>-174.62</v>
      </c>
      <c r="P15" s="89">
        <v>-52.601999999999997</v>
      </c>
      <c r="Q15" s="89">
        <f>-53.314-P15</f>
        <v>-0.7120000000000033</v>
      </c>
      <c r="R15" s="89">
        <f>-104.135-Q15-P15</f>
        <v>-50.821000000000005</v>
      </c>
      <c r="S15" s="89">
        <f t="shared" si="4"/>
        <v>-118.54600000000002</v>
      </c>
      <c r="T15" s="91">
        <f>50.655-106.604+2.237-89.252-82.521+2.804</f>
        <v>-222.68100000000001</v>
      </c>
      <c r="U15" s="89">
        <v>-118.05200000000001</v>
      </c>
      <c r="V15" s="89">
        <f>-109.338-U15</f>
        <v>8.7140000000000128</v>
      </c>
      <c r="W15" s="89">
        <f>-130.7-V15-U15</f>
        <v>-21.361999999999981</v>
      </c>
      <c r="X15" s="89">
        <f t="shared" si="5"/>
        <v>0.80099999999997351</v>
      </c>
      <c r="Y15" s="91">
        <f>-62.991-107.983+25.25+59.169-36.835-6.509</f>
        <v>-129.899</v>
      </c>
      <c r="Z15" s="89">
        <v>-80.695999999999998</v>
      </c>
      <c r="AA15" s="89">
        <f>-155.187-Z15</f>
        <v>-74.491000000000014</v>
      </c>
      <c r="AB15" s="89">
        <f>-300.804-AA15-Z15</f>
        <v>-145.61699999999996</v>
      </c>
      <c r="AC15" s="77">
        <f t="shared" si="6"/>
        <v>31.995999999999981</v>
      </c>
      <c r="AD15" s="91">
        <v>-268.80799999999999</v>
      </c>
      <c r="AE15" s="77">
        <v>-27.081</v>
      </c>
      <c r="AF15" s="77">
        <f>-79.55-AE15</f>
        <v>-52.468999999999994</v>
      </c>
      <c r="AG15" s="77">
        <f>-63.786-AF15-AE15</f>
        <v>15.763999999999992</v>
      </c>
      <c r="AH15" s="77">
        <f t="shared" si="7"/>
        <v>-64.990999999999971</v>
      </c>
      <c r="AI15" s="91">
        <v>-128.77699999999999</v>
      </c>
      <c r="AJ15" s="77">
        <v>-15.067</v>
      </c>
      <c r="AK15" s="77">
        <f>-69.669-AJ15</f>
        <v>-54.601999999999997</v>
      </c>
      <c r="AL15" s="77">
        <f>-18.669-AK15-AJ15</f>
        <v>50.999999999999993</v>
      </c>
      <c r="AM15" s="77">
        <f t="shared" si="8"/>
        <v>-71.86099999999999</v>
      </c>
      <c r="AN15" s="91">
        <v>-90.53</v>
      </c>
      <c r="AO15" s="77">
        <v>-73.533000000000001</v>
      </c>
      <c r="AP15" s="77">
        <f>-132.779-AO15</f>
        <v>-59.245999999999995</v>
      </c>
      <c r="AQ15" s="77">
        <f>-143.213-SUM(AO15:AP15)</f>
        <v>-10.433999999999997</v>
      </c>
      <c r="AR15" s="359">
        <f t="shared" si="0"/>
        <v>82.998999999999995</v>
      </c>
      <c r="AS15" s="91">
        <v>-60.213999999999999</v>
      </c>
      <c r="AT15" s="89">
        <v>-84.272000000000006</v>
      </c>
      <c r="AU15" s="89">
        <f>-113.887-AT15</f>
        <v>-29.614999999999995</v>
      </c>
      <c r="AV15" s="89">
        <f>-136.113-SUM(AT15:AU15)</f>
        <v>-22.225999999999999</v>
      </c>
      <c r="AW15" s="359">
        <f t="shared" si="1"/>
        <v>-20.730999999999995</v>
      </c>
      <c r="AX15" s="91">
        <v>-156.84399999999999</v>
      </c>
      <c r="AY15" s="89">
        <v>-154.19200000000001</v>
      </c>
      <c r="AZ15" s="89">
        <f>-177.471-AY15</f>
        <v>-23.278999999999996</v>
      </c>
      <c r="BA15" s="89">
        <f>-7.148-SUM(AY15:AZ15)</f>
        <v>170.32300000000001</v>
      </c>
      <c r="BB15" s="89">
        <f t="shared" ref="BB15" si="17">$AS$15/4</f>
        <v>-15.0535</v>
      </c>
      <c r="BC15" s="91">
        <v>100</v>
      </c>
      <c r="BD15" s="89">
        <f>$AS$15/4</f>
        <v>-15.0535</v>
      </c>
      <c r="BE15" s="89">
        <f t="shared" ref="BE15:BG15" si="18">$AS$15/4</f>
        <v>-15.0535</v>
      </c>
      <c r="BF15" s="89">
        <f t="shared" si="18"/>
        <v>-15.0535</v>
      </c>
      <c r="BG15" s="89">
        <f t="shared" si="18"/>
        <v>-15.0535</v>
      </c>
      <c r="BH15" s="91">
        <v>100</v>
      </c>
      <c r="BI15" s="89">
        <f>$AS$15/4</f>
        <v>-15.0535</v>
      </c>
      <c r="BJ15" s="89">
        <f t="shared" ref="BJ15:BL15" si="19">$AS$15/4</f>
        <v>-15.0535</v>
      </c>
      <c r="BK15" s="89">
        <f t="shared" si="19"/>
        <v>-15.0535</v>
      </c>
      <c r="BL15" s="89">
        <f t="shared" si="19"/>
        <v>-15.0535</v>
      </c>
      <c r="BM15" s="91">
        <v>100</v>
      </c>
      <c r="BN15" s="89">
        <f>$AS$15/4</f>
        <v>-15.0535</v>
      </c>
      <c r="BO15" s="89">
        <f t="shared" ref="BO15:BQ15" si="20">$AS$15/4</f>
        <v>-15.0535</v>
      </c>
      <c r="BP15" s="89">
        <f t="shared" si="20"/>
        <v>-15.0535</v>
      </c>
      <c r="BQ15" s="89">
        <f t="shared" si="20"/>
        <v>-15.0535</v>
      </c>
      <c r="BR15" s="91">
        <v>100</v>
      </c>
    </row>
    <row r="16" spans="1:70">
      <c r="A16" s="92"/>
      <c r="B16" s="355" t="s">
        <v>69</v>
      </c>
      <c r="C16" s="89"/>
      <c r="D16" s="92"/>
      <c r="E16" s="97"/>
      <c r="F16" s="356"/>
      <c r="G16" s="356">
        <f>BS!F10-BS!G10</f>
        <v>14.544999999999987</v>
      </c>
      <c r="H16" s="356">
        <f>BS!G10-BS!H10</f>
        <v>-3.2169999999999987</v>
      </c>
      <c r="I16" s="356">
        <f>BS!H10-BS!I10</f>
        <v>-15.952000000000012</v>
      </c>
      <c r="J16" s="357">
        <f>SUM(F16:I16)</f>
        <v>-4.6240000000000236</v>
      </c>
      <c r="K16" s="358">
        <f>BS!I10-BS!K10</f>
        <v>-33.09099999999998</v>
      </c>
      <c r="L16" s="356">
        <f>BS!K10-BS!L10</f>
        <v>-42.576999999999998</v>
      </c>
      <c r="M16" s="356">
        <f>BS!L10-BS!M10</f>
        <v>-159.208</v>
      </c>
      <c r="N16" s="356">
        <f>BS!M10-BS!N10</f>
        <v>15.926999999999964</v>
      </c>
      <c r="O16" s="357">
        <f>SUM(K16:N16)</f>
        <v>-218.94900000000001</v>
      </c>
      <c r="P16" s="358">
        <f>BS!N10-BS!P10</f>
        <v>-19.200999999999965</v>
      </c>
      <c r="Q16" s="356">
        <f>BS!P10-BS!Q10</f>
        <v>2.6630000000000109</v>
      </c>
      <c r="R16" s="356">
        <f>BS!Q10-BS!R10</f>
        <v>-36.725999999999999</v>
      </c>
      <c r="S16" s="356">
        <f>BS!R10-BS!S10</f>
        <v>-53.340000000000032</v>
      </c>
      <c r="T16" s="357">
        <f>SUM(P16:S16)</f>
        <v>-106.60399999999998</v>
      </c>
      <c r="U16" s="358">
        <f>BS!S10-BS!U10</f>
        <v>-14.35899999999998</v>
      </c>
      <c r="V16" s="356">
        <f>BS!U10-BS!V10</f>
        <v>-25.550000000000011</v>
      </c>
      <c r="W16" s="356">
        <f>BS!V10-BS!W10</f>
        <v>-33.510000000000048</v>
      </c>
      <c r="X16" s="356">
        <f>BS!W10-BS!X10</f>
        <v>-34.826999999999998</v>
      </c>
      <c r="Y16" s="357">
        <f>SUM(U16:X16)</f>
        <v>-108.24600000000004</v>
      </c>
      <c r="Z16" s="358">
        <f>BS!X10-BS!Z10</f>
        <v>-125.17499999999995</v>
      </c>
      <c r="AA16" s="356">
        <f>BS!Z10-BS!AA10</f>
        <v>37.471000000000004</v>
      </c>
      <c r="AB16" s="356">
        <f>BS!AA10-BS!AB10</f>
        <v>-59.225000000000023</v>
      </c>
      <c r="AC16" s="393">
        <f>BS!AB10-BS!AC10</f>
        <v>-6.2250000000000227</v>
      </c>
      <c r="AD16" s="357">
        <f>SUM(Z16:AC16)</f>
        <v>-153.154</v>
      </c>
      <c r="AE16" s="412">
        <f>BS!AC10-BS!AE10</f>
        <v>-69.107999999999947</v>
      </c>
      <c r="AF16" s="393">
        <f>BS!AE10-BS!AF10</f>
        <v>-20.970000000000027</v>
      </c>
      <c r="AG16" s="393">
        <f>BS!AF10-BS!AG10</f>
        <v>-67.328999999999951</v>
      </c>
      <c r="AH16" s="393">
        <f>BS!AG10-BS!AH10</f>
        <v>-21.365999999999985</v>
      </c>
      <c r="AI16" s="357">
        <f>SUM(AE16:AH16)</f>
        <v>-178.77299999999991</v>
      </c>
      <c r="AJ16" s="412">
        <f>BS!AH10-BS!AJ10</f>
        <v>46.81899999999996</v>
      </c>
      <c r="AK16" s="393">
        <f>BS!AJ10-BS!AK10</f>
        <v>46.950000000000045</v>
      </c>
      <c r="AL16" s="393">
        <f>BS!AK10-BS!AL10</f>
        <v>-8.8370000000001028</v>
      </c>
      <c r="AM16" s="393">
        <f>BS!AL10-BS!AM10</f>
        <v>-11.58299999999997</v>
      </c>
      <c r="AN16" s="357">
        <f>SUM(AJ16:AM16)</f>
        <v>73.348999999999933</v>
      </c>
      <c r="AO16" s="412">
        <f>BS!AM10-BS!AO10</f>
        <v>-8.9339999999999691</v>
      </c>
      <c r="AP16" s="393">
        <f>BS!AO10-BS!AP10</f>
        <v>-9.8740000000000236</v>
      </c>
      <c r="AQ16" s="393">
        <f>BS!AP10-BS!AQ10</f>
        <v>-51.677999999999997</v>
      </c>
      <c r="AR16" s="393">
        <f>BS!AQ10-BS!AR10</f>
        <v>-30.446000000000026</v>
      </c>
      <c r="AS16" s="357">
        <f>SUM(AO16:AR16)</f>
        <v>-100.93200000000002</v>
      </c>
      <c r="AT16" s="412">
        <f>BS!AR10-BS!AT10</f>
        <v>-48.13799999999992</v>
      </c>
      <c r="AU16" s="356">
        <f>BS!AT10-BS!AU10</f>
        <v>-63.336999999999989</v>
      </c>
      <c r="AV16" s="356">
        <f>BS!AU10-BS!AV10</f>
        <v>-41.41800000000012</v>
      </c>
      <c r="AW16" s="356">
        <f>BS!AV10-BS!AW10</f>
        <v>-56.644000000000005</v>
      </c>
      <c r="AX16" s="357">
        <f>SUM(AT16:AW16)</f>
        <v>-209.53700000000003</v>
      </c>
      <c r="AY16" s="358">
        <f>BS!AW10-BS!AY10</f>
        <v>-26.379999999999882</v>
      </c>
      <c r="AZ16" s="356">
        <f>BS!AY10-BS!AZ10</f>
        <v>3.2670000000000528</v>
      </c>
      <c r="BA16" s="356">
        <f>BS!AZ10-BS!BA10</f>
        <v>6.0749999999998181</v>
      </c>
      <c r="BB16" s="356">
        <f>BS!BA10-BS!BB10</f>
        <v>602.57268781392918</v>
      </c>
      <c r="BC16" s="357">
        <f>SUM(AY16:BB16)</f>
        <v>585.53468781392917</v>
      </c>
      <c r="BD16" s="358">
        <f>BS!BB10-BS!BD10</f>
        <v>-19.691314597120936</v>
      </c>
      <c r="BE16" s="356">
        <f>BS!BD10-BS!BE10</f>
        <v>-46.892103561789781</v>
      </c>
      <c r="BF16" s="356">
        <f>BS!BE10-BS!BF10</f>
        <v>-42.217302382337834</v>
      </c>
      <c r="BG16" s="356">
        <f>BS!BF10-BS!BG10</f>
        <v>-26.363046730331348</v>
      </c>
      <c r="BH16" s="357">
        <f>SUM(BD16:BG16)</f>
        <v>-135.1637672715799</v>
      </c>
      <c r="BI16" s="358">
        <f>BS!BG10-BS!BI10</f>
        <v>3.5898388580474148</v>
      </c>
      <c r="BJ16" s="356">
        <f>BS!BI10-BS!BJ10</f>
        <v>-1.2193048853370101</v>
      </c>
      <c r="BK16" s="356">
        <f>BS!BJ10-BS!BK10</f>
        <v>1.4108738877667975</v>
      </c>
      <c r="BL16" s="356">
        <f>BS!BK10-BS!BL10</f>
        <v>-3.7814078604772021</v>
      </c>
      <c r="BM16" s="357">
        <f>SUM(BI16:BL16)</f>
        <v>0</v>
      </c>
      <c r="BN16" s="358">
        <f>BS!BL10-BS!BN10</f>
        <v>5.4585428296655891</v>
      </c>
      <c r="BO16" s="356">
        <f>BS!BN10-BS!BO10</f>
        <v>1.1846091860533079</v>
      </c>
      <c r="BP16" s="356">
        <f>BS!BO10-BS!BP10</f>
        <v>-2.2504802953972103</v>
      </c>
      <c r="BQ16" s="356">
        <f>BS!BP10-BS!BQ10</f>
        <v>-4.3926717203216867</v>
      </c>
      <c r="BR16" s="357">
        <f>SUM(BN16:BQ16)</f>
        <v>0</v>
      </c>
    </row>
    <row r="17" spans="1:70">
      <c r="A17" s="92"/>
      <c r="B17" s="355" t="s">
        <v>75</v>
      </c>
      <c r="C17" s="89"/>
      <c r="D17" s="92"/>
      <c r="E17" s="97"/>
      <c r="F17" s="356"/>
      <c r="G17" s="356">
        <f>BS!G28-BS!F28</f>
        <v>50.640000000000015</v>
      </c>
      <c r="H17" s="356">
        <f>BS!H28-BS!G28</f>
        <v>-34.89100000000002</v>
      </c>
      <c r="I17" s="356">
        <f>BS!I28-BS!H28</f>
        <v>-25.322000000000003</v>
      </c>
      <c r="J17" s="357">
        <f>SUM(F17:I17)</f>
        <v>-9.5730000000000075</v>
      </c>
      <c r="K17" s="358">
        <f>BS!K28-BS!I28</f>
        <v>36.12299999999999</v>
      </c>
      <c r="L17" s="356">
        <f>BS!L28-BS!K28</f>
        <v>59.139999999999986</v>
      </c>
      <c r="M17" s="356">
        <f>BS!M28-BS!L28</f>
        <v>86.451000000000022</v>
      </c>
      <c r="N17" s="356">
        <f>BS!N28-BS!M28</f>
        <v>2.8179999999999836</v>
      </c>
      <c r="O17" s="357">
        <f>SUM(K17:N17)</f>
        <v>184.53199999999998</v>
      </c>
      <c r="P17" s="358">
        <f>BS!P28-BS!N28</f>
        <v>-7.8909999999999627</v>
      </c>
      <c r="Q17" s="356">
        <f>BS!Q28-BS!P28</f>
        <v>-13.712000000000046</v>
      </c>
      <c r="R17" s="356">
        <f>BS!R28-BS!Q28</f>
        <v>-17.250999999999976</v>
      </c>
      <c r="S17" s="356">
        <f>BS!S28-BS!R28</f>
        <v>-43.666999999999973</v>
      </c>
      <c r="T17" s="357">
        <f>SUM(P17:S17)</f>
        <v>-82.520999999999958</v>
      </c>
      <c r="U17" s="358">
        <f>BS!U28-BS!S28</f>
        <v>-6.4960000000000377</v>
      </c>
      <c r="V17" s="356">
        <f>BS!V28-BS!U28</f>
        <v>11.126000000000033</v>
      </c>
      <c r="W17" s="356">
        <f>BS!W28-BS!V28</f>
        <v>-24.129999999999995</v>
      </c>
      <c r="X17" s="356">
        <f>BS!X28-BS!W28</f>
        <v>-14.675000000000011</v>
      </c>
      <c r="Y17" s="357">
        <f>SUM(U17:X17)</f>
        <v>-34.175000000000011</v>
      </c>
      <c r="Z17" s="358">
        <f>BS!Z28-BS!X28</f>
        <v>-3.4680000000000177</v>
      </c>
      <c r="AA17" s="356">
        <f>BS!AA28-BS!Z28</f>
        <v>35.271000000000015</v>
      </c>
      <c r="AB17" s="356">
        <f>BS!AB28-BS!AA28</f>
        <v>28.257000000000005</v>
      </c>
      <c r="AC17" s="393">
        <f>BS!AC28-BS!AB28</f>
        <v>-8.3500000000000227</v>
      </c>
      <c r="AD17" s="357">
        <f>SUM(Z17:AC17)</f>
        <v>51.70999999999998</v>
      </c>
      <c r="AE17" s="412">
        <f>BS!AE28-BS!AC28</f>
        <v>-33.254000000000019</v>
      </c>
      <c r="AF17" s="393">
        <f>BS!AF28-BS!AE28</f>
        <v>-22.641999999999996</v>
      </c>
      <c r="AG17" s="393">
        <f>BS!AG28-BS!AF28</f>
        <v>23.16500000000002</v>
      </c>
      <c r="AH17" s="393">
        <f>BS!AH28-BS!AG28</f>
        <v>1.7459999999999809</v>
      </c>
      <c r="AI17" s="357">
        <f>SUM(AE17:AH17)</f>
        <v>-30.985000000000014</v>
      </c>
      <c r="AJ17" s="412">
        <f>BS!AJ28-BS!AH28</f>
        <v>-2.728999999999985</v>
      </c>
      <c r="AK17" s="393">
        <f>BS!AK28-BS!AJ28</f>
        <v>39.708000000000027</v>
      </c>
      <c r="AL17" s="393">
        <f>BS!AL28-BS!AK28</f>
        <v>8.7649999999999864</v>
      </c>
      <c r="AM17" s="393">
        <f>BS!AM28-BS!AL28</f>
        <v>-2.9429999999999836</v>
      </c>
      <c r="AN17" s="357">
        <f>SUM(AJ17:AM17)</f>
        <v>42.801000000000045</v>
      </c>
      <c r="AO17" s="412">
        <f>BS!AO28-BS!AM28</f>
        <v>-42.317000000000007</v>
      </c>
      <c r="AP17" s="393">
        <f>BS!AP28-BS!AO28</f>
        <v>51.012999999999977</v>
      </c>
      <c r="AQ17" s="393">
        <f>BS!AQ28-BS!AP28</f>
        <v>63.826999999999998</v>
      </c>
      <c r="AR17" s="393">
        <f>BS!AR28-BS!AQ28</f>
        <v>53.234000000000037</v>
      </c>
      <c r="AS17" s="357">
        <f>SUM(AO17:AR17)</f>
        <v>125.75700000000001</v>
      </c>
      <c r="AT17" s="412">
        <f>BS!AT28-BS!AR28</f>
        <v>51.746999999999957</v>
      </c>
      <c r="AU17" s="356">
        <f>BS!AU28-BS!AT28</f>
        <v>65.776000000000067</v>
      </c>
      <c r="AV17" s="356">
        <f>BS!AV28-BS!AU28</f>
        <v>73.894999999999982</v>
      </c>
      <c r="AW17" s="356">
        <f>BS!AW28-BS!AV28</f>
        <v>-75.09699999999998</v>
      </c>
      <c r="AX17" s="357">
        <f>SUM(AT17:AW17)</f>
        <v>116.32100000000003</v>
      </c>
      <c r="AY17" s="358">
        <f>BS!AY28-BS!AW28</f>
        <v>5.8099999999999454</v>
      </c>
      <c r="AZ17" s="356">
        <f>BS!AZ28-BS!AY28</f>
        <v>56.923999999999978</v>
      </c>
      <c r="BA17" s="356">
        <f>BS!BA28-BS!AZ28</f>
        <v>182.88200000000006</v>
      </c>
      <c r="BB17" s="356">
        <f>BS!BB28-BS!BA28</f>
        <v>-540.42584390696459</v>
      </c>
      <c r="BC17" s="357">
        <f>SUM(AY17:BB17)</f>
        <v>-294.8098439069646</v>
      </c>
      <c r="BD17" s="358">
        <f>BS!BD28-BS!BB28</f>
        <v>9.845657298560468</v>
      </c>
      <c r="BE17" s="356">
        <f>BS!BE28-BS!BD28</f>
        <v>23.446051780894891</v>
      </c>
      <c r="BF17" s="356">
        <f>BS!BF28-BS!BE28</f>
        <v>21.108651191168917</v>
      </c>
      <c r="BG17" s="356">
        <f>BS!BG28-BS!BF28</f>
        <v>13.181523365165674</v>
      </c>
      <c r="BH17" s="357">
        <f>SUM(BD17:BG17)</f>
        <v>67.58188363578995</v>
      </c>
      <c r="BI17" s="358">
        <f>BS!BI28-BS!BG28</f>
        <v>-1.7949194290237074</v>
      </c>
      <c r="BJ17" s="356">
        <f>BS!BJ28-BS!BI28</f>
        <v>0.60965244266850505</v>
      </c>
      <c r="BK17" s="356">
        <f>BS!BK28-BS!BJ28</f>
        <v>-0.70543694388339873</v>
      </c>
      <c r="BL17" s="356">
        <f>BS!BL28-BS!BK28</f>
        <v>1.8907039302386011</v>
      </c>
      <c r="BM17" s="357">
        <f>SUM(BI17:BL17)</f>
        <v>0</v>
      </c>
      <c r="BN17" s="358">
        <f>BS!BN28-BS!BL28</f>
        <v>-2.7292714148327946</v>
      </c>
      <c r="BO17" s="356">
        <f>BS!BO28-BS!BN28</f>
        <v>-0.59230459302665395</v>
      </c>
      <c r="BP17" s="356">
        <f>BS!BP28-BS!BO28</f>
        <v>1.1252401476986051</v>
      </c>
      <c r="BQ17" s="356">
        <f>BS!BQ28-BS!BP28</f>
        <v>2.1963358601608434</v>
      </c>
      <c r="BR17" s="357">
        <f>SUM(BN17:BQ17)</f>
        <v>0</v>
      </c>
    </row>
    <row r="18" spans="1:70" s="214" customFormat="1" ht="13.5" thickBot="1">
      <c r="A18" s="210" t="s">
        <v>21</v>
      </c>
      <c r="B18" s="211"/>
      <c r="C18" s="210"/>
      <c r="D18" s="210"/>
      <c r="E18" s="212"/>
      <c r="F18" s="213">
        <f t="shared" ref="F18:AR18" si="21">SUM(F6:F15)</f>
        <v>-18.314999999999955</v>
      </c>
      <c r="G18" s="213">
        <f t="shared" si="21"/>
        <v>116.03599999999992</v>
      </c>
      <c r="H18" s="213">
        <f t="shared" si="21"/>
        <v>-7.9229999999999308</v>
      </c>
      <c r="I18" s="213">
        <f t="shared" si="21"/>
        <v>-63.526000000000003</v>
      </c>
      <c r="J18" s="234">
        <f t="shared" si="21"/>
        <v>26.27200000000002</v>
      </c>
      <c r="K18" s="235">
        <f t="shared" si="21"/>
        <v>-3.7040000000000433</v>
      </c>
      <c r="L18" s="235">
        <f t="shared" si="21"/>
        <v>10.452999999999932</v>
      </c>
      <c r="M18" s="235">
        <f t="shared" si="21"/>
        <v>21.778999999999982</v>
      </c>
      <c r="N18" s="235">
        <f t="shared" si="21"/>
        <v>-59.051999999999879</v>
      </c>
      <c r="O18" s="234">
        <f t="shared" si="21"/>
        <v>-30.524000000000001</v>
      </c>
      <c r="P18" s="235">
        <f t="shared" si="21"/>
        <v>44.158000000000023</v>
      </c>
      <c r="Q18" s="235">
        <f t="shared" si="21"/>
        <v>57.832000000000072</v>
      </c>
      <c r="R18" s="235">
        <f t="shared" si="21"/>
        <v>64.777000000000072</v>
      </c>
      <c r="S18" s="235">
        <f t="shared" si="21"/>
        <v>-234.63000000000017</v>
      </c>
      <c r="T18" s="234">
        <f t="shared" si="21"/>
        <v>-67.863</v>
      </c>
      <c r="U18" s="235">
        <f t="shared" si="21"/>
        <v>-84.455000000000013</v>
      </c>
      <c r="V18" s="235">
        <f t="shared" si="21"/>
        <v>112.36600000000006</v>
      </c>
      <c r="W18" s="235">
        <f t="shared" si="21"/>
        <v>90.274999999999991</v>
      </c>
      <c r="X18" s="235">
        <f t="shared" si="21"/>
        <v>-67.458000000000041</v>
      </c>
      <c r="Y18" s="234">
        <f t="shared" si="21"/>
        <v>50.728000000000037</v>
      </c>
      <c r="Z18" s="235">
        <f t="shared" si="21"/>
        <v>-41.129999999999988</v>
      </c>
      <c r="AA18" s="235">
        <f t="shared" si="21"/>
        <v>-20.305000000000028</v>
      </c>
      <c r="AB18" s="235">
        <f t="shared" si="21"/>
        <v>-14.907000000000181</v>
      </c>
      <c r="AC18" s="391">
        <f>SUM(AC6:AC15)</f>
        <v>86.746999999999957</v>
      </c>
      <c r="AD18" s="234">
        <f t="shared" si="21"/>
        <v>10.404999999999802</v>
      </c>
      <c r="AE18" s="391">
        <f t="shared" si="21"/>
        <v>-2.3240000000000016</v>
      </c>
      <c r="AF18" s="391">
        <f t="shared" si="21"/>
        <v>-29.433999999999987</v>
      </c>
      <c r="AG18" s="391">
        <f t="shared" si="21"/>
        <v>52.431999999999988</v>
      </c>
      <c r="AH18" s="391">
        <f>SUM(AH6:AH15)</f>
        <v>-6.6019999999999683</v>
      </c>
      <c r="AI18" s="234">
        <f t="shared" si="21"/>
        <v>14.072000000000003</v>
      </c>
      <c r="AJ18" s="391">
        <f t="shared" si="21"/>
        <v>15.943999999999996</v>
      </c>
      <c r="AK18" s="391">
        <f t="shared" si="21"/>
        <v>-11.368000000000002</v>
      </c>
      <c r="AL18" s="391">
        <f t="shared" si="21"/>
        <v>89.59</v>
      </c>
      <c r="AM18" s="391">
        <f>SUM(AM6:AM15)</f>
        <v>19.169000000000011</v>
      </c>
      <c r="AN18" s="234">
        <f t="shared" si="21"/>
        <v>113.33600000000001</v>
      </c>
      <c r="AO18" s="391">
        <f t="shared" si="21"/>
        <v>-32.845000000000013</v>
      </c>
      <c r="AP18" s="391">
        <f t="shared" si="21"/>
        <v>-1.7750000000000057</v>
      </c>
      <c r="AQ18" s="391">
        <f t="shared" si="21"/>
        <v>36.524000000000008</v>
      </c>
      <c r="AR18" s="373">
        <f t="shared" si="21"/>
        <v>161.64600000000002</v>
      </c>
      <c r="AS18" s="234">
        <f>SUM(AS6:AS15)</f>
        <v>163.55000000000004</v>
      </c>
      <c r="AT18" s="235">
        <f t="shared" ref="AT18:AX18" si="22">SUM(AT6:AT15)</f>
        <v>-73.403000000000006</v>
      </c>
      <c r="AU18" s="235">
        <f t="shared" si="22"/>
        <v>11.02300000000001</v>
      </c>
      <c r="AV18" s="235">
        <f t="shared" si="22"/>
        <v>27.619</v>
      </c>
      <c r="AW18" s="235">
        <f t="shared" si="22"/>
        <v>56.162999999999997</v>
      </c>
      <c r="AX18" s="234">
        <f t="shared" si="22"/>
        <v>21.401999999999987</v>
      </c>
      <c r="AY18" s="235">
        <f t="shared" ref="AY18:BC18" si="23">SUM(AY6:AY15)</f>
        <v>-124.78500000000001</v>
      </c>
      <c r="AZ18" s="235">
        <f t="shared" si="23"/>
        <v>13.298999999999978</v>
      </c>
      <c r="BA18" s="235">
        <f t="shared" si="23"/>
        <v>222.85099999999997</v>
      </c>
      <c r="BB18" s="235">
        <f t="shared" si="23"/>
        <v>38.124700223563885</v>
      </c>
      <c r="BC18" s="234">
        <f t="shared" si="23"/>
        <v>264.99095022356391</v>
      </c>
      <c r="BD18" s="235">
        <f t="shared" ref="BD18:BH18" si="24">SUM(BD6:BD15)</f>
        <v>41.199935354001191</v>
      </c>
      <c r="BE18" s="235">
        <f t="shared" si="24"/>
        <v>62.313777237167344</v>
      </c>
      <c r="BF18" s="235">
        <f t="shared" si="24"/>
        <v>62.84208534084577</v>
      </c>
      <c r="BG18" s="235">
        <f t="shared" si="24"/>
        <v>63.239839377672311</v>
      </c>
      <c r="BH18" s="234">
        <f t="shared" si="24"/>
        <v>390.33263730968662</v>
      </c>
      <c r="BI18" s="235">
        <f t="shared" ref="BI18:BM18" si="25">SUM(BI6:BI15)</f>
        <v>39.741788031348356</v>
      </c>
      <c r="BJ18" s="235">
        <f t="shared" si="25"/>
        <v>63.011275055541333</v>
      </c>
      <c r="BK18" s="235">
        <f t="shared" si="25"/>
        <v>62.308729069293577</v>
      </c>
      <c r="BL18" s="235">
        <f t="shared" si="25"/>
        <v>64.533845153503322</v>
      </c>
      <c r="BM18" s="234">
        <f t="shared" si="25"/>
        <v>390.33263730968662</v>
      </c>
      <c r="BN18" s="235">
        <f t="shared" ref="BN18:BR18" si="26">SUM(BN6:BN15)</f>
        <v>38.391135711638562</v>
      </c>
      <c r="BO18" s="235">
        <f t="shared" si="26"/>
        <v>62.284575974315345</v>
      </c>
      <c r="BP18" s="235">
        <f t="shared" si="26"/>
        <v>63.429858671922389</v>
      </c>
      <c r="BQ18" s="235">
        <f t="shared" si="26"/>
        <v>65.490066951810306</v>
      </c>
      <c r="BR18" s="234">
        <f t="shared" si="26"/>
        <v>390.33263730968662</v>
      </c>
    </row>
    <row r="19" spans="1:70" ht="13" thickTop="1">
      <c r="A19" s="92"/>
      <c r="B19" s="89"/>
      <c r="C19" s="92"/>
      <c r="D19" s="100"/>
      <c r="E19" s="97"/>
      <c r="F19" s="101"/>
      <c r="G19" s="92"/>
      <c r="H19" s="100"/>
      <c r="I19" s="102"/>
      <c r="J19" s="99"/>
      <c r="K19" s="89"/>
      <c r="L19" s="89"/>
      <c r="M19" s="89"/>
      <c r="N19" s="102"/>
      <c r="O19" s="91"/>
      <c r="P19" s="89"/>
      <c r="Q19" s="89"/>
      <c r="R19" s="89"/>
      <c r="S19" s="102"/>
      <c r="T19" s="91"/>
      <c r="U19" s="89"/>
      <c r="V19" s="89"/>
      <c r="W19" s="89"/>
      <c r="X19" s="102"/>
      <c r="Y19" s="91"/>
      <c r="Z19" s="89"/>
      <c r="AA19" s="89"/>
      <c r="AB19" s="89"/>
      <c r="AC19" s="394"/>
      <c r="AD19" s="91"/>
      <c r="AE19" s="77"/>
      <c r="AF19" s="77"/>
      <c r="AG19" s="77"/>
      <c r="AH19" s="394"/>
      <c r="AI19" s="91"/>
      <c r="AJ19" s="77">
        <f>+AJ17+AJ16</f>
        <v>44.089999999999975</v>
      </c>
      <c r="AK19" s="77">
        <f t="shared" ref="AK19:AM19" si="27">+AK17+AK16</f>
        <v>86.658000000000072</v>
      </c>
      <c r="AL19" s="77">
        <f t="shared" si="27"/>
        <v>-7.2000000000116415E-2</v>
      </c>
      <c r="AM19" s="77">
        <f t="shared" si="27"/>
        <v>-14.525999999999954</v>
      </c>
      <c r="AN19" s="91"/>
      <c r="AO19" s="77">
        <f>+AO17+AO16</f>
        <v>-51.250999999999976</v>
      </c>
      <c r="AP19" s="77">
        <f t="shared" ref="AP19:AQ19" si="28">+AP17+AP16</f>
        <v>41.138999999999953</v>
      </c>
      <c r="AQ19" s="77">
        <f t="shared" si="28"/>
        <v>12.149000000000001</v>
      </c>
      <c r="AR19" s="463"/>
      <c r="AS19" s="91"/>
      <c r="AT19" s="89"/>
      <c r="AU19" s="89"/>
      <c r="AV19" s="89"/>
      <c r="AW19" s="463"/>
      <c r="AX19" s="91"/>
      <c r="AY19" s="89"/>
      <c r="AZ19" s="89"/>
      <c r="BA19" s="89"/>
      <c r="BB19" s="102"/>
      <c r="BC19" s="91"/>
      <c r="BD19" s="89"/>
      <c r="BE19" s="89"/>
      <c r="BF19" s="89"/>
      <c r="BG19" s="102"/>
      <c r="BH19" s="91"/>
      <c r="BI19" s="89"/>
      <c r="BJ19" s="89"/>
      <c r="BK19" s="89"/>
      <c r="BL19" s="102"/>
      <c r="BM19" s="91"/>
      <c r="BN19" s="89"/>
      <c r="BO19" s="89"/>
      <c r="BP19" s="89"/>
      <c r="BQ19" s="102"/>
      <c r="BR19" s="91"/>
    </row>
    <row r="20" spans="1:70" s="45" customFormat="1">
      <c r="A20" s="88" t="s">
        <v>22</v>
      </c>
      <c r="B20" s="100"/>
      <c r="C20" s="100"/>
      <c r="D20" s="100"/>
      <c r="E20" s="97"/>
      <c r="F20" s="101"/>
      <c r="G20" s="100"/>
      <c r="H20" s="100"/>
      <c r="I20" s="102"/>
      <c r="J20" s="95"/>
      <c r="K20" s="103"/>
      <c r="L20" s="103"/>
      <c r="M20" s="103"/>
      <c r="N20" s="102"/>
      <c r="O20" s="91"/>
      <c r="P20" s="103"/>
      <c r="Q20" s="103"/>
      <c r="R20" s="103"/>
      <c r="S20" s="102"/>
      <c r="T20" s="91"/>
      <c r="U20" s="103"/>
      <c r="V20" s="103"/>
      <c r="W20" s="103"/>
      <c r="X20" s="102"/>
      <c r="Y20" s="91"/>
      <c r="Z20" s="103"/>
      <c r="AA20" s="103"/>
      <c r="AB20" s="103"/>
      <c r="AC20" s="394"/>
      <c r="AD20" s="91"/>
      <c r="AE20" s="253"/>
      <c r="AF20" s="253"/>
      <c r="AG20" s="253"/>
      <c r="AH20" s="394"/>
      <c r="AI20" s="91"/>
      <c r="AJ20" s="253"/>
      <c r="AK20" s="253"/>
      <c r="AL20" s="253"/>
      <c r="AM20" s="394"/>
      <c r="AN20" s="91"/>
      <c r="AO20" s="253"/>
      <c r="AP20" s="253"/>
      <c r="AQ20" s="253"/>
      <c r="AR20" s="463"/>
      <c r="AS20" s="91"/>
      <c r="AT20" s="103"/>
      <c r="AU20" s="103"/>
      <c r="AV20" s="103"/>
      <c r="AW20" s="463"/>
      <c r="AX20" s="91"/>
      <c r="AY20" s="103"/>
      <c r="AZ20" s="103"/>
      <c r="BA20" s="103"/>
      <c r="BB20" s="102"/>
      <c r="BC20" s="91"/>
      <c r="BD20" s="103"/>
      <c r="BE20" s="103"/>
      <c r="BF20" s="103"/>
      <c r="BG20" s="102"/>
      <c r="BH20" s="91"/>
      <c r="BI20" s="103"/>
      <c r="BJ20" s="103"/>
      <c r="BK20" s="103"/>
      <c r="BL20" s="102"/>
      <c r="BM20" s="91"/>
      <c r="BN20" s="103"/>
      <c r="BO20" s="103"/>
      <c r="BP20" s="103"/>
      <c r="BQ20" s="102"/>
      <c r="BR20" s="91"/>
    </row>
    <row r="21" spans="1:70" s="45" customFormat="1">
      <c r="A21" s="88"/>
      <c r="B21" s="100" t="s">
        <v>95</v>
      </c>
      <c r="C21" s="100"/>
      <c r="D21" s="100"/>
      <c r="E21" s="97"/>
      <c r="F21" s="101">
        <v>0</v>
      </c>
      <c r="G21" s="101">
        <v>-6.734</v>
      </c>
      <c r="H21" s="100">
        <f>-6.734-G21-F21</f>
        <v>0</v>
      </c>
      <c r="I21" s="89">
        <f>J21-H21-G21-F21</f>
        <v>-30.923999999999999</v>
      </c>
      <c r="J21" s="95">
        <f>-6.734-30.924</f>
        <v>-37.658000000000001</v>
      </c>
      <c r="K21" s="103">
        <f>-70.62-3</f>
        <v>-73.62</v>
      </c>
      <c r="L21" s="103">
        <f>-161.711-3-K21</f>
        <v>-91.091000000000008</v>
      </c>
      <c r="M21" s="103">
        <f>-337.873-3-L21-K21</f>
        <v>-176.16199999999998</v>
      </c>
      <c r="N21" s="89">
        <f>O21-M21-L21-K21</f>
        <v>-4.0250000000000341</v>
      </c>
      <c r="O21" s="91">
        <f>-341.898-3</f>
        <v>-344.89800000000002</v>
      </c>
      <c r="P21" s="103">
        <v>-1.1879999999999999</v>
      </c>
      <c r="Q21" s="103">
        <f>0-P21</f>
        <v>1.1879999999999999</v>
      </c>
      <c r="R21" s="103">
        <f>0-Q21-P21</f>
        <v>0</v>
      </c>
      <c r="S21" s="89">
        <f>T21-R21-Q21-P21</f>
        <v>0</v>
      </c>
      <c r="T21" s="91">
        <v>0</v>
      </c>
      <c r="U21" s="103">
        <v>0</v>
      </c>
      <c r="V21" s="103">
        <v>0</v>
      </c>
      <c r="W21" s="103">
        <v>0</v>
      </c>
      <c r="X21" s="89">
        <f>Y21-W21-V21-U21</f>
        <v>0</v>
      </c>
      <c r="Y21" s="91">
        <v>0</v>
      </c>
      <c r="Z21" s="103">
        <v>0</v>
      </c>
      <c r="AA21" s="103">
        <v>0</v>
      </c>
      <c r="AB21" s="103">
        <v>0</v>
      </c>
      <c r="AC21" s="77">
        <v>0</v>
      </c>
      <c r="AD21" s="91">
        <v>0</v>
      </c>
      <c r="AE21" s="253"/>
      <c r="AF21" s="253"/>
      <c r="AG21" s="253"/>
      <c r="AH21" s="77">
        <v>0</v>
      </c>
      <c r="AI21" s="91">
        <v>0</v>
      </c>
      <c r="AJ21" s="253"/>
      <c r="AK21" s="253"/>
      <c r="AL21" s="253"/>
      <c r="AM21" s="77">
        <v>0</v>
      </c>
      <c r="AN21" s="91">
        <f t="shared" ref="AN21" si="29">SUM(AJ21:AM21)</f>
        <v>0</v>
      </c>
      <c r="AO21" s="253"/>
      <c r="AP21" s="253"/>
      <c r="AQ21" s="253"/>
      <c r="AR21" s="359"/>
      <c r="AS21" s="91">
        <f t="shared" ref="AS21" si="30">SUM(AO21:AR21)</f>
        <v>0</v>
      </c>
      <c r="AT21" s="103"/>
      <c r="AU21" s="103"/>
      <c r="AV21" s="103"/>
      <c r="AW21" s="359"/>
      <c r="AX21" s="91"/>
      <c r="AY21" s="103"/>
      <c r="AZ21" s="103"/>
      <c r="BA21" s="103"/>
      <c r="BB21" s="89"/>
      <c r="BC21" s="91">
        <f t="shared" ref="BC21" si="31">SUM(AY21:BB21)</f>
        <v>0</v>
      </c>
      <c r="BD21" s="103"/>
      <c r="BE21" s="103"/>
      <c r="BF21" s="103"/>
      <c r="BG21" s="89"/>
      <c r="BH21" s="91">
        <f t="shared" ref="BH21" si="32">SUM(BD21:BG21)</f>
        <v>0</v>
      </c>
      <c r="BI21" s="103"/>
      <c r="BJ21" s="103"/>
      <c r="BK21" s="103"/>
      <c r="BL21" s="89"/>
      <c r="BM21" s="91">
        <f t="shared" ref="BM21" si="33">SUM(BI21:BL21)</f>
        <v>0</v>
      </c>
      <c r="BN21" s="103"/>
      <c r="BO21" s="103"/>
      <c r="BP21" s="103"/>
      <c r="BQ21" s="89"/>
      <c r="BR21" s="91">
        <f t="shared" ref="BR21" si="34">SUM(BN21:BQ21)</f>
        <v>0</v>
      </c>
    </row>
    <row r="22" spans="1:70" s="106" customFormat="1">
      <c r="A22" s="89"/>
      <c r="B22" s="92" t="s">
        <v>86</v>
      </c>
      <c r="C22" s="89"/>
      <c r="D22" s="89"/>
      <c r="E22" s="90"/>
      <c r="F22" s="89">
        <v>-4.1879999999999997</v>
      </c>
      <c r="G22" s="89">
        <f>-8.509-F22</f>
        <v>-4.3210000000000006</v>
      </c>
      <c r="H22" s="89">
        <f>-16.135-G22-F22</f>
        <v>-7.6260000000000003</v>
      </c>
      <c r="I22" s="89">
        <f t="shared" ref="I22:I26" si="35">J22-H22-G22-F22</f>
        <v>-9.0649999999999977</v>
      </c>
      <c r="J22" s="91">
        <v>-25.2</v>
      </c>
      <c r="K22" s="89">
        <v>-8.9320000000000004</v>
      </c>
      <c r="L22" s="89">
        <f>-22.171-K22</f>
        <v>-13.238999999999999</v>
      </c>
      <c r="M22" s="89">
        <f>-39.694-L22-K22</f>
        <v>-17.523000000000003</v>
      </c>
      <c r="N22" s="89">
        <f t="shared" ref="N22:N26" si="36">O22-M22-L22-K22</f>
        <v>-27.052999999999997</v>
      </c>
      <c r="O22" s="91">
        <v>-66.747</v>
      </c>
      <c r="P22" s="89">
        <v>-10.648999999999999</v>
      </c>
      <c r="Q22" s="89">
        <f>-21.788-P22</f>
        <v>-11.139000000000001</v>
      </c>
      <c r="R22" s="89">
        <f>-33.737-Q22-P22</f>
        <v>-11.949</v>
      </c>
      <c r="S22" s="89">
        <f t="shared" ref="S22:S26" si="37">T22-R22-Q22-P22</f>
        <v>-7.6149999999999967</v>
      </c>
      <c r="T22" s="91">
        <v>-41.351999999999997</v>
      </c>
      <c r="U22" s="89">
        <v>-12.179</v>
      </c>
      <c r="V22" s="89">
        <f>-28.127-U22</f>
        <v>-15.947999999999999</v>
      </c>
      <c r="W22" s="89">
        <f>-39.81-V22-U22</f>
        <v>-11.683000000000002</v>
      </c>
      <c r="X22" s="89">
        <f t="shared" ref="X22:X26" si="38">Y22-W22-V22-U22</f>
        <v>-2.5500000000000007</v>
      </c>
      <c r="Y22" s="91">
        <v>-42.36</v>
      </c>
      <c r="Z22" s="89">
        <v>-8.3520000000000003</v>
      </c>
      <c r="AA22" s="89">
        <f>-26.73-Z22</f>
        <v>-18.378</v>
      </c>
      <c r="AB22" s="89">
        <f>-37.778-AA22-Z22</f>
        <v>-11.047999999999998</v>
      </c>
      <c r="AC22" s="77">
        <f t="shared" ref="AC22:AC26" si="39">AD22-AB22-AA22-Z22</f>
        <v>-37.234999999999999</v>
      </c>
      <c r="AD22" s="91">
        <v>-75.013000000000005</v>
      </c>
      <c r="AE22" s="77">
        <v>-5.6909999999999998</v>
      </c>
      <c r="AF22" s="77">
        <f>-29.544-AE22</f>
        <v>-23.853000000000002</v>
      </c>
      <c r="AG22" s="77">
        <f>-33.365-AF22-AE22</f>
        <v>-3.8210000000000006</v>
      </c>
      <c r="AH22" s="77">
        <f t="shared" ref="AH22:AH26" si="40">AI22-AG22-AF22-AE22</f>
        <v>-2.5469999999999997</v>
      </c>
      <c r="AI22" s="91">
        <v>-35.911999999999999</v>
      </c>
      <c r="AJ22" s="77">
        <v>-4.8120000000000003</v>
      </c>
      <c r="AK22" s="77">
        <f>-8.681-AJ22</f>
        <v>-3.8689999999999989</v>
      </c>
      <c r="AL22" s="77">
        <f>-10.273-AK22-AJ22</f>
        <v>-1.5920000000000005</v>
      </c>
      <c r="AM22" s="77">
        <f t="shared" ref="AM22:AM26" si="41">AN22-AL22-AK22-AJ22</f>
        <v>-5.47</v>
      </c>
      <c r="AN22" s="91">
        <v>-15.743</v>
      </c>
      <c r="AO22" s="77">
        <v>-5.6719999999999997</v>
      </c>
      <c r="AP22" s="77">
        <f>-8.183-AO22</f>
        <v>-2.5110000000000001</v>
      </c>
      <c r="AQ22" s="77">
        <f>-9.712-SUM(AO22:AP22)</f>
        <v>-1.5289999999999999</v>
      </c>
      <c r="AR22" s="359">
        <f>AS22-SUM(AO22:AQ22)</f>
        <v>-20.568000000000001</v>
      </c>
      <c r="AS22" s="91">
        <v>-30.28</v>
      </c>
      <c r="AT22" s="89">
        <v>-19.97</v>
      </c>
      <c r="AU22" s="89">
        <f>-48.303-AT22</f>
        <v>-28.332999999999998</v>
      </c>
      <c r="AV22" s="89">
        <f>-64.411-SUM(AT22:AU22)</f>
        <v>-16.108000000000004</v>
      </c>
      <c r="AW22" s="359">
        <f>AX22-SUM(AT22:AV22)</f>
        <v>-12.658000000000001</v>
      </c>
      <c r="AX22" s="91">
        <v>-77.069000000000003</v>
      </c>
      <c r="AY22" s="89">
        <v>-14.412000000000001</v>
      </c>
      <c r="AZ22" s="89">
        <f>-39.346-AY22</f>
        <v>-24.933999999999997</v>
      </c>
      <c r="BA22" s="89">
        <f>-62.677-SUM(AY22:AZ22)</f>
        <v>-23.331000000000003</v>
      </c>
      <c r="BB22" s="89">
        <f>+BC22-BA22-AZ22-AY22</f>
        <v>37.677</v>
      </c>
      <c r="BC22" s="91">
        <v>-25</v>
      </c>
      <c r="BD22" s="89">
        <f>BH22/4</f>
        <v>-6.25</v>
      </c>
      <c r="BE22" s="89">
        <f>+(BH22-BD22)/3</f>
        <v>-6.25</v>
      </c>
      <c r="BF22" s="89">
        <f>+(BH22-BE22-BD22)/2</f>
        <v>-6.25</v>
      </c>
      <c r="BG22" s="89">
        <f>+BH22-BF22-BE22-BD22</f>
        <v>-6.25</v>
      </c>
      <c r="BH22" s="91">
        <v>-25</v>
      </c>
      <c r="BI22" s="89">
        <f>BM22/4</f>
        <v>-6.25</v>
      </c>
      <c r="BJ22" s="89">
        <f>+(BM22-BI22)/3</f>
        <v>-6.25</v>
      </c>
      <c r="BK22" s="89">
        <f>+(BM22-BJ22-BI22)/2</f>
        <v>-6.25</v>
      </c>
      <c r="BL22" s="89">
        <f>+BM22-BK22-BJ22-BI22</f>
        <v>-6.25</v>
      </c>
      <c r="BM22" s="91">
        <v>-25</v>
      </c>
      <c r="BN22" s="89">
        <f>BR22/4</f>
        <v>-6.25</v>
      </c>
      <c r="BO22" s="89">
        <f>+(BR22-BN22)/3</f>
        <v>-6.25</v>
      </c>
      <c r="BP22" s="89">
        <f>+(BR22-BO22-BN22)/2</f>
        <v>-6.25</v>
      </c>
      <c r="BQ22" s="89">
        <f>+BR22-BP22-BO22-BN22</f>
        <v>-6.25</v>
      </c>
      <c r="BR22" s="91">
        <v>-25</v>
      </c>
    </row>
    <row r="23" spans="1:70" s="106" customFormat="1">
      <c r="A23" s="89"/>
      <c r="B23" s="92" t="s">
        <v>87</v>
      </c>
      <c r="C23" s="89"/>
      <c r="D23" s="89"/>
      <c r="E23" s="90"/>
      <c r="F23" s="89">
        <v>0.57299999999999995</v>
      </c>
      <c r="G23" s="89">
        <f>0.808-F23</f>
        <v>0.2350000000000001</v>
      </c>
      <c r="H23" s="89">
        <f>1.856-G23-F23</f>
        <v>1.048</v>
      </c>
      <c r="I23" s="89">
        <f t="shared" si="35"/>
        <v>-4.5000000000000151E-2</v>
      </c>
      <c r="J23" s="91">
        <v>1.8109999999999999</v>
      </c>
      <c r="K23" s="89">
        <v>0.89300000000000002</v>
      </c>
      <c r="L23" s="89">
        <f>3.422-K23</f>
        <v>2.5289999999999999</v>
      </c>
      <c r="M23" s="89">
        <f>6.526-L23-K23</f>
        <v>3.1040000000000001</v>
      </c>
      <c r="N23" s="89">
        <f t="shared" si="36"/>
        <v>3.5229999999999997</v>
      </c>
      <c r="O23" s="91">
        <v>10.048999999999999</v>
      </c>
      <c r="P23" s="89">
        <v>3.968</v>
      </c>
      <c r="Q23" s="89">
        <f>9.614-P23</f>
        <v>5.6460000000000008</v>
      </c>
      <c r="R23" s="89">
        <f>11.75-Q23-P23</f>
        <v>2.1359999999999992</v>
      </c>
      <c r="S23" s="89">
        <f t="shared" si="37"/>
        <v>9.0000000000003411E-3</v>
      </c>
      <c r="T23" s="91">
        <v>11.759</v>
      </c>
      <c r="U23" s="89">
        <v>0.23899999999999999</v>
      </c>
      <c r="V23" s="89">
        <f>2.359-U23</f>
        <v>2.12</v>
      </c>
      <c r="W23" s="89">
        <f>2.551-V23-U23</f>
        <v>0.19200000000000006</v>
      </c>
      <c r="X23" s="89">
        <f t="shared" si="38"/>
        <v>0.11199999999999954</v>
      </c>
      <c r="Y23" s="91">
        <v>2.6629999999999998</v>
      </c>
      <c r="Z23" s="89">
        <v>1.417</v>
      </c>
      <c r="AA23" s="89">
        <f>1.906-Z23</f>
        <v>0.48899999999999988</v>
      </c>
      <c r="AB23" s="89">
        <f>5.153-AA23-Z23</f>
        <v>3.2469999999999999</v>
      </c>
      <c r="AC23" s="77">
        <f t="shared" si="39"/>
        <v>0.18200000000000016</v>
      </c>
      <c r="AD23" s="91">
        <v>5.335</v>
      </c>
      <c r="AE23" s="77">
        <v>0.79800000000000004</v>
      </c>
      <c r="AF23" s="77">
        <f>1.122-AE23</f>
        <v>0.32400000000000007</v>
      </c>
      <c r="AG23" s="77">
        <f>2.22-AF23-AE23</f>
        <v>1.0980000000000001</v>
      </c>
      <c r="AH23" s="77">
        <f t="shared" si="40"/>
        <v>2.7600000000000007</v>
      </c>
      <c r="AI23" s="91">
        <v>4.9800000000000004</v>
      </c>
      <c r="AJ23" s="77">
        <v>0.93899999999999995</v>
      </c>
      <c r="AK23" s="77">
        <f>1.092-AJ23</f>
        <v>0.15300000000000014</v>
      </c>
      <c r="AL23" s="77">
        <f>1.139-AK23-AJ23</f>
        <v>4.6999999999999931E-2</v>
      </c>
      <c r="AM23" s="77">
        <f t="shared" si="41"/>
        <v>0.7599999999999999</v>
      </c>
      <c r="AN23" s="91">
        <v>1.899</v>
      </c>
      <c r="AO23" s="77">
        <v>0.25900000000000001</v>
      </c>
      <c r="AP23" s="77">
        <f>1.336-AO23</f>
        <v>1.077</v>
      </c>
      <c r="AQ23" s="77">
        <f>1.44-SUM(AO23:AP23)</f>
        <v>0.10400000000000009</v>
      </c>
      <c r="AR23" s="359">
        <f t="shared" ref="AR23:AR26" si="42">AS23-SUM(AO23:AQ23)</f>
        <v>1.3040000000000003</v>
      </c>
      <c r="AS23" s="91">
        <v>2.7440000000000002</v>
      </c>
      <c r="AT23" s="89">
        <v>3.3029999999999999</v>
      </c>
      <c r="AU23" s="89">
        <f>4.12-AT23</f>
        <v>0.81700000000000017</v>
      </c>
      <c r="AV23" s="89">
        <f>5.462-SUM(AT23:AU23)</f>
        <v>1.3419999999999996</v>
      </c>
      <c r="AW23" s="359">
        <f t="shared" ref="AW23:AW26" si="43">AX23-SUM(AT23:AV23)</f>
        <v>0.92499999999999982</v>
      </c>
      <c r="AX23" s="91">
        <v>6.3869999999999996</v>
      </c>
      <c r="AY23" s="89">
        <v>0.20100000000000001</v>
      </c>
      <c r="AZ23" s="89">
        <f>3.629-AY23</f>
        <v>3.4279999999999999</v>
      </c>
      <c r="BA23" s="468">
        <f>4.3-SUM(AY23:AZ23)</f>
        <v>0.67099999999999982</v>
      </c>
      <c r="BB23" s="89"/>
      <c r="BC23" s="91">
        <f t="shared" ref="BC23:BC26" si="44">SUM(AY23:BB23)</f>
        <v>4.3</v>
      </c>
      <c r="BD23" s="89"/>
      <c r="BE23" s="89"/>
      <c r="BF23" s="89"/>
      <c r="BG23" s="89"/>
      <c r="BH23" s="91">
        <f t="shared" ref="BH23:BH26" si="45">SUM(BD23:BG23)</f>
        <v>0</v>
      </c>
      <c r="BI23" s="89"/>
      <c r="BJ23" s="89"/>
      <c r="BK23" s="89"/>
      <c r="BL23" s="89"/>
      <c r="BM23" s="91">
        <f t="shared" ref="BM23:BM26" si="46">SUM(BI23:BL23)</f>
        <v>0</v>
      </c>
      <c r="BN23" s="89"/>
      <c r="BO23" s="89"/>
      <c r="BP23" s="89"/>
      <c r="BQ23" s="89"/>
      <c r="BR23" s="91">
        <f t="shared" ref="BR23:BR26" si="47">SUM(BN23:BQ23)</f>
        <v>0</v>
      </c>
    </row>
    <row r="24" spans="1:70" s="106" customFormat="1">
      <c r="A24" s="89"/>
      <c r="B24" s="200" t="s">
        <v>88</v>
      </c>
      <c r="C24" s="89"/>
      <c r="D24" s="89"/>
      <c r="E24" s="90"/>
      <c r="F24" s="89">
        <v>0.375</v>
      </c>
      <c r="G24" s="89">
        <f>0.525-F24</f>
        <v>0.15000000000000002</v>
      </c>
      <c r="H24" s="89">
        <f>6.918-G24-F24</f>
        <v>6.3929999999999998</v>
      </c>
      <c r="I24" s="89">
        <f t="shared" si="35"/>
        <v>0.14800000000000002</v>
      </c>
      <c r="J24" s="91">
        <v>7.0659999999999998</v>
      </c>
      <c r="K24" s="89">
        <v>0</v>
      </c>
      <c r="L24" s="89">
        <f>7.388-K24</f>
        <v>7.3879999999999999</v>
      </c>
      <c r="M24" s="89">
        <f>7.388-L24-K24</f>
        <v>0</v>
      </c>
      <c r="N24" s="89">
        <f t="shared" si="36"/>
        <v>22.802999999999997</v>
      </c>
      <c r="O24" s="91">
        <v>30.190999999999999</v>
      </c>
      <c r="P24" s="89">
        <v>-0.53500000000000003</v>
      </c>
      <c r="Q24" s="89">
        <f>16.553-P24</f>
        <v>17.088000000000001</v>
      </c>
      <c r="R24" s="89">
        <f>16.553-Q24-P24</f>
        <v>0</v>
      </c>
      <c r="S24" s="89">
        <f t="shared" si="37"/>
        <v>-0.53500000000000025</v>
      </c>
      <c r="T24" s="91">
        <f>-0.535+16.553</f>
        <v>16.018000000000001</v>
      </c>
      <c r="U24" s="89">
        <v>0</v>
      </c>
      <c r="V24" s="89">
        <v>0</v>
      </c>
      <c r="W24" s="89">
        <v>0</v>
      </c>
      <c r="X24" s="89">
        <f t="shared" si="38"/>
        <v>0</v>
      </c>
      <c r="Y24" s="91">
        <v>0</v>
      </c>
      <c r="Z24" s="89">
        <v>0</v>
      </c>
      <c r="AA24" s="89">
        <f>44.497-Z24</f>
        <v>44.497</v>
      </c>
      <c r="AB24" s="89">
        <f>44.497-AA24-Z24</f>
        <v>0</v>
      </c>
      <c r="AC24" s="77">
        <f t="shared" si="39"/>
        <v>0</v>
      </c>
      <c r="AD24" s="91">
        <v>44.497</v>
      </c>
      <c r="AE24" s="77">
        <v>0</v>
      </c>
      <c r="AF24" s="77">
        <v>0</v>
      </c>
      <c r="AG24" s="77">
        <v>0</v>
      </c>
      <c r="AH24" s="77">
        <f t="shared" si="40"/>
        <v>0</v>
      </c>
      <c r="AI24" s="91">
        <v>0</v>
      </c>
      <c r="AJ24" s="77"/>
      <c r="AK24" s="77"/>
      <c r="AL24" s="77"/>
      <c r="AM24" s="77">
        <f t="shared" si="41"/>
        <v>0</v>
      </c>
      <c r="AN24" s="91">
        <v>0</v>
      </c>
      <c r="AO24" s="77">
        <v>0</v>
      </c>
      <c r="AP24" s="77">
        <f>0-AO24</f>
        <v>0</v>
      </c>
      <c r="AQ24" s="77">
        <v>0</v>
      </c>
      <c r="AR24" s="359">
        <f t="shared" si="42"/>
        <v>0</v>
      </c>
      <c r="AS24" s="91"/>
      <c r="AT24" s="89">
        <v>3.0070000000000001</v>
      </c>
      <c r="AU24" s="89">
        <f>7.982-AT24</f>
        <v>4.9749999999999996</v>
      </c>
      <c r="AV24" s="89">
        <f>-13.841-SUM(AT24:AU24)</f>
        <v>-21.823</v>
      </c>
      <c r="AW24" s="359">
        <f t="shared" si="43"/>
        <v>35.162999999999997</v>
      </c>
      <c r="AX24" s="91">
        <v>21.321999999999999</v>
      </c>
      <c r="AY24" s="89">
        <v>3.3239999999999998</v>
      </c>
      <c r="AZ24" s="89">
        <f>8.131-AY24</f>
        <v>4.8070000000000004</v>
      </c>
      <c r="BA24" s="89">
        <f>11.078-SUM(AY24:AZ24)</f>
        <v>2.9469999999999992</v>
      </c>
      <c r="BB24" s="89"/>
      <c r="BC24" s="91">
        <f t="shared" si="44"/>
        <v>11.077999999999999</v>
      </c>
      <c r="BD24" s="89"/>
      <c r="BE24" s="89"/>
      <c r="BF24" s="89"/>
      <c r="BG24" s="89"/>
      <c r="BH24" s="91">
        <f t="shared" si="45"/>
        <v>0</v>
      </c>
      <c r="BI24" s="89"/>
      <c r="BJ24" s="89"/>
      <c r="BK24" s="89"/>
      <c r="BL24" s="89"/>
      <c r="BM24" s="91">
        <f t="shared" si="46"/>
        <v>0</v>
      </c>
      <c r="BN24" s="89"/>
      <c r="BO24" s="89"/>
      <c r="BP24" s="89"/>
      <c r="BQ24" s="89"/>
      <c r="BR24" s="91">
        <f t="shared" si="47"/>
        <v>0</v>
      </c>
    </row>
    <row r="25" spans="1:70" s="106" customFormat="1">
      <c r="A25" s="89"/>
      <c r="B25" s="92" t="s">
        <v>89</v>
      </c>
      <c r="C25" s="89"/>
      <c r="D25" s="89"/>
      <c r="E25" s="90"/>
      <c r="F25" s="89">
        <v>-23.523</v>
      </c>
      <c r="G25" s="89">
        <f>-23.523-F25</f>
        <v>0</v>
      </c>
      <c r="H25" s="89">
        <f>-23.541-G25-F25</f>
        <v>-1.8000000000000682E-2</v>
      </c>
      <c r="I25" s="89">
        <f t="shared" si="35"/>
        <v>-9.0000000000003411E-3</v>
      </c>
      <c r="J25" s="91">
        <v>-23.55</v>
      </c>
      <c r="K25" s="89">
        <v>-8.0000000000000002E-3</v>
      </c>
      <c r="L25" s="89">
        <f>-3.822-K25</f>
        <v>-3.8140000000000001</v>
      </c>
      <c r="M25" s="89">
        <f>-7.196-L25-K25</f>
        <v>-3.3739999999999997</v>
      </c>
      <c r="N25" s="89">
        <f t="shared" si="36"/>
        <v>0.37999999999999989</v>
      </c>
      <c r="O25" s="91">
        <v>-6.8159999999999998</v>
      </c>
      <c r="P25" s="89">
        <v>-1.2999999999999999E-2</v>
      </c>
      <c r="Q25" s="89">
        <f>-3.247-P25</f>
        <v>-3.234</v>
      </c>
      <c r="R25" s="89">
        <f>-3.263-Q25-P25</f>
        <v>-1.5999999999999917E-2</v>
      </c>
      <c r="S25" s="89">
        <f t="shared" si="37"/>
        <v>-1.6999999999999807E-2</v>
      </c>
      <c r="T25" s="91">
        <v>-3.28</v>
      </c>
      <c r="U25" s="89">
        <v>-6.5140000000000002</v>
      </c>
      <c r="V25" s="89">
        <f>-8.302-U25</f>
        <v>-1.7879999999999994</v>
      </c>
      <c r="W25" s="89">
        <f>-8.749-V25-U25</f>
        <v>-0.44700000000000095</v>
      </c>
      <c r="X25" s="89">
        <f t="shared" si="38"/>
        <v>4.8720000000000008</v>
      </c>
      <c r="Y25" s="91">
        <v>-3.8769999999999998</v>
      </c>
      <c r="Z25" s="89">
        <v>-0.67500000000000004</v>
      </c>
      <c r="AA25" s="89">
        <f>-0.033-Z25</f>
        <v>0.64200000000000002</v>
      </c>
      <c r="AB25" s="89">
        <f>-4.394-AA25-Z25</f>
        <v>-4.3610000000000007</v>
      </c>
      <c r="AC25" s="77">
        <f t="shared" si="39"/>
        <v>2.6180000000000012</v>
      </c>
      <c r="AD25" s="91">
        <v>-1.776</v>
      </c>
      <c r="AE25" s="77">
        <v>0.27700000000000002</v>
      </c>
      <c r="AF25" s="77">
        <f>4.877-AE25</f>
        <v>4.5999999999999996</v>
      </c>
      <c r="AG25" s="77">
        <f>5.798-AF25-AE25</f>
        <v>0.92100000000000037</v>
      </c>
      <c r="AH25" s="77">
        <f t="shared" si="40"/>
        <v>-7.2809999999999997</v>
      </c>
      <c r="AI25" s="91">
        <v>-1.4830000000000001</v>
      </c>
      <c r="AJ25" s="77">
        <v>-3.3050000000000002</v>
      </c>
      <c r="AK25" s="77">
        <f>+-3.599-AJ25</f>
        <v>-0.29400000000000004</v>
      </c>
      <c r="AL25" s="77">
        <f>-2.872-AK25-AJ25</f>
        <v>0.72700000000000031</v>
      </c>
      <c r="AM25" s="77">
        <f t="shared" si="41"/>
        <v>-1.7789999999999995</v>
      </c>
      <c r="AN25" s="91">
        <v>-4.6509999999999998</v>
      </c>
      <c r="AO25" s="77">
        <v>-9.6539999999999999</v>
      </c>
      <c r="AP25" s="77">
        <f>-1.547-AO25</f>
        <v>8.1069999999999993</v>
      </c>
      <c r="AQ25" s="77">
        <f>-48.657-SUM(AO25:AP25)</f>
        <v>-47.11</v>
      </c>
      <c r="AR25" s="359">
        <f t="shared" si="42"/>
        <v>94.381</v>
      </c>
      <c r="AS25" s="91">
        <v>45.723999999999997</v>
      </c>
      <c r="AT25" s="89">
        <v>-3.2879999999999998</v>
      </c>
      <c r="AU25" s="89">
        <f>-8.549-AT25</f>
        <v>-5.2609999999999992</v>
      </c>
      <c r="AV25" s="89">
        <f>14.302-SUM(AT25:AU25)</f>
        <v>22.850999999999999</v>
      </c>
      <c r="AW25" s="359">
        <f t="shared" si="43"/>
        <v>-35.15</v>
      </c>
      <c r="AX25" s="91">
        <v>-20.847999999999999</v>
      </c>
      <c r="AY25" s="89">
        <v>-8.3569999999999993</v>
      </c>
      <c r="AZ25" s="89">
        <f>-13.66-AY25</f>
        <v>-5.3030000000000008</v>
      </c>
      <c r="BA25" s="89">
        <f>-18.79-SUM(AY25:AZ25)</f>
        <v>-5.129999999999999</v>
      </c>
      <c r="BB25" s="89"/>
      <c r="BC25" s="91">
        <f t="shared" si="44"/>
        <v>-18.79</v>
      </c>
      <c r="BD25" s="89"/>
      <c r="BE25" s="89"/>
      <c r="BF25" s="89"/>
      <c r="BG25" s="89"/>
      <c r="BH25" s="91">
        <f t="shared" si="45"/>
        <v>0</v>
      </c>
      <c r="BI25" s="89"/>
      <c r="BJ25" s="89"/>
      <c r="BK25" s="89"/>
      <c r="BL25" s="89"/>
      <c r="BM25" s="91">
        <f t="shared" si="46"/>
        <v>0</v>
      </c>
      <c r="BN25" s="89"/>
      <c r="BO25" s="89"/>
      <c r="BP25" s="89"/>
      <c r="BQ25" s="89"/>
      <c r="BR25" s="91">
        <f t="shared" si="47"/>
        <v>0</v>
      </c>
    </row>
    <row r="26" spans="1:70" s="106" customFormat="1">
      <c r="A26" s="89"/>
      <c r="B26" s="92" t="s">
        <v>90</v>
      </c>
      <c r="C26" s="89"/>
      <c r="D26" s="89"/>
      <c r="E26" s="90"/>
      <c r="F26" s="89">
        <v>0.28499999999999998</v>
      </c>
      <c r="G26" s="89">
        <f>-0.146-F26</f>
        <v>-0.43099999999999994</v>
      </c>
      <c r="H26" s="89">
        <f>0.053-G26-F26</f>
        <v>0.19899999999999995</v>
      </c>
      <c r="I26" s="89">
        <f t="shared" si="35"/>
        <v>-5.2999999999999992E-2</v>
      </c>
      <c r="J26" s="91">
        <v>0</v>
      </c>
      <c r="K26" s="89"/>
      <c r="L26" s="89">
        <v>-2.7250000000000001</v>
      </c>
      <c r="M26" s="89">
        <f>0-L26-K26</f>
        <v>2.7250000000000001</v>
      </c>
      <c r="N26" s="89">
        <f t="shared" si="36"/>
        <v>0</v>
      </c>
      <c r="O26" s="91">
        <v>0</v>
      </c>
      <c r="P26" s="89">
        <v>16.553000000000001</v>
      </c>
      <c r="Q26" s="89">
        <f>-0.535-P26</f>
        <v>-17.088000000000001</v>
      </c>
      <c r="R26" s="89">
        <f>-0.535-Q26-P26</f>
        <v>0</v>
      </c>
      <c r="S26" s="89">
        <f t="shared" si="37"/>
        <v>0.53500000000000014</v>
      </c>
      <c r="T26" s="91">
        <v>0</v>
      </c>
      <c r="U26" s="89">
        <v>0</v>
      </c>
      <c r="V26" s="89">
        <v>0</v>
      </c>
      <c r="W26" s="89">
        <v>0</v>
      </c>
      <c r="X26" s="89">
        <f t="shared" si="38"/>
        <v>0</v>
      </c>
      <c r="Y26" s="91">
        <v>0</v>
      </c>
      <c r="Z26" s="89">
        <v>0</v>
      </c>
      <c r="AA26" s="89">
        <v>0</v>
      </c>
      <c r="AB26" s="89">
        <v>0</v>
      </c>
      <c r="AC26" s="77">
        <f t="shared" si="39"/>
        <v>0</v>
      </c>
      <c r="AD26" s="91">
        <v>0</v>
      </c>
      <c r="AE26" s="77"/>
      <c r="AF26" s="77"/>
      <c r="AG26" s="77"/>
      <c r="AH26" s="77">
        <f t="shared" si="40"/>
        <v>0</v>
      </c>
      <c r="AI26" s="91">
        <v>0</v>
      </c>
      <c r="AJ26" s="77"/>
      <c r="AK26" s="77"/>
      <c r="AL26" s="77"/>
      <c r="AM26" s="77">
        <f t="shared" si="41"/>
        <v>0</v>
      </c>
      <c r="AN26" s="91">
        <v>0</v>
      </c>
      <c r="AO26" s="77"/>
      <c r="AP26" s="77">
        <f>-9.297-AO26</f>
        <v>-9.2970000000000006</v>
      </c>
      <c r="AQ26" s="77">
        <f>33.08-SUM(AO26:AP26)</f>
        <v>42.376999999999995</v>
      </c>
      <c r="AR26" s="359">
        <f t="shared" si="42"/>
        <v>-92.676999999999992</v>
      </c>
      <c r="AS26" s="91">
        <f>-54.504-6.463+1.37</f>
        <v>-59.597000000000001</v>
      </c>
      <c r="AT26" s="89">
        <v>0</v>
      </c>
      <c r="AU26" s="89">
        <v>0</v>
      </c>
      <c r="AV26" s="89">
        <v>0</v>
      </c>
      <c r="AW26" s="359">
        <f t="shared" si="43"/>
        <v>0</v>
      </c>
      <c r="AX26" s="91">
        <v>0</v>
      </c>
      <c r="AY26" s="89">
        <v>0</v>
      </c>
      <c r="AZ26" s="89">
        <v>0</v>
      </c>
      <c r="BA26" s="89">
        <v>0</v>
      </c>
      <c r="BB26" s="89"/>
      <c r="BC26" s="91">
        <f t="shared" si="44"/>
        <v>0</v>
      </c>
      <c r="BD26" s="89"/>
      <c r="BE26" s="89"/>
      <c r="BF26" s="89"/>
      <c r="BG26" s="89"/>
      <c r="BH26" s="91">
        <f t="shared" si="45"/>
        <v>0</v>
      </c>
      <c r="BI26" s="89"/>
      <c r="BJ26" s="89"/>
      <c r="BK26" s="89"/>
      <c r="BL26" s="89"/>
      <c r="BM26" s="91">
        <f t="shared" si="46"/>
        <v>0</v>
      </c>
      <c r="BN26" s="89"/>
      <c r="BO26" s="89"/>
      <c r="BP26" s="89"/>
      <c r="BQ26" s="89"/>
      <c r="BR26" s="91">
        <f t="shared" si="47"/>
        <v>0</v>
      </c>
    </row>
    <row r="27" spans="1:70" s="217" customFormat="1" ht="13" thickBot="1">
      <c r="A27" s="210" t="s">
        <v>23</v>
      </c>
      <c r="B27" s="215"/>
      <c r="C27" s="216"/>
      <c r="D27" s="216"/>
      <c r="E27" s="212"/>
      <c r="F27" s="210">
        <f>SUM(F21:F26)</f>
        <v>-26.477999999999998</v>
      </c>
      <c r="G27" s="210">
        <f t="shared" ref="G27:I27" si="48">SUM(G21:G26)</f>
        <v>-11.100999999999999</v>
      </c>
      <c r="H27" s="210">
        <f t="shared" si="48"/>
        <v>-4.0000000000012248E-3</v>
      </c>
      <c r="I27" s="210">
        <f t="shared" si="48"/>
        <v>-39.947999999999993</v>
      </c>
      <c r="J27" s="236">
        <f>SUM(J21:J26)</f>
        <v>-77.531000000000006</v>
      </c>
      <c r="K27" s="237">
        <f>SUM(K21:K26)</f>
        <v>-81.667000000000002</v>
      </c>
      <c r="L27" s="237">
        <f t="shared" ref="L27:N27" si="49">SUM(L21:L26)</f>
        <v>-100.952</v>
      </c>
      <c r="M27" s="237">
        <f t="shared" si="49"/>
        <v>-191.22999999999996</v>
      </c>
      <c r="N27" s="237">
        <f t="shared" si="49"/>
        <v>-4.3720000000000345</v>
      </c>
      <c r="O27" s="236">
        <f>SUM(O21:O26)</f>
        <v>-378.22100000000006</v>
      </c>
      <c r="P27" s="237">
        <f>SUM(P21:P26)</f>
        <v>8.136000000000001</v>
      </c>
      <c r="Q27" s="237">
        <f t="shared" ref="Q27:R27" si="50">SUM(Q21:Q26)</f>
        <v>-7.5389999999999997</v>
      </c>
      <c r="R27" s="237">
        <f t="shared" si="50"/>
        <v>-9.8290000000000006</v>
      </c>
      <c r="S27" s="237">
        <f>SUM(S21:S26)</f>
        <v>-7.6229999999999958</v>
      </c>
      <c r="T27" s="236">
        <f>SUM(T21:T26)</f>
        <v>-16.854999999999997</v>
      </c>
      <c r="U27" s="237">
        <f>SUM(U21:U26)</f>
        <v>-18.454000000000001</v>
      </c>
      <c r="V27" s="237">
        <f t="shared" ref="V27:X27" si="51">SUM(V21:V26)</f>
        <v>-15.616</v>
      </c>
      <c r="W27" s="237">
        <f t="shared" si="51"/>
        <v>-11.938000000000002</v>
      </c>
      <c r="X27" s="237">
        <f t="shared" si="51"/>
        <v>2.4339999999999997</v>
      </c>
      <c r="Y27" s="236">
        <f>SUM(Y21:Y26)</f>
        <v>-43.574000000000005</v>
      </c>
      <c r="Z27" s="237">
        <f>SUM(Z21:Z26)</f>
        <v>-7.61</v>
      </c>
      <c r="AA27" s="237">
        <f t="shared" ref="AA27:AB27" si="52">SUM(AA21:AA26)</f>
        <v>27.25</v>
      </c>
      <c r="AB27" s="237">
        <f t="shared" si="52"/>
        <v>-12.161999999999999</v>
      </c>
      <c r="AC27" s="389">
        <f>SUM(AC21:AC26)</f>
        <v>-34.434999999999995</v>
      </c>
      <c r="AD27" s="236">
        <f>SUM(AD21:AD26)</f>
        <v>-26.957000000000011</v>
      </c>
      <c r="AE27" s="389">
        <f>SUM(AE21:AE26)</f>
        <v>-4.6159999999999997</v>
      </c>
      <c r="AF27" s="389">
        <f t="shared" ref="AF27:AG27" si="53">SUM(AF21:AF26)</f>
        <v>-18.929000000000002</v>
      </c>
      <c r="AG27" s="389">
        <f t="shared" si="53"/>
        <v>-1.8020000000000005</v>
      </c>
      <c r="AH27" s="389">
        <f>SUM(AH21:AH26)</f>
        <v>-7.0679999999999987</v>
      </c>
      <c r="AI27" s="236">
        <f>SUM(AI21:AI26)</f>
        <v>-32.414999999999999</v>
      </c>
      <c r="AJ27" s="389">
        <f>SUM(AJ21:AJ26)</f>
        <v>-7.1780000000000008</v>
      </c>
      <c r="AK27" s="389">
        <f t="shared" ref="AK27:AL27" si="54">SUM(AK21:AK26)</f>
        <v>-4.0099999999999989</v>
      </c>
      <c r="AL27" s="389">
        <f t="shared" si="54"/>
        <v>-0.81800000000000028</v>
      </c>
      <c r="AM27" s="389">
        <f>SUM(AM21:AM26)</f>
        <v>-6.488999999999999</v>
      </c>
      <c r="AN27" s="236">
        <f>SUM(AN21:AN26)</f>
        <v>-18.495000000000001</v>
      </c>
      <c r="AO27" s="389">
        <f>SUM(AO21:AO26)</f>
        <v>-15.067</v>
      </c>
      <c r="AP27" s="389">
        <f t="shared" ref="AP27:AR27" si="55">SUM(AP21:AP26)</f>
        <v>-2.6240000000000014</v>
      </c>
      <c r="AQ27" s="389">
        <f t="shared" si="55"/>
        <v>-6.1580000000000013</v>
      </c>
      <c r="AR27" s="371">
        <f t="shared" si="55"/>
        <v>-17.560000000000002</v>
      </c>
      <c r="AS27" s="236">
        <f>SUM(AS21:AS26)</f>
        <v>-41.409000000000006</v>
      </c>
      <c r="AT27" s="237">
        <f>SUM(AT21:AT26)</f>
        <v>-16.947999999999997</v>
      </c>
      <c r="AU27" s="237">
        <f t="shared" ref="AU27:AW27" si="56">SUM(AU21:AU26)</f>
        <v>-27.801999999999996</v>
      </c>
      <c r="AV27" s="237">
        <f t="shared" si="56"/>
        <v>-13.738000000000007</v>
      </c>
      <c r="AW27" s="237">
        <f t="shared" si="56"/>
        <v>-11.720000000000002</v>
      </c>
      <c r="AX27" s="236">
        <f>SUM(AX21:AX26)</f>
        <v>-70.207999999999998</v>
      </c>
      <c r="AY27" s="237">
        <f>SUM(AY21:AY26)</f>
        <v>-19.244</v>
      </c>
      <c r="AZ27" s="237">
        <f t="shared" ref="AZ27:BB27" si="57">SUM(AZ21:AZ26)</f>
        <v>-22.001999999999999</v>
      </c>
      <c r="BA27" s="237">
        <f t="shared" si="57"/>
        <v>-24.843000000000004</v>
      </c>
      <c r="BB27" s="237">
        <f t="shared" si="57"/>
        <v>37.677</v>
      </c>
      <c r="BC27" s="236">
        <f>SUM(BC21:BC26)</f>
        <v>-28.411999999999999</v>
      </c>
      <c r="BD27" s="237">
        <f>SUM(BD21:BD26)</f>
        <v>-6.25</v>
      </c>
      <c r="BE27" s="237">
        <f t="shared" ref="BE27:BG27" si="58">SUM(BE21:BE26)</f>
        <v>-6.25</v>
      </c>
      <c r="BF27" s="237">
        <f t="shared" si="58"/>
        <v>-6.25</v>
      </c>
      <c r="BG27" s="237">
        <f t="shared" si="58"/>
        <v>-6.25</v>
      </c>
      <c r="BH27" s="236">
        <f>SUM(BH21:BH26)</f>
        <v>-25</v>
      </c>
      <c r="BI27" s="237">
        <f>SUM(BI21:BI26)</f>
        <v>-6.25</v>
      </c>
      <c r="BJ27" s="237">
        <f t="shared" ref="BJ27:BL27" si="59">SUM(BJ21:BJ26)</f>
        <v>-6.25</v>
      </c>
      <c r="BK27" s="237">
        <f t="shared" si="59"/>
        <v>-6.25</v>
      </c>
      <c r="BL27" s="237">
        <f t="shared" si="59"/>
        <v>-6.25</v>
      </c>
      <c r="BM27" s="236">
        <f>SUM(BM21:BM26)</f>
        <v>-25</v>
      </c>
      <c r="BN27" s="237">
        <f>SUM(BN21:BN26)</f>
        <v>-6.25</v>
      </c>
      <c r="BO27" s="237">
        <f t="shared" ref="BO27:BQ27" si="60">SUM(BO21:BO26)</f>
        <v>-6.25</v>
      </c>
      <c r="BP27" s="237">
        <f t="shared" si="60"/>
        <v>-6.25</v>
      </c>
      <c r="BQ27" s="237">
        <f t="shared" si="60"/>
        <v>-6.25</v>
      </c>
      <c r="BR27" s="236">
        <f>SUM(BR21:BR26)</f>
        <v>-25</v>
      </c>
    </row>
    <row r="28" spans="1:70" ht="13" thickTop="1">
      <c r="A28" s="92"/>
      <c r="B28" s="89"/>
      <c r="C28" s="92"/>
      <c r="D28" s="92"/>
      <c r="E28" s="97"/>
      <c r="F28" s="88"/>
      <c r="G28" s="92"/>
      <c r="H28" s="92"/>
      <c r="I28" s="98"/>
      <c r="J28" s="99"/>
      <c r="K28" s="89"/>
      <c r="L28" s="89"/>
      <c r="M28" s="89"/>
      <c r="N28" s="98"/>
      <c r="O28" s="91"/>
      <c r="P28" s="89"/>
      <c r="Q28" s="89"/>
      <c r="R28" s="89"/>
      <c r="S28" s="98"/>
      <c r="T28" s="91"/>
      <c r="U28" s="89"/>
      <c r="V28" s="89"/>
      <c r="W28" s="89"/>
      <c r="X28" s="98"/>
      <c r="Y28" s="91"/>
      <c r="Z28" s="89"/>
      <c r="AA28" s="89"/>
      <c r="AB28" s="89"/>
      <c r="AC28" s="395"/>
      <c r="AD28" s="91"/>
      <c r="AE28" s="77"/>
      <c r="AF28" s="77"/>
      <c r="AG28" s="77"/>
      <c r="AH28" s="395"/>
      <c r="AI28" s="91"/>
      <c r="AJ28" s="77"/>
      <c r="AK28" s="77"/>
      <c r="AL28" s="77"/>
      <c r="AM28" s="395"/>
      <c r="AN28" s="91"/>
      <c r="AO28" s="77"/>
      <c r="AP28" s="77"/>
      <c r="AQ28" s="77"/>
      <c r="AR28" s="464"/>
      <c r="AS28" s="91"/>
      <c r="AT28" s="89"/>
      <c r="AU28" s="89"/>
      <c r="AV28" s="89"/>
      <c r="AW28" s="464"/>
      <c r="AX28" s="91"/>
      <c r="AY28" s="89"/>
      <c r="AZ28" s="89"/>
      <c r="BA28" s="89"/>
      <c r="BB28" s="98"/>
      <c r="BC28" s="91"/>
      <c r="BD28" s="89"/>
      <c r="BE28" s="89"/>
      <c r="BF28" s="89"/>
      <c r="BG28" s="98"/>
      <c r="BH28" s="91"/>
      <c r="BI28" s="89"/>
      <c r="BJ28" s="89"/>
      <c r="BK28" s="89"/>
      <c r="BL28" s="98"/>
      <c r="BM28" s="91"/>
      <c r="BN28" s="89"/>
      <c r="BO28" s="89"/>
      <c r="BP28" s="89"/>
      <c r="BQ28" s="98"/>
      <c r="BR28" s="91"/>
    </row>
    <row r="29" spans="1:70">
      <c r="A29" s="88" t="s">
        <v>24</v>
      </c>
      <c r="B29" s="89"/>
      <c r="C29" s="92"/>
      <c r="D29" s="92"/>
      <c r="E29" s="97"/>
      <c r="F29" s="94"/>
      <c r="G29" s="92"/>
      <c r="H29" s="92"/>
      <c r="I29" s="98"/>
      <c r="J29" s="95"/>
      <c r="K29" s="89"/>
      <c r="L29" s="89"/>
      <c r="M29" s="89"/>
      <c r="N29" s="98"/>
      <c r="O29" s="91"/>
      <c r="P29" s="89"/>
      <c r="Q29" s="89"/>
      <c r="R29" s="89"/>
      <c r="S29" s="98"/>
      <c r="T29" s="91"/>
      <c r="U29" s="89"/>
      <c r="V29" s="89"/>
      <c r="W29" s="89"/>
      <c r="X29" s="98"/>
      <c r="Y29" s="91"/>
      <c r="Z29" s="89"/>
      <c r="AA29" s="89"/>
      <c r="AB29" s="89"/>
      <c r="AC29" s="395"/>
      <c r="AD29" s="91"/>
      <c r="AE29" s="77"/>
      <c r="AF29" s="77"/>
      <c r="AG29" s="77"/>
      <c r="AH29" s="395"/>
      <c r="AI29" s="91"/>
      <c r="AJ29" s="77"/>
      <c r="AK29" s="77"/>
      <c r="AL29" s="77"/>
      <c r="AM29" s="395"/>
      <c r="AN29" s="91"/>
      <c r="AO29" s="77"/>
      <c r="AP29" s="77"/>
      <c r="AQ29" s="77"/>
      <c r="AR29" s="464"/>
      <c r="AS29" s="91"/>
      <c r="AT29" s="89"/>
      <c r="AU29" s="89"/>
      <c r="AV29" s="89"/>
      <c r="AW29" s="464"/>
      <c r="AX29" s="91"/>
      <c r="AY29" s="89"/>
      <c r="AZ29" s="89"/>
      <c r="BA29" s="89"/>
      <c r="BB29" s="98"/>
      <c r="BC29" s="91"/>
      <c r="BD29" s="89"/>
      <c r="BE29" s="89"/>
      <c r="BF29" s="89"/>
      <c r="BG29" s="98"/>
      <c r="BH29" s="91"/>
      <c r="BI29" s="89"/>
      <c r="BJ29" s="89"/>
      <c r="BK29" s="89"/>
      <c r="BL29" s="98"/>
      <c r="BM29" s="91"/>
      <c r="BN29" s="89"/>
      <c r="BO29" s="89"/>
      <c r="BP29" s="89"/>
      <c r="BQ29" s="98"/>
      <c r="BR29" s="91"/>
    </row>
    <row r="30" spans="1:70" s="106" customFormat="1">
      <c r="A30" s="92"/>
      <c r="B30" s="92" t="s">
        <v>91</v>
      </c>
      <c r="C30" s="92"/>
      <c r="D30" s="92"/>
      <c r="E30" s="107"/>
      <c r="F30" s="92">
        <v>4.6639999999999997</v>
      </c>
      <c r="G30" s="92">
        <f>8.724-F30</f>
        <v>4.0600000000000005</v>
      </c>
      <c r="H30" s="92">
        <f>8.724-G30-F30</f>
        <v>0</v>
      </c>
      <c r="I30" s="89">
        <f t="shared" ref="I30:I35" si="61">J30-H30-G30-F30</f>
        <v>295.85300000000001</v>
      </c>
      <c r="J30" s="95">
        <f>297.774+6.803</f>
        <v>304.577</v>
      </c>
      <c r="K30" s="89">
        <v>58.174999999999997</v>
      </c>
      <c r="L30" s="89">
        <f>258.175-K30</f>
        <v>200</v>
      </c>
      <c r="M30" s="89">
        <f>567.782-L30-K30</f>
        <v>309.60700000000003</v>
      </c>
      <c r="N30" s="89">
        <f t="shared" ref="N30:N35" si="62">O30-M30-L30-K30</f>
        <v>133.971</v>
      </c>
      <c r="O30" s="91">
        <v>701.75300000000004</v>
      </c>
      <c r="P30" s="89">
        <v>98.5</v>
      </c>
      <c r="Q30" s="89">
        <f>306.582-P30</f>
        <v>208.08199999999999</v>
      </c>
      <c r="R30" s="89">
        <f>511.579-Q30-P30</f>
        <v>204.99700000000001</v>
      </c>
      <c r="S30" s="89">
        <f t="shared" ref="S30:S35" si="63">T30-R30-Q30-P30</f>
        <v>176.84599999999995</v>
      </c>
      <c r="T30" s="91">
        <v>688.42499999999995</v>
      </c>
      <c r="U30" s="89">
        <v>293.01400000000001</v>
      </c>
      <c r="V30" s="89">
        <f>421.55-U30</f>
        <v>128.536</v>
      </c>
      <c r="W30" s="89">
        <f>571.285-V30-U30</f>
        <v>149.73499999999996</v>
      </c>
      <c r="X30" s="89">
        <f t="shared" ref="X30:X35" si="64">Y30-W30-V30-U30</f>
        <v>81.995000000000005</v>
      </c>
      <c r="Y30" s="91">
        <v>653.28</v>
      </c>
      <c r="Z30" s="89">
        <v>178.03800000000001</v>
      </c>
      <c r="AA30" s="89">
        <f>717.484-Z30</f>
        <v>539.44600000000003</v>
      </c>
      <c r="AB30" s="89">
        <f>993.01-AA30-Z30</f>
        <v>275.52599999999995</v>
      </c>
      <c r="AC30" s="77">
        <f t="shared" ref="AC30:AC35" si="65">AD30-AB30-AA30-Z30</f>
        <v>163.72900000000004</v>
      </c>
      <c r="AD30" s="91">
        <v>1156.739</v>
      </c>
      <c r="AE30" s="77">
        <v>280.2</v>
      </c>
      <c r="AF30" s="77">
        <f>473.49-AE30</f>
        <v>193.29000000000002</v>
      </c>
      <c r="AG30" s="77">
        <f>672.719-AF30-AE30</f>
        <v>199.22900000000004</v>
      </c>
      <c r="AH30" s="77">
        <f t="shared" ref="AH30:AH35" si="66">AI30-AG30-AF30-AE30</f>
        <v>340.48599999999993</v>
      </c>
      <c r="AI30" s="91">
        <v>1013.205</v>
      </c>
      <c r="AJ30" s="77">
        <v>299.78500000000003</v>
      </c>
      <c r="AK30" s="77">
        <f>200+711.092-AJ30</f>
        <v>611.30700000000002</v>
      </c>
      <c r="AL30" s="77">
        <f>1003.092-AK30-AJ30+200</f>
        <v>291.99999999999994</v>
      </c>
      <c r="AM30" s="77">
        <f t="shared" ref="AM30:AM35" si="67">AN30-AL30-AK30-AJ30</f>
        <v>350.80299999999994</v>
      </c>
      <c r="AN30" s="91">
        <f>1353.895+200</f>
        <v>1553.895</v>
      </c>
      <c r="AO30" s="77">
        <v>313.97699999999998</v>
      </c>
      <c r="AP30" s="77">
        <f>1276.457-AO30</f>
        <v>962.48000000000013</v>
      </c>
      <c r="AQ30" s="77">
        <f>1991.457-SUM(AO30:AP30)</f>
        <v>715</v>
      </c>
      <c r="AR30" s="359">
        <f>AS30-SUM(AO30:AQ30)</f>
        <v>169.92699999999991</v>
      </c>
      <c r="AS30" s="91">
        <v>2161.384</v>
      </c>
      <c r="AT30" s="89">
        <v>665</v>
      </c>
      <c r="AU30" s="89">
        <f>1246.677-AT30</f>
        <v>581.67699999999991</v>
      </c>
      <c r="AV30" s="89">
        <f>1502.177-SUM(AT30:AU30)</f>
        <v>255.5</v>
      </c>
      <c r="AW30" s="359">
        <f>AX30-SUM(AT30:AV30)</f>
        <v>250.98300000000017</v>
      </c>
      <c r="AX30" s="91">
        <v>1753.16</v>
      </c>
      <c r="AY30" s="89">
        <v>394</v>
      </c>
      <c r="AZ30" s="89">
        <f>716.139-AY30</f>
        <v>322.13900000000001</v>
      </c>
      <c r="BA30" s="89">
        <f>649.139-SUM(AY30:AZ30)</f>
        <v>-67</v>
      </c>
      <c r="BB30" s="89">
        <f>BS!BB32-BS!BA32</f>
        <v>10.747190210283861</v>
      </c>
      <c r="BC30" s="91">
        <f>SUM(AY30:BB30)</f>
        <v>659.88619021028387</v>
      </c>
      <c r="BD30" s="89">
        <f>BS!BD32-BS!BB32</f>
        <v>29.571940685966524</v>
      </c>
      <c r="BE30" s="89">
        <f>BS!BE32-BS!BD32</f>
        <v>44.448773180545572</v>
      </c>
      <c r="BF30" s="89">
        <f>BS!BF32-BS!BE32</f>
        <v>33.910161141129947</v>
      </c>
      <c r="BG30" s="89">
        <f>BS!BG32-BS!BF32</f>
        <v>8.5642963326120025</v>
      </c>
      <c r="BH30" s="91">
        <f>SUM(BD30:BG30)</f>
        <v>116.49517134025405</v>
      </c>
      <c r="BI30" s="89">
        <f>BS!BI32-BS!BG32</f>
        <v>-4.9424034395468652</v>
      </c>
      <c r="BJ30" s="89">
        <f>BS!BJ32-BS!BI32</f>
        <v>-27.052688210523684</v>
      </c>
      <c r="BK30" s="89">
        <f>BS!BK32-BS!BJ32</f>
        <v>-30.556281998429085</v>
      </c>
      <c r="BL30" s="89">
        <f>BS!BL32-BS!BK32</f>
        <v>-23.93913628370683</v>
      </c>
      <c r="BM30" s="91">
        <f>SUM(BI30:BL30)</f>
        <v>-86.490509932206464</v>
      </c>
      <c r="BN30" s="89">
        <f>BS!BN32-BS!BL32</f>
        <v>-6.8328720818441298</v>
      </c>
      <c r="BO30" s="89">
        <f>BS!BO32-BS!BN32</f>
        <v>-30.036237145687551</v>
      </c>
      <c r="BP30" s="89">
        <f>BS!BP32-BS!BO32</f>
        <v>-25.923815120198014</v>
      </c>
      <c r="BQ30" s="89">
        <f>BS!BQ32-BS!BP32</f>
        <v>-23.697585584476769</v>
      </c>
      <c r="BR30" s="91">
        <f>SUM(BN30:BQ30)</f>
        <v>-86.490509932206464</v>
      </c>
    </row>
    <row r="31" spans="1:70" s="106" customFormat="1">
      <c r="A31" s="92"/>
      <c r="B31" s="92" t="s">
        <v>92</v>
      </c>
      <c r="C31" s="92"/>
      <c r="D31" s="100"/>
      <c r="E31" s="107"/>
      <c r="F31" s="101">
        <v>-7.91</v>
      </c>
      <c r="G31" s="92">
        <f>-16.181-F31</f>
        <v>-8.2710000000000008</v>
      </c>
      <c r="H31" s="100">
        <f>-28.803-G31-F31</f>
        <v>-12.622</v>
      </c>
      <c r="I31" s="89">
        <f t="shared" si="61"/>
        <v>-6.9569999999999972</v>
      </c>
      <c r="J31" s="95">
        <v>-35.76</v>
      </c>
      <c r="K31" s="89">
        <v>-33.119</v>
      </c>
      <c r="L31" s="89">
        <f>-36.621-K31</f>
        <v>-3.5020000000000024</v>
      </c>
      <c r="M31" s="89">
        <f>-263.059-L31-K31</f>
        <v>-226.43800000000002</v>
      </c>
      <c r="N31" s="89">
        <f t="shared" si="62"/>
        <v>-291.91000000000008</v>
      </c>
      <c r="O31" s="91">
        <v>-554.96900000000005</v>
      </c>
      <c r="P31" s="89">
        <v>-95.106999999999999</v>
      </c>
      <c r="Q31" s="89">
        <f>-290.917-P31</f>
        <v>-195.80999999999997</v>
      </c>
      <c r="R31" s="89">
        <f>-485.543-Q31-P31</f>
        <v>-194.62600000000006</v>
      </c>
      <c r="S31" s="89">
        <f t="shared" si="63"/>
        <v>-140.57899999999989</v>
      </c>
      <c r="T31" s="91">
        <v>-626.12199999999996</v>
      </c>
      <c r="U31" s="89">
        <v>-225.684</v>
      </c>
      <c r="V31" s="89">
        <f>-374.987-U31</f>
        <v>-149.30300000000003</v>
      </c>
      <c r="W31" s="89">
        <f>-536.227-V31-U31</f>
        <v>-161.23999999999998</v>
      </c>
      <c r="X31" s="89">
        <f t="shared" si="64"/>
        <v>-140.56799999999996</v>
      </c>
      <c r="Y31" s="91">
        <v>-676.79499999999996</v>
      </c>
      <c r="Z31" s="89">
        <v>-113.551</v>
      </c>
      <c r="AA31" s="89">
        <f>-649.282-Z31</f>
        <v>-535.73099999999999</v>
      </c>
      <c r="AB31" s="89">
        <f>-808.611-AA31-Z31</f>
        <v>-159.32900000000001</v>
      </c>
      <c r="AC31" s="77">
        <f t="shared" si="65"/>
        <v>-217.738</v>
      </c>
      <c r="AD31" s="91">
        <v>-1026.3489999999999</v>
      </c>
      <c r="AE31" s="77">
        <v>-262.11200000000002</v>
      </c>
      <c r="AF31" s="77">
        <f>-446.239-AE31</f>
        <v>-184.12699999999995</v>
      </c>
      <c r="AG31" s="77">
        <f>-706.113-AF31-AE31</f>
        <v>-259.87400000000008</v>
      </c>
      <c r="AH31" s="77">
        <f t="shared" si="66"/>
        <v>-348.2580000000001</v>
      </c>
      <c r="AI31" s="91">
        <v>-1054.3710000000001</v>
      </c>
      <c r="AJ31" s="77">
        <v>-287.48399999999998</v>
      </c>
      <c r="AK31" s="77">
        <f>-871.654-AJ31</f>
        <v>-584.17000000000007</v>
      </c>
      <c r="AL31" s="77">
        <f>-1174.679-AK31-AJ31</f>
        <v>-303.02500000000003</v>
      </c>
      <c r="AM31" s="77">
        <f t="shared" si="67"/>
        <v>-388.00499999999982</v>
      </c>
      <c r="AN31" s="91">
        <v>-1562.684</v>
      </c>
      <c r="AO31" s="77">
        <v>-296.48500000000001</v>
      </c>
      <c r="AP31" s="77">
        <f>-1171.954-AO31</f>
        <v>-875.46899999999994</v>
      </c>
      <c r="AQ31" s="77">
        <f>-1866.072-SUM(AO31:AP31)</f>
        <v>-694.11799999999994</v>
      </c>
      <c r="AR31" s="359">
        <f t="shared" ref="AR31:AR35" si="68">AS31-SUM(AO31:AQ31)</f>
        <v>-328.99600000000032</v>
      </c>
      <c r="AS31" s="91">
        <v>-2195.0680000000002</v>
      </c>
      <c r="AT31" s="89">
        <v>-586.55899999999997</v>
      </c>
      <c r="AU31" s="89">
        <f>-1165.283-AT31</f>
        <v>-578.72399999999993</v>
      </c>
      <c r="AV31" s="89">
        <f>-1444.76-SUM(AT31:AU31)</f>
        <v>-279.47700000000009</v>
      </c>
      <c r="AW31" s="359">
        <f t="shared" ref="AW31:AW35" si="69">AX31-SUM(AT31:AV31)</f>
        <v>-293.55400000000009</v>
      </c>
      <c r="AX31" s="91">
        <v>-1738.3140000000001</v>
      </c>
      <c r="AY31" s="89">
        <v>-259.69099999999997</v>
      </c>
      <c r="AZ31" s="89">
        <f>-527.159-AY31</f>
        <v>-267.46800000000002</v>
      </c>
      <c r="BA31" s="89">
        <f>-583.039-SUM(AY31:AZ31)</f>
        <v>-55.879999999999995</v>
      </c>
      <c r="BB31" s="89">
        <v>0</v>
      </c>
      <c r="BC31" s="91">
        <f t="shared" ref="BC31:BC35" si="70">SUM(AY31:BB31)</f>
        <v>-583.03899999999999</v>
      </c>
      <c r="BD31" s="89">
        <v>0</v>
      </c>
      <c r="BE31" s="89">
        <v>0</v>
      </c>
      <c r="BF31" s="89">
        <v>0</v>
      </c>
      <c r="BG31" s="89">
        <v>0</v>
      </c>
      <c r="BH31" s="91">
        <f t="shared" ref="BH31:BH35" si="71">SUM(BD31:BG31)</f>
        <v>0</v>
      </c>
      <c r="BI31" s="89">
        <v>0</v>
      </c>
      <c r="BJ31" s="89">
        <v>0</v>
      </c>
      <c r="BK31" s="89">
        <v>0</v>
      </c>
      <c r="BL31" s="89">
        <v>0</v>
      </c>
      <c r="BM31" s="91">
        <f t="shared" ref="BM31:BM35" si="72">SUM(BI31:BL31)</f>
        <v>0</v>
      </c>
      <c r="BN31" s="89">
        <v>0</v>
      </c>
      <c r="BO31" s="89">
        <v>0</v>
      </c>
      <c r="BP31" s="89">
        <v>0</v>
      </c>
      <c r="BQ31" s="89">
        <v>0</v>
      </c>
      <c r="BR31" s="91">
        <f t="shared" ref="BR31:BR35" si="73">SUM(BN31:BQ31)</f>
        <v>0</v>
      </c>
    </row>
    <row r="32" spans="1:70" s="106" customFormat="1">
      <c r="A32" s="92"/>
      <c r="B32" s="92" t="s">
        <v>96</v>
      </c>
      <c r="C32" s="92"/>
      <c r="D32" s="100"/>
      <c r="E32" s="107"/>
      <c r="F32" s="101">
        <v>0</v>
      </c>
      <c r="G32" s="92">
        <v>-11.2</v>
      </c>
      <c r="H32" s="100">
        <f>-39.391-G32-F32</f>
        <v>-28.190999999999999</v>
      </c>
      <c r="I32" s="89">
        <f t="shared" si="61"/>
        <v>0</v>
      </c>
      <c r="J32" s="95">
        <v>-39.390999999999998</v>
      </c>
      <c r="K32" s="89">
        <v>0</v>
      </c>
      <c r="L32" s="89">
        <v>0</v>
      </c>
      <c r="M32" s="89">
        <v>0</v>
      </c>
      <c r="N32" s="89">
        <f t="shared" si="62"/>
        <v>0</v>
      </c>
      <c r="O32" s="91">
        <v>0</v>
      </c>
      <c r="P32" s="89">
        <v>0</v>
      </c>
      <c r="Q32" s="89">
        <v>0</v>
      </c>
      <c r="R32" s="89">
        <v>0</v>
      </c>
      <c r="S32" s="89">
        <f t="shared" si="63"/>
        <v>0</v>
      </c>
      <c r="T32" s="91">
        <v>0</v>
      </c>
      <c r="U32" s="89">
        <v>0</v>
      </c>
      <c r="V32" s="89">
        <v>0</v>
      </c>
      <c r="W32" s="89">
        <v>0</v>
      </c>
      <c r="X32" s="89">
        <f t="shared" si="64"/>
        <v>0</v>
      </c>
      <c r="Y32" s="91">
        <v>0</v>
      </c>
      <c r="Z32" s="89">
        <v>0</v>
      </c>
      <c r="AA32" s="89">
        <v>0</v>
      </c>
      <c r="AB32" s="89">
        <v>0</v>
      </c>
      <c r="AC32" s="77">
        <f t="shared" si="65"/>
        <v>0</v>
      </c>
      <c r="AD32" s="91">
        <v>0</v>
      </c>
      <c r="AE32" s="77"/>
      <c r="AF32" s="77"/>
      <c r="AG32" s="77">
        <v>0</v>
      </c>
      <c r="AH32" s="77">
        <f t="shared" si="66"/>
        <v>0</v>
      </c>
      <c r="AI32" s="91">
        <v>0</v>
      </c>
      <c r="AJ32" s="77"/>
      <c r="AK32" s="77"/>
      <c r="AL32" s="77"/>
      <c r="AM32" s="77">
        <f t="shared" si="67"/>
        <v>0</v>
      </c>
      <c r="AN32" s="91">
        <v>0</v>
      </c>
      <c r="AO32" s="77">
        <v>0</v>
      </c>
      <c r="AP32" s="77"/>
      <c r="AQ32" s="77"/>
      <c r="AR32" s="359">
        <f t="shared" si="68"/>
        <v>0</v>
      </c>
      <c r="AS32" s="91"/>
      <c r="AT32" s="89"/>
      <c r="AU32" s="89"/>
      <c r="AV32" s="89"/>
      <c r="AW32" s="359">
        <f t="shared" si="69"/>
        <v>0</v>
      </c>
      <c r="AX32" s="91">
        <v>0</v>
      </c>
      <c r="AY32" s="89"/>
      <c r="AZ32" s="89"/>
      <c r="BA32" s="89"/>
      <c r="BB32" s="89"/>
      <c r="BC32" s="91">
        <f t="shared" si="70"/>
        <v>0</v>
      </c>
      <c r="BD32" s="89"/>
      <c r="BE32" s="89"/>
      <c r="BF32" s="89"/>
      <c r="BG32" s="89"/>
      <c r="BH32" s="91">
        <f t="shared" si="71"/>
        <v>0</v>
      </c>
      <c r="BI32" s="89"/>
      <c r="BJ32" s="89"/>
      <c r="BK32" s="89"/>
      <c r="BL32" s="89"/>
      <c r="BM32" s="91">
        <f t="shared" si="72"/>
        <v>0</v>
      </c>
      <c r="BN32" s="89"/>
      <c r="BO32" s="89"/>
      <c r="BP32" s="89"/>
      <c r="BQ32" s="89"/>
      <c r="BR32" s="91">
        <f t="shared" si="73"/>
        <v>0</v>
      </c>
    </row>
    <row r="33" spans="1:70" s="108" customFormat="1">
      <c r="A33" s="103"/>
      <c r="B33" s="92" t="s">
        <v>93</v>
      </c>
      <c r="C33" s="100"/>
      <c r="D33" s="100"/>
      <c r="E33" s="107"/>
      <c r="F33" s="100">
        <v>-0.20300000000000001</v>
      </c>
      <c r="G33" s="100">
        <f>0.063-F33</f>
        <v>0.26600000000000001</v>
      </c>
      <c r="H33" s="100">
        <f>-0.325-G33-F33</f>
        <v>-0.38799999999999996</v>
      </c>
      <c r="I33" s="89">
        <f t="shared" si="61"/>
        <v>0</v>
      </c>
      <c r="J33" s="99">
        <v>-0.32500000000000001</v>
      </c>
      <c r="K33" s="103">
        <v>0</v>
      </c>
      <c r="L33" s="103">
        <f>0.256-K33</f>
        <v>0.25600000000000001</v>
      </c>
      <c r="M33" s="103">
        <f>-0.044-L33-K33</f>
        <v>-0.3</v>
      </c>
      <c r="N33" s="89">
        <f t="shared" si="62"/>
        <v>-0.14700000000000002</v>
      </c>
      <c r="O33" s="91">
        <v>-0.191</v>
      </c>
      <c r="P33" s="103">
        <v>-0.307</v>
      </c>
      <c r="Q33" s="103">
        <f>-0.307-P33</f>
        <v>0</v>
      </c>
      <c r="R33" s="103">
        <f>-0.307-Q33-P33</f>
        <v>0</v>
      </c>
      <c r="S33" s="89">
        <f t="shared" si="63"/>
        <v>-1.0000000000000009E-3</v>
      </c>
      <c r="T33" s="91">
        <v>-0.308</v>
      </c>
      <c r="U33" s="103">
        <v>-0.159</v>
      </c>
      <c r="V33" s="103">
        <f>0.341-U33</f>
        <v>0.5</v>
      </c>
      <c r="W33" s="103">
        <f>-0.786-V33-U33</f>
        <v>-1.127</v>
      </c>
      <c r="X33" s="89">
        <f t="shared" si="64"/>
        <v>-1.0959999999999999</v>
      </c>
      <c r="Y33" s="91">
        <v>-1.8819999999999999</v>
      </c>
      <c r="Z33" s="103">
        <v>-1.575</v>
      </c>
      <c r="AA33" s="103">
        <f>-1.531-Z33</f>
        <v>4.4000000000000039E-2</v>
      </c>
      <c r="AB33" s="103">
        <f>-1.692-AA33-Z33</f>
        <v>-0.16100000000000003</v>
      </c>
      <c r="AC33" s="77">
        <f t="shared" si="65"/>
        <v>-7.8999999999999959E-2</v>
      </c>
      <c r="AD33" s="91">
        <v>-1.7709999999999999</v>
      </c>
      <c r="AE33" s="253">
        <v>-0.77300000000000002</v>
      </c>
      <c r="AF33" s="253">
        <f>-0.776-AE33</f>
        <v>-3.0000000000000027E-3</v>
      </c>
      <c r="AG33" s="253">
        <f>0.186-AF33-AE33</f>
        <v>0.96199999999999997</v>
      </c>
      <c r="AH33" s="77">
        <f t="shared" si="66"/>
        <v>-0.99399999999999988</v>
      </c>
      <c r="AI33" s="91">
        <v>-0.80800000000000005</v>
      </c>
      <c r="AJ33" s="253"/>
      <c r="AK33" s="253"/>
      <c r="AL33" s="253"/>
      <c r="AM33" s="77">
        <f t="shared" si="67"/>
        <v>-0.58399999999999996</v>
      </c>
      <c r="AN33" s="91">
        <v>-0.58399999999999996</v>
      </c>
      <c r="AO33" s="253">
        <v>-10.808999999999999</v>
      </c>
      <c r="AP33" s="253">
        <f>-10.809-AO33</f>
        <v>0</v>
      </c>
      <c r="AQ33" s="253">
        <f>-11.147-SUM(AO33:AP33)</f>
        <v>-0.33800000000000097</v>
      </c>
      <c r="AR33" s="359">
        <f t="shared" si="68"/>
        <v>-0.62199999999999989</v>
      </c>
      <c r="AS33" s="91">
        <v>-11.769</v>
      </c>
      <c r="AT33" s="103">
        <v>-2.3079999999999998</v>
      </c>
      <c r="AU33" s="89">
        <f>-2.458-AT33</f>
        <v>-0.15000000000000036</v>
      </c>
      <c r="AV33" s="103">
        <f>-2.671-SUM(AT33:AU33)</f>
        <v>-0.21299999999999963</v>
      </c>
      <c r="AW33" s="359">
        <f t="shared" si="69"/>
        <v>0</v>
      </c>
      <c r="AX33" s="91">
        <v>-2.6709999999999998</v>
      </c>
      <c r="AY33" s="103">
        <v>-2.3639999999999999</v>
      </c>
      <c r="AZ33" s="103">
        <f>-2.363-AY33</f>
        <v>9.9999999999988987E-4</v>
      </c>
      <c r="BA33" s="469">
        <f>0-SUM(AY33:AZ33)</f>
        <v>2.363</v>
      </c>
      <c r="BB33" s="89"/>
      <c r="BC33" s="91">
        <f t="shared" si="70"/>
        <v>0</v>
      </c>
      <c r="BD33" s="103"/>
      <c r="BE33" s="103"/>
      <c r="BF33" s="103"/>
      <c r="BG33" s="89"/>
      <c r="BH33" s="91">
        <f t="shared" si="71"/>
        <v>0</v>
      </c>
      <c r="BI33" s="103"/>
      <c r="BJ33" s="103"/>
      <c r="BK33" s="103"/>
      <c r="BL33" s="89"/>
      <c r="BM33" s="91">
        <f t="shared" si="72"/>
        <v>0</v>
      </c>
      <c r="BN33" s="103"/>
      <c r="BO33" s="103"/>
      <c r="BP33" s="103"/>
      <c r="BQ33" s="89"/>
      <c r="BR33" s="91">
        <f t="shared" si="73"/>
        <v>0</v>
      </c>
    </row>
    <row r="34" spans="1:70" s="106" customFormat="1">
      <c r="A34" s="89"/>
      <c r="B34" s="92" t="s">
        <v>94</v>
      </c>
      <c r="C34" s="89"/>
      <c r="D34" s="89"/>
      <c r="E34" s="90"/>
      <c r="F34" s="89">
        <v>-1.1639999999999999</v>
      </c>
      <c r="G34" s="89">
        <f>-1.608-F34</f>
        <v>-0.44400000000000017</v>
      </c>
      <c r="H34" s="89">
        <f>-1.905-G34-F34</f>
        <v>-0.29699999999999993</v>
      </c>
      <c r="I34" s="89">
        <f t="shared" si="61"/>
        <v>1.905</v>
      </c>
      <c r="J34" s="91">
        <v>0</v>
      </c>
      <c r="K34" s="89">
        <v>0</v>
      </c>
      <c r="L34" s="89">
        <v>0</v>
      </c>
      <c r="M34" s="89">
        <v>0</v>
      </c>
      <c r="N34" s="89">
        <f t="shared" si="62"/>
        <v>0</v>
      </c>
      <c r="O34" s="91">
        <v>0</v>
      </c>
      <c r="P34" s="89">
        <v>0</v>
      </c>
      <c r="Q34" s="89">
        <v>0</v>
      </c>
      <c r="R34" s="89">
        <v>0</v>
      </c>
      <c r="S34" s="89">
        <f t="shared" si="63"/>
        <v>0</v>
      </c>
      <c r="T34" s="91">
        <v>0</v>
      </c>
      <c r="U34" s="89">
        <v>0</v>
      </c>
      <c r="V34" s="89">
        <v>0</v>
      </c>
      <c r="W34" s="89">
        <v>0</v>
      </c>
      <c r="X34" s="89">
        <f t="shared" si="64"/>
        <v>0</v>
      </c>
      <c r="Y34" s="91">
        <v>0</v>
      </c>
      <c r="Z34" s="89">
        <v>0</v>
      </c>
      <c r="AA34" s="89">
        <v>0</v>
      </c>
      <c r="AB34" s="89">
        <v>0</v>
      </c>
      <c r="AC34" s="77">
        <f t="shared" si="65"/>
        <v>-3.681</v>
      </c>
      <c r="AD34" s="91">
        <v>-3.681</v>
      </c>
      <c r="AE34" s="77"/>
      <c r="AF34" s="77"/>
      <c r="AG34" s="77">
        <v>0</v>
      </c>
      <c r="AH34" s="77">
        <f t="shared" si="66"/>
        <v>0</v>
      </c>
      <c r="AI34" s="91">
        <v>0</v>
      </c>
      <c r="AJ34" s="77"/>
      <c r="AK34" s="77"/>
      <c r="AL34" s="77"/>
      <c r="AM34" s="77">
        <f t="shared" si="67"/>
        <v>0</v>
      </c>
      <c r="AN34" s="91">
        <v>0</v>
      </c>
      <c r="AO34" s="77">
        <v>0</v>
      </c>
      <c r="AP34" s="77">
        <f>-13.309-AO34</f>
        <v>-13.308999999999999</v>
      </c>
      <c r="AQ34" s="77">
        <f>-15.268-SUM(AO34:AP34)</f>
        <v>-1.9590000000000014</v>
      </c>
      <c r="AR34" s="359">
        <f t="shared" si="68"/>
        <v>2.0000000000006679E-3</v>
      </c>
      <c r="AS34" s="91">
        <v>-15.266</v>
      </c>
      <c r="AT34" s="89">
        <v>0</v>
      </c>
      <c r="AU34" s="89"/>
      <c r="AV34" s="89"/>
      <c r="AW34" s="359">
        <f t="shared" si="69"/>
        <v>0</v>
      </c>
      <c r="AX34" s="91">
        <v>0</v>
      </c>
      <c r="AY34" s="89"/>
      <c r="AZ34" s="89"/>
      <c r="BA34" s="89"/>
      <c r="BB34" s="89"/>
      <c r="BC34" s="91">
        <f t="shared" si="70"/>
        <v>0</v>
      </c>
      <c r="BD34" s="89"/>
      <c r="BE34" s="89"/>
      <c r="BF34" s="89"/>
      <c r="BG34" s="89"/>
      <c r="BH34" s="91">
        <f t="shared" si="71"/>
        <v>0</v>
      </c>
      <c r="BI34" s="89"/>
      <c r="BJ34" s="89"/>
      <c r="BK34" s="89"/>
      <c r="BL34" s="89"/>
      <c r="BM34" s="91">
        <f t="shared" si="72"/>
        <v>0</v>
      </c>
      <c r="BN34" s="89"/>
      <c r="BO34" s="89"/>
      <c r="BP34" s="89"/>
      <c r="BQ34" s="89"/>
      <c r="BR34" s="91">
        <f t="shared" si="73"/>
        <v>0</v>
      </c>
    </row>
    <row r="35" spans="1:70" s="106" customFormat="1">
      <c r="A35" s="89"/>
      <c r="B35" s="92" t="s">
        <v>97</v>
      </c>
      <c r="C35" s="89"/>
      <c r="D35" s="89"/>
      <c r="E35" s="90"/>
      <c r="F35" s="89">
        <v>0</v>
      </c>
      <c r="G35" s="89">
        <v>0</v>
      </c>
      <c r="H35" s="89">
        <v>0</v>
      </c>
      <c r="I35" s="89">
        <f t="shared" si="61"/>
        <v>-54.772999999999996</v>
      </c>
      <c r="J35" s="91">
        <f>-47.09-7.901+0.218</f>
        <v>-54.772999999999996</v>
      </c>
      <c r="K35" s="89">
        <f>0.018-0.025</f>
        <v>-7.0000000000000027E-3</v>
      </c>
      <c r="L35" s="89">
        <f>-2.233+0.018-K35</f>
        <v>-2.2080000000000002</v>
      </c>
      <c r="M35" s="89">
        <f>-4.989+0.018-L35-K35</f>
        <v>-2.7559999999999998</v>
      </c>
      <c r="N35" s="89">
        <f t="shared" si="62"/>
        <v>-1.4999999999999795E-2</v>
      </c>
      <c r="O35" s="91">
        <f>-5.004+0.018</f>
        <v>-4.9859999999999998</v>
      </c>
      <c r="P35" s="89">
        <v>-0.01</v>
      </c>
      <c r="Q35" s="89">
        <f>-0.01-P35-2.932</f>
        <v>-2.9319999999999999</v>
      </c>
      <c r="R35" s="89">
        <f>-1.993-10.09-Q35-P35</f>
        <v>-9.141</v>
      </c>
      <c r="S35" s="89">
        <f t="shared" si="63"/>
        <v>-1.3780000000000003</v>
      </c>
      <c r="T35" s="91">
        <f>-1.999-11.462</f>
        <v>-13.461</v>
      </c>
      <c r="U35" s="89">
        <v>0</v>
      </c>
      <c r="V35" s="89">
        <f>0.358-U35</f>
        <v>0.35799999999999998</v>
      </c>
      <c r="W35" s="89">
        <f>-17.716+0.356-V35-U35</f>
        <v>-17.718</v>
      </c>
      <c r="X35" s="89">
        <f t="shared" si="64"/>
        <v>-12.530000000000001</v>
      </c>
      <c r="Y35" s="91">
        <f>-31.038+1.148</f>
        <v>-29.89</v>
      </c>
      <c r="Z35" s="89">
        <v>-1.0309999999999999</v>
      </c>
      <c r="AA35" s="89">
        <f>-1.26-3.681-Z35</f>
        <v>-3.91</v>
      </c>
      <c r="AB35" s="89">
        <f>-26.43+0.656-3.681-AA35-Z35</f>
        <v>-24.514000000000003</v>
      </c>
      <c r="AC35" s="77">
        <f t="shared" si="65"/>
        <v>3.8120000000000021</v>
      </c>
      <c r="AD35" s="91">
        <f>+-26.43+0.787</f>
        <v>-25.643000000000001</v>
      </c>
      <c r="AE35" s="77"/>
      <c r="AF35" s="77">
        <f>0.162-AE35</f>
        <v>0.16200000000000001</v>
      </c>
      <c r="AG35" s="77">
        <f>-0.808-AF35-AE35</f>
        <v>-0.97000000000000008</v>
      </c>
      <c r="AH35" s="77">
        <f t="shared" si="66"/>
        <v>0.99400000000000011</v>
      </c>
      <c r="AI35" s="91">
        <v>0.186</v>
      </c>
      <c r="AJ35" s="77">
        <v>-5.9370000000000003</v>
      </c>
      <c r="AK35" s="77">
        <f>-14.656-AJ35</f>
        <v>-8.7190000000000012</v>
      </c>
      <c r="AL35" s="77">
        <f>-0.423-14.868+0.01-AK35-AJ35</f>
        <v>-0.62499999999999911</v>
      </c>
      <c r="AM35" s="77">
        <f t="shared" si="67"/>
        <v>0.4640000000000013</v>
      </c>
      <c r="AN35" s="91">
        <f>0.269+-15.086</f>
        <v>-14.817</v>
      </c>
      <c r="AO35" s="77">
        <v>-5.7000000000000002E-2</v>
      </c>
      <c r="AP35" s="77">
        <f>1.25-2.5-AO35</f>
        <v>-1.1930000000000001</v>
      </c>
      <c r="AQ35" s="77">
        <f>+AQ36-SUM(AQ30:AQ34)</f>
        <v>-2.2026824808563106E-13</v>
      </c>
      <c r="AR35" s="359">
        <f t="shared" si="68"/>
        <v>-13.406999999999778</v>
      </c>
      <c r="AS35" s="91">
        <f>-17.499+2.842</f>
        <v>-14.656999999999998</v>
      </c>
      <c r="AT35" s="89">
        <v>-5</v>
      </c>
      <c r="AU35" s="89">
        <f>-27.451-AT35</f>
        <v>-22.451000000000001</v>
      </c>
      <c r="AV35" s="89">
        <f>-37.451-SUM(AT35:AU35)</f>
        <v>-10</v>
      </c>
      <c r="AW35" s="359">
        <f t="shared" si="69"/>
        <v>-3.703000000000003</v>
      </c>
      <c r="AX35" s="91">
        <v>-41.154000000000003</v>
      </c>
      <c r="AY35" s="89">
        <f>2.798-4</f>
        <v>-1.202</v>
      </c>
      <c r="AZ35" s="89">
        <f>0.875-AY35</f>
        <v>2.077</v>
      </c>
      <c r="BA35" s="89">
        <f>-17.848-SUM(AY35:AZ35)</f>
        <v>-18.722999999999999</v>
      </c>
      <c r="BB35" s="89"/>
      <c r="BC35" s="91">
        <f t="shared" si="70"/>
        <v>-17.847999999999999</v>
      </c>
      <c r="BD35" s="89"/>
      <c r="BE35" s="89"/>
      <c r="BF35" s="89"/>
      <c r="BG35" s="89"/>
      <c r="BH35" s="91">
        <f t="shared" si="71"/>
        <v>0</v>
      </c>
      <c r="BI35" s="89"/>
      <c r="BJ35" s="89"/>
      <c r="BK35" s="89"/>
      <c r="BL35" s="89"/>
      <c r="BM35" s="91">
        <f t="shared" si="72"/>
        <v>0</v>
      </c>
      <c r="BN35" s="89"/>
      <c r="BO35" s="89"/>
      <c r="BP35" s="89"/>
      <c r="BQ35" s="89"/>
      <c r="BR35" s="91">
        <f t="shared" si="73"/>
        <v>0</v>
      </c>
    </row>
    <row r="36" spans="1:70" s="214" customFormat="1" ht="13.5" thickBot="1">
      <c r="A36" s="210" t="s">
        <v>25</v>
      </c>
      <c r="B36" s="211"/>
      <c r="C36" s="211"/>
      <c r="D36" s="211"/>
      <c r="E36" s="218"/>
      <c r="F36" s="211">
        <f>SUM(F30:F35)</f>
        <v>-4.6130000000000004</v>
      </c>
      <c r="G36" s="211">
        <f t="shared" ref="G36:I36" si="74">SUM(G30:G35)</f>
        <v>-15.589</v>
      </c>
      <c r="H36" s="211">
        <f t="shared" si="74"/>
        <v>-41.497999999999998</v>
      </c>
      <c r="I36" s="211">
        <f t="shared" si="74"/>
        <v>236.02799999999999</v>
      </c>
      <c r="J36" s="238">
        <f>SUM(J30:J35)</f>
        <v>174.32800000000003</v>
      </c>
      <c r="K36" s="239">
        <f>SUM(K30:K35)</f>
        <v>25.048999999999996</v>
      </c>
      <c r="L36" s="239">
        <f t="shared" ref="L36" si="75">SUM(L30:L35)</f>
        <v>194.54599999999999</v>
      </c>
      <c r="M36" s="239">
        <f t="shared" ref="M36:N36" si="76">SUM(M30:M35)</f>
        <v>80.113000000000014</v>
      </c>
      <c r="N36" s="239">
        <f t="shared" si="76"/>
        <v>-158.10100000000006</v>
      </c>
      <c r="O36" s="238">
        <f>SUM(O30:O35)</f>
        <v>141.607</v>
      </c>
      <c r="P36" s="239">
        <f>SUM(P30:P35)</f>
        <v>3.076000000000001</v>
      </c>
      <c r="Q36" s="239">
        <f t="shared" ref="Q36" si="77">SUM(Q30:Q35)</f>
        <v>9.3400000000000194</v>
      </c>
      <c r="R36" s="239">
        <f t="shared" ref="R36" si="78">SUM(R30:R35)</f>
        <v>1.2299999999999525</v>
      </c>
      <c r="S36" s="239">
        <f>SUM(S30:S35)</f>
        <v>34.888000000000055</v>
      </c>
      <c r="T36" s="238">
        <f>SUM(T30:T35)</f>
        <v>48.533999999999999</v>
      </c>
      <c r="U36" s="239">
        <f>SUM(U30:U35)</f>
        <v>67.171000000000006</v>
      </c>
      <c r="V36" s="239">
        <f t="shared" ref="V36" si="79">SUM(V30:V35)</f>
        <v>-19.909000000000024</v>
      </c>
      <c r="W36" s="239">
        <f t="shared" ref="W36:X36" si="80">SUM(W30:W35)</f>
        <v>-30.350000000000023</v>
      </c>
      <c r="X36" s="239">
        <f t="shared" si="80"/>
        <v>-72.198999999999955</v>
      </c>
      <c r="Y36" s="238">
        <f>SUM(Y30:Y35)</f>
        <v>-55.286999999999992</v>
      </c>
      <c r="Z36" s="239">
        <f>SUM(Z30:Z35)</f>
        <v>61.881000000000007</v>
      </c>
      <c r="AA36" s="239">
        <f t="shared" ref="AA36" si="81">SUM(AA30:AA35)</f>
        <v>-0.15099999999996827</v>
      </c>
      <c r="AB36" s="239">
        <f t="shared" ref="AB36:AC36" si="82">SUM(AB30:AB35)</f>
        <v>91.521999999999935</v>
      </c>
      <c r="AC36" s="383">
        <f t="shared" si="82"/>
        <v>-53.956999999999951</v>
      </c>
      <c r="AD36" s="238">
        <f>SUM(AD30:AD35)</f>
        <v>99.295000000000115</v>
      </c>
      <c r="AE36" s="383">
        <f>SUM(AE30:AE35)</f>
        <v>17.314999999999966</v>
      </c>
      <c r="AF36" s="383">
        <f t="shared" ref="AF36" si="83">SUM(AF30:AF35)</f>
        <v>9.3220000000000685</v>
      </c>
      <c r="AG36" s="383">
        <f t="shared" ref="AG36:AH36" si="84">SUM(AG30:AG35)</f>
        <v>-60.653000000000034</v>
      </c>
      <c r="AH36" s="383">
        <f t="shared" si="84"/>
        <v>-7.7720000000001619</v>
      </c>
      <c r="AI36" s="238">
        <f>SUM(AI30:AI35)</f>
        <v>-41.788000000000054</v>
      </c>
      <c r="AJ36" s="383">
        <f>SUM(AJ30:AJ35)</f>
        <v>6.3640000000000443</v>
      </c>
      <c r="AK36" s="383">
        <f t="shared" ref="AK36" si="85">SUM(AK30:AK35)</f>
        <v>18.417999999999942</v>
      </c>
      <c r="AL36" s="383">
        <f t="shared" ref="AL36:AM36" si="86">SUM(AL30:AL35)</f>
        <v>-11.650000000000091</v>
      </c>
      <c r="AM36" s="383">
        <f t="shared" si="86"/>
        <v>-37.321999999999889</v>
      </c>
      <c r="AN36" s="436">
        <f>SUM(AN30:AN35)</f>
        <v>-24.189999999999987</v>
      </c>
      <c r="AO36" s="383">
        <f>SUM(AO30:AO35)</f>
        <v>6.6259999999999621</v>
      </c>
      <c r="AP36" s="383">
        <f t="shared" ref="AP36" si="87">SUM(AP30:AP35)</f>
        <v>72.509000000000199</v>
      </c>
      <c r="AQ36" s="383">
        <f>97.72-SUM(AO36:AP36)</f>
        <v>18.584999999999837</v>
      </c>
      <c r="AR36" s="366">
        <f t="shared" ref="AR36" si="88">SUM(AR30:AR35)</f>
        <v>-173.0960000000002</v>
      </c>
      <c r="AS36" s="238">
        <f>SUM(AS30:AS35)</f>
        <v>-75.37600000000019</v>
      </c>
      <c r="AT36" s="239">
        <f>SUM(AT30:AT35)</f>
        <v>71.133000000000038</v>
      </c>
      <c r="AU36" s="239">
        <f t="shared" ref="AU36:AW36" si="89">SUM(AU30:AU35)</f>
        <v>-19.648000000000025</v>
      </c>
      <c r="AV36" s="239">
        <f t="shared" si="89"/>
        <v>-34.19000000000009</v>
      </c>
      <c r="AW36" s="239">
        <f t="shared" si="89"/>
        <v>-46.273999999999916</v>
      </c>
      <c r="AX36" s="238">
        <f>SUM(AX30:AX35)</f>
        <v>-28.978999999999999</v>
      </c>
      <c r="AY36" s="239">
        <f>SUM(AY30:AY35)</f>
        <v>130.74300000000002</v>
      </c>
      <c r="AZ36" s="239">
        <f t="shared" ref="AZ36:BB36" si="90">SUM(AZ30:AZ35)</f>
        <v>56.748999999999988</v>
      </c>
      <c r="BA36" s="239">
        <f t="shared" si="90"/>
        <v>-139.24</v>
      </c>
      <c r="BB36" s="239">
        <f t="shared" si="90"/>
        <v>10.747190210283861</v>
      </c>
      <c r="BC36" s="238">
        <f>SUM(BC30:BC35)</f>
        <v>58.999190210283885</v>
      </c>
      <c r="BD36" s="239">
        <f>SUM(BD30:BD35)</f>
        <v>29.571940685966524</v>
      </c>
      <c r="BE36" s="239">
        <f t="shared" ref="BE36:BG36" si="91">SUM(BE30:BE35)</f>
        <v>44.448773180545572</v>
      </c>
      <c r="BF36" s="239">
        <f t="shared" si="91"/>
        <v>33.910161141129947</v>
      </c>
      <c r="BG36" s="239">
        <f t="shared" si="91"/>
        <v>8.5642963326120025</v>
      </c>
      <c r="BH36" s="238">
        <f>SUM(BH30:BH35)</f>
        <v>116.49517134025405</v>
      </c>
      <c r="BI36" s="239">
        <f>SUM(BI30:BI35)</f>
        <v>-4.9424034395468652</v>
      </c>
      <c r="BJ36" s="239">
        <f t="shared" ref="BJ36:BL36" si="92">SUM(BJ30:BJ35)</f>
        <v>-27.052688210523684</v>
      </c>
      <c r="BK36" s="239">
        <f t="shared" si="92"/>
        <v>-30.556281998429085</v>
      </c>
      <c r="BL36" s="239">
        <f t="shared" si="92"/>
        <v>-23.93913628370683</v>
      </c>
      <c r="BM36" s="238">
        <f>SUM(BM30:BM35)</f>
        <v>-86.490509932206464</v>
      </c>
      <c r="BN36" s="239">
        <f>SUM(BN30:BN35)</f>
        <v>-6.8328720818441298</v>
      </c>
      <c r="BO36" s="239">
        <f t="shared" ref="BO36:BQ36" si="93">SUM(BO30:BO35)</f>
        <v>-30.036237145687551</v>
      </c>
      <c r="BP36" s="239">
        <f t="shared" si="93"/>
        <v>-25.923815120198014</v>
      </c>
      <c r="BQ36" s="239">
        <f t="shared" si="93"/>
        <v>-23.697585584476769</v>
      </c>
      <c r="BR36" s="238">
        <f>SUM(BR30:BR35)</f>
        <v>-86.490509932206464</v>
      </c>
    </row>
    <row r="37" spans="1:70" ht="13" thickTop="1">
      <c r="A37" s="89"/>
      <c r="B37" s="89"/>
      <c r="C37" s="89"/>
      <c r="D37" s="103"/>
      <c r="E37" s="90"/>
      <c r="F37" s="103"/>
      <c r="G37" s="103"/>
      <c r="H37" s="103"/>
      <c r="I37" s="103"/>
      <c r="J37" s="91"/>
      <c r="K37" s="103"/>
      <c r="L37" s="89"/>
      <c r="M37" s="89"/>
      <c r="N37" s="103"/>
      <c r="O37" s="91"/>
      <c r="P37" s="103"/>
      <c r="Q37" s="89"/>
      <c r="R37" s="89"/>
      <c r="S37" s="103"/>
      <c r="T37" s="91"/>
      <c r="U37" s="103"/>
      <c r="V37" s="89"/>
      <c r="W37" s="89"/>
      <c r="X37" s="103"/>
      <c r="Y37" s="91"/>
      <c r="Z37" s="103"/>
      <c r="AA37" s="89"/>
      <c r="AB37" s="89"/>
      <c r="AC37" s="253"/>
      <c r="AD37" s="91"/>
      <c r="AE37" s="253"/>
      <c r="AF37" s="77"/>
      <c r="AG37" s="77"/>
      <c r="AH37" s="253"/>
      <c r="AI37" s="91"/>
      <c r="AJ37" s="253"/>
      <c r="AK37" s="77"/>
      <c r="AL37" s="77"/>
      <c r="AM37" s="253"/>
      <c r="AN37" s="91"/>
      <c r="AO37" s="253"/>
      <c r="AP37" s="77"/>
      <c r="AQ37" s="77"/>
      <c r="AR37" s="361"/>
      <c r="AS37" s="91"/>
      <c r="AT37" s="103"/>
      <c r="AU37" s="89"/>
      <c r="AV37" s="89"/>
      <c r="AW37" s="103"/>
      <c r="AX37" s="91"/>
      <c r="AY37" s="103"/>
      <c r="AZ37" s="89"/>
      <c r="BA37" s="89"/>
      <c r="BB37" s="103"/>
      <c r="BC37" s="91"/>
      <c r="BD37" s="103"/>
      <c r="BE37" s="89"/>
      <c r="BF37" s="89"/>
      <c r="BG37" s="103"/>
      <c r="BH37" s="91"/>
      <c r="BI37" s="103"/>
      <c r="BJ37" s="89"/>
      <c r="BK37" s="89"/>
      <c r="BL37" s="103"/>
      <c r="BM37" s="91"/>
      <c r="BN37" s="103"/>
      <c r="BO37" s="89"/>
      <c r="BP37" s="89"/>
      <c r="BQ37" s="103"/>
      <c r="BR37" s="91"/>
    </row>
    <row r="38" spans="1:70">
      <c r="A38" s="92" t="s">
        <v>26</v>
      </c>
      <c r="B38" s="89"/>
      <c r="C38" s="92"/>
      <c r="D38" s="100"/>
      <c r="E38" s="97"/>
      <c r="F38" s="104">
        <f>F36+F27+F18</f>
        <v>-49.405999999999949</v>
      </c>
      <c r="G38" s="104">
        <f t="shared" ref="G38:I38" si="94">G36+G27+G18</f>
        <v>89.345999999999918</v>
      </c>
      <c r="H38" s="104">
        <f t="shared" si="94"/>
        <v>-49.424999999999926</v>
      </c>
      <c r="I38" s="104">
        <f t="shared" si="94"/>
        <v>132.55399999999997</v>
      </c>
      <c r="J38" s="105">
        <f>J18+J27+J36</f>
        <v>123.06900000000005</v>
      </c>
      <c r="K38" s="104">
        <f>K36+K27+K18</f>
        <v>-60.322000000000052</v>
      </c>
      <c r="L38" s="104">
        <f t="shared" ref="L38:N38" si="95">L36+L27+L18</f>
        <v>104.04699999999993</v>
      </c>
      <c r="M38" s="104">
        <f t="shared" si="95"/>
        <v>-89.337999999999965</v>
      </c>
      <c r="N38" s="104">
        <f t="shared" si="95"/>
        <v>-221.52499999999998</v>
      </c>
      <c r="O38" s="105">
        <f>O18+O27+O36</f>
        <v>-267.13800000000003</v>
      </c>
      <c r="P38" s="104">
        <f>P36+P27+P18</f>
        <v>55.370000000000026</v>
      </c>
      <c r="Q38" s="104">
        <f t="shared" ref="Q38:S38" si="96">Q36+Q27+Q18</f>
        <v>59.633000000000095</v>
      </c>
      <c r="R38" s="104">
        <f t="shared" si="96"/>
        <v>56.178000000000026</v>
      </c>
      <c r="S38" s="104">
        <f t="shared" si="96"/>
        <v>-207.36500000000012</v>
      </c>
      <c r="T38" s="105">
        <f>T18+T27+T36</f>
        <v>-36.18399999999999</v>
      </c>
      <c r="U38" s="104">
        <f>U36+U27+U18</f>
        <v>-35.738000000000007</v>
      </c>
      <c r="V38" s="104">
        <f t="shared" ref="V38:X38" si="97">V36+V27+V18</f>
        <v>76.841000000000037</v>
      </c>
      <c r="W38" s="104">
        <f t="shared" si="97"/>
        <v>47.986999999999966</v>
      </c>
      <c r="X38" s="104">
        <f t="shared" si="97"/>
        <v>-137.22300000000001</v>
      </c>
      <c r="Y38" s="105">
        <f>Y18+Y27+Y36</f>
        <v>-48.13299999999996</v>
      </c>
      <c r="Z38" s="104">
        <f>Z36+Z27+Z18</f>
        <v>13.14100000000002</v>
      </c>
      <c r="AA38" s="104">
        <f t="shared" ref="AA38:AC38" si="98">AA36+AA27+AA18</f>
        <v>6.794000000000004</v>
      </c>
      <c r="AB38" s="104">
        <f t="shared" si="98"/>
        <v>64.452999999999747</v>
      </c>
      <c r="AC38" s="396">
        <f t="shared" si="98"/>
        <v>-1.6449999999999818</v>
      </c>
      <c r="AD38" s="105">
        <f>AD18+AD27+AD36</f>
        <v>82.74299999999991</v>
      </c>
      <c r="AE38" s="396">
        <f>AE36+AE27+AE18</f>
        <v>10.374999999999964</v>
      </c>
      <c r="AF38" s="396">
        <f t="shared" ref="AF38:AH38" si="99">AF36+AF27+AF18</f>
        <v>-39.040999999999919</v>
      </c>
      <c r="AG38" s="396">
        <f t="shared" si="99"/>
        <v>-10.023000000000046</v>
      </c>
      <c r="AH38" s="396">
        <f t="shared" si="99"/>
        <v>-21.442000000000128</v>
      </c>
      <c r="AI38" s="105">
        <f>AI18+AI27+AI36</f>
        <v>-60.13100000000005</v>
      </c>
      <c r="AJ38" s="396">
        <f>AJ36+AJ27+AJ18</f>
        <v>15.130000000000038</v>
      </c>
      <c r="AK38" s="396">
        <f t="shared" ref="AK38" si="100">AK36+AK27+AK18</f>
        <v>3.0399999999999423</v>
      </c>
      <c r="AL38" s="396">
        <f>AL36+AL27+AL18</f>
        <v>77.121999999999915</v>
      </c>
      <c r="AM38" s="396">
        <f t="shared" ref="AM38" si="101">AM36+AM27+AM18</f>
        <v>-24.641999999999875</v>
      </c>
      <c r="AN38" s="105">
        <f>AN18+AN27+AN36</f>
        <v>70.651000000000025</v>
      </c>
      <c r="AO38" s="396">
        <f>AO36+AO27+AO18</f>
        <v>-41.286000000000051</v>
      </c>
      <c r="AP38" s="396">
        <f t="shared" ref="AP38:AR38" si="102">AP36+AP27+AP18</f>
        <v>68.110000000000198</v>
      </c>
      <c r="AQ38" s="396">
        <f t="shared" si="102"/>
        <v>48.950999999999844</v>
      </c>
      <c r="AR38" s="457">
        <f t="shared" si="102"/>
        <v>-29.01000000000019</v>
      </c>
      <c r="AS38" s="105">
        <v>46.765000000000001</v>
      </c>
      <c r="AT38" s="104">
        <f>AT36+AT27+AT18</f>
        <v>-19.217999999999961</v>
      </c>
      <c r="AU38" s="104">
        <f t="shared" ref="AU38:AW38" si="103">AU36+AU27+AU18</f>
        <v>-36.427000000000007</v>
      </c>
      <c r="AV38" s="104">
        <f t="shared" si="103"/>
        <v>-20.309000000000097</v>
      </c>
      <c r="AW38" s="104">
        <f t="shared" si="103"/>
        <v>-1.8309999999999178</v>
      </c>
      <c r="AX38" s="105">
        <f>AX18+AX27+AX36</f>
        <v>-77.785000000000011</v>
      </c>
      <c r="AY38" s="104">
        <f>AY36+AY27+AY18</f>
        <v>-13.285999999999987</v>
      </c>
      <c r="AZ38" s="104">
        <f t="shared" ref="AZ38:BB38" si="104">AZ36+AZ27+AZ18</f>
        <v>48.045999999999964</v>
      </c>
      <c r="BA38" s="104">
        <f t="shared" si="104"/>
        <v>58.767999999999944</v>
      </c>
      <c r="BB38" s="104">
        <f t="shared" si="104"/>
        <v>86.548890433847745</v>
      </c>
      <c r="BC38" s="105">
        <f>BC18+BC27+BC36</f>
        <v>295.57814043384781</v>
      </c>
      <c r="BD38" s="104">
        <f>BD36+BD27+BD18</f>
        <v>64.521876039967708</v>
      </c>
      <c r="BE38" s="104">
        <f t="shared" ref="BE38:BG38" si="105">BE36+BE27+BE18</f>
        <v>100.51255041771292</v>
      </c>
      <c r="BF38" s="104">
        <f t="shared" si="105"/>
        <v>90.502246481975718</v>
      </c>
      <c r="BG38" s="104">
        <f t="shared" si="105"/>
        <v>65.554135710284314</v>
      </c>
      <c r="BH38" s="105">
        <f>BH18+BH27+BH36</f>
        <v>481.82780864994066</v>
      </c>
      <c r="BI38" s="104">
        <f>BI36+BI27+BI18</f>
        <v>28.549384591801491</v>
      </c>
      <c r="BJ38" s="104">
        <f t="shared" ref="BJ38:BL38" si="106">BJ36+BJ27+BJ18</f>
        <v>29.708586845017649</v>
      </c>
      <c r="BK38" s="104">
        <f t="shared" si="106"/>
        <v>25.502447070864491</v>
      </c>
      <c r="BL38" s="104">
        <f t="shared" si="106"/>
        <v>34.344708869796492</v>
      </c>
      <c r="BM38" s="105">
        <f>BM18+BM27+BM36</f>
        <v>278.84212737748015</v>
      </c>
      <c r="BN38" s="104">
        <f>BN36+BN27+BN18</f>
        <v>25.308263629794432</v>
      </c>
      <c r="BO38" s="104">
        <f t="shared" ref="BO38:BQ38" si="107">BO36+BO27+BO18</f>
        <v>25.998338828627794</v>
      </c>
      <c r="BP38" s="104">
        <f t="shared" si="107"/>
        <v>31.256043551724375</v>
      </c>
      <c r="BQ38" s="104">
        <f t="shared" si="107"/>
        <v>35.542481367333536</v>
      </c>
      <c r="BR38" s="105">
        <f>BR18+BR27+BR36</f>
        <v>278.84212737748015</v>
      </c>
    </row>
    <row r="39" spans="1:70">
      <c r="A39" s="92"/>
      <c r="B39" s="89"/>
      <c r="C39" s="92"/>
      <c r="D39" s="100"/>
      <c r="E39" s="97"/>
      <c r="F39" s="101"/>
      <c r="G39" s="100"/>
      <c r="H39" s="100"/>
      <c r="I39" s="102"/>
      <c r="J39" s="95"/>
      <c r="K39" s="103"/>
      <c r="L39" s="89"/>
      <c r="M39" s="89"/>
      <c r="N39" s="102"/>
      <c r="O39" s="91"/>
      <c r="P39" s="103"/>
      <c r="Q39" s="89"/>
      <c r="R39" s="89"/>
      <c r="S39" s="102"/>
      <c r="T39" s="91"/>
      <c r="U39" s="103"/>
      <c r="V39" s="89"/>
      <c r="W39" s="89"/>
      <c r="X39" s="102"/>
      <c r="Y39" s="91"/>
      <c r="Z39" s="103"/>
      <c r="AA39" s="89"/>
      <c r="AB39" s="89"/>
      <c r="AC39" s="394"/>
      <c r="AD39" s="91"/>
      <c r="AE39" s="253"/>
      <c r="AF39" s="77"/>
      <c r="AG39" s="77"/>
      <c r="AH39" s="394"/>
      <c r="AI39" s="91"/>
      <c r="AJ39" s="253"/>
      <c r="AK39" s="77"/>
      <c r="AL39" s="77"/>
      <c r="AM39" s="394"/>
      <c r="AN39" s="91"/>
      <c r="AO39" s="253"/>
      <c r="AP39" s="77"/>
      <c r="AQ39" s="77"/>
      <c r="AR39" s="463"/>
      <c r="AS39" s="91"/>
      <c r="AT39" s="103"/>
      <c r="AU39" s="89"/>
      <c r="AV39" s="89"/>
      <c r="AW39" s="102"/>
      <c r="AX39" s="91"/>
      <c r="AY39" s="103"/>
      <c r="AZ39" s="89"/>
      <c r="BA39" s="89"/>
      <c r="BB39" s="102"/>
      <c r="BC39" s="91"/>
      <c r="BD39" s="103"/>
      <c r="BE39" s="89"/>
      <c r="BF39" s="89"/>
      <c r="BG39" s="102"/>
      <c r="BH39" s="91"/>
      <c r="BI39" s="103"/>
      <c r="BJ39" s="89"/>
      <c r="BK39" s="89"/>
      <c r="BL39" s="102"/>
      <c r="BM39" s="91"/>
      <c r="BN39" s="103"/>
      <c r="BO39" s="89"/>
      <c r="BP39" s="89"/>
      <c r="BQ39" s="102"/>
      <c r="BR39" s="91"/>
    </row>
    <row r="40" spans="1:70" s="204" customFormat="1">
      <c r="A40" s="201" t="s">
        <v>46</v>
      </c>
      <c r="B40" s="202"/>
      <c r="C40" s="201"/>
      <c r="D40" s="201"/>
      <c r="E40" s="203"/>
      <c r="F40" s="201">
        <v>348.30900000000003</v>
      </c>
      <c r="G40" s="201">
        <f>F41</f>
        <v>298.90300000000008</v>
      </c>
      <c r="H40" s="201">
        <f t="shared" ref="H40:I40" si="108">G41</f>
        <v>388.24900000000002</v>
      </c>
      <c r="I40" s="201">
        <f t="shared" si="108"/>
        <v>338.82400000000007</v>
      </c>
      <c r="J40" s="240">
        <f>F40</f>
        <v>348.30900000000003</v>
      </c>
      <c r="K40" s="241">
        <f>J41</f>
        <v>471.37800000000004</v>
      </c>
      <c r="L40" s="242">
        <f>K41</f>
        <v>411.05599999999998</v>
      </c>
      <c r="M40" s="242">
        <f t="shared" ref="M40:N40" si="109">L41</f>
        <v>515.10299999999995</v>
      </c>
      <c r="N40" s="242">
        <f t="shared" si="109"/>
        <v>425.76499999999999</v>
      </c>
      <c r="O40" s="240">
        <f>K40</f>
        <v>471.37800000000004</v>
      </c>
      <c r="P40" s="241">
        <f>O41</f>
        <v>204.24</v>
      </c>
      <c r="Q40" s="242">
        <f>P41</f>
        <v>259.61</v>
      </c>
      <c r="R40" s="242">
        <f t="shared" ref="R40:S40" si="110">Q41</f>
        <v>319.24300000000011</v>
      </c>
      <c r="S40" s="242">
        <f t="shared" si="110"/>
        <v>375.42100000000016</v>
      </c>
      <c r="T40" s="240">
        <f>P40</f>
        <v>204.24</v>
      </c>
      <c r="U40" s="241">
        <f>T41</f>
        <v>168.05600000000001</v>
      </c>
      <c r="V40" s="242">
        <f>U41</f>
        <v>132.31800000000001</v>
      </c>
      <c r="W40" s="242">
        <f t="shared" ref="W40:X40" si="111">V41</f>
        <v>209.15900000000005</v>
      </c>
      <c r="X40" s="242">
        <f t="shared" si="111"/>
        <v>257.14600000000002</v>
      </c>
      <c r="Y40" s="240">
        <f>U40</f>
        <v>168.05600000000001</v>
      </c>
      <c r="Z40" s="241">
        <f>Y41</f>
        <v>119.92300000000006</v>
      </c>
      <c r="AA40" s="242">
        <f>Z41</f>
        <v>133.06400000000008</v>
      </c>
      <c r="AB40" s="242">
        <f t="shared" ref="AB40:AC40" si="112">AA41</f>
        <v>139.85800000000009</v>
      </c>
      <c r="AC40" s="397">
        <f t="shared" si="112"/>
        <v>204.31099999999984</v>
      </c>
      <c r="AD40" s="240">
        <f>Z40</f>
        <v>119.92300000000006</v>
      </c>
      <c r="AE40" s="413">
        <f>AD41</f>
        <v>202.66599999999985</v>
      </c>
      <c r="AF40" s="397">
        <f>AE41</f>
        <v>213.04099999999983</v>
      </c>
      <c r="AG40" s="397">
        <f t="shared" ref="AG40:AH40" si="113">AF41</f>
        <v>173.99999999999991</v>
      </c>
      <c r="AH40" s="397">
        <f t="shared" si="113"/>
        <v>163.97699999999986</v>
      </c>
      <c r="AI40" s="240">
        <f>AE40</f>
        <v>202.66599999999985</v>
      </c>
      <c r="AJ40" s="413">
        <f>AI41</f>
        <v>142.53499999999974</v>
      </c>
      <c r="AK40" s="397">
        <f>AJ41</f>
        <v>157.66499999999979</v>
      </c>
      <c r="AL40" s="397">
        <f t="shared" ref="AL40:AM40" si="114">AK41</f>
        <v>160.70499999999973</v>
      </c>
      <c r="AM40" s="397">
        <f t="shared" si="114"/>
        <v>237.82699999999966</v>
      </c>
      <c r="AN40" s="240">
        <f>AJ40</f>
        <v>142.53499999999974</v>
      </c>
      <c r="AO40" s="413">
        <f>AN41</f>
        <v>213.18599999999978</v>
      </c>
      <c r="AP40" s="397">
        <f>AO41</f>
        <v>171.89999999999972</v>
      </c>
      <c r="AQ40" s="397">
        <f t="shared" ref="AQ40:AR40" si="115">AP41</f>
        <v>240.00999999999993</v>
      </c>
      <c r="AR40" s="459">
        <f t="shared" si="115"/>
        <v>288.96099999999979</v>
      </c>
      <c r="AS40" s="240">
        <f>AO40</f>
        <v>213.18599999999978</v>
      </c>
      <c r="AT40" s="241">
        <f>AS41</f>
        <v>259.95099999999957</v>
      </c>
      <c r="AU40" s="242">
        <f>AT41</f>
        <v>240.73299999999961</v>
      </c>
      <c r="AV40" s="242">
        <f t="shared" ref="AV40" si="116">AU41</f>
        <v>204.30599999999959</v>
      </c>
      <c r="AW40" s="242">
        <f t="shared" ref="AW40" si="117">AV41</f>
        <v>183.9969999999995</v>
      </c>
      <c r="AX40" s="240">
        <f>AT40</f>
        <v>259.95099999999957</v>
      </c>
      <c r="AY40" s="241">
        <f>AX41</f>
        <v>182.1659999999996</v>
      </c>
      <c r="AZ40" s="242">
        <f>AY41</f>
        <v>168.8799999999996</v>
      </c>
      <c r="BA40" s="242">
        <f t="shared" ref="BA40" si="118">AZ41</f>
        <v>216.92599999999956</v>
      </c>
      <c r="BB40" s="242">
        <f t="shared" ref="BB40" si="119">BA41</f>
        <v>275.69399999999951</v>
      </c>
      <c r="BC40" s="240">
        <f>AY40</f>
        <v>182.1659999999996</v>
      </c>
      <c r="BD40" s="241">
        <f>BC41</f>
        <v>362.24289043384726</v>
      </c>
      <c r="BE40" s="242">
        <f>BD41</f>
        <v>426.76476647381497</v>
      </c>
      <c r="BF40" s="242">
        <f t="shared" ref="BF40" si="120">BE41</f>
        <v>527.2773168915279</v>
      </c>
      <c r="BG40" s="242">
        <f t="shared" ref="BG40" si="121">BF41</f>
        <v>617.77956337350361</v>
      </c>
      <c r="BH40" s="240">
        <f>BD40</f>
        <v>362.24289043384726</v>
      </c>
      <c r="BI40" s="241">
        <f>BH41</f>
        <v>683.33369908378791</v>
      </c>
      <c r="BJ40" s="242">
        <f>BI41</f>
        <v>711.88308367558943</v>
      </c>
      <c r="BK40" s="242">
        <f t="shared" ref="BK40" si="122">BJ41</f>
        <v>741.59167052060707</v>
      </c>
      <c r="BL40" s="242">
        <f t="shared" ref="BL40" si="123">BK41</f>
        <v>767.09411759147156</v>
      </c>
      <c r="BM40" s="240">
        <f>BI40</f>
        <v>683.33369908378791</v>
      </c>
      <c r="BN40" s="241">
        <f>BM41</f>
        <v>801.43882646126804</v>
      </c>
      <c r="BO40" s="242">
        <f>BN41</f>
        <v>826.74709009106243</v>
      </c>
      <c r="BP40" s="242">
        <f t="shared" ref="BP40" si="124">BO41</f>
        <v>852.7454289196902</v>
      </c>
      <c r="BQ40" s="242">
        <f t="shared" ref="BQ40" si="125">BP41</f>
        <v>884.00147247141456</v>
      </c>
      <c r="BR40" s="240">
        <f>BN40</f>
        <v>801.43882646126804</v>
      </c>
    </row>
    <row r="41" spans="1:70" s="209" customFormat="1">
      <c r="A41" s="205" t="s">
        <v>45</v>
      </c>
      <c r="B41" s="206"/>
      <c r="C41" s="205"/>
      <c r="D41" s="205"/>
      <c r="E41" s="207"/>
      <c r="F41" s="208">
        <f>F40+F38</f>
        <v>298.90300000000008</v>
      </c>
      <c r="G41" s="208">
        <f t="shared" ref="G41:I41" si="126">G40+G38</f>
        <v>388.24900000000002</v>
      </c>
      <c r="H41" s="208">
        <f t="shared" si="126"/>
        <v>338.82400000000007</v>
      </c>
      <c r="I41" s="208">
        <f t="shared" si="126"/>
        <v>471.37800000000004</v>
      </c>
      <c r="J41" s="243">
        <f>J38+J40</f>
        <v>471.37800000000004</v>
      </c>
      <c r="K41" s="244">
        <f>K40+K38</f>
        <v>411.05599999999998</v>
      </c>
      <c r="L41" s="244">
        <f t="shared" ref="L41:N41" si="127">L40+L38</f>
        <v>515.10299999999995</v>
      </c>
      <c r="M41" s="244">
        <f t="shared" si="127"/>
        <v>425.76499999999999</v>
      </c>
      <c r="N41" s="245">
        <f t="shared" si="127"/>
        <v>204.24</v>
      </c>
      <c r="O41" s="243">
        <f>N41</f>
        <v>204.24</v>
      </c>
      <c r="P41" s="244">
        <f>P40+P38</f>
        <v>259.61</v>
      </c>
      <c r="Q41" s="244">
        <f t="shared" ref="Q41" si="128">Q40+Q38</f>
        <v>319.24300000000011</v>
      </c>
      <c r="R41" s="244">
        <f t="shared" ref="R41" si="129">R40+R38</f>
        <v>375.42100000000016</v>
      </c>
      <c r="S41" s="245">
        <f>S38+S40</f>
        <v>168.05600000000004</v>
      </c>
      <c r="T41" s="243">
        <f>T40+T38</f>
        <v>168.05600000000001</v>
      </c>
      <c r="U41" s="244">
        <f>U40+U38</f>
        <v>132.31800000000001</v>
      </c>
      <c r="V41" s="244">
        <f t="shared" ref="V41" si="130">V40+V38</f>
        <v>209.15900000000005</v>
      </c>
      <c r="W41" s="244">
        <f t="shared" ref="W41" si="131">W40+W38</f>
        <v>257.14600000000002</v>
      </c>
      <c r="X41" s="245">
        <f>X40+X38</f>
        <v>119.923</v>
      </c>
      <c r="Y41" s="243">
        <f>Y40+Y38</f>
        <v>119.92300000000006</v>
      </c>
      <c r="Z41" s="244">
        <f>Z40+Z38</f>
        <v>133.06400000000008</v>
      </c>
      <c r="AA41" s="244">
        <f t="shared" ref="AA41" si="132">AA40+AA38</f>
        <v>139.85800000000009</v>
      </c>
      <c r="AB41" s="244">
        <f t="shared" ref="AB41:AC41" si="133">AB40+AB38</f>
        <v>204.31099999999984</v>
      </c>
      <c r="AC41" s="398">
        <f t="shared" si="133"/>
        <v>202.66599999999985</v>
      </c>
      <c r="AD41" s="243">
        <f>AC41</f>
        <v>202.66599999999985</v>
      </c>
      <c r="AE41" s="414">
        <f>AE40+AE38</f>
        <v>213.04099999999983</v>
      </c>
      <c r="AF41" s="414">
        <f t="shared" ref="AF41" si="134">AF40+AF38</f>
        <v>173.99999999999991</v>
      </c>
      <c r="AG41" s="414">
        <f t="shared" ref="AG41:AH41" si="135">AG40+AG38</f>
        <v>163.97699999999986</v>
      </c>
      <c r="AH41" s="398">
        <f t="shared" si="135"/>
        <v>142.53499999999974</v>
      </c>
      <c r="AI41" s="243">
        <f>AH41</f>
        <v>142.53499999999974</v>
      </c>
      <c r="AJ41" s="414">
        <f>AJ40+AJ38</f>
        <v>157.66499999999979</v>
      </c>
      <c r="AK41" s="414">
        <f t="shared" ref="AK41" si="136">AK40+AK38</f>
        <v>160.70499999999973</v>
      </c>
      <c r="AL41" s="435">
        <f t="shared" ref="AL41" si="137">AL40+AL38</f>
        <v>237.82699999999966</v>
      </c>
      <c r="AM41" s="398">
        <f>AM40+AM38+0.001</f>
        <v>213.18599999999978</v>
      </c>
      <c r="AN41" s="243">
        <f>AM41</f>
        <v>213.18599999999978</v>
      </c>
      <c r="AO41" s="414">
        <f>AO40+AO38</f>
        <v>171.89999999999972</v>
      </c>
      <c r="AP41" s="414">
        <f t="shared" ref="AP41" si="138">AP40+AP38</f>
        <v>240.00999999999993</v>
      </c>
      <c r="AQ41" s="414">
        <f t="shared" ref="AQ41:AR41" si="139">AQ40+AQ38</f>
        <v>288.96099999999979</v>
      </c>
      <c r="AR41" s="465">
        <f t="shared" si="139"/>
        <v>259.95099999999957</v>
      </c>
      <c r="AS41" s="243">
        <f>AR41</f>
        <v>259.95099999999957</v>
      </c>
      <c r="AT41" s="244">
        <f>AT40+AT38</f>
        <v>240.73299999999961</v>
      </c>
      <c r="AU41" s="244">
        <f t="shared" ref="AU41:AW41" si="140">AU40+AU38</f>
        <v>204.30599999999959</v>
      </c>
      <c r="AV41" s="244">
        <f t="shared" si="140"/>
        <v>183.9969999999995</v>
      </c>
      <c r="AW41" s="245">
        <f t="shared" si="140"/>
        <v>182.1659999999996</v>
      </c>
      <c r="AX41" s="243">
        <f>AW41</f>
        <v>182.1659999999996</v>
      </c>
      <c r="AY41" s="244">
        <f>AY40+AY38</f>
        <v>168.8799999999996</v>
      </c>
      <c r="AZ41" s="244">
        <f t="shared" ref="AZ41:BB41" si="141">AZ40+AZ38</f>
        <v>216.92599999999956</v>
      </c>
      <c r="BA41" s="244">
        <f t="shared" si="141"/>
        <v>275.69399999999951</v>
      </c>
      <c r="BB41" s="245">
        <f t="shared" si="141"/>
        <v>362.24289043384726</v>
      </c>
      <c r="BC41" s="243">
        <f>BB41</f>
        <v>362.24289043384726</v>
      </c>
      <c r="BD41" s="244">
        <f>BD40+BD38</f>
        <v>426.76476647381497</v>
      </c>
      <c r="BE41" s="244">
        <f t="shared" ref="BE41:BG41" si="142">BE40+BE38</f>
        <v>527.2773168915279</v>
      </c>
      <c r="BF41" s="244">
        <f t="shared" si="142"/>
        <v>617.77956337350361</v>
      </c>
      <c r="BG41" s="245">
        <f t="shared" si="142"/>
        <v>683.33369908378791</v>
      </c>
      <c r="BH41" s="243">
        <f>BG41</f>
        <v>683.33369908378791</v>
      </c>
      <c r="BI41" s="244">
        <f>BI40+BI38</f>
        <v>711.88308367558943</v>
      </c>
      <c r="BJ41" s="244">
        <f t="shared" ref="BJ41:BL41" si="143">BJ40+BJ38</f>
        <v>741.59167052060707</v>
      </c>
      <c r="BK41" s="244">
        <f t="shared" si="143"/>
        <v>767.09411759147156</v>
      </c>
      <c r="BL41" s="245">
        <f t="shared" si="143"/>
        <v>801.43882646126804</v>
      </c>
      <c r="BM41" s="243">
        <f>BL41</f>
        <v>801.43882646126804</v>
      </c>
      <c r="BN41" s="244">
        <f>BN40+BN38</f>
        <v>826.74709009106243</v>
      </c>
      <c r="BO41" s="244">
        <f t="shared" ref="BO41:BQ41" si="144">BO40+BO38</f>
        <v>852.7454289196902</v>
      </c>
      <c r="BP41" s="244">
        <f t="shared" si="144"/>
        <v>884.00147247141456</v>
      </c>
      <c r="BQ41" s="245">
        <f t="shared" si="144"/>
        <v>919.54395383874805</v>
      </c>
      <c r="BR41" s="243">
        <f>BQ41</f>
        <v>919.54395383874805</v>
      </c>
    </row>
    <row r="42" spans="1:70">
      <c r="A42" s="92"/>
      <c r="B42" s="89"/>
      <c r="C42" s="92"/>
      <c r="D42" s="100"/>
      <c r="E42" s="97"/>
      <c r="F42" s="101"/>
      <c r="G42" s="100"/>
      <c r="H42" s="100"/>
      <c r="I42" s="102"/>
      <c r="J42" s="99"/>
      <c r="K42" s="103"/>
      <c r="L42" s="89"/>
      <c r="M42" s="89"/>
      <c r="N42" s="89"/>
      <c r="O42" s="91"/>
      <c r="P42" s="89"/>
      <c r="Q42" s="89"/>
      <c r="R42" s="89"/>
      <c r="S42" s="89"/>
      <c r="T42" s="91"/>
      <c r="U42" s="89"/>
      <c r="V42" s="89"/>
      <c r="W42" s="89"/>
      <c r="X42" s="89"/>
      <c r="Y42" s="91"/>
      <c r="Z42" s="89"/>
      <c r="AA42" s="89"/>
      <c r="AB42" s="89"/>
      <c r="AC42" s="89"/>
      <c r="AD42" s="89"/>
      <c r="AE42" s="89"/>
      <c r="AF42" s="89"/>
      <c r="AG42" s="89"/>
      <c r="AH42" s="89"/>
      <c r="AI42" s="91"/>
      <c r="AJ42" s="89"/>
      <c r="AK42" s="89"/>
      <c r="AL42" s="89"/>
      <c r="AM42" s="89"/>
      <c r="AN42" s="91"/>
      <c r="AO42" s="89"/>
      <c r="AP42" s="89"/>
      <c r="AQ42" s="89"/>
      <c r="AR42" s="89"/>
      <c r="AS42" s="91"/>
      <c r="AT42" s="89"/>
      <c r="AU42" s="89"/>
      <c r="AV42" s="89"/>
      <c r="AW42" s="89"/>
      <c r="AX42" s="91"/>
      <c r="AY42" s="89"/>
      <c r="AZ42" s="89"/>
      <c r="BA42" s="89"/>
      <c r="BB42" s="89"/>
      <c r="BC42" s="91"/>
    </row>
    <row r="43" spans="1:70">
      <c r="A43" s="92"/>
      <c r="B43" s="89"/>
      <c r="C43" s="92"/>
      <c r="D43" s="100"/>
      <c r="E43" s="97"/>
      <c r="F43" s="101"/>
      <c r="G43" s="100"/>
      <c r="H43" s="100"/>
      <c r="I43" s="102"/>
      <c r="J43" s="95"/>
      <c r="K43" s="103"/>
      <c r="L43" s="89"/>
      <c r="M43" s="89"/>
      <c r="N43" s="89"/>
      <c r="O43" s="91"/>
      <c r="P43" s="89"/>
      <c r="Q43" s="89"/>
      <c r="R43" s="89"/>
      <c r="S43" s="89"/>
      <c r="T43" s="91"/>
      <c r="U43" s="89"/>
      <c r="V43" s="89"/>
      <c r="W43" s="89"/>
      <c r="X43" s="89"/>
      <c r="Y43" s="91"/>
      <c r="Z43" s="89"/>
      <c r="AA43" s="89"/>
      <c r="AB43" s="89"/>
      <c r="AC43" s="89"/>
      <c r="AD43" s="89"/>
      <c r="AE43" s="89"/>
      <c r="AF43" s="89"/>
      <c r="AG43" s="89"/>
      <c r="AH43" s="89"/>
      <c r="AI43" s="91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</row>
    <row r="44" spans="1:70">
      <c r="A44" s="92"/>
      <c r="B44" s="89"/>
      <c r="C44" s="92"/>
      <c r="D44" s="100"/>
      <c r="E44" s="97"/>
      <c r="F44" s="101"/>
      <c r="G44" s="100"/>
      <c r="H44" s="100"/>
      <c r="I44" s="102"/>
      <c r="J44" s="95"/>
      <c r="K44" s="103"/>
      <c r="L44" s="89"/>
      <c r="M44" s="89"/>
      <c r="N44" s="89"/>
      <c r="O44" s="91"/>
      <c r="P44" s="89"/>
      <c r="Q44" s="89"/>
      <c r="R44" s="89"/>
      <c r="S44" s="89"/>
      <c r="T44" s="91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</row>
    <row r="45" spans="1:70">
      <c r="B45" s="33"/>
      <c r="C45" s="33"/>
      <c r="D45" s="41"/>
      <c r="E45" s="51"/>
      <c r="F45" s="46"/>
      <c r="G45" s="41"/>
      <c r="H45" s="41"/>
      <c r="I45" s="44"/>
      <c r="J45" s="56"/>
      <c r="K45" s="45"/>
      <c r="O45" s="54"/>
      <c r="T45" s="54"/>
    </row>
    <row r="46" spans="1:70">
      <c r="A46" s="32"/>
      <c r="B46" s="32"/>
      <c r="C46" s="32"/>
      <c r="D46" s="41"/>
      <c r="E46" s="51"/>
      <c r="F46" s="46"/>
      <c r="G46" s="41"/>
      <c r="H46" s="41"/>
      <c r="I46" s="44"/>
      <c r="J46" s="55"/>
      <c r="K46" s="45"/>
      <c r="O46" s="54"/>
      <c r="T46" s="54"/>
    </row>
    <row r="47" spans="1:70">
      <c r="A47" s="33"/>
      <c r="B47" s="33"/>
      <c r="C47" s="33"/>
      <c r="D47" s="41"/>
      <c r="E47" s="51"/>
      <c r="F47" s="43"/>
      <c r="G47" s="41"/>
      <c r="H47" s="41"/>
      <c r="I47" s="44"/>
      <c r="J47" s="56"/>
      <c r="K47" s="45"/>
      <c r="O47" s="54"/>
      <c r="T47" s="54"/>
    </row>
    <row r="48" spans="1:70">
      <c r="B48" s="33"/>
      <c r="C48" s="33"/>
      <c r="D48" s="41"/>
      <c r="E48" s="52"/>
      <c r="F48" s="43"/>
      <c r="G48" s="41"/>
      <c r="H48" s="41"/>
      <c r="I48" s="47"/>
      <c r="J48" s="55"/>
      <c r="K48" s="45"/>
      <c r="O48" s="54"/>
      <c r="T48" s="54"/>
    </row>
    <row r="49" spans="1:20">
      <c r="A49" s="32"/>
      <c r="B49" s="32"/>
      <c r="C49" s="32"/>
      <c r="D49" s="42"/>
      <c r="E49" s="52"/>
      <c r="F49" s="43"/>
      <c r="G49" s="41"/>
      <c r="H49" s="44"/>
      <c r="I49" s="47"/>
      <c r="J49" s="55"/>
      <c r="K49" s="45"/>
      <c r="O49" s="54"/>
      <c r="T49" s="54"/>
    </row>
    <row r="50" spans="1:20">
      <c r="A50" s="35"/>
      <c r="B50" s="35"/>
      <c r="C50" s="35"/>
      <c r="D50" s="48"/>
      <c r="E50" s="53"/>
      <c r="F50" s="48"/>
      <c r="G50" s="48"/>
      <c r="H50" s="48"/>
      <c r="I50" s="48"/>
      <c r="J50" s="48"/>
      <c r="K50" s="45"/>
    </row>
    <row r="51" spans="1:20">
      <c r="A51" s="34"/>
      <c r="B51" s="34"/>
      <c r="C51" s="34"/>
      <c r="D51" s="48"/>
      <c r="E51" s="53"/>
      <c r="F51" s="48"/>
      <c r="G51" s="48"/>
      <c r="H51" s="48"/>
      <c r="I51" s="48"/>
      <c r="J51" s="48"/>
      <c r="K51" s="45"/>
    </row>
  </sheetData>
  <mergeCells count="13">
    <mergeCell ref="F3:I3"/>
    <mergeCell ref="AO3:AR3"/>
    <mergeCell ref="AJ3:AM3"/>
    <mergeCell ref="AE3:AH3"/>
    <mergeCell ref="Z3:AC3"/>
    <mergeCell ref="U3:X3"/>
    <mergeCell ref="P3:S3"/>
    <mergeCell ref="K3:N3"/>
    <mergeCell ref="BI3:BL3"/>
    <mergeCell ref="BN3:BQ3"/>
    <mergeCell ref="BD3:BG3"/>
    <mergeCell ref="AY3:BB3"/>
    <mergeCell ref="AT3:AW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7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31" sqref="T31"/>
    </sheetView>
  </sheetViews>
  <sheetFormatPr defaultColWidth="9.1796875" defaultRowHeight="10"/>
  <cols>
    <col min="1" max="2" width="9.1796875" style="138"/>
    <col min="3" max="3" width="10.1796875" style="138" bestFit="1" customWidth="1"/>
    <col min="4" max="4" width="9.1796875" style="138"/>
    <col min="5" max="6" width="9.26953125" style="138" bestFit="1" customWidth="1"/>
    <col min="7" max="7" width="10.1796875" style="138" bestFit="1" customWidth="1"/>
    <col min="8" max="8" width="9.26953125" style="280" bestFit="1" customWidth="1"/>
    <col min="9" max="10" width="9.26953125" style="138" bestFit="1" customWidth="1"/>
    <col min="11" max="11" width="10.1796875" style="138" bestFit="1" customWidth="1"/>
    <col min="12" max="12" width="9.26953125" style="280" bestFit="1" customWidth="1"/>
    <col min="13" max="14" width="9.26953125" style="138" bestFit="1" customWidth="1"/>
    <col min="15" max="15" width="10.1796875" style="138" bestFit="1" customWidth="1"/>
    <col min="16" max="16" width="9.26953125" style="280" bestFit="1" customWidth="1"/>
    <col min="17" max="18" width="9.26953125" style="138" bestFit="1" customWidth="1"/>
    <col min="19" max="19" width="10.1796875" style="138" bestFit="1" customWidth="1"/>
    <col min="20" max="20" width="9.26953125" style="280" bestFit="1" customWidth="1"/>
    <col min="21" max="22" width="9.26953125" style="138" bestFit="1" customWidth="1"/>
    <col min="23" max="23" width="10.1796875" style="138" bestFit="1" customWidth="1"/>
    <col min="24" max="24" width="9.26953125" style="280" bestFit="1" customWidth="1"/>
    <col min="25" max="26" width="9.26953125" style="138" bestFit="1" customWidth="1"/>
    <col min="27" max="27" width="10.1796875" style="138" bestFit="1" customWidth="1"/>
    <col min="28" max="28" width="9.26953125" style="280" bestFit="1" customWidth="1"/>
    <col min="29" max="30" width="9.26953125" style="138" bestFit="1" customWidth="1"/>
    <col min="31" max="31" width="10.1796875" style="138" bestFit="1" customWidth="1"/>
    <col min="32" max="32" width="9.26953125" style="280" bestFit="1" customWidth="1"/>
    <col min="33" max="34" width="9.26953125" style="138" bestFit="1" customWidth="1"/>
    <col min="35" max="35" width="10.1796875" style="138" bestFit="1" customWidth="1"/>
    <col min="36" max="36" width="9.26953125" style="280" bestFit="1" customWidth="1"/>
    <col min="37" max="38" width="9.26953125" style="138" bestFit="1" customWidth="1"/>
    <col min="39" max="39" width="10.1796875" style="138" bestFit="1" customWidth="1"/>
    <col min="40" max="40" width="9.26953125" style="280" bestFit="1" customWidth="1"/>
    <col min="41" max="42" width="9.26953125" style="138" bestFit="1" customWidth="1"/>
    <col min="43" max="43" width="10.1796875" style="138" bestFit="1" customWidth="1"/>
    <col min="44" max="16384" width="9.1796875" style="138"/>
  </cols>
  <sheetData>
    <row r="1" spans="1:55" s="137" customFormat="1" ht="10.5">
      <c r="A1" s="137" t="s">
        <v>114</v>
      </c>
      <c r="H1" s="269"/>
      <c r="L1" s="269"/>
      <c r="P1" s="269"/>
      <c r="T1" s="269"/>
      <c r="X1" s="269"/>
      <c r="AB1" s="269"/>
      <c r="AF1" s="269"/>
      <c r="AJ1" s="269"/>
      <c r="AN1" s="269"/>
    </row>
    <row r="2" spans="1:55" s="270" customFormat="1" ht="10.5">
      <c r="C2" s="271">
        <v>40178</v>
      </c>
      <c r="D2" s="272">
        <v>40268</v>
      </c>
      <c r="E2" s="271">
        <f>EOMONTH(D2,3)</f>
        <v>40359</v>
      </c>
      <c r="F2" s="271">
        <f t="shared" ref="F2:O2" si="0">EOMONTH(E2,3)</f>
        <v>40451</v>
      </c>
      <c r="G2" s="271">
        <f t="shared" si="0"/>
        <v>40543</v>
      </c>
      <c r="H2" s="273">
        <f t="shared" si="0"/>
        <v>40633</v>
      </c>
      <c r="I2" s="271">
        <f t="shared" si="0"/>
        <v>40724</v>
      </c>
      <c r="J2" s="271">
        <f t="shared" si="0"/>
        <v>40816</v>
      </c>
      <c r="K2" s="271">
        <f t="shared" si="0"/>
        <v>40908</v>
      </c>
      <c r="L2" s="273">
        <f>EOMONTH(K2,3)</f>
        <v>40999</v>
      </c>
      <c r="M2" s="271">
        <f t="shared" si="0"/>
        <v>41090</v>
      </c>
      <c r="N2" s="271">
        <f t="shared" si="0"/>
        <v>41182</v>
      </c>
      <c r="O2" s="271">
        <f t="shared" si="0"/>
        <v>41274</v>
      </c>
      <c r="P2" s="273">
        <f>EOMONTH(O2,3)</f>
        <v>41364</v>
      </c>
      <c r="Q2" s="271">
        <f t="shared" ref="Q2:AI2" si="1">EOMONTH(P2,3)</f>
        <v>41455</v>
      </c>
      <c r="R2" s="271">
        <f t="shared" si="1"/>
        <v>41547</v>
      </c>
      <c r="S2" s="271">
        <f t="shared" si="1"/>
        <v>41639</v>
      </c>
      <c r="T2" s="273">
        <f>EOMONTH(S2,3)</f>
        <v>41729</v>
      </c>
      <c r="U2" s="271">
        <f t="shared" si="1"/>
        <v>41820</v>
      </c>
      <c r="V2" s="271">
        <f t="shared" si="1"/>
        <v>41912</v>
      </c>
      <c r="W2" s="271">
        <f t="shared" si="1"/>
        <v>42004</v>
      </c>
      <c r="X2" s="273">
        <f>EOMONTH(W2,3)</f>
        <v>42094</v>
      </c>
      <c r="Y2" s="271">
        <f t="shared" si="1"/>
        <v>42185</v>
      </c>
      <c r="Z2" s="271">
        <f t="shared" si="1"/>
        <v>42277</v>
      </c>
      <c r="AA2" s="271">
        <f t="shared" si="1"/>
        <v>42369</v>
      </c>
      <c r="AB2" s="273">
        <f>EOMONTH(AA2,3)</f>
        <v>42460</v>
      </c>
      <c r="AC2" s="271">
        <f t="shared" si="1"/>
        <v>42551</v>
      </c>
      <c r="AD2" s="271">
        <f t="shared" si="1"/>
        <v>42643</v>
      </c>
      <c r="AE2" s="271">
        <f t="shared" si="1"/>
        <v>42735</v>
      </c>
      <c r="AF2" s="273">
        <f>EOMONTH(AE2,3)</f>
        <v>42825</v>
      </c>
      <c r="AG2" s="271">
        <f t="shared" si="1"/>
        <v>42916</v>
      </c>
      <c r="AH2" s="271">
        <f t="shared" si="1"/>
        <v>43008</v>
      </c>
      <c r="AI2" s="271">
        <f t="shared" si="1"/>
        <v>43100</v>
      </c>
      <c r="AJ2" s="273">
        <f>EOMONTH(AI2,3)</f>
        <v>43190</v>
      </c>
      <c r="AK2" s="271">
        <f t="shared" ref="AK2" si="2">EOMONTH(AJ2,3)</f>
        <v>43281</v>
      </c>
      <c r="AL2" s="271">
        <f t="shared" ref="AL2" si="3">EOMONTH(AK2,3)</f>
        <v>43373</v>
      </c>
      <c r="AM2" s="271">
        <f t="shared" ref="AM2" si="4">EOMONTH(AL2,3)</f>
        <v>43465</v>
      </c>
      <c r="AN2" s="273">
        <f>EOMONTH(AM2,3)</f>
        <v>43555</v>
      </c>
      <c r="AO2" s="271">
        <f t="shared" ref="AO2" si="5">EOMONTH(AN2,3)</f>
        <v>43646</v>
      </c>
      <c r="AP2" s="271">
        <f t="shared" ref="AP2" si="6">EOMONTH(AO2,3)</f>
        <v>43738</v>
      </c>
      <c r="AQ2" s="271">
        <f t="shared" ref="AQ2" si="7">EOMONTH(AP2,3)</f>
        <v>43830</v>
      </c>
      <c r="AR2" s="273">
        <f>EOMONTH(AQ2,3)</f>
        <v>43921</v>
      </c>
      <c r="AS2" s="271">
        <f t="shared" ref="AS2" si="8">EOMONTH(AR2,3)</f>
        <v>44012</v>
      </c>
      <c r="AT2" s="271">
        <f t="shared" ref="AT2" si="9">EOMONTH(AS2,3)</f>
        <v>44104</v>
      </c>
      <c r="AU2" s="271">
        <f t="shared" ref="AU2" si="10">EOMONTH(AT2,3)</f>
        <v>44196</v>
      </c>
      <c r="AV2" s="273">
        <f>EOMONTH(AU2,3)</f>
        <v>44286</v>
      </c>
      <c r="AW2" s="271">
        <f t="shared" ref="AW2" si="11">EOMONTH(AV2,3)</f>
        <v>44377</v>
      </c>
      <c r="AX2" s="271">
        <f t="shared" ref="AX2" si="12">EOMONTH(AW2,3)</f>
        <v>44469</v>
      </c>
      <c r="AY2" s="271">
        <f t="shared" ref="AY2" si="13">EOMONTH(AX2,3)</f>
        <v>44561</v>
      </c>
      <c r="AZ2" s="273">
        <f>EOMONTH(AY2,3)</f>
        <v>44651</v>
      </c>
      <c r="BA2" s="271">
        <f t="shared" ref="BA2" si="14">EOMONTH(AZ2,3)</f>
        <v>44742</v>
      </c>
      <c r="BB2" s="271">
        <f t="shared" ref="BB2" si="15">EOMONTH(BA2,3)</f>
        <v>44834</v>
      </c>
      <c r="BC2" s="271">
        <f t="shared" ref="BC2" si="16">EOMONTH(BB2,3)</f>
        <v>44926</v>
      </c>
    </row>
    <row r="3" spans="1:55" s="89" customFormat="1">
      <c r="A3" s="274" t="s">
        <v>112</v>
      </c>
      <c r="C3" s="89">
        <v>1001.5</v>
      </c>
      <c r="D3" s="91">
        <v>922.1</v>
      </c>
      <c r="E3" s="89">
        <v>1042.0999999999999</v>
      </c>
      <c r="F3" s="89">
        <v>879.4</v>
      </c>
      <c r="G3" s="89">
        <v>1360.0840000000001</v>
      </c>
      <c r="H3" s="275">
        <v>1374.5</v>
      </c>
      <c r="I3" s="89">
        <v>1903.9</v>
      </c>
      <c r="J3" s="89">
        <v>2338.6</v>
      </c>
      <c r="K3" s="89">
        <v>2222.1999999999998</v>
      </c>
      <c r="L3" s="275">
        <v>2148.6999999999998</v>
      </c>
      <c r="M3" s="89">
        <v>1903.6</v>
      </c>
      <c r="N3" s="89">
        <v>1669.4</v>
      </c>
      <c r="O3" s="89">
        <v>1774</v>
      </c>
      <c r="P3" s="275">
        <v>1665.9</v>
      </c>
      <c r="Q3" s="89">
        <v>2643.3</v>
      </c>
      <c r="R3" s="89">
        <v>3078.3</v>
      </c>
      <c r="S3" s="89">
        <v>3437.6</v>
      </c>
      <c r="T3" s="275">
        <v>3887.1</v>
      </c>
      <c r="U3" s="89">
        <v>3707.9</v>
      </c>
      <c r="V3" s="89">
        <v>3886.4</v>
      </c>
      <c r="W3" s="89">
        <v>3563.2</v>
      </c>
      <c r="X3" s="399">
        <v>3411.8</v>
      </c>
      <c r="Y3" s="417">
        <v>3128.6</v>
      </c>
      <c r="Z3" s="417">
        <v>2810.6</v>
      </c>
      <c r="AA3" s="417">
        <v>2743.7</v>
      </c>
      <c r="AB3" s="399">
        <v>3346.1</v>
      </c>
      <c r="AC3" s="417">
        <v>2973.9</v>
      </c>
      <c r="AD3" s="417">
        <v>2799.4</v>
      </c>
      <c r="AE3" s="417">
        <v>2672.1</v>
      </c>
      <c r="AF3" s="458">
        <v>3865.7</v>
      </c>
      <c r="AG3" s="417">
        <v>4240.6000000000004</v>
      </c>
      <c r="AH3" s="417">
        <v>4307.3999999999996</v>
      </c>
      <c r="AI3" s="417">
        <v>4118.2</v>
      </c>
      <c r="AJ3" s="399">
        <v>4475.3999999999996</v>
      </c>
      <c r="AK3" s="417">
        <v>4737.3999999999996</v>
      </c>
      <c r="AL3" s="417">
        <v>4651.6000000000004</v>
      </c>
      <c r="AM3" s="417">
        <v>5141.8630000000003</v>
      </c>
      <c r="AN3" s="399">
        <v>6505.9</v>
      </c>
      <c r="AO3" s="417">
        <v>6181.5</v>
      </c>
      <c r="AP3" s="417">
        <v>5949.6</v>
      </c>
      <c r="AQ3" s="376">
        <f t="shared" ref="AQ3:AQ5" si="17">+AP3*(1+AQ10)</f>
        <v>6068.5920000000006</v>
      </c>
      <c r="AR3" s="375">
        <f t="shared" ref="AR3:AR5" si="18">+AQ3*(1+AR10)</f>
        <v>7403.6822400000001</v>
      </c>
      <c r="AS3" s="376">
        <f t="shared" ref="AS3:AS5" si="19">+AR3*(1+AS10)</f>
        <v>7551.7558847999999</v>
      </c>
      <c r="AT3" s="376">
        <f t="shared" ref="AT3:AT5" si="20">+AS3*(1+AT10)</f>
        <v>7702.7910024960001</v>
      </c>
      <c r="AU3" s="376">
        <f t="shared" ref="AU3:AU5" si="21">+AT3*(1+AU10)</f>
        <v>7856.8468225459201</v>
      </c>
      <c r="AV3" s="375">
        <f t="shared" ref="AV3:AV5" si="22">+AU3*(1+AV10)</f>
        <v>9585.3531235060218</v>
      </c>
      <c r="AW3" s="376">
        <f t="shared" ref="AW3:AW5" si="23">+AV3*(1+AW10)</f>
        <v>9777.0601859761427</v>
      </c>
      <c r="AX3" s="376">
        <f t="shared" ref="AX3:AX5" si="24">+AW3*(1+AX10)</f>
        <v>9972.6013896956665</v>
      </c>
      <c r="AY3" s="376">
        <f t="shared" ref="AY3:AY5" si="25">+AX3*(1+AY10)</f>
        <v>10172.05341748958</v>
      </c>
      <c r="AZ3" s="375">
        <f t="shared" ref="AZ3:AZ5" si="26">+AY3*(1+AZ10)</f>
        <v>12409.905169337288</v>
      </c>
      <c r="BA3" s="376">
        <f t="shared" ref="BA3:BA5" si="27">+AZ3*(1+BA10)</f>
        <v>12658.103272724034</v>
      </c>
      <c r="BB3" s="376">
        <f t="shared" ref="BB3:BB5" si="28">+BA3*(1+BB10)</f>
        <v>12911.265338178515</v>
      </c>
      <c r="BC3" s="376">
        <f t="shared" ref="BC3:BC5" si="29">+BB3*(1+BC10)</f>
        <v>13169.490644942085</v>
      </c>
    </row>
    <row r="4" spans="1:55" s="89" customFormat="1">
      <c r="A4" s="274" t="s">
        <v>104</v>
      </c>
      <c r="C4" s="89">
        <v>3125.8</v>
      </c>
      <c r="D4" s="91">
        <v>2685.1</v>
      </c>
      <c r="E4" s="89">
        <v>3054.8</v>
      </c>
      <c r="F4" s="89">
        <v>2925</v>
      </c>
      <c r="G4" s="89">
        <v>2663.3150000000001</v>
      </c>
      <c r="H4" s="275">
        <v>2528.1999999999998</v>
      </c>
      <c r="I4" s="89">
        <v>2745.4</v>
      </c>
      <c r="J4" s="89">
        <v>2482.1</v>
      </c>
      <c r="K4" s="89">
        <v>2248.9</v>
      </c>
      <c r="L4" s="275">
        <v>2195.4</v>
      </c>
      <c r="M4" s="89">
        <v>2186.5</v>
      </c>
      <c r="N4" s="89">
        <v>2177.3000000000002</v>
      </c>
      <c r="O4" s="89">
        <v>1964.9</v>
      </c>
      <c r="P4" s="275">
        <v>2042.1</v>
      </c>
      <c r="Q4" s="89">
        <v>2063.3000000000002</v>
      </c>
      <c r="R4" s="89">
        <v>1848.9</v>
      </c>
      <c r="S4" s="89">
        <v>1654.4</v>
      </c>
      <c r="T4" s="275">
        <v>1732.9</v>
      </c>
      <c r="U4" s="89">
        <v>2007.6</v>
      </c>
      <c r="V4" s="89">
        <v>2188</v>
      </c>
      <c r="W4" s="89">
        <v>2187.8000000000002</v>
      </c>
      <c r="X4" s="399">
        <v>2254.8000000000002</v>
      </c>
      <c r="Y4" s="417">
        <v>2483.1999999999998</v>
      </c>
      <c r="Z4" s="417">
        <v>2680.4</v>
      </c>
      <c r="AA4" s="417">
        <v>2780.4</v>
      </c>
      <c r="AB4" s="399">
        <v>2874.7</v>
      </c>
      <c r="AC4" s="417">
        <v>2501.4</v>
      </c>
      <c r="AD4" s="417">
        <v>2228.4</v>
      </c>
      <c r="AE4" s="417">
        <v>1981.2</v>
      </c>
      <c r="AF4" s="458">
        <v>1750.3</v>
      </c>
      <c r="AG4" s="417">
        <v>1808.4</v>
      </c>
      <c r="AH4" s="417">
        <v>1598.7</v>
      </c>
      <c r="AI4" s="417">
        <v>1701.4</v>
      </c>
      <c r="AJ4" s="399">
        <v>2237</v>
      </c>
      <c r="AK4" s="417">
        <v>2085.6</v>
      </c>
      <c r="AL4" s="417">
        <v>2122.8000000000002</v>
      </c>
      <c r="AM4" s="417">
        <v>2333.127</v>
      </c>
      <c r="AN4" s="399">
        <v>2968.9</v>
      </c>
      <c r="AO4" s="417">
        <v>2868.3</v>
      </c>
      <c r="AP4" s="417">
        <v>2652.4</v>
      </c>
      <c r="AQ4" s="376">
        <f t="shared" si="17"/>
        <v>2678.924</v>
      </c>
      <c r="AR4" s="375">
        <f t="shared" si="18"/>
        <v>2705.71324</v>
      </c>
      <c r="AS4" s="376">
        <f t="shared" si="19"/>
        <v>2732.7703724000003</v>
      </c>
      <c r="AT4" s="376">
        <f t="shared" si="20"/>
        <v>2760.0980761240003</v>
      </c>
      <c r="AU4" s="376">
        <f t="shared" si="21"/>
        <v>2787.6990568852402</v>
      </c>
      <c r="AV4" s="375">
        <f t="shared" si="22"/>
        <v>2815.5760474540925</v>
      </c>
      <c r="AW4" s="376">
        <f t="shared" si="23"/>
        <v>2843.7318079286333</v>
      </c>
      <c r="AX4" s="376">
        <f t="shared" si="24"/>
        <v>2872.1691260079197</v>
      </c>
      <c r="AY4" s="376">
        <f t="shared" si="25"/>
        <v>2900.890817267999</v>
      </c>
      <c r="AZ4" s="375">
        <f t="shared" si="26"/>
        <v>2929.899725440679</v>
      </c>
      <c r="BA4" s="376">
        <f t="shared" si="27"/>
        <v>2959.198722695086</v>
      </c>
      <c r="BB4" s="376">
        <f t="shared" si="28"/>
        <v>2988.790709922037</v>
      </c>
      <c r="BC4" s="376">
        <f t="shared" si="29"/>
        <v>3018.6786170212572</v>
      </c>
    </row>
    <row r="5" spans="1:55" s="89" customFormat="1">
      <c r="A5" s="274" t="s">
        <v>110</v>
      </c>
      <c r="D5" s="91"/>
      <c r="H5" s="275"/>
      <c r="J5" s="89">
        <v>1330</v>
      </c>
      <c r="K5" s="89">
        <v>1371.5</v>
      </c>
      <c r="L5" s="275">
        <v>1311.3</v>
      </c>
      <c r="M5" s="89">
        <v>1469.2</v>
      </c>
      <c r="N5" s="89">
        <v>1413</v>
      </c>
      <c r="O5" s="89">
        <v>1507.3</v>
      </c>
      <c r="P5" s="275">
        <v>1494.4</v>
      </c>
      <c r="Q5" s="89">
        <v>1586.5</v>
      </c>
      <c r="R5" s="89">
        <v>1671.8</v>
      </c>
      <c r="S5" s="89">
        <v>1661.1</v>
      </c>
      <c r="T5" s="275">
        <v>2032.4</v>
      </c>
      <c r="U5" s="89">
        <v>2048.8000000000002</v>
      </c>
      <c r="V5" s="89">
        <v>2011.2</v>
      </c>
      <c r="W5" s="89">
        <v>2080.6999999999998</v>
      </c>
      <c r="X5" s="399">
        <v>2121.6999999999998</v>
      </c>
      <c r="Y5" s="417">
        <v>2137.6999999999998</v>
      </c>
      <c r="Z5" s="417">
        <v>2048</v>
      </c>
      <c r="AA5" s="417">
        <v>1941</v>
      </c>
      <c r="AB5" s="399">
        <v>1938.4</v>
      </c>
      <c r="AC5" s="417">
        <v>1794.2</v>
      </c>
      <c r="AD5" s="417">
        <v>1668.5</v>
      </c>
      <c r="AE5" s="417">
        <v>1573.8</v>
      </c>
      <c r="AF5" s="458">
        <v>1554.5</v>
      </c>
      <c r="AG5" s="417">
        <v>1511.5</v>
      </c>
      <c r="AH5" s="417">
        <v>1595.6</v>
      </c>
      <c r="AI5" s="417">
        <v>1463.8</v>
      </c>
      <c r="AJ5" s="399">
        <v>1765</v>
      </c>
      <c r="AK5" s="417">
        <v>1868.3</v>
      </c>
      <c r="AL5" s="417">
        <v>1741.8</v>
      </c>
      <c r="AM5" s="417">
        <v>1821.701</v>
      </c>
      <c r="AN5" s="399">
        <v>2109.5</v>
      </c>
      <c r="AO5" s="417">
        <v>2324.9</v>
      </c>
      <c r="AP5" s="417">
        <v>2273.9</v>
      </c>
      <c r="AQ5" s="376">
        <f t="shared" si="17"/>
        <v>2296.6390000000001</v>
      </c>
      <c r="AR5" s="375">
        <f t="shared" si="18"/>
        <v>2319.6053900000002</v>
      </c>
      <c r="AS5" s="376">
        <f t="shared" si="19"/>
        <v>2342.8014439000003</v>
      </c>
      <c r="AT5" s="376">
        <f t="shared" si="20"/>
        <v>2366.2294583390003</v>
      </c>
      <c r="AU5" s="376">
        <f t="shared" si="21"/>
        <v>2389.8917529223904</v>
      </c>
      <c r="AV5" s="375">
        <f t="shared" si="22"/>
        <v>2413.7906704516145</v>
      </c>
      <c r="AW5" s="376">
        <f t="shared" si="23"/>
        <v>2437.9285771561308</v>
      </c>
      <c r="AX5" s="376">
        <f t="shared" si="24"/>
        <v>2462.307862927692</v>
      </c>
      <c r="AY5" s="376">
        <f t="shared" si="25"/>
        <v>2486.9309415569687</v>
      </c>
      <c r="AZ5" s="375">
        <f t="shared" si="26"/>
        <v>2511.8002509725384</v>
      </c>
      <c r="BA5" s="376">
        <f t="shared" si="27"/>
        <v>2536.9182534822639</v>
      </c>
      <c r="BB5" s="376">
        <f t="shared" si="28"/>
        <v>2562.2874360170867</v>
      </c>
      <c r="BC5" s="376">
        <f t="shared" si="29"/>
        <v>2587.9103103772577</v>
      </c>
    </row>
    <row r="6" spans="1:55" s="89" customFormat="1">
      <c r="A6" s="274" t="s">
        <v>106</v>
      </c>
      <c r="C6" s="89">
        <v>182.9</v>
      </c>
      <c r="D6" s="91">
        <v>150.19999999999999</v>
      </c>
      <c r="E6" s="89">
        <v>194.6</v>
      </c>
      <c r="F6" s="89">
        <v>243</v>
      </c>
      <c r="G6" s="89">
        <v>260.89100000000002</v>
      </c>
      <c r="H6" s="275">
        <v>328.6</v>
      </c>
      <c r="I6" s="89">
        <v>316.7</v>
      </c>
      <c r="J6" s="89">
        <v>339.2</v>
      </c>
      <c r="K6" s="89">
        <v>265.7</v>
      </c>
      <c r="L6" s="275">
        <v>261.39999999999998</v>
      </c>
      <c r="M6" s="89">
        <v>295.60000000000002</v>
      </c>
      <c r="N6" s="89">
        <v>293.89999999999998</v>
      </c>
      <c r="O6" s="89">
        <v>357.4</v>
      </c>
      <c r="P6" s="275">
        <v>323.89999999999998</v>
      </c>
      <c r="Q6" s="89">
        <v>293.60000000000002</v>
      </c>
      <c r="R6" s="89">
        <v>303.5</v>
      </c>
      <c r="S6" s="89">
        <v>201.1</v>
      </c>
      <c r="T6" s="427">
        <f t="shared" ref="T6:AH6" si="30">+T3/SUM(T3:T5)</f>
        <v>0.50795828759604833</v>
      </c>
      <c r="U6" s="427">
        <f t="shared" si="30"/>
        <v>0.47755753899256853</v>
      </c>
      <c r="V6" s="427">
        <f t="shared" si="30"/>
        <v>0.48065697041654304</v>
      </c>
      <c r="W6" s="427">
        <f t="shared" si="30"/>
        <v>0.45497146213465783</v>
      </c>
      <c r="X6" s="427">
        <f t="shared" si="30"/>
        <v>0.43806735744642605</v>
      </c>
      <c r="Y6" s="427">
        <f t="shared" si="30"/>
        <v>0.403716368797987</v>
      </c>
      <c r="Z6" s="427">
        <f t="shared" si="30"/>
        <v>0.37280806473007028</v>
      </c>
      <c r="AA6" s="427">
        <f t="shared" si="30"/>
        <v>0.36753693855407155</v>
      </c>
      <c r="AB6" s="427">
        <f t="shared" si="30"/>
        <v>0.41010148053730761</v>
      </c>
      <c r="AC6" s="427">
        <f t="shared" si="30"/>
        <v>0.40909278492330975</v>
      </c>
      <c r="AD6" s="427">
        <f t="shared" si="30"/>
        <v>0.41805175992712396</v>
      </c>
      <c r="AE6" s="427">
        <f t="shared" si="30"/>
        <v>0.42910825263766439</v>
      </c>
      <c r="AF6" s="427">
        <f t="shared" si="30"/>
        <v>0.53911163796109052</v>
      </c>
      <c r="AG6" s="427">
        <f t="shared" si="30"/>
        <v>0.56088883010382917</v>
      </c>
      <c r="AH6" s="427">
        <f t="shared" si="30"/>
        <v>0.57418985030059855</v>
      </c>
      <c r="AI6" s="427">
        <f t="shared" ref="AI6" si="31">+AI3/SUM(AI3:AI5)</f>
        <v>0.56542274212593013</v>
      </c>
      <c r="AJ6" s="427">
        <f t="shared" ref="AJ6:AL6" si="32">+AJ3/SUM(AJ3:AJ5)</f>
        <v>0.52792129662396492</v>
      </c>
      <c r="AK6" s="427">
        <f t="shared" si="32"/>
        <v>0.54507380944162553</v>
      </c>
      <c r="AL6" s="427">
        <f t="shared" si="32"/>
        <v>0.54620605434348657</v>
      </c>
      <c r="AM6" s="427">
        <f t="shared" ref="AM6" si="33">+AM3/SUM(AM3:AM5)</f>
        <v>0.55308528593668449</v>
      </c>
      <c r="AN6" s="427">
        <f t="shared" ref="AN6:AP6" si="34">+AN3/SUM(AN3:AN5)</f>
        <v>0.56161356318465505</v>
      </c>
      <c r="AO6" s="427">
        <f t="shared" si="34"/>
        <v>0.54344290398867667</v>
      </c>
      <c r="AP6" s="427">
        <f t="shared" si="34"/>
        <v>0.54704438253385934</v>
      </c>
      <c r="AR6" s="275"/>
      <c r="AV6" s="275"/>
      <c r="AZ6" s="275"/>
    </row>
    <row r="7" spans="1:55" s="89" customFormat="1">
      <c r="A7" s="274" t="s">
        <v>111</v>
      </c>
      <c r="D7" s="91"/>
      <c r="H7" s="275"/>
      <c r="J7" s="89">
        <v>-40.1</v>
      </c>
      <c r="L7" s="275"/>
      <c r="P7" s="275"/>
      <c r="T7" s="275"/>
      <c r="X7" s="275"/>
      <c r="AB7" s="275"/>
      <c r="AE7" s="433"/>
      <c r="AF7" s="433">
        <f t="shared" ref="AF7:AP7" si="35">AF8/AE8-1</f>
        <v>0.15150631767180278</v>
      </c>
      <c r="AG7" s="433">
        <f t="shared" si="35"/>
        <v>5.4388460461632704E-2</v>
      </c>
      <c r="AH7" s="433">
        <f t="shared" si="35"/>
        <v>-7.7749273341588543E-3</v>
      </c>
      <c r="AI7" s="433">
        <f t="shared" si="35"/>
        <v>-2.9099012057373086E-2</v>
      </c>
      <c r="AJ7" s="433">
        <f t="shared" si="35"/>
        <v>0.1639165522157322</v>
      </c>
      <c r="AK7" s="433">
        <f t="shared" si="35"/>
        <v>2.5232244777106061E-2</v>
      </c>
      <c r="AL7" s="433">
        <f t="shared" si="35"/>
        <v>-2.0145189688517529E-2</v>
      </c>
      <c r="AM7" s="433">
        <f t="shared" si="35"/>
        <v>9.1642730726994692E-2</v>
      </c>
      <c r="AN7" s="433">
        <f t="shared" si="35"/>
        <v>0.24605329356660555</v>
      </c>
      <c r="AO7" s="433">
        <f t="shared" si="35"/>
        <v>-1.8094145415926355E-2</v>
      </c>
      <c r="AP7" s="433">
        <f t="shared" si="35"/>
        <v>-4.384929439313312E-2</v>
      </c>
      <c r="AR7" s="275"/>
      <c r="AV7" s="275"/>
      <c r="AZ7" s="275"/>
    </row>
    <row r="8" spans="1:55" s="277" customFormat="1">
      <c r="A8" s="276" t="s">
        <v>113</v>
      </c>
      <c r="D8" s="299">
        <f t="shared" ref="D8:I8" si="36">SUM(D3:D6)</f>
        <v>3757.3999999999996</v>
      </c>
      <c r="E8" s="299">
        <f t="shared" si="36"/>
        <v>4291.5</v>
      </c>
      <c r="F8" s="299">
        <f t="shared" si="36"/>
        <v>4047.4</v>
      </c>
      <c r="G8" s="300">
        <f t="shared" si="36"/>
        <v>4284.29</v>
      </c>
      <c r="H8" s="299">
        <f t="shared" si="36"/>
        <v>4231.3</v>
      </c>
      <c r="I8" s="299">
        <f t="shared" si="36"/>
        <v>4966</v>
      </c>
      <c r="J8" s="299">
        <f>SUM(J3:J7)</f>
        <v>6449.7999999999993</v>
      </c>
      <c r="K8" s="300">
        <f t="shared" ref="K8:AI8" si="37">SUM(K3:K6)</f>
        <v>6108.3</v>
      </c>
      <c r="L8" s="299">
        <f t="shared" si="37"/>
        <v>5916.8</v>
      </c>
      <c r="M8" s="299">
        <f t="shared" si="37"/>
        <v>5854.9000000000005</v>
      </c>
      <c r="N8" s="299">
        <f t="shared" si="37"/>
        <v>5553.6</v>
      </c>
      <c r="O8" s="299">
        <f t="shared" si="37"/>
        <v>5603.5999999999995</v>
      </c>
      <c r="P8" s="299">
        <f t="shared" si="37"/>
        <v>5526.2999999999993</v>
      </c>
      <c r="Q8" s="299">
        <f t="shared" si="37"/>
        <v>6586.7000000000007</v>
      </c>
      <c r="R8" s="299">
        <f t="shared" si="37"/>
        <v>6902.5000000000009</v>
      </c>
      <c r="S8" s="299">
        <f t="shared" si="37"/>
        <v>6954.2000000000007</v>
      </c>
      <c r="T8" s="299">
        <f t="shared" si="37"/>
        <v>7652.9079582875956</v>
      </c>
      <c r="U8" s="299">
        <f t="shared" si="37"/>
        <v>7764.7775575389924</v>
      </c>
      <c r="V8" s="299">
        <f t="shared" si="37"/>
        <v>8086.0806569704164</v>
      </c>
      <c r="W8" s="278">
        <f t="shared" si="37"/>
        <v>7832.1549714621342</v>
      </c>
      <c r="X8" s="278">
        <f t="shared" si="37"/>
        <v>7788.7380673574462</v>
      </c>
      <c r="Y8" s="278">
        <f t="shared" si="37"/>
        <v>7749.9037163687972</v>
      </c>
      <c r="Z8" s="278">
        <f t="shared" si="37"/>
        <v>7539.3728080647297</v>
      </c>
      <c r="AA8" s="278">
        <f t="shared" si="37"/>
        <v>7465.4675369385541</v>
      </c>
      <c r="AB8" s="278">
        <f t="shared" si="37"/>
        <v>8159.6101014805363</v>
      </c>
      <c r="AC8" s="278">
        <f t="shared" si="37"/>
        <v>7269.9090927849229</v>
      </c>
      <c r="AD8" s="278">
        <f t="shared" si="37"/>
        <v>6696.7180517599272</v>
      </c>
      <c r="AE8" s="278">
        <f t="shared" si="37"/>
        <v>6227.5291082526383</v>
      </c>
      <c r="AF8" s="278">
        <f t="shared" si="37"/>
        <v>7171.0391116379615</v>
      </c>
      <c r="AG8" s="278">
        <f t="shared" si="37"/>
        <v>7561.060888830104</v>
      </c>
      <c r="AH8" s="278">
        <f t="shared" si="37"/>
        <v>7502.2741898502991</v>
      </c>
      <c r="AI8" s="278">
        <f t="shared" si="37"/>
        <v>7283.9654227421261</v>
      </c>
      <c r="AJ8" s="278">
        <f t="shared" ref="AJ8:AM8" si="38">SUM(AJ3:AJ6)</f>
        <v>8477.927921296623</v>
      </c>
      <c r="AK8" s="278">
        <f t="shared" si="38"/>
        <v>8691.8450738094416</v>
      </c>
      <c r="AL8" s="278">
        <f t="shared" si="38"/>
        <v>8516.7462060543439</v>
      </c>
      <c r="AM8" s="278">
        <f t="shared" si="38"/>
        <v>9297.2440852859363</v>
      </c>
      <c r="AN8" s="278">
        <f t="shared" ref="AN8:AQ8" si="39">SUM(AN3:AN6)</f>
        <v>11584.861613563184</v>
      </c>
      <c r="AO8" s="278">
        <f t="shared" si="39"/>
        <v>11375.243442903988</v>
      </c>
      <c r="AP8" s="278">
        <f t="shared" si="39"/>
        <v>10876.447044382534</v>
      </c>
      <c r="AQ8" s="278">
        <f t="shared" si="39"/>
        <v>11044.154999999999</v>
      </c>
      <c r="AR8" s="278">
        <f t="shared" ref="AR8:AU8" si="40">SUM(AR3:AR6)</f>
        <v>12429.00087</v>
      </c>
      <c r="AS8" s="278">
        <f t="shared" si="40"/>
        <v>12627.327701099999</v>
      </c>
      <c r="AT8" s="278">
        <f t="shared" si="40"/>
        <v>12829.118536959002</v>
      </c>
      <c r="AU8" s="278">
        <f t="shared" si="40"/>
        <v>13034.437632353551</v>
      </c>
      <c r="AV8" s="278">
        <f t="shared" ref="AV8:BC8" si="41">SUM(AV3:AV6)</f>
        <v>14814.71984141173</v>
      </c>
      <c r="AW8" s="278">
        <f t="shared" si="41"/>
        <v>15058.720571060905</v>
      </c>
      <c r="AX8" s="278">
        <f t="shared" si="41"/>
        <v>15307.078378631277</v>
      </c>
      <c r="AY8" s="278">
        <f t="shared" si="41"/>
        <v>15559.875176314548</v>
      </c>
      <c r="AZ8" s="278">
        <f t="shared" si="41"/>
        <v>17851.605145750505</v>
      </c>
      <c r="BA8" s="278">
        <f t="shared" si="41"/>
        <v>18154.220248901383</v>
      </c>
      <c r="BB8" s="278">
        <f t="shared" si="41"/>
        <v>18462.343484117639</v>
      </c>
      <c r="BC8" s="278">
        <f t="shared" si="41"/>
        <v>18776.079572340601</v>
      </c>
    </row>
    <row r="9" spans="1:55" s="89" customFormat="1">
      <c r="A9" s="274"/>
      <c r="D9" s="91"/>
      <c r="H9" s="275"/>
      <c r="L9" s="275"/>
      <c r="P9" s="275"/>
      <c r="T9" s="275"/>
      <c r="X9" s="275"/>
      <c r="Y9" s="415"/>
      <c r="AB9" s="275"/>
      <c r="AF9" s="275"/>
      <c r="AI9" s="433">
        <f>AI8/AE8-1</f>
        <v>0.16963972325549026</v>
      </c>
      <c r="AJ9" s="275"/>
      <c r="AN9" s="275"/>
      <c r="AR9" s="275"/>
      <c r="AV9" s="275"/>
      <c r="AZ9" s="275"/>
    </row>
    <row r="10" spans="1:55" s="89" customFormat="1">
      <c r="A10" s="274" t="str">
        <f>+A3</f>
        <v xml:space="preserve">Civil </v>
      </c>
      <c r="C10" s="342"/>
      <c r="D10" s="342"/>
      <c r="E10" s="342">
        <f t="shared" ref="E10:U10" si="42">+E3/D3-1</f>
        <v>0.13013772909662724</v>
      </c>
      <c r="F10" s="342">
        <f t="shared" si="42"/>
        <v>-0.15612705114672287</v>
      </c>
      <c r="G10" s="342">
        <f t="shared" si="42"/>
        <v>0.5466045030702753</v>
      </c>
      <c r="H10" s="342">
        <f t="shared" si="42"/>
        <v>1.0599345334552757E-2</v>
      </c>
      <c r="I10" s="342">
        <f t="shared" si="42"/>
        <v>0.38515823935976723</v>
      </c>
      <c r="J10" s="342">
        <f t="shared" si="42"/>
        <v>0.22832081516886382</v>
      </c>
      <c r="K10" s="342">
        <f t="shared" si="42"/>
        <v>-4.9773368682117569E-2</v>
      </c>
      <c r="L10" s="342">
        <f t="shared" si="42"/>
        <v>-3.3075330753307486E-2</v>
      </c>
      <c r="M10" s="342">
        <f t="shared" si="42"/>
        <v>-0.11406897193651977</v>
      </c>
      <c r="N10" s="342">
        <f t="shared" si="42"/>
        <v>-0.12303004832948095</v>
      </c>
      <c r="O10" s="342">
        <f t="shared" si="42"/>
        <v>6.2657242122918344E-2</v>
      </c>
      <c r="P10" s="342">
        <f t="shared" si="42"/>
        <v>-6.0935738444193865E-2</v>
      </c>
      <c r="Q10" s="342">
        <f t="shared" si="42"/>
        <v>0.58670988654781198</v>
      </c>
      <c r="R10" s="342">
        <f t="shared" si="42"/>
        <v>0.16456701849960287</v>
      </c>
      <c r="S10" s="342">
        <f t="shared" si="42"/>
        <v>0.11672026768021304</v>
      </c>
      <c r="T10" s="342">
        <f t="shared" si="42"/>
        <v>0.13075983244123801</v>
      </c>
      <c r="U10" s="342">
        <f t="shared" si="42"/>
        <v>-4.6101206555015262E-2</v>
      </c>
      <c r="V10" s="342">
        <f t="shared" ref="V10:AJ12" si="43">+V3/U3-1</f>
        <v>4.8140456862374892E-2</v>
      </c>
      <c r="W10" s="342">
        <f t="shared" si="43"/>
        <v>-8.3161794977356984E-2</v>
      </c>
      <c r="X10" s="342">
        <f t="shared" si="43"/>
        <v>-4.2489896722047504E-2</v>
      </c>
      <c r="Y10" s="342">
        <f t="shared" ref="Y10:AA11" si="44">+Y3/X3-1</f>
        <v>-8.3006037868573856E-2</v>
      </c>
      <c r="Z10" s="342">
        <f t="shared" si="44"/>
        <v>-0.10164290737070891</v>
      </c>
      <c r="AA10" s="342">
        <f t="shared" si="44"/>
        <v>-2.3802746744467362E-2</v>
      </c>
      <c r="AB10" s="342">
        <f t="shared" si="43"/>
        <v>0.21955753180012394</v>
      </c>
      <c r="AC10" s="342">
        <f t="shared" si="43"/>
        <v>-0.11123397388003942</v>
      </c>
      <c r="AD10" s="342">
        <f t="shared" si="43"/>
        <v>-5.8677157940751234E-2</v>
      </c>
      <c r="AE10" s="342">
        <f t="shared" si="43"/>
        <v>-4.5474030149317723E-2</v>
      </c>
      <c r="AF10" s="342">
        <f>+AF3/AE3-1</f>
        <v>0.44668986939111566</v>
      </c>
      <c r="AG10" s="342">
        <f>+AG3/AF3-1</f>
        <v>9.6981141837183538E-2</v>
      </c>
      <c r="AH10" s="342">
        <f>+AH3/AG3-1</f>
        <v>1.5752487855491992E-2</v>
      </c>
      <c r="AI10" s="342">
        <f>+AI3/AH3-1</f>
        <v>-4.3924409156335553E-2</v>
      </c>
      <c r="AJ10" s="342">
        <f>+AJ3/AI3-1</f>
        <v>8.673692389879073E-2</v>
      </c>
      <c r="AK10" s="342">
        <f t="shared" ref="AK10:AP12" si="45">+AK3/AJ3-1</f>
        <v>5.8542253206417261E-2</v>
      </c>
      <c r="AL10" s="342">
        <f t="shared" si="45"/>
        <v>-1.8111200236416436E-2</v>
      </c>
      <c r="AM10" s="342">
        <f t="shared" si="45"/>
        <v>0.10539663771605468</v>
      </c>
      <c r="AN10" s="342">
        <f t="shared" si="45"/>
        <v>0.26528069689915879</v>
      </c>
      <c r="AO10" s="342">
        <f t="shared" si="45"/>
        <v>-4.9862432561213588E-2</v>
      </c>
      <c r="AP10" s="342">
        <f t="shared" si="45"/>
        <v>-3.7515166221790741E-2</v>
      </c>
      <c r="AQ10" s="426">
        <v>0.02</v>
      </c>
      <c r="AR10" s="351">
        <v>0.22</v>
      </c>
      <c r="AS10" s="426">
        <v>0.02</v>
      </c>
      <c r="AT10" s="426">
        <v>0.02</v>
      </c>
      <c r="AU10" s="426">
        <v>0.02</v>
      </c>
      <c r="AV10" s="351">
        <v>0.22</v>
      </c>
      <c r="AW10" s="426">
        <v>0.02</v>
      </c>
      <c r="AX10" s="426">
        <v>0.02</v>
      </c>
      <c r="AY10" s="426">
        <v>0.02</v>
      </c>
      <c r="AZ10" s="351">
        <v>0.22</v>
      </c>
      <c r="BA10" s="426">
        <v>0.02</v>
      </c>
      <c r="BB10" s="426">
        <v>0.02</v>
      </c>
      <c r="BC10" s="426">
        <v>0.02</v>
      </c>
    </row>
    <row r="11" spans="1:55" s="89" customFormat="1">
      <c r="A11" s="274" t="str">
        <f>+A4</f>
        <v>Building</v>
      </c>
      <c r="C11" s="342"/>
      <c r="D11" s="342"/>
      <c r="E11" s="342">
        <f t="shared" ref="E11:U11" si="46">+E4/D4-1</f>
        <v>0.13768574727198257</v>
      </c>
      <c r="F11" s="342">
        <f t="shared" si="46"/>
        <v>-4.2490506743485756E-2</v>
      </c>
      <c r="G11" s="342">
        <f t="shared" si="46"/>
        <v>-8.946495726495729E-2</v>
      </c>
      <c r="H11" s="342">
        <f t="shared" si="46"/>
        <v>-5.0731888642537637E-2</v>
      </c>
      <c r="I11" s="342">
        <f t="shared" si="46"/>
        <v>8.5910924768610286E-2</v>
      </c>
      <c r="J11" s="342">
        <f t="shared" si="46"/>
        <v>-9.590587892474689E-2</v>
      </c>
      <c r="K11" s="342">
        <f t="shared" si="46"/>
        <v>-9.3952701341605827E-2</v>
      </c>
      <c r="L11" s="342">
        <f t="shared" si="46"/>
        <v>-2.3789408155098002E-2</v>
      </c>
      <c r="M11" s="342">
        <f t="shared" si="46"/>
        <v>-4.0539309465246198E-3</v>
      </c>
      <c r="N11" s="342">
        <f t="shared" si="46"/>
        <v>-4.2076377772695128E-3</v>
      </c>
      <c r="O11" s="342">
        <f t="shared" si="46"/>
        <v>-9.7552013962246886E-2</v>
      </c>
      <c r="P11" s="342">
        <f t="shared" si="46"/>
        <v>3.9289531273856149E-2</v>
      </c>
      <c r="Q11" s="342">
        <f t="shared" si="46"/>
        <v>1.0381470055335296E-2</v>
      </c>
      <c r="R11" s="342">
        <f t="shared" si="46"/>
        <v>-0.10391121019725691</v>
      </c>
      <c r="S11" s="342">
        <f t="shared" si="46"/>
        <v>-0.10519768511006544</v>
      </c>
      <c r="T11" s="342">
        <f t="shared" si="46"/>
        <v>4.7449226305609216E-2</v>
      </c>
      <c r="U11" s="342">
        <f t="shared" si="46"/>
        <v>0.15852039933060169</v>
      </c>
      <c r="V11" s="342">
        <f t="shared" si="43"/>
        <v>8.9858537557282459E-2</v>
      </c>
      <c r="W11" s="342">
        <f t="shared" si="43"/>
        <v>-9.1407678244892487E-5</v>
      </c>
      <c r="X11" s="342">
        <f t="shared" si="43"/>
        <v>3.0624371514763604E-2</v>
      </c>
      <c r="Y11" s="342">
        <f t="shared" si="44"/>
        <v>0.10129501507894245</v>
      </c>
      <c r="Z11" s="342">
        <f t="shared" si="44"/>
        <v>7.941365979381465E-2</v>
      </c>
      <c r="AA11" s="342">
        <f t="shared" si="44"/>
        <v>3.7307864497836185E-2</v>
      </c>
      <c r="AB11" s="342">
        <f t="shared" si="43"/>
        <v>3.3915983311753495E-2</v>
      </c>
      <c r="AC11" s="342">
        <f t="shared" si="43"/>
        <v>-0.12985702855950176</v>
      </c>
      <c r="AD11" s="342">
        <f t="shared" si="43"/>
        <v>-0.10913888222595347</v>
      </c>
      <c r="AE11" s="342">
        <f t="shared" si="43"/>
        <v>-0.11093161012385566</v>
      </c>
      <c r="AF11" s="342">
        <f t="shared" si="43"/>
        <v>-0.11654552796285089</v>
      </c>
      <c r="AG11" s="342">
        <f t="shared" si="43"/>
        <v>3.3194309546934919E-2</v>
      </c>
      <c r="AH11" s="342">
        <f t="shared" si="43"/>
        <v>-0.11595885865958866</v>
      </c>
      <c r="AI11" s="342">
        <f t="shared" si="43"/>
        <v>6.4239694751986098E-2</v>
      </c>
      <c r="AJ11" s="342">
        <f t="shared" si="43"/>
        <v>0.3147995768190901</v>
      </c>
      <c r="AK11" s="342">
        <f t="shared" si="45"/>
        <v>-6.7679928475637086E-2</v>
      </c>
      <c r="AL11" s="342">
        <f t="shared" si="45"/>
        <v>1.783659378596103E-2</v>
      </c>
      <c r="AM11" s="342">
        <f t="shared" si="45"/>
        <v>9.9079988694177334E-2</v>
      </c>
      <c r="AN11" s="342">
        <f t="shared" si="45"/>
        <v>0.27249823948717755</v>
      </c>
      <c r="AO11" s="342">
        <f t="shared" si="45"/>
        <v>-3.3884603725285456E-2</v>
      </c>
      <c r="AP11" s="342">
        <f t="shared" si="45"/>
        <v>-7.5271066485374627E-2</v>
      </c>
      <c r="AQ11" s="426">
        <v>0.01</v>
      </c>
      <c r="AR11" s="351">
        <v>0.01</v>
      </c>
      <c r="AS11" s="426">
        <v>0.01</v>
      </c>
      <c r="AT11" s="426">
        <v>0.01</v>
      </c>
      <c r="AU11" s="426">
        <v>0.01</v>
      </c>
      <c r="AV11" s="351">
        <v>0.01</v>
      </c>
      <c r="AW11" s="426">
        <v>0.01</v>
      </c>
      <c r="AX11" s="426">
        <v>0.01</v>
      </c>
      <c r="AY11" s="426">
        <v>0.01</v>
      </c>
      <c r="AZ11" s="351">
        <v>0.01</v>
      </c>
      <c r="BA11" s="426">
        <v>0.01</v>
      </c>
      <c r="BB11" s="426">
        <v>0.01</v>
      </c>
      <c r="BC11" s="426">
        <v>0.01</v>
      </c>
    </row>
    <row r="12" spans="1:55" s="89" customFormat="1">
      <c r="A12" s="274" t="str">
        <f>+A5</f>
        <v>Specialty Contractors</v>
      </c>
      <c r="C12" s="342"/>
      <c r="D12" s="342"/>
      <c r="E12" s="342"/>
      <c r="F12" s="342"/>
      <c r="G12" s="342"/>
      <c r="H12" s="342"/>
      <c r="I12" s="342"/>
      <c r="J12" s="342"/>
      <c r="K12" s="342">
        <f t="shared" ref="K12:U12" si="47">+K5/J5-1</f>
        <v>3.120300751879701E-2</v>
      </c>
      <c r="L12" s="342">
        <f t="shared" si="47"/>
        <v>-4.389354721108274E-2</v>
      </c>
      <c r="M12" s="342">
        <f t="shared" si="47"/>
        <v>0.12041485548692155</v>
      </c>
      <c r="N12" s="342">
        <f t="shared" si="47"/>
        <v>-3.8252109991832373E-2</v>
      </c>
      <c r="O12" s="342">
        <f t="shared" si="47"/>
        <v>6.6737438075017641E-2</v>
      </c>
      <c r="P12" s="342">
        <f t="shared" si="47"/>
        <v>-8.5583493664166399E-3</v>
      </c>
      <c r="Q12" s="342">
        <f t="shared" si="47"/>
        <v>6.1630085653104905E-2</v>
      </c>
      <c r="R12" s="342">
        <f t="shared" si="47"/>
        <v>5.3766151906712967E-2</v>
      </c>
      <c r="S12" s="342">
        <f t="shared" si="47"/>
        <v>-6.4002871156837449E-3</v>
      </c>
      <c r="T12" s="342">
        <f t="shared" si="47"/>
        <v>0.22352657877310222</v>
      </c>
      <c r="U12" s="342">
        <f t="shared" si="47"/>
        <v>8.0692777012398853E-3</v>
      </c>
      <c r="V12" s="342">
        <f t="shared" si="43"/>
        <v>-1.8352206169465091E-2</v>
      </c>
      <c r="W12" s="342">
        <f t="shared" si="43"/>
        <v>3.4556483691328355E-2</v>
      </c>
      <c r="X12" s="342">
        <f t="shared" si="43"/>
        <v>1.9704907002451089E-2</v>
      </c>
      <c r="Y12" s="342">
        <f t="shared" si="43"/>
        <v>7.5411226846395785E-3</v>
      </c>
      <c r="Z12" s="342">
        <f t="shared" si="43"/>
        <v>-4.196098610656307E-2</v>
      </c>
      <c r="AA12" s="342">
        <f>+AA5/Z5-1</f>
        <v>-5.224609375E-2</v>
      </c>
      <c r="AB12" s="342">
        <f t="shared" si="43"/>
        <v>-1.3395157135496216E-3</v>
      </c>
      <c r="AC12" s="342">
        <f t="shared" si="43"/>
        <v>-7.4391250515889462E-2</v>
      </c>
      <c r="AD12" s="342">
        <f t="shared" si="43"/>
        <v>-7.0059079255378465E-2</v>
      </c>
      <c r="AE12" s="342">
        <f t="shared" si="43"/>
        <v>-5.6757566676655657E-2</v>
      </c>
      <c r="AF12" s="342">
        <f t="shared" si="43"/>
        <v>-1.2263311729571735E-2</v>
      </c>
      <c r="AG12" s="342">
        <f t="shared" si="43"/>
        <v>-2.7661627532968747E-2</v>
      </c>
      <c r="AH12" s="342">
        <f t="shared" si="43"/>
        <v>5.5640092623221893E-2</v>
      </c>
      <c r="AI12" s="342">
        <f t="shared" si="43"/>
        <v>-8.2602155928804155E-2</v>
      </c>
      <c r="AJ12" s="342">
        <f t="shared" si="43"/>
        <v>0.2057658150020496</v>
      </c>
      <c r="AK12" s="342">
        <f t="shared" si="45"/>
        <v>5.8526912181303015E-2</v>
      </c>
      <c r="AL12" s="342">
        <f t="shared" si="45"/>
        <v>-6.7708612107263311E-2</v>
      </c>
      <c r="AM12" s="342">
        <f t="shared" si="45"/>
        <v>4.5872660466184545E-2</v>
      </c>
      <c r="AN12" s="342">
        <f t="shared" si="45"/>
        <v>0.15798366471775549</v>
      </c>
      <c r="AO12" s="342">
        <f t="shared" si="45"/>
        <v>0.10210950462194845</v>
      </c>
      <c r="AP12" s="342">
        <f t="shared" si="45"/>
        <v>-2.1936427373220324E-2</v>
      </c>
      <c r="AQ12" s="426">
        <v>0.01</v>
      </c>
      <c r="AR12" s="351">
        <v>0.01</v>
      </c>
      <c r="AS12" s="426">
        <v>0.01</v>
      </c>
      <c r="AT12" s="426">
        <v>0.01</v>
      </c>
      <c r="AU12" s="426">
        <v>0.01</v>
      </c>
      <c r="AV12" s="351">
        <v>0.01</v>
      </c>
      <c r="AW12" s="426">
        <v>0.01</v>
      </c>
      <c r="AX12" s="426">
        <v>0.01</v>
      </c>
      <c r="AY12" s="426">
        <v>0.01</v>
      </c>
      <c r="AZ12" s="351">
        <v>0.01</v>
      </c>
      <c r="BA12" s="426">
        <v>0.01</v>
      </c>
      <c r="BB12" s="426">
        <v>0.01</v>
      </c>
      <c r="BC12" s="426">
        <v>0.01</v>
      </c>
    </row>
    <row r="13" spans="1:55" s="89" customFormat="1">
      <c r="A13" s="274" t="str">
        <f>+A8</f>
        <v>Total</v>
      </c>
      <c r="C13" s="342"/>
      <c r="D13" s="342"/>
      <c r="E13" s="342">
        <f t="shared" ref="E13:U13" si="48">+E8/D8-1</f>
        <v>0.14214616490126164</v>
      </c>
      <c r="F13" s="342">
        <f t="shared" si="48"/>
        <v>-5.6879878830245811E-2</v>
      </c>
      <c r="G13" s="342">
        <f t="shared" si="48"/>
        <v>5.8528932153975255E-2</v>
      </c>
      <c r="H13" s="342">
        <f t="shared" si="48"/>
        <v>-1.2368443779482652E-2</v>
      </c>
      <c r="I13" s="342">
        <f t="shared" si="48"/>
        <v>0.17363458038900559</v>
      </c>
      <c r="J13" s="342">
        <f t="shared" si="48"/>
        <v>0.29879178413209817</v>
      </c>
      <c r="K13" s="342">
        <f t="shared" si="48"/>
        <v>-5.2947378213277774E-2</v>
      </c>
      <c r="L13" s="342">
        <f t="shared" si="48"/>
        <v>-3.1350784997462466E-2</v>
      </c>
      <c r="M13" s="342">
        <f t="shared" si="48"/>
        <v>-1.0461736073553163E-2</v>
      </c>
      <c r="N13" s="342">
        <f t="shared" si="48"/>
        <v>-5.1461169277015828E-2</v>
      </c>
      <c r="O13" s="342">
        <f t="shared" si="48"/>
        <v>9.0031691155285642E-3</v>
      </c>
      <c r="P13" s="342">
        <f t="shared" si="48"/>
        <v>-1.3794703404954034E-2</v>
      </c>
      <c r="Q13" s="342">
        <f t="shared" si="48"/>
        <v>0.19188245299748496</v>
      </c>
      <c r="R13" s="342">
        <f t="shared" si="48"/>
        <v>4.7945101492401276E-2</v>
      </c>
      <c r="S13" s="342">
        <f t="shared" si="48"/>
        <v>7.4900398406374524E-3</v>
      </c>
      <c r="T13" s="342">
        <f t="shared" si="48"/>
        <v>0.10047280180144291</v>
      </c>
      <c r="U13" s="342">
        <f t="shared" si="48"/>
        <v>1.4617920385446403E-2</v>
      </c>
      <c r="V13" s="342">
        <f>+V8/U8-1</f>
        <v>4.1379562653338864E-2</v>
      </c>
      <c r="W13" s="342">
        <f>+W8/V8-1</f>
        <v>-3.1402813832853815E-2</v>
      </c>
      <c r="X13" s="342">
        <f t="shared" ref="X13:AJ13" si="49">+X8/W8-1</f>
        <v>-5.54341739443176E-3</v>
      </c>
      <c r="Y13" s="342">
        <f t="shared" si="49"/>
        <v>-4.9859618660695881E-3</v>
      </c>
      <c r="Z13" s="342">
        <f t="shared" si="49"/>
        <v>-2.7165615988157255E-2</v>
      </c>
      <c r="AA13" s="342">
        <f>+AA8/Z8-1</f>
        <v>-9.8025754936963416E-3</v>
      </c>
      <c r="AB13" s="342">
        <f t="shared" si="49"/>
        <v>9.2980454486931707E-2</v>
      </c>
      <c r="AC13" s="342">
        <f t="shared" si="49"/>
        <v>-0.10903719634032272</v>
      </c>
      <c r="AD13" s="342">
        <f t="shared" si="49"/>
        <v>-7.8844320294714998E-2</v>
      </c>
      <c r="AE13" s="342">
        <f t="shared" si="49"/>
        <v>-7.0062520160003472E-2</v>
      </c>
      <c r="AF13" s="342">
        <f t="shared" si="49"/>
        <v>0.15150631767180278</v>
      </c>
      <c r="AG13" s="342">
        <f t="shared" si="49"/>
        <v>5.4388460461632704E-2</v>
      </c>
      <c r="AH13" s="342">
        <f t="shared" si="49"/>
        <v>-7.7749273341588543E-3</v>
      </c>
      <c r="AI13" s="342">
        <f t="shared" si="49"/>
        <v>-2.9099012057373086E-2</v>
      </c>
      <c r="AJ13" s="342">
        <f t="shared" si="49"/>
        <v>0.1639165522157322</v>
      </c>
      <c r="AK13" s="342">
        <f t="shared" ref="AK13" si="50">+AK8/AJ8-1</f>
        <v>2.5232244777106061E-2</v>
      </c>
      <c r="AL13" s="342">
        <f t="shared" ref="AL13" si="51">+AL8/AK8-1</f>
        <v>-2.0145189688517529E-2</v>
      </c>
      <c r="AM13" s="342">
        <f t="shared" ref="AM13" si="52">+AM8/AL8-1</f>
        <v>9.1642730726994692E-2</v>
      </c>
      <c r="AN13" s="342">
        <f t="shared" ref="AN13" si="53">+AN8/AM8-1</f>
        <v>0.24605329356660555</v>
      </c>
      <c r="AO13" s="342">
        <f t="shared" ref="AO13" si="54">+AO8/AN8-1</f>
        <v>-1.8094145415926355E-2</v>
      </c>
      <c r="AP13" s="342">
        <f t="shared" ref="AP13" si="55">+AP8/AO8-1</f>
        <v>-4.384929439313312E-2</v>
      </c>
      <c r="AQ13" s="342">
        <f t="shared" ref="AQ13" si="56">+AQ8/AP8-1</f>
        <v>1.541936948096323E-2</v>
      </c>
      <c r="AR13" s="342">
        <f t="shared" ref="AR13" si="57">+AR8/AQ8-1</f>
        <v>0.12539174522632113</v>
      </c>
      <c r="AS13" s="342">
        <f t="shared" ref="AS13" si="58">+AS8/AR8-1</f>
        <v>1.595677988716715E-2</v>
      </c>
      <c r="AT13" s="342">
        <f t="shared" ref="AT13" si="59">+AT8/AS8-1</f>
        <v>1.5980486183266196E-2</v>
      </c>
      <c r="AU13" s="342">
        <f t="shared" ref="AU13" si="60">+AU8/AT8-1</f>
        <v>1.6004146723179069E-2</v>
      </c>
      <c r="AV13" s="342">
        <f t="shared" ref="AV13" si="61">+AV8/AU8-1</f>
        <v>0.1365829703798831</v>
      </c>
      <c r="AW13" s="342">
        <f t="shared" ref="AW13" si="62">+AW8/AV8-1</f>
        <v>1.64701548366184E-2</v>
      </c>
      <c r="AX13" s="342">
        <f t="shared" ref="AX13" si="63">+AX8/AW8-1</f>
        <v>1.6492623420322428E-2</v>
      </c>
      <c r="AY13" s="342">
        <f t="shared" ref="AY13" si="64">+AY8/AX8-1</f>
        <v>1.6515026018040002E-2</v>
      </c>
      <c r="AZ13" s="342">
        <f t="shared" ref="AZ13" si="65">+AZ8/AY8-1</f>
        <v>0.14728459858884091</v>
      </c>
      <c r="BA13" s="342">
        <f t="shared" ref="BA13" si="66">+BA8/AZ8-1</f>
        <v>1.6951702700130244E-2</v>
      </c>
      <c r="BB13" s="342">
        <f t="shared" ref="BB13" si="67">+BB8/BA8-1</f>
        <v>1.6972540323504148E-2</v>
      </c>
      <c r="BC13" s="342">
        <f t="shared" ref="BC13" si="68">+BC8/BB8-1</f>
        <v>1.6993297112734229E-2</v>
      </c>
    </row>
    <row r="14" spans="1:55" s="89" customFormat="1">
      <c r="D14" s="91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433">
        <f t="shared" ref="T14:AF14" si="69">+T5/P5-1</f>
        <v>0.36001070663811552</v>
      </c>
      <c r="U14" s="433">
        <f t="shared" si="69"/>
        <v>0.29139615505830463</v>
      </c>
      <c r="V14" s="433">
        <f t="shared" si="69"/>
        <v>0.20301471467878929</v>
      </c>
      <c r="W14" s="433">
        <f t="shared" si="69"/>
        <v>0.25260369634579494</v>
      </c>
      <c r="X14" s="443">
        <f t="shared" si="69"/>
        <v>4.3938201141507482E-2</v>
      </c>
      <c r="Y14" s="433">
        <f t="shared" si="69"/>
        <v>4.3391253416633857E-2</v>
      </c>
      <c r="Z14" s="433">
        <f t="shared" si="69"/>
        <v>1.8297533810660349E-2</v>
      </c>
      <c r="AA14" s="460">
        <f t="shared" si="69"/>
        <v>-6.7140866054693049E-2</v>
      </c>
      <c r="AB14" s="443">
        <f t="shared" si="69"/>
        <v>-8.6392986755903123E-2</v>
      </c>
      <c r="AC14" s="433">
        <f t="shared" si="69"/>
        <v>-0.16068671937128676</v>
      </c>
      <c r="AD14" s="433">
        <f t="shared" si="69"/>
        <v>-0.185302734375</v>
      </c>
      <c r="AE14" s="433">
        <f t="shared" si="69"/>
        <v>-0.18918083462132929</v>
      </c>
      <c r="AF14" s="443">
        <f t="shared" si="69"/>
        <v>-0.19804993809327287</v>
      </c>
      <c r="AG14" s="433">
        <f>+AG8/AC8-1</f>
        <v>4.0048890891102973E-2</v>
      </c>
      <c r="AH14" s="433">
        <f>+AH3/AG3-1</f>
        <v>1.5752487855491992E-2</v>
      </c>
      <c r="AI14" s="433">
        <f>+AI3/AH3-1</f>
        <v>-4.3924409156335553E-2</v>
      </c>
      <c r="AJ14" s="443">
        <f t="shared" ref="AJ14" si="70">+AJ5/AF5-1</f>
        <v>0.13541331617883556</v>
      </c>
      <c r="AN14" s="275"/>
      <c r="AR14" s="275"/>
      <c r="AV14" s="275"/>
      <c r="AZ14" s="275"/>
    </row>
    <row r="15" spans="1:55" s="89" customFormat="1" ht="10.5">
      <c r="A15" s="298" t="s">
        <v>54</v>
      </c>
      <c r="D15" s="91"/>
      <c r="H15" s="275"/>
      <c r="L15" s="275"/>
      <c r="P15" s="275"/>
      <c r="T15" s="275"/>
      <c r="X15" s="275"/>
      <c r="AB15" s="275"/>
      <c r="AF15" s="275"/>
      <c r="AJ15" s="275"/>
      <c r="AN15" s="275"/>
      <c r="AR15" s="275"/>
      <c r="AV15" s="275"/>
      <c r="AZ15" s="275"/>
    </row>
    <row r="16" spans="1:55" s="89" customFormat="1">
      <c r="A16" s="89" t="str">
        <f>+A3</f>
        <v xml:space="preserve">Civil </v>
      </c>
      <c r="D16" s="91"/>
      <c r="E16" s="89">
        <f>+IS!K7</f>
        <v>128.82499999999999</v>
      </c>
      <c r="F16" s="89">
        <f>+IS!L7</f>
        <v>141.44200000000001</v>
      </c>
      <c r="G16" s="89">
        <f>+IS!M7</f>
        <v>281.35500000000002</v>
      </c>
      <c r="H16" s="275">
        <f>+IS!N7</f>
        <v>345.27399999999994</v>
      </c>
      <c r="I16" s="89">
        <f>+IS!O7</f>
        <v>896.89599999999996</v>
      </c>
      <c r="J16" s="89">
        <f>+IS!P7</f>
        <v>250.589</v>
      </c>
      <c r="K16" s="89">
        <f>+IS!Q7</f>
        <v>327.072</v>
      </c>
      <c r="L16" s="275">
        <f>+IS!R7</f>
        <v>350.54199999999997</v>
      </c>
      <c r="M16" s="89">
        <f>+IS!S7</f>
        <v>362.40699999999998</v>
      </c>
      <c r="N16" s="89">
        <f>+IS!T7</f>
        <v>1290.6099999999999</v>
      </c>
      <c r="O16" s="89">
        <f>+IS!U7</f>
        <v>283.97500000000002</v>
      </c>
      <c r="P16" s="275">
        <f>+IS!U7</f>
        <v>283.97500000000002</v>
      </c>
      <c r="Q16" s="103">
        <f>+IS!V7</f>
        <v>332.22300000000001</v>
      </c>
      <c r="R16" s="103">
        <f>+IS!W7</f>
        <v>379.76499999999999</v>
      </c>
      <c r="S16" s="103">
        <f>+IS!X7</f>
        <v>427.80900000000008</v>
      </c>
      <c r="T16" s="89">
        <f>+IS!Z7</f>
        <v>376.392</v>
      </c>
      <c r="U16" s="89">
        <f>+IS!AA7</f>
        <v>398.12299999999999</v>
      </c>
      <c r="V16" s="89">
        <f>+IS!AB7</f>
        <v>496.142</v>
      </c>
      <c r="W16" s="89">
        <f>+IS!AC7</f>
        <v>459.81099999999998</v>
      </c>
      <c r="X16" s="89">
        <f>+IS!AE7</f>
        <v>392.87599999999998</v>
      </c>
      <c r="Y16" s="89">
        <f>+IS!AF7</f>
        <v>573.36</v>
      </c>
      <c r="Z16" s="89">
        <f>+IS!AG7</f>
        <v>604.31700000000001</v>
      </c>
      <c r="AA16" s="89">
        <f>+IS!AH7</f>
        <v>434.64</v>
      </c>
      <c r="AB16" s="89">
        <f>+IS!AJ7</f>
        <v>367.50099999999998</v>
      </c>
      <c r="AC16" s="89">
        <f>+IS!AK7</f>
        <v>465.70699999999999</v>
      </c>
      <c r="AD16" s="89">
        <f>+IS!AL7</f>
        <v>506.1</v>
      </c>
      <c r="AE16" s="89">
        <f>+IS!AM7</f>
        <v>452.327</v>
      </c>
      <c r="AF16" s="89">
        <f>+IS!AO7</f>
        <v>338.108</v>
      </c>
      <c r="AG16" s="89">
        <f>+IS!AP7</f>
        <v>538.55200000000002</v>
      </c>
      <c r="AH16" s="89">
        <f>+IS!AQ7</f>
        <v>458.48700000000002</v>
      </c>
      <c r="AI16" s="89">
        <f>+IS!AR7</f>
        <v>492.31400000000002</v>
      </c>
      <c r="AJ16" s="89">
        <f>+IS!AS7</f>
        <v>1827.4610000000002</v>
      </c>
      <c r="AK16" s="89">
        <f>+IS!AT7</f>
        <v>325.39999999999998</v>
      </c>
      <c r="AL16" s="89">
        <f>+IS!AU7</f>
        <v>461.61399999999998</v>
      </c>
      <c r="AM16" s="89">
        <f>+IS!AV7</f>
        <v>479.58100000000002</v>
      </c>
      <c r="AN16" s="89">
        <f>+IS!AW7</f>
        <v>543.63700000000017</v>
      </c>
      <c r="AO16" s="89">
        <f>+IS!AX7</f>
        <v>1810.232</v>
      </c>
      <c r="AP16" s="89">
        <f>+IS!AY7</f>
        <v>383.62200000000001</v>
      </c>
      <c r="AQ16" s="89">
        <f>+IS!BB7</f>
        <v>469.37366335261032</v>
      </c>
      <c r="AR16" s="89">
        <f>+IS!BD7</f>
        <v>546.95096232661388</v>
      </c>
      <c r="AS16" s="89">
        <f>+IS!BE7</f>
        <v>830.33825819605568</v>
      </c>
      <c r="AT16" s="89">
        <f>+IS!BF7</f>
        <v>828.41794448925134</v>
      </c>
      <c r="AU16" s="89">
        <f>+IS!BG7</f>
        <v>815.48768567854347</v>
      </c>
      <c r="AV16" s="89">
        <f>+IS!BH7</f>
        <v>3555.3497981129676</v>
      </c>
      <c r="AW16" s="89">
        <f>+IS!BI7</f>
        <v>528.76148156803958</v>
      </c>
      <c r="AX16" s="89">
        <f>+IS!BJ7</f>
        <v>841.59494481087745</v>
      </c>
      <c r="AY16" s="89">
        <f>+IS!BK7</f>
        <v>822.16609492733664</v>
      </c>
      <c r="AZ16" s="89">
        <f>+IS!BL7</f>
        <v>828.67232938421091</v>
      </c>
      <c r="BA16" s="89">
        <f>+IS!BM7</f>
        <v>4586.0774010206669</v>
      </c>
      <c r="BB16" s="89">
        <f>+IS!BN7</f>
        <v>521.21013536838859</v>
      </c>
      <c r="BC16" s="89">
        <f>+IS!BO7</f>
        <v>829.40746313684747</v>
      </c>
    </row>
    <row r="17" spans="1:55" s="89" customFormat="1">
      <c r="A17" s="89" t="str">
        <f>+A4</f>
        <v>Building</v>
      </c>
      <c r="D17" s="91"/>
      <c r="E17" s="89">
        <f>+IS!K6</f>
        <v>440.42899999999997</v>
      </c>
      <c r="F17" s="89">
        <f>+IS!L6</f>
        <v>599.97699999999998</v>
      </c>
      <c r="G17" s="89">
        <f>+IS!M6</f>
        <v>567.67600000000004</v>
      </c>
      <c r="H17" s="275">
        <f>+IS!N6</f>
        <v>343.94799999999987</v>
      </c>
      <c r="I17" s="89">
        <f>+IS!O6</f>
        <v>1952.03</v>
      </c>
      <c r="J17" s="89">
        <f>+IS!P6</f>
        <v>343.03899999999999</v>
      </c>
      <c r="K17" s="89">
        <f>+IS!Q6</f>
        <v>331.92399999999998</v>
      </c>
      <c r="L17" s="275">
        <f>+IS!R6</f>
        <v>391.53100000000001</v>
      </c>
      <c r="M17" s="89">
        <f>+IS!S6</f>
        <v>412.01400000000012</v>
      </c>
      <c r="N17" s="89">
        <f>+IS!T6</f>
        <v>1478.508</v>
      </c>
      <c r="O17" s="89">
        <f>+IS!U6</f>
        <v>425.11399999999998</v>
      </c>
      <c r="P17" s="275">
        <f>+IS!U6</f>
        <v>425.11399999999998</v>
      </c>
      <c r="Q17" s="103">
        <f>+IS!V6</f>
        <v>422.36599999999999</v>
      </c>
      <c r="R17" s="103">
        <f>+IS!W6</f>
        <v>352.01299999999998</v>
      </c>
      <c r="S17" s="103">
        <f>+IS!X6</f>
        <v>337.73400000000021</v>
      </c>
      <c r="T17" s="89">
        <f>+IS!Z6</f>
        <v>311.315</v>
      </c>
      <c r="U17" s="89">
        <f>+IS!AA6</f>
        <v>390.35300000000001</v>
      </c>
      <c r="V17" s="89">
        <f>+IS!AB6</f>
        <v>420.404</v>
      </c>
      <c r="W17" s="89">
        <f>+IS!AC6</f>
        <v>436.35899999999998</v>
      </c>
      <c r="X17" s="89">
        <f>+IS!AE6</f>
        <v>416.06299999999999</v>
      </c>
      <c r="Y17" s="89">
        <f>+IS!AF6</f>
        <v>472.24700000000001</v>
      </c>
      <c r="Z17" s="89">
        <f>+IS!AG6</f>
        <v>506.25900000000001</v>
      </c>
      <c r="AA17" s="89">
        <f>+IS!AH6</f>
        <v>505.92399999999998</v>
      </c>
      <c r="AB17" s="89">
        <f>+IS!AJ6</f>
        <v>487.99400000000003</v>
      </c>
      <c r="AC17" s="89">
        <f>+IS!AK6</f>
        <v>523.52099999999996</v>
      </c>
      <c r="AD17" s="89">
        <f>+IS!AL6</f>
        <v>560.79499999999996</v>
      </c>
      <c r="AE17" s="89">
        <f>+IS!AM6</f>
        <v>551.80100000000004</v>
      </c>
      <c r="AF17" s="89">
        <f>+IS!AO6</f>
        <v>515.25099999999998</v>
      </c>
      <c r="AG17" s="89">
        <f>+IS!AP6</f>
        <v>508.76900000000001</v>
      </c>
      <c r="AH17" s="89">
        <f>+IS!AQ6</f>
        <v>500.42</v>
      </c>
      <c r="AI17" s="89">
        <f>+IS!AR6</f>
        <v>462.50099999999998</v>
      </c>
      <c r="AJ17" s="89">
        <f>+IS!AS6</f>
        <v>1986.941</v>
      </c>
      <c r="AK17" s="89">
        <f>+IS!AT6</f>
        <v>490.61700000000002</v>
      </c>
      <c r="AL17" s="89">
        <f>+IS!AU6</f>
        <v>447.97500000000002</v>
      </c>
      <c r="AM17" s="89">
        <f>+IS!AV6</f>
        <v>457.30399999999997</v>
      </c>
      <c r="AN17" s="89">
        <f>+IS!AW6</f>
        <v>471.00599999999986</v>
      </c>
      <c r="AO17" s="89">
        <f>+IS!AX6</f>
        <v>1866.902</v>
      </c>
      <c r="AP17" s="89">
        <f>+IS!AY6</f>
        <v>436.24299999999999</v>
      </c>
      <c r="AQ17" s="89">
        <f>+IS!BB6</f>
        <v>517.08346934555107</v>
      </c>
      <c r="AR17" s="89">
        <f>+IS!BD6</f>
        <v>388.89198155341086</v>
      </c>
      <c r="AS17" s="89">
        <f>+IS!BE6</f>
        <v>457.09044188387287</v>
      </c>
      <c r="AT17" s="89">
        <f>+IS!BF6</f>
        <v>466.79635404128561</v>
      </c>
      <c r="AU17" s="89">
        <f>+IS!BG6</f>
        <v>509.67947136657602</v>
      </c>
      <c r="AV17" s="89">
        <f>+IS!BH6</f>
        <v>1988.2877423277362</v>
      </c>
      <c r="AW17" s="89">
        <f>+IS!BI6</f>
        <v>381.44192893639359</v>
      </c>
      <c r="AX17" s="89">
        <f>+IS!BJ6</f>
        <v>459.06958406461769</v>
      </c>
      <c r="AY17" s="89">
        <f>+IS!BK6</f>
        <v>463.20682843714769</v>
      </c>
      <c r="AZ17" s="89">
        <f>+IS!BL6</f>
        <v>518.73990740698628</v>
      </c>
      <c r="BA17" s="89">
        <f>+IS!BM6</f>
        <v>2040.4516205187542</v>
      </c>
      <c r="BB17" s="89">
        <f>+IS!BN6</f>
        <v>358.65302535887122</v>
      </c>
      <c r="BC17" s="89">
        <f>+IS!BO6</f>
        <v>457.17394620021196</v>
      </c>
    </row>
    <row r="18" spans="1:55" s="89" customFormat="1">
      <c r="A18" s="89" t="str">
        <f>+A5</f>
        <v>Specialty Contractors</v>
      </c>
      <c r="D18" s="91"/>
      <c r="E18" s="89">
        <f>+IS!K8</f>
        <v>0</v>
      </c>
      <c r="F18" s="89">
        <f>+IS!L8</f>
        <v>0</v>
      </c>
      <c r="G18" s="89">
        <f>+IS!M8</f>
        <v>335.92099999999999</v>
      </c>
      <c r="H18" s="275">
        <f>+IS!N8</f>
        <v>466.61399999999998</v>
      </c>
      <c r="I18" s="89">
        <f>+IS!O8</f>
        <v>802.53499999999997</v>
      </c>
      <c r="J18" s="89">
        <f>+IS!P8</f>
        <v>267.73599999999999</v>
      </c>
      <c r="K18" s="89">
        <f>+IS!Q8</f>
        <v>275.90199999999999</v>
      </c>
      <c r="L18" s="275">
        <f>+IS!R8</f>
        <v>315.27</v>
      </c>
      <c r="M18" s="89">
        <f>+IS!S8</f>
        <v>324.61</v>
      </c>
      <c r="N18" s="89">
        <f>+IS!T8</f>
        <v>1183.518</v>
      </c>
      <c r="O18" s="89">
        <f>+IS!U8</f>
        <v>301.87700000000001</v>
      </c>
      <c r="P18" s="275">
        <f>+IS!U8</f>
        <v>301.87700000000001</v>
      </c>
      <c r="Q18" s="103">
        <f>+IS!V8</f>
        <v>284.036</v>
      </c>
      <c r="R18" s="103">
        <f>+IS!W8</f>
        <v>287.63299999999998</v>
      </c>
      <c r="S18" s="103">
        <f>+IS!X8</f>
        <v>309.29799999999994</v>
      </c>
      <c r="T18" s="89">
        <f>+IS!Z8</f>
        <v>292.14499999999998</v>
      </c>
      <c r="U18" s="89">
        <f>+IS!AA8</f>
        <v>321.959</v>
      </c>
      <c r="V18" s="89">
        <f>+IS!AB8</f>
        <v>355.93200000000002</v>
      </c>
      <c r="W18" s="89">
        <f>+IS!AC8</f>
        <v>331.29199999999997</v>
      </c>
      <c r="X18" s="89">
        <f>+IS!AE8</f>
        <v>293.017</v>
      </c>
      <c r="Y18" s="89">
        <f>+IS!AF8</f>
        <v>326.798</v>
      </c>
      <c r="Z18" s="89">
        <f>+IS!AG8</f>
        <v>325.36500000000001</v>
      </c>
      <c r="AA18" s="89">
        <f>+IS!AH8</f>
        <v>282.84899999999999</v>
      </c>
      <c r="AB18" s="89">
        <f>+IS!AJ8</f>
        <v>281.77300000000002</v>
      </c>
      <c r="AC18" s="89">
        <f>+IS!AK8</f>
        <v>318.90199999999999</v>
      </c>
      <c r="AD18" s="89">
        <f>+IS!AL8</f>
        <v>331.613</v>
      </c>
      <c r="AE18" s="89">
        <f>+IS!AM8</f>
        <v>301.983</v>
      </c>
      <c r="AF18" s="89">
        <f>+IS!AO8</f>
        <v>315.69600000000003</v>
      </c>
      <c r="AG18" s="89">
        <f>+IS!AP8</f>
        <v>281.85700000000003</v>
      </c>
      <c r="AH18" s="89">
        <f>+IS!AQ8</f>
        <v>310.137</v>
      </c>
      <c r="AI18" s="89">
        <f>+IS!AR8</f>
        <v>306.01799999999997</v>
      </c>
      <c r="AJ18" s="89">
        <f>+IS!AS8</f>
        <v>1213.7080000000001</v>
      </c>
      <c r="AK18" s="89">
        <f>+IS!AT8</f>
        <v>274.80099999999999</v>
      </c>
      <c r="AL18" s="89">
        <f>+IS!AU8</f>
        <v>270.63299999999998</v>
      </c>
      <c r="AM18" s="89">
        <f>+IS!AV8</f>
        <v>236.15700000000001</v>
      </c>
      <c r="AN18" s="89">
        <f>+IS!AW8</f>
        <v>225.279</v>
      </c>
      <c r="AO18" s="89">
        <f>+IS!AX8</f>
        <v>1006.87</v>
      </c>
      <c r="AP18" s="89">
        <f>+IS!AY8</f>
        <v>191.52699999999999</v>
      </c>
      <c r="AQ18" s="89">
        <f>+IS!BB8</f>
        <v>481.26713551909654</v>
      </c>
      <c r="AR18" s="89">
        <f>+IS!BD8</f>
        <v>264.2383444293165</v>
      </c>
      <c r="AS18" s="89">
        <f>+IS!BE8</f>
        <v>306.11382960165218</v>
      </c>
      <c r="AT18" s="89">
        <f>+IS!BF8</f>
        <v>323.44155465561113</v>
      </c>
      <c r="AU18" s="89">
        <f>+IS!BG8</f>
        <v>338.58716725823444</v>
      </c>
      <c r="AV18" s="89">
        <f>+IS!BH8</f>
        <v>1263.4233548359512</v>
      </c>
      <c r="AW18" s="89">
        <f>+IS!BI8</f>
        <v>259.96255398784513</v>
      </c>
      <c r="AX18" s="89">
        <f>+IS!BJ8</f>
        <v>303.0388748505618</v>
      </c>
      <c r="AY18" s="89">
        <f>+IS!BK8</f>
        <v>321.52564742360704</v>
      </c>
      <c r="AZ18" s="89">
        <f>+IS!BL8</f>
        <v>347.85381968280029</v>
      </c>
      <c r="BA18" s="89">
        <f>+IS!BM8</f>
        <v>1269.5184551418408</v>
      </c>
      <c r="BB18" s="89">
        <f>+IS!BN8</f>
        <v>244.81494685113793</v>
      </c>
      <c r="BC18" s="89">
        <f>+IS!BO8</f>
        <v>307.2502511718863</v>
      </c>
    </row>
    <row r="19" spans="1:55" s="89" customFormat="1">
      <c r="D19" s="91"/>
      <c r="H19" s="275"/>
      <c r="L19" s="275"/>
      <c r="P19" s="275"/>
      <c r="X19" s="275"/>
      <c r="AB19" s="275"/>
      <c r="AH19" s="433">
        <f>+AH16/AVERAGE(AD16:AG16)-1</f>
        <v>-6.2067901957774119E-4</v>
      </c>
    </row>
    <row r="20" spans="1:55" s="89" customFormat="1" ht="10.5">
      <c r="A20" s="298" t="s">
        <v>139</v>
      </c>
      <c r="D20" s="91"/>
      <c r="H20" s="275"/>
      <c r="L20" s="275"/>
      <c r="P20" s="275"/>
      <c r="X20" s="275"/>
      <c r="AB20" s="275"/>
      <c r="AF20" s="275"/>
      <c r="AI20" s="433"/>
      <c r="AJ20" s="275"/>
    </row>
    <row r="21" spans="1:55" s="89" customFormat="1">
      <c r="A21" s="89" t="str">
        <f>+A10</f>
        <v xml:space="preserve">Civil </v>
      </c>
      <c r="D21" s="91"/>
      <c r="E21" s="89">
        <f t="shared" ref="E21:S21" si="71">+E3-D3+E16</f>
        <v>248.82499999999987</v>
      </c>
      <c r="F21" s="89">
        <f t="shared" si="71"/>
        <v>-21.257999999999925</v>
      </c>
      <c r="G21" s="89">
        <f t="shared" si="71"/>
        <v>762.0390000000001</v>
      </c>
      <c r="H21" s="275">
        <f t="shared" si="71"/>
        <v>359.68999999999988</v>
      </c>
      <c r="I21" s="89">
        <f t="shared" si="71"/>
        <v>1426.296</v>
      </c>
      <c r="J21" s="89">
        <f t="shared" si="71"/>
        <v>685.28899999999976</v>
      </c>
      <c r="K21" s="89">
        <f t="shared" si="71"/>
        <v>210.67199999999991</v>
      </c>
      <c r="L21" s="275">
        <f t="shared" si="71"/>
        <v>277.04199999999997</v>
      </c>
      <c r="M21" s="89">
        <f t="shared" si="71"/>
        <v>117.30700000000007</v>
      </c>
      <c r="N21" s="89">
        <f t="shared" si="71"/>
        <v>1056.4100000000001</v>
      </c>
      <c r="O21" s="89">
        <f t="shared" si="71"/>
        <v>388.57499999999993</v>
      </c>
      <c r="P21" s="275">
        <f t="shared" si="71"/>
        <v>175.87500000000011</v>
      </c>
      <c r="Q21" s="89">
        <f t="shared" si="71"/>
        <v>1309.623</v>
      </c>
      <c r="R21" s="89">
        <f t="shared" si="71"/>
        <v>814.76499999999999</v>
      </c>
      <c r="S21" s="89">
        <f t="shared" si="71"/>
        <v>787.10899999999981</v>
      </c>
      <c r="T21" s="89">
        <f t="shared" ref="T21:V23" si="72">+T3-S3+T16</f>
        <v>825.89200000000005</v>
      </c>
      <c r="U21" s="89">
        <f t="shared" si="72"/>
        <v>218.92300000000017</v>
      </c>
      <c r="V21" s="89">
        <f t="shared" si="72"/>
        <v>674.64200000000005</v>
      </c>
      <c r="W21" s="89">
        <f t="shared" ref="W21:AI21" si="73">+W3-V3+W16</f>
        <v>136.61099999999971</v>
      </c>
      <c r="X21" s="89">
        <f t="shared" si="73"/>
        <v>241.47600000000034</v>
      </c>
      <c r="Y21" s="89">
        <f t="shared" si="73"/>
        <v>290.15999999999974</v>
      </c>
      <c r="Z21" s="89">
        <f t="shared" si="73"/>
        <v>286.31700000000001</v>
      </c>
      <c r="AA21" s="89">
        <f>+AA3-Z3+AA16</f>
        <v>367.7399999999999</v>
      </c>
      <c r="AB21" s="89">
        <f t="shared" si="73"/>
        <v>969.90100000000007</v>
      </c>
      <c r="AC21" s="89">
        <f t="shared" si="73"/>
        <v>93.507000000000176</v>
      </c>
      <c r="AD21" s="89">
        <f t="shared" si="73"/>
        <v>331.6</v>
      </c>
      <c r="AE21" s="89">
        <f t="shared" si="73"/>
        <v>325.02699999999982</v>
      </c>
      <c r="AF21" s="89">
        <v>1498.2</v>
      </c>
      <c r="AG21" s="89">
        <v>847.5</v>
      </c>
      <c r="AH21" s="89">
        <f t="shared" si="73"/>
        <v>525.28699999999935</v>
      </c>
      <c r="AI21" s="89">
        <f t="shared" si="73"/>
        <v>303.1140000000002</v>
      </c>
      <c r="AJ21" s="89">
        <f t="shared" ref="AJ21:AJ23" si="74">+AJ3-AI3+AJ16</f>
        <v>2184.6610000000001</v>
      </c>
      <c r="AK21" s="89">
        <f t="shared" ref="AK21:AK23" si="75">+AK3-AJ3+AK16</f>
        <v>587.4</v>
      </c>
      <c r="AL21" s="89">
        <f t="shared" ref="AL21:AL23" si="76">+AL3-AK3+AL16</f>
        <v>375.8140000000007</v>
      </c>
      <c r="AM21" s="89">
        <f t="shared" ref="AM21:AM23" si="77">+AM3-AL3+AM16</f>
        <v>969.84399999999994</v>
      </c>
      <c r="AN21" s="89">
        <f t="shared" ref="AN21:AN23" si="78">+AN3-AM3+AN16</f>
        <v>1907.6739999999995</v>
      </c>
      <c r="AO21" s="89">
        <f t="shared" ref="AO21:AO23" si="79">+AO3-AN3+AO16</f>
        <v>1485.8320000000003</v>
      </c>
      <c r="AP21" s="89">
        <f t="shared" ref="AP21:AP22" si="80">+AP3-AO3+AP16</f>
        <v>151.72200000000038</v>
      </c>
      <c r="AQ21" s="89">
        <f t="shared" ref="AQ21:AQ23" si="81">+AQ3-AP3+AQ16</f>
        <v>588.36566335261045</v>
      </c>
      <c r="AR21" s="89">
        <f t="shared" ref="AR21:AR23" si="82">+AR3-AQ3+AR16</f>
        <v>1882.0412023266135</v>
      </c>
      <c r="AS21" s="89">
        <f t="shared" ref="AS21:AS23" si="83">+AS3-AR3+AS16</f>
        <v>978.41190299605546</v>
      </c>
      <c r="AT21" s="89">
        <f t="shared" ref="AT21:AT23" si="84">+AT3-AS3+AT16</f>
        <v>979.45306218525161</v>
      </c>
      <c r="AU21" s="89">
        <f t="shared" ref="AU21:AU23" si="85">+AU3-AT3+AU16</f>
        <v>969.5435057284634</v>
      </c>
      <c r="AV21" s="89">
        <f t="shared" ref="AV21:AV23" si="86">+AV3-AU3+AV16</f>
        <v>5283.8560990730693</v>
      </c>
      <c r="AW21" s="89">
        <f t="shared" ref="AW21:AW23" si="87">+AW3-AV3+AW16</f>
        <v>720.46854403816053</v>
      </c>
      <c r="AX21" s="89">
        <f t="shared" ref="AX21:AX23" si="88">+AX3-AW3+AX16</f>
        <v>1037.1361485304012</v>
      </c>
      <c r="AY21" s="89">
        <f t="shared" ref="AY21:AY23" si="89">+AY3-AX3+AY16</f>
        <v>1021.6181227212503</v>
      </c>
      <c r="AZ21" s="89">
        <f t="shared" ref="AZ21:AZ23" si="90">+AZ3-AY3+AZ16</f>
        <v>3066.5240812319184</v>
      </c>
      <c r="BA21" s="89">
        <f t="shared" ref="BA21:BA23" si="91">+BA3-AZ3+BA16</f>
        <v>4834.2755044074138</v>
      </c>
      <c r="BB21" s="89">
        <f t="shared" ref="BB21:BB23" si="92">+BB3-BA3+BB16</f>
        <v>774.37220082286899</v>
      </c>
      <c r="BC21" s="89">
        <f t="shared" ref="BC21:BC23" si="93">+BC3-BB3+BC16</f>
        <v>1087.6327699004178</v>
      </c>
    </row>
    <row r="22" spans="1:55" s="89" customFormat="1">
      <c r="A22" s="89" t="str">
        <f>+A11</f>
        <v>Building</v>
      </c>
      <c r="D22" s="91"/>
      <c r="E22" s="89">
        <f t="shared" ref="E22:S22" si="94">+E4-D4+E17</f>
        <v>810.12900000000025</v>
      </c>
      <c r="F22" s="89">
        <f t="shared" si="94"/>
        <v>470.17699999999979</v>
      </c>
      <c r="G22" s="89">
        <f t="shared" si="94"/>
        <v>305.9910000000001</v>
      </c>
      <c r="H22" s="275">
        <f t="shared" si="94"/>
        <v>208.83299999999963</v>
      </c>
      <c r="I22" s="89">
        <f t="shared" si="94"/>
        <v>2169.2300000000005</v>
      </c>
      <c r="J22" s="89">
        <f t="shared" si="94"/>
        <v>79.738999999999805</v>
      </c>
      <c r="K22" s="89">
        <f t="shared" si="94"/>
        <v>98.72400000000016</v>
      </c>
      <c r="L22" s="275">
        <f t="shared" si="94"/>
        <v>338.03100000000001</v>
      </c>
      <c r="M22" s="89">
        <f t="shared" si="94"/>
        <v>403.11400000000003</v>
      </c>
      <c r="N22" s="89">
        <f t="shared" si="94"/>
        <v>1469.3080000000002</v>
      </c>
      <c r="O22" s="89">
        <f t="shared" si="94"/>
        <v>212.71399999999988</v>
      </c>
      <c r="P22" s="275">
        <f t="shared" si="94"/>
        <v>502.31399999999979</v>
      </c>
      <c r="Q22" s="89">
        <f t="shared" si="94"/>
        <v>443.56600000000026</v>
      </c>
      <c r="R22" s="89">
        <f t="shared" si="94"/>
        <v>137.61299999999989</v>
      </c>
      <c r="S22" s="89">
        <f t="shared" si="94"/>
        <v>143.23400000000021</v>
      </c>
      <c r="T22" s="89">
        <f t="shared" si="72"/>
        <v>389.815</v>
      </c>
      <c r="U22" s="89">
        <f t="shared" si="72"/>
        <v>665.05299999999988</v>
      </c>
      <c r="V22" s="89">
        <f t="shared" si="72"/>
        <v>600.80400000000009</v>
      </c>
      <c r="W22" s="89">
        <f t="shared" ref="W22:AI22" si="95">+W4-V4+W17</f>
        <v>436.15900000000016</v>
      </c>
      <c r="X22" s="89">
        <f t="shared" si="95"/>
        <v>483.06299999999999</v>
      </c>
      <c r="Y22" s="89">
        <f t="shared" si="95"/>
        <v>700.64699999999971</v>
      </c>
      <c r="Z22" s="89">
        <f t="shared" si="95"/>
        <v>703.45900000000029</v>
      </c>
      <c r="AA22" s="89">
        <f>+AA4-Z4+AA17</f>
        <v>605.92399999999998</v>
      </c>
      <c r="AB22" s="89">
        <f t="shared" si="95"/>
        <v>582.29399999999976</v>
      </c>
      <c r="AC22" s="89">
        <f t="shared" si="95"/>
        <v>150.22100000000023</v>
      </c>
      <c r="AD22" s="89">
        <f t="shared" si="95"/>
        <v>287.79499999999996</v>
      </c>
      <c r="AE22" s="89">
        <f t="shared" si="95"/>
        <v>304.601</v>
      </c>
      <c r="AF22" s="89">
        <v>266.2</v>
      </c>
      <c r="AG22" s="89">
        <v>550.9</v>
      </c>
      <c r="AH22" s="89">
        <f t="shared" si="95"/>
        <v>290.71999999999997</v>
      </c>
      <c r="AI22" s="89">
        <f t="shared" si="95"/>
        <v>565.20100000000002</v>
      </c>
      <c r="AJ22" s="89">
        <f t="shared" si="74"/>
        <v>2522.5410000000002</v>
      </c>
      <c r="AK22" s="89">
        <f t="shared" si="75"/>
        <v>339.21699999999993</v>
      </c>
      <c r="AL22" s="89">
        <f t="shared" si="76"/>
        <v>485.1750000000003</v>
      </c>
      <c r="AM22" s="89">
        <f t="shared" si="77"/>
        <v>667.63099999999974</v>
      </c>
      <c r="AN22" s="89">
        <f t="shared" si="78"/>
        <v>1106.779</v>
      </c>
      <c r="AO22" s="89">
        <f t="shared" si="79"/>
        <v>1766.3020000000001</v>
      </c>
      <c r="AP22" s="89">
        <f t="shared" si="80"/>
        <v>220.3429999999999</v>
      </c>
      <c r="AQ22" s="89">
        <f t="shared" si="81"/>
        <v>543.60746934555095</v>
      </c>
      <c r="AR22" s="89">
        <f t="shared" si="82"/>
        <v>415.68122155341092</v>
      </c>
      <c r="AS22" s="89">
        <f t="shared" si="83"/>
        <v>484.1475742838731</v>
      </c>
      <c r="AT22" s="89">
        <f t="shared" si="84"/>
        <v>494.12405776528561</v>
      </c>
      <c r="AU22" s="89">
        <f t="shared" si="85"/>
        <v>537.28045212781603</v>
      </c>
      <c r="AV22" s="89">
        <f t="shared" si="86"/>
        <v>2016.1647328965885</v>
      </c>
      <c r="AW22" s="89">
        <f t="shared" si="87"/>
        <v>409.59768941093438</v>
      </c>
      <c r="AX22" s="89">
        <f t="shared" si="88"/>
        <v>487.50690214390403</v>
      </c>
      <c r="AY22" s="89">
        <f t="shared" si="89"/>
        <v>491.92851969722699</v>
      </c>
      <c r="AZ22" s="89">
        <f t="shared" si="90"/>
        <v>547.74881557966637</v>
      </c>
      <c r="BA22" s="89">
        <f t="shared" si="91"/>
        <v>2069.7506177731611</v>
      </c>
      <c r="BB22" s="89">
        <f t="shared" si="92"/>
        <v>388.24501258582222</v>
      </c>
      <c r="BC22" s="89">
        <f t="shared" si="93"/>
        <v>487.06185329943219</v>
      </c>
    </row>
    <row r="23" spans="1:55" s="89" customFormat="1">
      <c r="A23" s="89" t="str">
        <f>+A12</f>
        <v>Specialty Contractors</v>
      </c>
      <c r="D23" s="91"/>
      <c r="E23" s="89">
        <f t="shared" ref="E23:S23" si="96">+E5-D5+E18</f>
        <v>0</v>
      </c>
      <c r="F23" s="89">
        <f t="shared" si="96"/>
        <v>0</v>
      </c>
      <c r="G23" s="89">
        <f t="shared" si="96"/>
        <v>335.92099999999999</v>
      </c>
      <c r="H23" s="275">
        <f t="shared" si="96"/>
        <v>466.61399999999998</v>
      </c>
      <c r="I23" s="89">
        <f t="shared" si="96"/>
        <v>802.53499999999997</v>
      </c>
      <c r="J23" s="89">
        <f t="shared" si="96"/>
        <v>1597.7359999999999</v>
      </c>
      <c r="K23" s="89">
        <f t="shared" si="96"/>
        <v>317.40199999999999</v>
      </c>
      <c r="L23" s="275">
        <f t="shared" si="96"/>
        <v>255.06999999999994</v>
      </c>
      <c r="M23" s="89">
        <f t="shared" si="96"/>
        <v>482.5100000000001</v>
      </c>
      <c r="N23" s="89">
        <f t="shared" si="96"/>
        <v>1127.318</v>
      </c>
      <c r="O23" s="89">
        <f t="shared" si="96"/>
        <v>396.17699999999996</v>
      </c>
      <c r="P23" s="275">
        <f t="shared" si="96"/>
        <v>288.97700000000015</v>
      </c>
      <c r="Q23" s="89">
        <f t="shared" si="96"/>
        <v>376.13599999999991</v>
      </c>
      <c r="R23" s="89">
        <f t="shared" si="96"/>
        <v>372.93299999999994</v>
      </c>
      <c r="S23" s="89">
        <f t="shared" si="96"/>
        <v>298.5979999999999</v>
      </c>
      <c r="T23" s="89">
        <f t="shared" si="72"/>
        <v>663.44500000000016</v>
      </c>
      <c r="U23" s="89">
        <f t="shared" si="72"/>
        <v>338.35900000000009</v>
      </c>
      <c r="V23" s="89">
        <f t="shared" si="72"/>
        <v>318.33199999999988</v>
      </c>
      <c r="W23" s="89">
        <f t="shared" ref="W23:AI23" si="97">+W5-V5+W18</f>
        <v>400.79199999999975</v>
      </c>
      <c r="X23" s="89">
        <f t="shared" si="97"/>
        <v>334.017</v>
      </c>
      <c r="Y23" s="89">
        <f t="shared" si="97"/>
        <v>342.798</v>
      </c>
      <c r="Z23" s="89">
        <f t="shared" si="97"/>
        <v>235.66500000000019</v>
      </c>
      <c r="AA23" s="89">
        <f t="shared" si="97"/>
        <v>175.84899999999999</v>
      </c>
      <c r="AB23" s="89">
        <f t="shared" si="97"/>
        <v>279.17300000000012</v>
      </c>
      <c r="AC23" s="89">
        <f t="shared" si="97"/>
        <v>174.70199999999994</v>
      </c>
      <c r="AD23" s="89">
        <f t="shared" si="97"/>
        <v>205.91299999999995</v>
      </c>
      <c r="AE23" s="89">
        <f t="shared" si="97"/>
        <v>207.28299999999996</v>
      </c>
      <c r="AF23" s="89">
        <f t="shared" si="97"/>
        <v>296.39600000000007</v>
      </c>
      <c r="AG23" s="89">
        <v>238.9</v>
      </c>
      <c r="AH23" s="89">
        <f t="shared" si="97"/>
        <v>394.23699999999991</v>
      </c>
      <c r="AI23" s="89">
        <f t="shared" si="97"/>
        <v>174.21800000000002</v>
      </c>
      <c r="AJ23" s="89">
        <f t="shared" si="74"/>
        <v>1514.9080000000001</v>
      </c>
      <c r="AK23" s="89">
        <f t="shared" si="75"/>
        <v>378.10099999999994</v>
      </c>
      <c r="AL23" s="89">
        <f t="shared" si="76"/>
        <v>144.13299999999998</v>
      </c>
      <c r="AM23" s="89">
        <f t="shared" si="77"/>
        <v>316.05800000000011</v>
      </c>
      <c r="AN23" s="89">
        <f t="shared" si="78"/>
        <v>513.07799999999997</v>
      </c>
      <c r="AO23" s="89">
        <f t="shared" si="79"/>
        <v>1222.27</v>
      </c>
      <c r="AP23" s="89">
        <v>1116.5</v>
      </c>
      <c r="AQ23" s="89">
        <f t="shared" si="81"/>
        <v>504.00613551909657</v>
      </c>
      <c r="AR23" s="89">
        <f t="shared" si="82"/>
        <v>287.20473442931655</v>
      </c>
      <c r="AS23" s="89">
        <f t="shared" si="83"/>
        <v>329.30988350165234</v>
      </c>
      <c r="AT23" s="89">
        <f t="shared" si="84"/>
        <v>346.86956909461111</v>
      </c>
      <c r="AU23" s="89">
        <f t="shared" si="85"/>
        <v>362.24946184162457</v>
      </c>
      <c r="AV23" s="89">
        <f t="shared" si="86"/>
        <v>1287.3222723651752</v>
      </c>
      <c r="AW23" s="89">
        <f t="shared" si="87"/>
        <v>284.10046069236148</v>
      </c>
      <c r="AX23" s="89">
        <f t="shared" si="88"/>
        <v>327.41816062212297</v>
      </c>
      <c r="AY23" s="89">
        <f t="shared" si="89"/>
        <v>346.14872605288377</v>
      </c>
      <c r="AZ23" s="89">
        <f t="shared" si="90"/>
        <v>372.72312909836995</v>
      </c>
      <c r="BA23" s="89">
        <f t="shared" si="91"/>
        <v>1294.6364576515664</v>
      </c>
      <c r="BB23" s="89">
        <f t="shared" si="92"/>
        <v>270.18412938596077</v>
      </c>
      <c r="BC23" s="89">
        <f t="shared" si="93"/>
        <v>332.87312553205726</v>
      </c>
    </row>
    <row r="24" spans="1:55" s="89" customFormat="1">
      <c r="D24" s="103"/>
      <c r="H24" s="275"/>
      <c r="L24" s="275"/>
      <c r="P24" s="275"/>
    </row>
    <row r="25" spans="1:55">
      <c r="H25" s="280">
        <f t="shared" ref="H25:AD25" si="98">+SUM(E21:H21)</f>
        <v>1349.2959999999998</v>
      </c>
      <c r="I25" s="138">
        <f t="shared" si="98"/>
        <v>2526.7669999999998</v>
      </c>
      <c r="J25" s="138">
        <f t="shared" si="98"/>
        <v>3233.3139999999999</v>
      </c>
      <c r="K25" s="89">
        <f t="shared" si="98"/>
        <v>2681.9469999999997</v>
      </c>
      <c r="L25" s="280">
        <f t="shared" si="98"/>
        <v>2599.299</v>
      </c>
      <c r="M25" s="138">
        <f t="shared" si="98"/>
        <v>1290.3099999999997</v>
      </c>
      <c r="N25" s="138">
        <f t="shared" si="98"/>
        <v>1661.431</v>
      </c>
      <c r="O25" s="89">
        <f t="shared" si="98"/>
        <v>1839.3339999999998</v>
      </c>
      <c r="P25" s="280">
        <f t="shared" si="98"/>
        <v>1738.1669999999999</v>
      </c>
      <c r="Q25" s="138">
        <f t="shared" si="98"/>
        <v>2930.4830000000002</v>
      </c>
      <c r="R25" s="138">
        <f t="shared" si="98"/>
        <v>2688.8380000000002</v>
      </c>
      <c r="S25" s="89">
        <f t="shared" si="98"/>
        <v>3087.3719999999998</v>
      </c>
      <c r="T25" s="280">
        <f t="shared" si="98"/>
        <v>3737.3890000000001</v>
      </c>
      <c r="U25" s="138">
        <f t="shared" si="98"/>
        <v>2646.6889999999999</v>
      </c>
      <c r="V25" s="138">
        <f t="shared" si="98"/>
        <v>2506.5659999999998</v>
      </c>
      <c r="W25" s="89">
        <f t="shared" si="98"/>
        <v>1856.068</v>
      </c>
      <c r="X25" s="280">
        <f t="shared" si="98"/>
        <v>1271.6520000000003</v>
      </c>
      <c r="Y25" s="138">
        <f t="shared" si="98"/>
        <v>1342.8889999999997</v>
      </c>
      <c r="Z25" s="138">
        <f t="shared" si="98"/>
        <v>954.56399999999985</v>
      </c>
      <c r="AA25" s="89">
        <f t="shared" si="98"/>
        <v>1185.693</v>
      </c>
      <c r="AB25" s="280">
        <f t="shared" si="98"/>
        <v>1914.1179999999997</v>
      </c>
      <c r="AC25" s="138">
        <f t="shared" si="98"/>
        <v>1717.4650000000001</v>
      </c>
      <c r="AD25" s="138">
        <f t="shared" si="98"/>
        <v>1762.748</v>
      </c>
      <c r="AE25" s="89">
        <f>+SUM(AB21:AE21)</f>
        <v>1720.0350000000001</v>
      </c>
      <c r="AF25" s="89">
        <f t="shared" ref="AF25:AJ25" si="99">+SUM(AC21:AF21)</f>
        <v>2248.3339999999998</v>
      </c>
      <c r="AG25" s="89">
        <f t="shared" si="99"/>
        <v>3002.3269999999998</v>
      </c>
      <c r="AH25" s="89">
        <f t="shared" si="99"/>
        <v>3196.0139999999992</v>
      </c>
      <c r="AI25" s="89">
        <f>+SUM(AF21:AI21)</f>
        <v>3174.1009999999992</v>
      </c>
      <c r="AJ25" s="89">
        <f t="shared" si="99"/>
        <v>3860.5619999999999</v>
      </c>
      <c r="AK25" s="89">
        <f t="shared" ref="AK25:AK27" si="100">+SUM(AH21:AK21)</f>
        <v>3600.462</v>
      </c>
      <c r="AL25" s="89">
        <f t="shared" ref="AL25:AL27" si="101">+SUM(AI21:AL21)</f>
        <v>3450.9890000000009</v>
      </c>
      <c r="AM25" s="89">
        <f>+SUM(AJ21:AM21)</f>
        <v>4117.719000000001</v>
      </c>
      <c r="AN25" s="89">
        <f t="shared" ref="AN25:AP25" si="102">+SUM(AK21:AN21)</f>
        <v>3840.732</v>
      </c>
      <c r="AO25" s="89">
        <f t="shared" si="102"/>
        <v>4739.1640000000007</v>
      </c>
      <c r="AP25" s="89">
        <f t="shared" si="102"/>
        <v>4515.072000000001</v>
      </c>
      <c r="AQ25" s="89">
        <f>+SUM(AN21:AQ21)</f>
        <v>4133.5936633526107</v>
      </c>
      <c r="AR25" s="89">
        <f t="shared" ref="AR25:AU25" si="103">+SUM(AO21:AR21)</f>
        <v>4107.9608656792243</v>
      </c>
      <c r="AS25" s="89">
        <f t="shared" si="103"/>
        <v>3600.5407686752797</v>
      </c>
      <c r="AT25" s="89">
        <f t="shared" si="103"/>
        <v>4428.2718308605317</v>
      </c>
      <c r="AU25" s="89">
        <f t="shared" si="103"/>
        <v>4809.4496732363841</v>
      </c>
      <c r="AV25" s="89">
        <f t="shared" ref="AV25:AV27" si="104">+SUM(AS21:AV21)</f>
        <v>8211.264569982839</v>
      </c>
      <c r="AW25" s="89">
        <f t="shared" ref="AW25:AW27" si="105">+SUM(AT21:AW21)</f>
        <v>7953.3212110249451</v>
      </c>
      <c r="AX25" s="89">
        <f t="shared" ref="AX25:AX27" si="106">+SUM(AU21:AX21)</f>
        <v>8011.0042973700947</v>
      </c>
      <c r="AY25" s="89">
        <f t="shared" ref="AY25:AY27" si="107">+SUM(AV21:AY21)</f>
        <v>8063.0789143628817</v>
      </c>
      <c r="AZ25" s="89">
        <f t="shared" ref="AZ25:AZ27" si="108">+SUM(AW21:AZ21)</f>
        <v>5845.7468965217304</v>
      </c>
      <c r="BA25" s="89">
        <f t="shared" ref="BA25:BA27" si="109">+SUM(AX21:BA21)</f>
        <v>9959.5538568909833</v>
      </c>
      <c r="BB25" s="89">
        <f t="shared" ref="BB25:BB27" si="110">+SUM(AY21:BB21)</f>
        <v>9696.7899091834515</v>
      </c>
      <c r="BC25" s="89">
        <f t="shared" ref="BC25:BC27" si="111">+SUM(AZ21:BC21)</f>
        <v>9762.8045563626183</v>
      </c>
    </row>
    <row r="26" spans="1:55">
      <c r="H26" s="280">
        <f t="shared" ref="H26:AD26" si="112">+SUM(E22:H22)</f>
        <v>1795.1299999999997</v>
      </c>
      <c r="I26" s="138">
        <f t="shared" si="112"/>
        <v>3154.2309999999998</v>
      </c>
      <c r="J26" s="138">
        <f t="shared" si="112"/>
        <v>2763.7929999999997</v>
      </c>
      <c r="K26" s="89">
        <f t="shared" si="112"/>
        <v>2556.5259999999998</v>
      </c>
      <c r="L26" s="280">
        <f t="shared" si="112"/>
        <v>2685.7240000000002</v>
      </c>
      <c r="M26" s="138">
        <f t="shared" si="112"/>
        <v>919.60799999999995</v>
      </c>
      <c r="N26" s="138">
        <f t="shared" si="112"/>
        <v>2309.1770000000006</v>
      </c>
      <c r="O26" s="89">
        <f t="shared" si="112"/>
        <v>2423.1670000000004</v>
      </c>
      <c r="P26" s="280">
        <f t="shared" si="112"/>
        <v>2587.4499999999998</v>
      </c>
      <c r="Q26" s="138">
        <f t="shared" si="112"/>
        <v>2627.902</v>
      </c>
      <c r="R26" s="138">
        <f t="shared" si="112"/>
        <v>1296.2069999999999</v>
      </c>
      <c r="S26" s="89">
        <f t="shared" si="112"/>
        <v>1226.7270000000001</v>
      </c>
      <c r="T26" s="138">
        <f t="shared" si="112"/>
        <v>1114.2280000000003</v>
      </c>
      <c r="U26" s="138">
        <f t="shared" si="112"/>
        <v>1335.7149999999999</v>
      </c>
      <c r="V26" s="138">
        <f t="shared" si="112"/>
        <v>1798.9060000000002</v>
      </c>
      <c r="W26" s="89">
        <f t="shared" si="112"/>
        <v>2091.8310000000001</v>
      </c>
      <c r="X26" s="280">
        <f t="shared" si="112"/>
        <v>2185.0790000000002</v>
      </c>
      <c r="Y26" s="138">
        <f t="shared" si="112"/>
        <v>2220.6729999999998</v>
      </c>
      <c r="Z26" s="138">
        <f t="shared" si="112"/>
        <v>2323.3280000000004</v>
      </c>
      <c r="AA26" s="89">
        <f t="shared" si="112"/>
        <v>2493.0929999999998</v>
      </c>
      <c r="AB26" s="280">
        <f t="shared" si="112"/>
        <v>2592.3239999999996</v>
      </c>
      <c r="AC26" s="138">
        <f t="shared" si="112"/>
        <v>2041.8980000000004</v>
      </c>
      <c r="AD26" s="138">
        <f t="shared" si="112"/>
        <v>1626.2339999999999</v>
      </c>
      <c r="AE26" s="89">
        <f>+SUM(AB22:AE22)</f>
        <v>1324.9110000000001</v>
      </c>
      <c r="AF26" s="89">
        <f t="shared" ref="AF26:AJ26" si="113">+SUM(AC22:AF22)</f>
        <v>1008.8170000000002</v>
      </c>
      <c r="AG26" s="89">
        <f>+SUM(AD22:AG22)</f>
        <v>1409.4960000000001</v>
      </c>
      <c r="AH26" s="89">
        <f t="shared" si="113"/>
        <v>1412.421</v>
      </c>
      <c r="AI26" s="89">
        <f>+SUM(AF22:AI22)</f>
        <v>1673.021</v>
      </c>
      <c r="AJ26" s="89">
        <f t="shared" si="113"/>
        <v>3929.3620000000001</v>
      </c>
      <c r="AK26" s="89">
        <f t="shared" si="100"/>
        <v>3717.6790000000005</v>
      </c>
      <c r="AL26" s="89">
        <f t="shared" si="101"/>
        <v>3912.1340000000005</v>
      </c>
      <c r="AM26" s="89">
        <f>+SUM(AJ22:AM22)</f>
        <v>4014.5640000000003</v>
      </c>
      <c r="AN26" s="89">
        <f t="shared" ref="AN26:AP26" si="114">+SUM(AK22:AN22)</f>
        <v>2598.8020000000001</v>
      </c>
      <c r="AO26" s="89">
        <f t="shared" si="114"/>
        <v>4025.8870000000002</v>
      </c>
      <c r="AP26" s="89">
        <f t="shared" si="114"/>
        <v>3761.0549999999998</v>
      </c>
      <c r="AQ26" s="89">
        <f>+SUM(AN22:AQ22)</f>
        <v>3637.0314693455512</v>
      </c>
      <c r="AR26" s="89">
        <f t="shared" ref="AR26:AU26" si="115">+SUM(AO22:AR22)</f>
        <v>2945.9336908989617</v>
      </c>
      <c r="AS26" s="89">
        <f t="shared" si="115"/>
        <v>1663.7792651828349</v>
      </c>
      <c r="AT26" s="89">
        <f t="shared" si="115"/>
        <v>1937.5603229481208</v>
      </c>
      <c r="AU26" s="89">
        <f t="shared" si="115"/>
        <v>1931.2333057303856</v>
      </c>
      <c r="AV26" s="89">
        <f t="shared" si="104"/>
        <v>3531.7168170735631</v>
      </c>
      <c r="AW26" s="89">
        <f t="shared" si="105"/>
        <v>3457.1669322006246</v>
      </c>
      <c r="AX26" s="89">
        <f t="shared" si="106"/>
        <v>3450.5497765792429</v>
      </c>
      <c r="AY26" s="89">
        <f t="shared" si="107"/>
        <v>3405.1978441486535</v>
      </c>
      <c r="AZ26" s="89">
        <f t="shared" si="108"/>
        <v>1936.7819268317317</v>
      </c>
      <c r="BA26" s="89">
        <f t="shared" si="109"/>
        <v>3596.9348551939584</v>
      </c>
      <c r="BB26" s="89">
        <f t="shared" si="110"/>
        <v>3497.6729656358766</v>
      </c>
      <c r="BC26" s="89">
        <f t="shared" si="111"/>
        <v>3492.8062992380819</v>
      </c>
    </row>
    <row r="27" spans="1:55">
      <c r="H27" s="280">
        <f t="shared" ref="H27:AD27" si="116">+SUM(E23:H23)</f>
        <v>802.53499999999997</v>
      </c>
      <c r="I27" s="138">
        <f t="shared" si="116"/>
        <v>1605.07</v>
      </c>
      <c r="J27" s="138">
        <f t="shared" si="116"/>
        <v>3202.8059999999996</v>
      </c>
      <c r="K27" s="89">
        <f t="shared" si="116"/>
        <v>3184.2869999999998</v>
      </c>
      <c r="L27" s="280">
        <f t="shared" si="116"/>
        <v>2972.7429999999995</v>
      </c>
      <c r="M27" s="138">
        <f t="shared" si="116"/>
        <v>2652.7179999999998</v>
      </c>
      <c r="N27" s="138">
        <f t="shared" si="116"/>
        <v>2182.3000000000002</v>
      </c>
      <c r="O27" s="89">
        <f t="shared" si="116"/>
        <v>2261.0750000000003</v>
      </c>
      <c r="P27" s="280">
        <f t="shared" si="116"/>
        <v>2294.982</v>
      </c>
      <c r="Q27" s="138">
        <f t="shared" si="116"/>
        <v>2188.6079999999997</v>
      </c>
      <c r="R27" s="138">
        <f t="shared" si="116"/>
        <v>1434.223</v>
      </c>
      <c r="S27" s="89">
        <f t="shared" si="116"/>
        <v>1336.644</v>
      </c>
      <c r="T27" s="280">
        <f t="shared" si="116"/>
        <v>1711.1119999999999</v>
      </c>
      <c r="U27" s="138">
        <f t="shared" si="116"/>
        <v>1673.3350000000003</v>
      </c>
      <c r="V27" s="138">
        <f t="shared" si="116"/>
        <v>1618.7340000000002</v>
      </c>
      <c r="W27" s="89">
        <f t="shared" si="116"/>
        <v>1720.9279999999999</v>
      </c>
      <c r="X27" s="280">
        <f t="shared" si="116"/>
        <v>1391.4999999999998</v>
      </c>
      <c r="Y27" s="138">
        <f t="shared" si="116"/>
        <v>1395.9389999999996</v>
      </c>
      <c r="Z27" s="138">
        <f t="shared" si="116"/>
        <v>1313.2719999999999</v>
      </c>
      <c r="AA27" s="89">
        <f t="shared" si="116"/>
        <v>1088.3290000000002</v>
      </c>
      <c r="AB27" s="280">
        <f t="shared" si="116"/>
        <v>1033.4850000000001</v>
      </c>
      <c r="AC27" s="138">
        <f t="shared" si="116"/>
        <v>865.38900000000035</v>
      </c>
      <c r="AD27" s="138">
        <f t="shared" si="116"/>
        <v>835.63699999999994</v>
      </c>
      <c r="AE27" s="89">
        <f>+SUM(AB23:AE23)</f>
        <v>867.07099999999991</v>
      </c>
      <c r="AF27" s="89">
        <f t="shared" ref="AF27:AJ27" si="117">+SUM(AC23:AF23)</f>
        <v>884.29399999999998</v>
      </c>
      <c r="AG27" s="89">
        <f t="shared" si="117"/>
        <v>948.49199999999996</v>
      </c>
      <c r="AH27" s="89">
        <f t="shared" si="117"/>
        <v>1136.816</v>
      </c>
      <c r="AI27" s="89">
        <f>+SUM(AF23:AI23)</f>
        <v>1103.751</v>
      </c>
      <c r="AJ27" s="89">
        <f t="shared" si="117"/>
        <v>2322.2629999999999</v>
      </c>
      <c r="AK27" s="89">
        <f t="shared" si="100"/>
        <v>2461.4640000000004</v>
      </c>
      <c r="AL27" s="89">
        <f t="shared" si="101"/>
        <v>2211.36</v>
      </c>
      <c r="AM27" s="89">
        <f>+SUM(AJ23:AM23)</f>
        <v>2353.2000000000003</v>
      </c>
      <c r="AN27" s="89">
        <f t="shared" ref="AN27:AP27" si="118">+SUM(AK23:AN23)</f>
        <v>1351.37</v>
      </c>
      <c r="AO27" s="89">
        <f t="shared" si="118"/>
        <v>2195.5389999999998</v>
      </c>
      <c r="AP27" s="89">
        <f t="shared" si="118"/>
        <v>3167.9059999999999</v>
      </c>
      <c r="AQ27" s="89">
        <f>+SUM(AN23:AQ23)</f>
        <v>3355.8541355190964</v>
      </c>
      <c r="AR27" s="89">
        <f t="shared" ref="AR27:AU27" si="119">+SUM(AO23:AR23)</f>
        <v>3129.9808699484129</v>
      </c>
      <c r="AS27" s="89">
        <f t="shared" si="119"/>
        <v>2237.0207534500651</v>
      </c>
      <c r="AT27" s="89">
        <f t="shared" si="119"/>
        <v>1467.3903225446766</v>
      </c>
      <c r="AU27" s="89">
        <f t="shared" si="119"/>
        <v>1325.6336488672046</v>
      </c>
      <c r="AV27" s="89">
        <f t="shared" si="104"/>
        <v>2325.7511868030633</v>
      </c>
      <c r="AW27" s="89">
        <f t="shared" si="105"/>
        <v>2280.5417639937723</v>
      </c>
      <c r="AX27" s="89">
        <f t="shared" si="106"/>
        <v>2261.0903555212844</v>
      </c>
      <c r="AY27" s="89">
        <f t="shared" si="107"/>
        <v>2244.9896197325434</v>
      </c>
      <c r="AZ27" s="89">
        <f t="shared" si="108"/>
        <v>1330.3904764657382</v>
      </c>
      <c r="BA27" s="89">
        <f t="shared" si="109"/>
        <v>2340.9264734249432</v>
      </c>
      <c r="BB27" s="89">
        <f t="shared" si="110"/>
        <v>2283.6924421887807</v>
      </c>
      <c r="BC27" s="89">
        <f t="shared" si="111"/>
        <v>2270.4168416679545</v>
      </c>
    </row>
    <row r="28" spans="1:55">
      <c r="H28" s="138">
        <f t="shared" ref="H28:AD28" si="120">SUM(H25:H27)</f>
        <v>3946.9609999999993</v>
      </c>
      <c r="I28" s="138">
        <f t="shared" si="120"/>
        <v>7286.0679999999993</v>
      </c>
      <c r="J28" s="138">
        <f t="shared" si="120"/>
        <v>9199.9130000000005</v>
      </c>
      <c r="K28" s="138">
        <f t="shared" si="120"/>
        <v>8422.76</v>
      </c>
      <c r="L28" s="138">
        <f t="shared" si="120"/>
        <v>8257.7659999999996</v>
      </c>
      <c r="M28" s="138">
        <f t="shared" si="120"/>
        <v>4862.6359999999995</v>
      </c>
      <c r="N28" s="138">
        <f t="shared" si="120"/>
        <v>6152.9080000000013</v>
      </c>
      <c r="O28" s="138">
        <f t="shared" si="120"/>
        <v>6523.5760000000009</v>
      </c>
      <c r="P28" s="138">
        <f t="shared" si="120"/>
        <v>6620.5990000000002</v>
      </c>
      <c r="Q28" s="138">
        <f t="shared" si="120"/>
        <v>7746.9930000000004</v>
      </c>
      <c r="R28" s="138">
        <f t="shared" si="120"/>
        <v>5419.268</v>
      </c>
      <c r="S28" s="138">
        <f t="shared" si="120"/>
        <v>5650.7430000000004</v>
      </c>
      <c r="T28" s="138">
        <f t="shared" si="120"/>
        <v>6562.7290000000003</v>
      </c>
      <c r="U28" s="138">
        <f t="shared" si="120"/>
        <v>5655.7389999999996</v>
      </c>
      <c r="V28" s="138">
        <f t="shared" si="120"/>
        <v>5924.2060000000001</v>
      </c>
      <c r="W28" s="138">
        <f t="shared" si="120"/>
        <v>5668.8270000000002</v>
      </c>
      <c r="X28" s="280">
        <f t="shared" si="120"/>
        <v>4848.2310000000007</v>
      </c>
      <c r="Y28" s="138">
        <f t="shared" si="120"/>
        <v>4959.5009999999993</v>
      </c>
      <c r="Z28" s="138">
        <f t="shared" si="120"/>
        <v>4591.1640000000007</v>
      </c>
      <c r="AA28" s="138">
        <f t="shared" si="120"/>
        <v>4767.1149999999998</v>
      </c>
      <c r="AB28" s="280">
        <f t="shared" si="120"/>
        <v>5539.9269999999997</v>
      </c>
      <c r="AC28" s="138">
        <f t="shared" si="120"/>
        <v>4624.7520000000004</v>
      </c>
      <c r="AD28" s="138">
        <f t="shared" si="120"/>
        <v>4224.6189999999997</v>
      </c>
      <c r="AE28" s="89">
        <f>SUM(AE25:AE27)</f>
        <v>3912.0169999999998</v>
      </c>
    </row>
    <row r="29" spans="1:55">
      <c r="H29" s="138"/>
      <c r="L29" s="138"/>
      <c r="O29" s="433">
        <f t="shared" ref="O29:AJ29" si="121">O25/K25-1</f>
        <v>-0.31417958669578483</v>
      </c>
      <c r="P29" s="433">
        <f t="shared" si="121"/>
        <v>-0.33129393732694856</v>
      </c>
      <c r="Q29" s="433">
        <f t="shared" si="121"/>
        <v>1.2711464686780705</v>
      </c>
      <c r="R29" s="433">
        <f t="shared" si="121"/>
        <v>0.61838680029444504</v>
      </c>
      <c r="S29" s="433">
        <f t="shared" si="121"/>
        <v>0.67852711905504925</v>
      </c>
      <c r="T29" s="433">
        <f t="shared" si="121"/>
        <v>1.1501898264090853</v>
      </c>
      <c r="U29" s="433">
        <f t="shared" si="121"/>
        <v>-9.6842056411861166E-2</v>
      </c>
      <c r="V29" s="433">
        <f t="shared" si="121"/>
        <v>-6.7788390375322138E-2</v>
      </c>
      <c r="W29" s="433">
        <f t="shared" si="121"/>
        <v>-0.39881944903302868</v>
      </c>
      <c r="X29" s="433">
        <f t="shared" si="121"/>
        <v>-0.65974855708089253</v>
      </c>
      <c r="Y29" s="433">
        <f t="shared" si="121"/>
        <v>-0.4926154905241984</v>
      </c>
      <c r="Z29" s="433">
        <f t="shared" si="121"/>
        <v>-0.61917459983100387</v>
      </c>
      <c r="AA29" s="433">
        <f t="shared" si="121"/>
        <v>-0.36118019382910538</v>
      </c>
      <c r="AB29" s="433">
        <f t="shared" si="121"/>
        <v>0.50522155432461036</v>
      </c>
      <c r="AC29" s="433">
        <f t="shared" si="121"/>
        <v>0.27893295722878109</v>
      </c>
      <c r="AD29" s="433">
        <f t="shared" si="121"/>
        <v>0.84665250313232043</v>
      </c>
      <c r="AE29" s="433">
        <f t="shared" si="121"/>
        <v>0.45065796964306948</v>
      </c>
      <c r="AF29" s="433">
        <f t="shared" si="121"/>
        <v>0.17460574530932793</v>
      </c>
      <c r="AG29" s="433">
        <f t="shared" si="121"/>
        <v>0.74811539099777846</v>
      </c>
      <c r="AH29" s="433">
        <f t="shared" si="121"/>
        <v>0.81308615865682388</v>
      </c>
      <c r="AI29" s="433">
        <f t="shared" si="121"/>
        <v>0.84537000700567089</v>
      </c>
      <c r="AJ29" s="433">
        <f t="shared" si="121"/>
        <v>0.71707673326116139</v>
      </c>
      <c r="AK29" s="433">
        <f t="shared" ref="AK29" si="122">AK25/AG25-1</f>
        <v>0.19922380207086055</v>
      </c>
      <c r="AL29" s="433">
        <f t="shared" ref="AL29" si="123">AL25/AH25-1</f>
        <v>7.9779062294471181E-2</v>
      </c>
      <c r="AM29" s="433">
        <f t="shared" ref="AM29" si="124">AM25/AI25-1</f>
        <v>0.29728669629605431</v>
      </c>
      <c r="AN29" s="433">
        <f t="shared" ref="AN29" si="125">AN25/AJ25-1</f>
        <v>-5.1365578379520827E-3</v>
      </c>
      <c r="AO29" s="433">
        <f t="shared" ref="AO29" si="126">AO25/AK25-1</f>
        <v>0.31626552370223626</v>
      </c>
      <c r="AP29" s="433">
        <f t="shared" ref="AP29" si="127">AP25/AL25-1</f>
        <v>0.3083414638528259</v>
      </c>
      <c r="AQ29" s="433">
        <f t="shared" ref="AQ29" si="128">AQ25/AM25-1</f>
        <v>3.8552080296421209E-3</v>
      </c>
      <c r="AR29" s="433">
        <f t="shared" ref="AR29" si="129">AR25/AN25-1</f>
        <v>6.9577587209736169E-2</v>
      </c>
      <c r="AS29" s="433">
        <f t="shared" ref="AS29" si="130">AS25/AO25-1</f>
        <v>-0.24025824624864656</v>
      </c>
      <c r="AT29" s="433">
        <f t="shared" ref="AT29" si="131">AT25/AP25-1</f>
        <v>-1.9224537092535687E-2</v>
      </c>
      <c r="AU29" s="433">
        <f t="shared" ref="AU29" si="132">AU25/AQ25-1</f>
        <v>0.16350325284164735</v>
      </c>
      <c r="AV29" s="433">
        <f t="shared" ref="AV29" si="133">AV25/AR25-1</f>
        <v>0.99886630824199929</v>
      </c>
      <c r="AW29" s="433">
        <f t="shared" ref="AW29" si="134">AW25/AS25-1</f>
        <v>1.2089240816876381</v>
      </c>
      <c r="AX29" s="433">
        <f t="shared" ref="AX29" si="135">AX25/AT25-1</f>
        <v>0.80905883905806708</v>
      </c>
      <c r="AY29" s="433">
        <f t="shared" ref="AY29" si="136">AY25/AU25-1</f>
        <v>0.67650759695694229</v>
      </c>
      <c r="AZ29" s="433">
        <f t="shared" ref="AZ29" si="137">AZ25/AV25-1</f>
        <v>-0.28808201870738803</v>
      </c>
      <c r="BA29" s="433">
        <f t="shared" ref="BA29" si="138">BA25/AW25-1</f>
        <v>0.25225092670530969</v>
      </c>
      <c r="BB29" s="433">
        <f t="shared" ref="BB29" si="139">BB25/AX25-1</f>
        <v>0.21043374204240251</v>
      </c>
      <c r="BC29" s="433">
        <f t="shared" ref="BC29" si="140">BC25/AY25-1</f>
        <v>0.21080354788193745</v>
      </c>
    </row>
    <row r="30" spans="1:55">
      <c r="H30" s="138"/>
      <c r="L30" s="138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  <c r="AB30" s="433"/>
      <c r="AC30" s="433"/>
      <c r="AD30" s="433"/>
      <c r="AE30" s="433"/>
      <c r="AF30" s="433"/>
      <c r="AG30" s="433"/>
      <c r="AH30" s="433"/>
      <c r="AI30" s="433"/>
    </row>
    <row r="31" spans="1:55" ht="10.5">
      <c r="B31" s="139" t="s">
        <v>33</v>
      </c>
      <c r="C31" s="139">
        <v>1999</v>
      </c>
      <c r="D31" s="139">
        <f>1+C31</f>
        <v>2000</v>
      </c>
      <c r="E31" s="139">
        <f t="shared" ref="E31:V31" si="141">1+D31</f>
        <v>2001</v>
      </c>
      <c r="F31" s="139">
        <f t="shared" si="141"/>
        <v>2002</v>
      </c>
      <c r="G31" s="139">
        <f t="shared" si="141"/>
        <v>2003</v>
      </c>
      <c r="H31" s="139">
        <f t="shared" si="141"/>
        <v>2004</v>
      </c>
      <c r="I31" s="139">
        <f t="shared" si="141"/>
        <v>2005</v>
      </c>
      <c r="J31" s="139">
        <f t="shared" si="141"/>
        <v>2006</v>
      </c>
      <c r="K31" s="139">
        <f t="shared" si="141"/>
        <v>2007</v>
      </c>
      <c r="L31" s="139">
        <f t="shared" si="141"/>
        <v>2008</v>
      </c>
      <c r="M31" s="139">
        <f t="shared" si="141"/>
        <v>2009</v>
      </c>
      <c r="N31" s="139">
        <f t="shared" si="141"/>
        <v>2010</v>
      </c>
      <c r="O31" s="139">
        <f t="shared" si="141"/>
        <v>2011</v>
      </c>
      <c r="P31" s="139">
        <f t="shared" si="141"/>
        <v>2012</v>
      </c>
      <c r="Q31" s="139">
        <f t="shared" si="141"/>
        <v>2013</v>
      </c>
      <c r="R31" s="139">
        <f t="shared" si="141"/>
        <v>2014</v>
      </c>
      <c r="S31" s="139">
        <f t="shared" si="141"/>
        <v>2015</v>
      </c>
      <c r="T31" s="139">
        <f t="shared" si="141"/>
        <v>2016</v>
      </c>
      <c r="U31" s="139">
        <f t="shared" si="141"/>
        <v>2017</v>
      </c>
      <c r="V31" s="139">
        <f t="shared" si="141"/>
        <v>2018</v>
      </c>
      <c r="W31" s="138">
        <v>2019</v>
      </c>
      <c r="X31" s="280">
        <v>2020</v>
      </c>
      <c r="Y31" s="280">
        <v>2021</v>
      </c>
      <c r="Z31" s="280">
        <v>2022</v>
      </c>
    </row>
    <row r="32" spans="1:55">
      <c r="A32" s="138" t="s">
        <v>127</v>
      </c>
      <c r="C32" s="328">
        <v>543.71100000000001</v>
      </c>
      <c r="D32" s="328">
        <v>737.36699999999996</v>
      </c>
      <c r="E32" s="328">
        <v>474.98899999999998</v>
      </c>
      <c r="F32" s="328">
        <v>210.56200000000001</v>
      </c>
      <c r="G32" s="328">
        <v>305.69799999999998</v>
      </c>
      <c r="H32" s="330">
        <v>230.71100000000001</v>
      </c>
      <c r="I32" s="328">
        <v>422.988</v>
      </c>
      <c r="J32" s="318">
        <v>429.685</v>
      </c>
      <c r="K32" s="318">
        <v>457.83800000000002</v>
      </c>
      <c r="L32" s="318">
        <v>528.005</v>
      </c>
      <c r="M32" s="318">
        <v>1001.5069999999999</v>
      </c>
      <c r="N32" s="318">
        <v>1360.1</v>
      </c>
      <c r="O32" s="318">
        <v>2222.1999999999998</v>
      </c>
      <c r="P32" s="318">
        <v>1774</v>
      </c>
      <c r="Q32" s="419">
        <v>3437.6</v>
      </c>
      <c r="R32" s="419">
        <f>+W3</f>
        <v>3563.2</v>
      </c>
      <c r="S32" s="419">
        <f>+AA3</f>
        <v>2743.7</v>
      </c>
      <c r="T32" s="319">
        <f>+AE3</f>
        <v>2672.1</v>
      </c>
      <c r="U32" s="319">
        <f>+AI3</f>
        <v>4118.2</v>
      </c>
      <c r="V32" s="319">
        <f>+AM3</f>
        <v>5141.8630000000003</v>
      </c>
      <c r="W32" s="319">
        <f>+AQ3</f>
        <v>6068.5920000000006</v>
      </c>
      <c r="X32" s="319">
        <f>+AU3</f>
        <v>7856.8468225459201</v>
      </c>
      <c r="Y32" s="319">
        <f>+AV3</f>
        <v>9585.3531235060218</v>
      </c>
      <c r="Z32" s="319">
        <f>+AW3</f>
        <v>9777.0601859761427</v>
      </c>
    </row>
    <row r="33" spans="1:40" ht="10.5">
      <c r="A33" s="138" t="s">
        <v>128</v>
      </c>
      <c r="C33" s="329">
        <v>323.07699584960938</v>
      </c>
      <c r="D33" s="329">
        <v>279.468994140625</v>
      </c>
      <c r="E33" s="329">
        <v>353.95700073242188</v>
      </c>
      <c r="F33" s="329">
        <v>312.52801513671881</v>
      </c>
      <c r="G33" s="329">
        <v>176.87699890136719</v>
      </c>
      <c r="H33" s="329">
        <v>138.0950012207031</v>
      </c>
      <c r="I33" s="329">
        <v>275.58401489257813</v>
      </c>
      <c r="J33" s="329">
        <v>281.13699340820313</v>
      </c>
      <c r="K33" s="329">
        <v>234.77799987792969</v>
      </c>
      <c r="L33" s="329">
        <v>310.72198486328119</v>
      </c>
      <c r="M33" s="329">
        <v>361.677001953125</v>
      </c>
      <c r="N33" s="331">
        <v>667.70399999999995</v>
      </c>
      <c r="O33" s="331">
        <v>896.89599999999996</v>
      </c>
      <c r="P33" s="331">
        <v>1290.6099999999999</v>
      </c>
      <c r="Q33" s="420">
        <v>1423.7719999999999</v>
      </c>
      <c r="R33" s="419">
        <f>+SUM(T16:W16)</f>
        <v>1730.4679999999998</v>
      </c>
      <c r="S33" s="419">
        <f>+SUM(X16:AA16)</f>
        <v>2005.1929999999998</v>
      </c>
      <c r="T33" s="419">
        <f>+SUM(AB16:AE16)</f>
        <v>1791.635</v>
      </c>
      <c r="U33" s="419">
        <f>+SUM(AF16:AI16)</f>
        <v>1827.4610000000002</v>
      </c>
      <c r="V33" s="323">
        <f>(U32*SLOPE($D33:U33,$C32:T32))+INTERCEPT($D33:U33,$C32:T32)</f>
        <v>2431.1683640440338</v>
      </c>
      <c r="W33" s="323">
        <f>(V32*SLOPE($D33:V33,$C32:U32))+INTERCEPT($D33:V33,$C32:U32)</f>
        <v>3021.1948506904646</v>
      </c>
      <c r="X33" s="323">
        <f>(W32*SLOPE($D33:W33,$C32:V32))+INTERCEPT($D33:W33,$C32:V32)</f>
        <v>3555.3497981129676</v>
      </c>
      <c r="Y33" s="323">
        <f>(X32*SLOPE($D33:X33,$C32:W32))+INTERCEPT($D33:X33,$C32:W32)</f>
        <v>4586.0774010206669</v>
      </c>
      <c r="Z33" s="323">
        <f>(Y32*SLOPE($D33:Y33,$C32:X32))+INTERCEPT($D33:Y33,$C32:X32)</f>
        <v>5582.3667070732536</v>
      </c>
    </row>
    <row r="34" spans="1:40">
      <c r="A34" s="313" t="s">
        <v>125</v>
      </c>
      <c r="B34" s="313"/>
      <c r="C34" s="326">
        <v>1114.366</v>
      </c>
      <c r="D34" s="326">
        <v>1051.364</v>
      </c>
      <c r="E34" s="326">
        <v>738.54600000000005</v>
      </c>
      <c r="F34" s="326">
        <v>525.43299999999999</v>
      </c>
      <c r="G34" s="326">
        <v>896.79899999999998</v>
      </c>
      <c r="H34" s="327">
        <v>570.06700000000001</v>
      </c>
      <c r="I34" s="326">
        <v>7180.3689999999997</v>
      </c>
      <c r="J34" s="326">
        <v>7832.357</v>
      </c>
      <c r="K34" s="326">
        <v>6981.7039999999997</v>
      </c>
      <c r="L34" s="326">
        <v>5731.9920000000002</v>
      </c>
      <c r="M34" s="326">
        <v>3125.78</v>
      </c>
      <c r="N34" s="326">
        <v>2663.3</v>
      </c>
      <c r="O34" s="326">
        <v>2248.9</v>
      </c>
      <c r="P34" s="326">
        <v>1964.9</v>
      </c>
      <c r="Q34" s="421">
        <v>1654.4</v>
      </c>
      <c r="R34" s="421">
        <f>+W4</f>
        <v>2187.8000000000002</v>
      </c>
      <c r="S34" s="421">
        <f>+AA4</f>
        <v>2780.4</v>
      </c>
      <c r="T34" s="425">
        <f>+AE4</f>
        <v>1981.2</v>
      </c>
      <c r="U34" s="425">
        <f>+AI4</f>
        <v>1701.4</v>
      </c>
      <c r="V34" s="425">
        <f>+AM4</f>
        <v>2333.127</v>
      </c>
      <c r="W34" s="425">
        <f>+AQ4</f>
        <v>2678.924</v>
      </c>
      <c r="X34" s="425">
        <f>+AU4</f>
        <v>2787.6990568852402</v>
      </c>
      <c r="Y34" s="425">
        <f>+AV4</f>
        <v>2815.5760474540925</v>
      </c>
      <c r="Z34" s="425">
        <f>+AW4</f>
        <v>2843.7318079286333</v>
      </c>
      <c r="AB34" s="138"/>
      <c r="AF34" s="138"/>
      <c r="AJ34" s="138"/>
      <c r="AN34" s="138"/>
    </row>
    <row r="35" spans="1:40" ht="10.5">
      <c r="A35" s="138" t="s">
        <v>126</v>
      </c>
      <c r="C35" s="329">
        <v>696.406982421875</v>
      </c>
      <c r="D35" s="329">
        <v>826.19097900390625</v>
      </c>
      <c r="E35" s="329">
        <v>1199.43896484375</v>
      </c>
      <c r="F35" s="329">
        <v>772.51300048828125</v>
      </c>
      <c r="G35" s="329">
        <v>898.2540283203125</v>
      </c>
      <c r="H35" s="329">
        <v>1298.77099609375</v>
      </c>
      <c r="I35" s="329">
        <v>1181.10302734375</v>
      </c>
      <c r="J35" s="329">
        <v>2515.051025390625</v>
      </c>
      <c r="K35" s="329">
        <v>4248.81396484375</v>
      </c>
      <c r="L35" s="329">
        <v>5146.56298828125</v>
      </c>
      <c r="M35" s="329">
        <v>4484.93701171875</v>
      </c>
      <c r="N35" s="329">
        <v>2326.97998046875</v>
      </c>
      <c r="O35" s="329">
        <v>1825.468017578125</v>
      </c>
      <c r="P35" s="329">
        <v>1467.910034179688</v>
      </c>
      <c r="Q35" s="423">
        <v>1470.218994140625</v>
      </c>
      <c r="R35" s="255">
        <f>+SUM(T17:W17)</f>
        <v>1558.431</v>
      </c>
      <c r="S35" s="255">
        <f>+SUM(X17:AA17)</f>
        <v>1900.4929999999999</v>
      </c>
      <c r="T35" s="255">
        <f>+SUM(AB17:AE17)</f>
        <v>2124.1109999999999</v>
      </c>
      <c r="U35" s="255">
        <f>+SUM(AF17:AI17)</f>
        <v>1986.941</v>
      </c>
      <c r="V35" s="424">
        <f>(U34*SLOPE($D35:U35,$C34:T34))+INTERCEPT($D35:U35,$C34:T34)</f>
        <v>1519.508921843244</v>
      </c>
      <c r="W35" s="424">
        <f>(V34*SLOPE($D35:V35,$C34:U34))+INTERCEPT($D35:V35,$C34:U34)</f>
        <v>1822.4582488451454</v>
      </c>
      <c r="X35" s="424">
        <f>(W34*SLOPE($D35:W35,$C34:V34))+INTERCEPT($D35:W35,$C34:V34)</f>
        <v>1988.2877423277362</v>
      </c>
      <c r="Y35" s="424">
        <f>(X34*SLOPE($D35:X35,$C34:W34))+INTERCEPT($D35:X35,$C34:W34)</f>
        <v>2040.4516205187542</v>
      </c>
      <c r="Z35" s="424">
        <f>(Y34*SLOPE($D35:Y35,$C34:X34))+INTERCEPT($D35:Y35,$C34:X34)</f>
        <v>2053.820236284223</v>
      </c>
      <c r="AB35" s="138"/>
      <c r="AF35" s="138"/>
      <c r="AJ35" s="138"/>
      <c r="AN35" s="138"/>
    </row>
    <row r="36" spans="1:40">
      <c r="A36" s="314" t="s">
        <v>129</v>
      </c>
      <c r="B36" s="313"/>
      <c r="C36" s="313"/>
      <c r="D36" s="313"/>
      <c r="E36" s="313"/>
      <c r="F36" s="313"/>
      <c r="G36" s="313"/>
      <c r="H36" s="314"/>
      <c r="I36" s="313"/>
      <c r="J36" s="313"/>
      <c r="K36" s="313"/>
      <c r="L36" s="314"/>
      <c r="M36" s="313"/>
      <c r="N36" s="313"/>
      <c r="O36" s="313">
        <v>1371.5</v>
      </c>
      <c r="P36" s="314">
        <v>1507.3</v>
      </c>
      <c r="Q36" s="134">
        <v>1661.1</v>
      </c>
      <c r="R36" s="419">
        <f>+W5</f>
        <v>2080.6999999999998</v>
      </c>
      <c r="S36" s="419">
        <f>+AA5</f>
        <v>1941</v>
      </c>
      <c r="T36" s="319">
        <f>+AE5</f>
        <v>1573.8</v>
      </c>
      <c r="U36" s="319">
        <f>+AI5</f>
        <v>1463.8</v>
      </c>
      <c r="V36" s="319">
        <f>+AM5</f>
        <v>1821.701</v>
      </c>
      <c r="W36" s="319">
        <f>+AQ5</f>
        <v>2296.6390000000001</v>
      </c>
      <c r="X36" s="319">
        <f>+AU5</f>
        <v>2389.8917529223904</v>
      </c>
      <c r="Y36" s="319">
        <f>+AV5</f>
        <v>2413.7906704516145</v>
      </c>
      <c r="Z36" s="319">
        <f>+AW5</f>
        <v>2437.9285771561308</v>
      </c>
      <c r="AB36" s="138"/>
      <c r="AF36" s="138"/>
      <c r="AJ36" s="138"/>
      <c r="AN36" s="138"/>
    </row>
    <row r="37" spans="1:40">
      <c r="A37" s="280" t="s">
        <v>130</v>
      </c>
      <c r="B37" s="315"/>
      <c r="C37" s="315"/>
      <c r="D37" s="315"/>
      <c r="E37" s="315"/>
      <c r="F37" s="315"/>
      <c r="G37" s="315"/>
      <c r="I37" s="315"/>
      <c r="J37" s="315"/>
      <c r="K37" s="315"/>
      <c r="M37" s="315"/>
      <c r="N37" s="315"/>
      <c r="O37" s="315"/>
      <c r="P37" s="280">
        <f>O36</f>
        <v>1371.5</v>
      </c>
      <c r="Q37" s="134">
        <f>P36</f>
        <v>1507.3</v>
      </c>
      <c r="R37" s="419">
        <f t="shared" ref="R37:U37" si="142">Q36</f>
        <v>1661.1</v>
      </c>
      <c r="S37" s="419">
        <f>R36</f>
        <v>2080.6999999999998</v>
      </c>
      <c r="T37" s="318">
        <f t="shared" si="142"/>
        <v>1941</v>
      </c>
      <c r="U37" s="348">
        <f t="shared" si="142"/>
        <v>1573.8</v>
      </c>
      <c r="V37" s="348">
        <f>U36</f>
        <v>1463.8</v>
      </c>
      <c r="W37" s="348">
        <f>V36</f>
        <v>1821.701</v>
      </c>
      <c r="X37" s="348">
        <f>W36</f>
        <v>2296.6390000000001</v>
      </c>
      <c r="Y37" s="348">
        <f>X36</f>
        <v>2389.8917529223904</v>
      </c>
      <c r="Z37" s="348">
        <f>Y36</f>
        <v>2413.7906704516145</v>
      </c>
      <c r="AB37" s="138"/>
      <c r="AF37" s="138"/>
      <c r="AJ37" s="138"/>
      <c r="AN37" s="138"/>
    </row>
    <row r="38" spans="1:40" ht="10.5">
      <c r="A38" s="280" t="s">
        <v>131</v>
      </c>
      <c r="B38" s="315"/>
      <c r="C38" s="315"/>
      <c r="D38" s="315"/>
      <c r="E38" s="315"/>
      <c r="F38" s="315"/>
      <c r="G38" s="315"/>
      <c r="I38" s="315"/>
      <c r="J38" s="315"/>
      <c r="K38" s="315"/>
      <c r="M38" s="315"/>
      <c r="N38" s="315"/>
      <c r="O38" s="315">
        <v>802</v>
      </c>
      <c r="P38" s="280">
        <v>1183</v>
      </c>
      <c r="Q38" s="134">
        <v>1182</v>
      </c>
      <c r="R38" s="419">
        <f>+SUM(T18:W18)</f>
        <v>1301.328</v>
      </c>
      <c r="S38" s="419">
        <f>+SUM(X18:AA18)</f>
        <v>1228.029</v>
      </c>
      <c r="T38" s="419">
        <f>+SUM(AB18:AE18)</f>
        <v>1234.271</v>
      </c>
      <c r="U38" s="419">
        <f>+SUM(AF18:AI18)</f>
        <v>1213.7080000000001</v>
      </c>
      <c r="V38" s="349">
        <f>(V37*SLOPE($P$38:U38,$P$37:U37))+INTERCEPT($P$38:U38,$P$37:U37)</f>
        <v>1208.9881013493157</v>
      </c>
      <c r="W38" s="349">
        <f>(W37*SLOPE($P$38:V38,$P$37:V37))+INTERCEPT($P$38:V38,$P$37:V37)</f>
        <v>1232.3808959448143</v>
      </c>
      <c r="X38" s="349">
        <f>(X37*SLOPE($P$38:W38,$P$37:W37))+INTERCEPT($P$38:W38,$P$37:W37)</f>
        <v>1263.4233548359512</v>
      </c>
      <c r="Y38" s="349">
        <f>(Y37*SLOPE($P$38:X38,$P$37:X37))+INTERCEPT($P$38:X38,$P$37:X37)</f>
        <v>1269.5184551418408</v>
      </c>
      <c r="Z38" s="349">
        <f>(Z37*SLOPE($P$38:Y38,$P$37:Y37))+INTERCEPT($P$38:Y38,$P$37:Y37)</f>
        <v>1271.0805141157357</v>
      </c>
      <c r="AB38" s="138"/>
      <c r="AF38" s="138"/>
      <c r="AJ38" s="138"/>
      <c r="AN38" s="138"/>
    </row>
    <row r="39" spans="1:40" ht="10.5" thickBot="1">
      <c r="A39" s="345"/>
      <c r="B39" s="346"/>
      <c r="C39" s="346"/>
      <c r="D39" s="346"/>
      <c r="E39" s="346"/>
      <c r="F39" s="346"/>
      <c r="G39" s="346"/>
      <c r="H39" s="345"/>
      <c r="I39" s="346"/>
      <c r="J39" s="346"/>
      <c r="K39" s="346"/>
      <c r="L39" s="345"/>
      <c r="M39" s="346"/>
      <c r="N39" s="346"/>
      <c r="O39" s="346"/>
      <c r="P39" s="347">
        <f>P38/P37</f>
        <v>0.86255924170616116</v>
      </c>
      <c r="Q39" s="422">
        <f>Q38/Q37</f>
        <v>0.78418363962051352</v>
      </c>
      <c r="R39" s="422">
        <f t="shared" ref="R39:S39" si="143">R38/R37</f>
        <v>0.7834134007585335</v>
      </c>
      <c r="S39" s="422">
        <f t="shared" si="143"/>
        <v>0.59019993271495175</v>
      </c>
      <c r="T39" s="346">
        <v>0.83</v>
      </c>
      <c r="U39" s="350">
        <v>0.83</v>
      </c>
      <c r="V39" s="350">
        <v>0.83</v>
      </c>
      <c r="W39" s="350">
        <v>0.83</v>
      </c>
      <c r="X39" s="350">
        <v>0.83</v>
      </c>
      <c r="Y39" s="350">
        <v>0.83</v>
      </c>
      <c r="Z39" s="350">
        <v>0.83</v>
      </c>
      <c r="AB39" s="138"/>
      <c r="AF39" s="138"/>
      <c r="AJ39" s="138"/>
      <c r="AN39" s="138"/>
    </row>
    <row r="40" spans="1:40" ht="10.5" thickBot="1">
      <c r="Q40" s="320" t="s">
        <v>134</v>
      </c>
      <c r="R40" s="321">
        <f t="shared" ref="R40:W40" si="144">R35+R33+R38</f>
        <v>4590.2269999999999</v>
      </c>
      <c r="S40" s="321">
        <f t="shared" si="144"/>
        <v>5133.7150000000001</v>
      </c>
      <c r="T40" s="321">
        <f t="shared" si="144"/>
        <v>5150.0169999999998</v>
      </c>
      <c r="U40" s="322">
        <f t="shared" si="144"/>
        <v>5028.1100000000006</v>
      </c>
      <c r="V40" s="322">
        <f t="shared" si="144"/>
        <v>5159.6653872365932</v>
      </c>
      <c r="W40" s="322">
        <f t="shared" si="144"/>
        <v>6076.033995480424</v>
      </c>
      <c r="X40" s="322">
        <f t="shared" ref="X40:Y40" si="145">X35+X33+X38</f>
        <v>6807.0608952766543</v>
      </c>
      <c r="Y40" s="322">
        <f t="shared" si="145"/>
        <v>7896.0474766812622</v>
      </c>
      <c r="Z40" s="322">
        <f t="shared" ref="Z40" si="146">Z35+Z33+Z38</f>
        <v>8907.2674574732118</v>
      </c>
      <c r="AB40" s="138"/>
      <c r="AF40" s="138"/>
      <c r="AJ40" s="138"/>
      <c r="AN40" s="138"/>
    </row>
    <row r="41" spans="1:40">
      <c r="Q41" s="316"/>
      <c r="R41" s="316"/>
      <c r="S41" s="316"/>
      <c r="X41" s="138"/>
      <c r="AB41" s="138"/>
      <c r="AF41" s="138"/>
      <c r="AJ41" s="138"/>
      <c r="AN41" s="138"/>
    </row>
    <row r="42" spans="1:40">
      <c r="Q42" s="138" t="s">
        <v>133</v>
      </c>
      <c r="X42" s="138"/>
      <c r="AB42" s="138"/>
      <c r="AF42" s="138"/>
      <c r="AJ42" s="138"/>
      <c r="AN42" s="138"/>
    </row>
    <row r="43" spans="1:40">
      <c r="Q43" s="138" t="s">
        <v>104</v>
      </c>
      <c r="R43" s="317">
        <f t="shared" ref="R43:W43" si="147">+R32/Q32-1</f>
        <v>3.6537118920176859E-2</v>
      </c>
      <c r="S43" s="317">
        <f t="shared" si="147"/>
        <v>-0.22998989672204762</v>
      </c>
      <c r="T43" s="317">
        <f t="shared" si="147"/>
        <v>-2.6096147537996051E-2</v>
      </c>
      <c r="U43" s="317">
        <f t="shared" si="147"/>
        <v>0.54118483589686006</v>
      </c>
      <c r="V43" s="317">
        <f t="shared" si="147"/>
        <v>0.24857049196250802</v>
      </c>
      <c r="W43" s="317">
        <f t="shared" si="147"/>
        <v>0.1802321454305571</v>
      </c>
      <c r="X43" s="317">
        <f t="shared" ref="X43" si="148">+X32/W32-1</f>
        <v>0.29467375999999978</v>
      </c>
      <c r="Y43" s="317">
        <f t="shared" ref="Y43" si="149">+Y32/X32-1</f>
        <v>0.21999999999999997</v>
      </c>
      <c r="Z43" s="317">
        <f t="shared" ref="Z43" si="150">+Z32/Y32-1</f>
        <v>2.0000000000000018E-2</v>
      </c>
      <c r="AB43" s="138"/>
      <c r="AF43" s="138"/>
      <c r="AJ43" s="138"/>
      <c r="AN43" s="138"/>
    </row>
    <row r="44" spans="1:40">
      <c r="Q44" s="138" t="s">
        <v>112</v>
      </c>
      <c r="R44" s="317">
        <f>+R34/Q34-1</f>
        <v>0.32241295938104453</v>
      </c>
      <c r="S44" s="317">
        <f>+S34/R34-1</f>
        <v>0.27086570984550673</v>
      </c>
      <c r="T44" s="317">
        <f t="shared" ref="T44:U44" si="151">+T34/S34-1</f>
        <v>-0.28744065602071645</v>
      </c>
      <c r="U44" s="317">
        <f t="shared" si="151"/>
        <v>-0.14122753886533412</v>
      </c>
      <c r="V44" s="317">
        <f>+V34/U34-1</f>
        <v>0.37129834254143645</v>
      </c>
      <c r="W44" s="317">
        <f>+W34/V34-1</f>
        <v>0.14821182044526515</v>
      </c>
      <c r="X44" s="317">
        <f t="shared" ref="X44:Z44" si="152">+X34/W34-1</f>
        <v>4.0604010000000024E-2</v>
      </c>
      <c r="Y44" s="317">
        <f t="shared" si="152"/>
        <v>1.0000000000000009E-2</v>
      </c>
      <c r="Z44" s="317">
        <f t="shared" si="152"/>
        <v>1.0000000000000009E-2</v>
      </c>
      <c r="AB44" s="138"/>
      <c r="AF44" s="138"/>
      <c r="AJ44" s="138"/>
      <c r="AN44" s="138"/>
    </row>
    <row r="45" spans="1:40">
      <c r="Q45" s="138" t="s">
        <v>132</v>
      </c>
      <c r="R45" s="317">
        <f>+R36/Q36-1</f>
        <v>0.25260369634579494</v>
      </c>
      <c r="S45" s="317">
        <f>+S36/R36-1</f>
        <v>-6.7140866054693049E-2</v>
      </c>
      <c r="T45" s="317">
        <f t="shared" ref="T45:U45" si="153">+T36/S36-1</f>
        <v>-0.18918083462132929</v>
      </c>
      <c r="U45" s="317">
        <f t="shared" si="153"/>
        <v>-6.9894522811030591E-2</v>
      </c>
      <c r="V45" s="317">
        <f>+V36/U36-1</f>
        <v>0.24450129799152887</v>
      </c>
      <c r="W45" s="317">
        <f>+W36/V36-1</f>
        <v>0.2607112802814513</v>
      </c>
      <c r="X45" s="317">
        <f t="shared" ref="X45:Z45" si="154">+X36/W36-1</f>
        <v>4.0604010000000024E-2</v>
      </c>
      <c r="Y45" s="317">
        <f t="shared" si="154"/>
        <v>1.0000000000000009E-2</v>
      </c>
      <c r="Z45" s="317">
        <f t="shared" si="154"/>
        <v>1.0000000000000009E-2</v>
      </c>
      <c r="AB45" s="138"/>
      <c r="AF45" s="138"/>
      <c r="AJ45" s="138"/>
      <c r="AN45" s="138"/>
    </row>
    <row r="50" spans="2:40">
      <c r="B50" s="138" t="s">
        <v>135</v>
      </c>
      <c r="F50" s="138">
        <f>+SLOPE($D$35:G35,$C$34:F34)</f>
        <v>0.24055981719552888</v>
      </c>
      <c r="L50" s="138"/>
      <c r="P50" s="138"/>
      <c r="T50" s="138"/>
      <c r="X50" s="138"/>
      <c r="AB50" s="138"/>
      <c r="AF50" s="138"/>
      <c r="AJ50" s="138"/>
      <c r="AN50" s="138"/>
    </row>
    <row r="51" spans="2:40">
      <c r="B51" s="138" t="s">
        <v>136</v>
      </c>
      <c r="L51" s="138"/>
      <c r="P51" s="138"/>
      <c r="T51" s="138"/>
      <c r="X51" s="138"/>
      <c r="AB51" s="138"/>
      <c r="AF51" s="138"/>
      <c r="AJ51" s="138"/>
      <c r="AN51" s="138"/>
    </row>
    <row r="59" spans="2:40">
      <c r="D59" s="138" t="s">
        <v>122</v>
      </c>
      <c r="E59" s="138" t="s">
        <v>114</v>
      </c>
      <c r="F59" s="138" t="s">
        <v>143</v>
      </c>
      <c r="G59" s="138" t="s">
        <v>142</v>
      </c>
      <c r="L59" s="138"/>
      <c r="P59" s="138"/>
      <c r="T59" s="138"/>
      <c r="X59" s="138"/>
      <c r="AB59" s="138"/>
      <c r="AF59" s="138"/>
      <c r="AJ59" s="138"/>
      <c r="AN59" s="138"/>
    </row>
    <row r="60" spans="2:40">
      <c r="C60" s="405">
        <v>40359</v>
      </c>
      <c r="D60" s="406" t="e">
        <f ca="1">_xll.FDS("TPC-US","FG_MKT_VALUE("&amp;C60&amp;")")</f>
        <v>#NAME?</v>
      </c>
      <c r="E60" s="138">
        <f>HLOOKUP(C60,$E$2:$AI$8,7,FALSE)</f>
        <v>4291.5</v>
      </c>
      <c r="F60" s="140" t="e">
        <f ca="1">D60/E60</f>
        <v>#NAME?</v>
      </c>
      <c r="G60" s="140" t="e">
        <f ca="1">AVERAGE($F$60:$F$83)</f>
        <v>#NAME?</v>
      </c>
      <c r="H60" s="407" t="e">
        <f ca="1">STDEV($F$60:$F$83)+G60</f>
        <v>#NAME?</v>
      </c>
      <c r="I60" s="140" t="e">
        <f ca="1">(G60-(H60-G60))</f>
        <v>#NAME?</v>
      </c>
      <c r="L60" s="138"/>
      <c r="P60" s="138"/>
      <c r="T60" s="138"/>
      <c r="X60" s="138"/>
      <c r="AB60" s="138"/>
      <c r="AF60" s="138"/>
      <c r="AJ60" s="138"/>
      <c r="AN60" s="138"/>
    </row>
    <row r="61" spans="2:40">
      <c r="C61" s="405">
        <f>+EOMONTH(C60,3)</f>
        <v>40451</v>
      </c>
      <c r="D61" s="406" t="e">
        <f ca="1">_xll.FDS("TPC-US","FG_MKT_VALUE("&amp;C61&amp;")")</f>
        <v>#NAME?</v>
      </c>
      <c r="E61" s="138">
        <f t="shared" ref="E61:E79" si="155">HLOOKUP(C61,$E$2:$AI$8,7,FALSE)</f>
        <v>4047.4</v>
      </c>
      <c r="F61" s="140" t="e">
        <f t="shared" ref="F61:F79" ca="1" si="156">D61/E61</f>
        <v>#NAME?</v>
      </c>
      <c r="G61" s="140" t="e">
        <f t="shared" ref="G61:G83" ca="1" si="157">AVERAGE($F$60:$F$83)</f>
        <v>#NAME?</v>
      </c>
      <c r="H61" s="407" t="e">
        <f t="shared" ref="H61:H83" ca="1" si="158">STDEV($F$60:$F$83)+G61</f>
        <v>#NAME?</v>
      </c>
      <c r="I61" s="140" t="e">
        <f t="shared" ref="I61:I79" ca="1" si="159">(G61-(H61-G61))</f>
        <v>#NAME?</v>
      </c>
      <c r="L61" s="138"/>
      <c r="P61" s="138"/>
      <c r="T61" s="138"/>
      <c r="X61" s="138"/>
      <c r="AB61" s="138"/>
      <c r="AF61" s="138"/>
      <c r="AJ61" s="138"/>
      <c r="AN61" s="138"/>
    </row>
    <row r="62" spans="2:40">
      <c r="C62" s="405">
        <f t="shared" ref="C62:C83" si="160">+EOMONTH(C61,3)</f>
        <v>40543</v>
      </c>
      <c r="D62" s="406" t="e">
        <f ca="1">_xll.FDS("TPC-US","FG_MKT_VALUE("&amp;C62&amp;")")</f>
        <v>#NAME?</v>
      </c>
      <c r="E62" s="138">
        <f t="shared" si="155"/>
        <v>4284.29</v>
      </c>
      <c r="F62" s="140" t="e">
        <f t="shared" ca="1" si="156"/>
        <v>#NAME?</v>
      </c>
      <c r="G62" s="140" t="e">
        <f t="shared" ca="1" si="157"/>
        <v>#NAME?</v>
      </c>
      <c r="H62" s="407" t="e">
        <f t="shared" ca="1" si="158"/>
        <v>#NAME?</v>
      </c>
      <c r="I62" s="140" t="e">
        <f t="shared" ca="1" si="159"/>
        <v>#NAME?</v>
      </c>
      <c r="L62" s="138"/>
      <c r="P62" s="138"/>
      <c r="T62" s="138"/>
      <c r="X62" s="138"/>
      <c r="AB62" s="138"/>
      <c r="AF62" s="138"/>
      <c r="AJ62" s="138"/>
      <c r="AN62" s="138"/>
    </row>
    <row r="63" spans="2:40">
      <c r="C63" s="405">
        <f t="shared" si="160"/>
        <v>40633</v>
      </c>
      <c r="D63" s="406" t="e">
        <f ca="1">_xll.FDS("TPC-US","FG_MKT_VALUE("&amp;C63&amp;")")</f>
        <v>#NAME?</v>
      </c>
      <c r="E63" s="138">
        <f t="shared" si="155"/>
        <v>4231.3</v>
      </c>
      <c r="F63" s="140" t="e">
        <f t="shared" ca="1" si="156"/>
        <v>#NAME?</v>
      </c>
      <c r="G63" s="140" t="e">
        <f t="shared" ca="1" si="157"/>
        <v>#NAME?</v>
      </c>
      <c r="H63" s="407" t="e">
        <f t="shared" ca="1" si="158"/>
        <v>#NAME?</v>
      </c>
      <c r="I63" s="140" t="e">
        <f t="shared" ca="1" si="159"/>
        <v>#NAME?</v>
      </c>
      <c r="L63" s="138"/>
      <c r="P63" s="138"/>
      <c r="T63" s="138"/>
      <c r="X63" s="138"/>
      <c r="AB63" s="138"/>
      <c r="AF63" s="138"/>
      <c r="AJ63" s="138"/>
      <c r="AN63" s="138"/>
    </row>
    <row r="64" spans="2:40">
      <c r="C64" s="405">
        <f t="shared" si="160"/>
        <v>40724</v>
      </c>
      <c r="D64" s="406" t="e">
        <f ca="1">_xll.FDS("TPC-US","FG_MKT_VALUE("&amp;C64&amp;")")</f>
        <v>#NAME?</v>
      </c>
      <c r="E64" s="138">
        <f t="shared" si="155"/>
        <v>4966</v>
      </c>
      <c r="F64" s="140" t="e">
        <f t="shared" ca="1" si="156"/>
        <v>#NAME?</v>
      </c>
      <c r="G64" s="140" t="e">
        <f t="shared" ca="1" si="157"/>
        <v>#NAME?</v>
      </c>
      <c r="H64" s="407" t="e">
        <f t="shared" ca="1" si="158"/>
        <v>#NAME?</v>
      </c>
      <c r="I64" s="140" t="e">
        <f t="shared" ca="1" si="159"/>
        <v>#NAME?</v>
      </c>
      <c r="L64" s="138"/>
      <c r="P64" s="138"/>
      <c r="T64" s="138"/>
      <c r="X64" s="138"/>
      <c r="AB64" s="138"/>
      <c r="AF64" s="138"/>
      <c r="AJ64" s="138"/>
      <c r="AN64" s="138"/>
    </row>
    <row r="65" spans="3:40">
      <c r="C65" s="405">
        <f t="shared" si="160"/>
        <v>40816</v>
      </c>
      <c r="D65" s="406" t="e">
        <f ca="1">_xll.FDS("TPC-US","FG_MKT_VALUE("&amp;C65&amp;")")</f>
        <v>#NAME?</v>
      </c>
      <c r="E65" s="138">
        <f t="shared" si="155"/>
        <v>6449.7999999999993</v>
      </c>
      <c r="F65" s="140" t="e">
        <f t="shared" ca="1" si="156"/>
        <v>#NAME?</v>
      </c>
      <c r="G65" s="140" t="e">
        <f t="shared" ca="1" si="157"/>
        <v>#NAME?</v>
      </c>
      <c r="H65" s="407" t="e">
        <f t="shared" ca="1" si="158"/>
        <v>#NAME?</v>
      </c>
      <c r="I65" s="140" t="e">
        <f t="shared" ca="1" si="159"/>
        <v>#NAME?</v>
      </c>
      <c r="L65" s="138"/>
      <c r="P65" s="138"/>
      <c r="T65" s="138"/>
      <c r="X65" s="138"/>
      <c r="AB65" s="138"/>
      <c r="AF65" s="138"/>
      <c r="AJ65" s="138"/>
      <c r="AN65" s="138"/>
    </row>
    <row r="66" spans="3:40">
      <c r="C66" s="405">
        <f t="shared" si="160"/>
        <v>40908</v>
      </c>
      <c r="D66" s="406" t="e">
        <f ca="1">_xll.FDS("TPC-US","FG_MKT_VALUE("&amp;C66&amp;")")</f>
        <v>#NAME?</v>
      </c>
      <c r="E66" s="138">
        <f t="shared" si="155"/>
        <v>6108.3</v>
      </c>
      <c r="F66" s="140" t="e">
        <f t="shared" ca="1" si="156"/>
        <v>#NAME?</v>
      </c>
      <c r="G66" s="140" t="e">
        <f t="shared" ca="1" si="157"/>
        <v>#NAME?</v>
      </c>
      <c r="H66" s="407" t="e">
        <f t="shared" ca="1" si="158"/>
        <v>#NAME?</v>
      </c>
      <c r="I66" s="140" t="e">
        <f t="shared" ca="1" si="159"/>
        <v>#NAME?</v>
      </c>
      <c r="AB66" s="138"/>
      <c r="AF66" s="138"/>
      <c r="AJ66" s="138"/>
      <c r="AN66" s="138"/>
    </row>
    <row r="67" spans="3:40">
      <c r="C67" s="405">
        <f t="shared" si="160"/>
        <v>40999</v>
      </c>
      <c r="D67" s="406" t="e">
        <f ca="1">_xll.FDS("TPC-US","FG_MKT_VALUE("&amp;C67&amp;")")</f>
        <v>#NAME?</v>
      </c>
      <c r="E67" s="138">
        <f t="shared" si="155"/>
        <v>5916.8</v>
      </c>
      <c r="F67" s="140" t="e">
        <f t="shared" ca="1" si="156"/>
        <v>#NAME?</v>
      </c>
      <c r="G67" s="140" t="e">
        <f t="shared" ca="1" si="157"/>
        <v>#NAME?</v>
      </c>
      <c r="H67" s="407" t="e">
        <f t="shared" ca="1" si="158"/>
        <v>#NAME?</v>
      </c>
      <c r="I67" s="140" t="e">
        <f t="shared" ca="1" si="159"/>
        <v>#NAME?</v>
      </c>
      <c r="AB67" s="138"/>
      <c r="AF67" s="138"/>
      <c r="AJ67" s="138"/>
      <c r="AN67" s="138"/>
    </row>
    <row r="68" spans="3:40">
      <c r="C68" s="405">
        <f t="shared" si="160"/>
        <v>41090</v>
      </c>
      <c r="D68" s="406" t="e">
        <f ca="1">_xll.FDS("TPC-US","FG_MKT_VALUE("&amp;C68&amp;")")</f>
        <v>#NAME?</v>
      </c>
      <c r="E68" s="138">
        <f t="shared" si="155"/>
        <v>5854.9000000000005</v>
      </c>
      <c r="F68" s="140" t="e">
        <f t="shared" ca="1" si="156"/>
        <v>#NAME?</v>
      </c>
      <c r="G68" s="140" t="e">
        <f t="shared" ca="1" si="157"/>
        <v>#NAME?</v>
      </c>
      <c r="H68" s="407" t="e">
        <f t="shared" ca="1" si="158"/>
        <v>#NAME?</v>
      </c>
      <c r="I68" s="140" t="e">
        <f t="shared" ca="1" si="159"/>
        <v>#NAME?</v>
      </c>
      <c r="AB68" s="138"/>
      <c r="AF68" s="138"/>
      <c r="AJ68" s="138"/>
      <c r="AN68" s="138"/>
    </row>
    <row r="69" spans="3:40">
      <c r="C69" s="405">
        <f t="shared" si="160"/>
        <v>41182</v>
      </c>
      <c r="D69" s="406" t="e">
        <f ca="1">_xll.FDS("TPC-US","FG_MKT_VALUE("&amp;C69&amp;")")</f>
        <v>#NAME?</v>
      </c>
      <c r="E69" s="138">
        <f t="shared" si="155"/>
        <v>5553.6</v>
      </c>
      <c r="F69" s="140" t="e">
        <f t="shared" ca="1" si="156"/>
        <v>#NAME?</v>
      </c>
      <c r="G69" s="140" t="e">
        <f t="shared" ca="1" si="157"/>
        <v>#NAME?</v>
      </c>
      <c r="H69" s="407" t="e">
        <f t="shared" ca="1" si="158"/>
        <v>#NAME?</v>
      </c>
      <c r="I69" s="140" t="e">
        <f t="shared" ca="1" si="159"/>
        <v>#NAME?</v>
      </c>
      <c r="AB69" s="138"/>
      <c r="AF69" s="138"/>
      <c r="AJ69" s="138"/>
      <c r="AN69" s="138"/>
    </row>
    <row r="70" spans="3:40">
      <c r="C70" s="405">
        <f t="shared" si="160"/>
        <v>41274</v>
      </c>
      <c r="D70" s="406" t="e">
        <f ca="1">_xll.FDS("TPC-US","FG_MKT_VALUE("&amp;C70&amp;")")</f>
        <v>#NAME?</v>
      </c>
      <c r="E70" s="138">
        <f t="shared" si="155"/>
        <v>5603.5999999999995</v>
      </c>
      <c r="F70" s="140" t="e">
        <f t="shared" ca="1" si="156"/>
        <v>#NAME?</v>
      </c>
      <c r="G70" s="140" t="e">
        <f t="shared" ca="1" si="157"/>
        <v>#NAME?</v>
      </c>
      <c r="H70" s="407" t="e">
        <f t="shared" ca="1" si="158"/>
        <v>#NAME?</v>
      </c>
      <c r="I70" s="140" t="e">
        <f t="shared" ca="1" si="159"/>
        <v>#NAME?</v>
      </c>
      <c r="AB70" s="138"/>
      <c r="AF70" s="138"/>
      <c r="AJ70" s="138"/>
      <c r="AN70" s="138"/>
    </row>
    <row r="71" spans="3:40">
      <c r="C71" s="405">
        <f t="shared" si="160"/>
        <v>41364</v>
      </c>
      <c r="D71" s="406" t="e">
        <f ca="1">_xll.FDS("TPC-US","FG_MKT_VALUE("&amp;C71&amp;")")</f>
        <v>#NAME?</v>
      </c>
      <c r="E71" s="138">
        <f t="shared" si="155"/>
        <v>5526.2999999999993</v>
      </c>
      <c r="F71" s="140" t="e">
        <f t="shared" ca="1" si="156"/>
        <v>#NAME?</v>
      </c>
      <c r="G71" s="140" t="e">
        <f t="shared" ca="1" si="157"/>
        <v>#NAME?</v>
      </c>
      <c r="H71" s="407" t="e">
        <f t="shared" ca="1" si="158"/>
        <v>#NAME?</v>
      </c>
      <c r="I71" s="140" t="e">
        <f t="shared" ca="1" si="159"/>
        <v>#NAME?</v>
      </c>
      <c r="AB71" s="138"/>
      <c r="AF71" s="138"/>
      <c r="AJ71" s="138"/>
      <c r="AN71" s="138"/>
    </row>
    <row r="72" spans="3:40">
      <c r="C72" s="405">
        <f t="shared" si="160"/>
        <v>41455</v>
      </c>
      <c r="D72" s="406" t="e">
        <f ca="1">_xll.FDS("TPC-US","FG_MKT_VALUE("&amp;C72&amp;")")</f>
        <v>#NAME?</v>
      </c>
      <c r="E72" s="138">
        <f t="shared" si="155"/>
        <v>6586.7000000000007</v>
      </c>
      <c r="F72" s="140" t="e">
        <f t="shared" ca="1" si="156"/>
        <v>#NAME?</v>
      </c>
      <c r="G72" s="140" t="e">
        <f t="shared" ca="1" si="157"/>
        <v>#NAME?</v>
      </c>
      <c r="H72" s="407" t="e">
        <f t="shared" ca="1" si="158"/>
        <v>#NAME?</v>
      </c>
      <c r="I72" s="140" t="e">
        <f t="shared" ca="1" si="159"/>
        <v>#NAME?</v>
      </c>
      <c r="AB72" s="138"/>
      <c r="AF72" s="138"/>
      <c r="AJ72" s="138"/>
      <c r="AN72" s="138"/>
    </row>
    <row r="73" spans="3:40">
      <c r="C73" s="405">
        <f t="shared" si="160"/>
        <v>41547</v>
      </c>
      <c r="D73" s="406" t="e">
        <f ca="1">_xll.FDS("TPC-US","FG_MKT_VALUE("&amp;C73&amp;")")</f>
        <v>#NAME?</v>
      </c>
      <c r="E73" s="138">
        <f t="shared" si="155"/>
        <v>6902.5000000000009</v>
      </c>
      <c r="F73" s="140" t="e">
        <f t="shared" ca="1" si="156"/>
        <v>#NAME?</v>
      </c>
      <c r="G73" s="140" t="e">
        <f t="shared" ca="1" si="157"/>
        <v>#NAME?</v>
      </c>
      <c r="H73" s="407" t="e">
        <f t="shared" ca="1" si="158"/>
        <v>#NAME?</v>
      </c>
      <c r="I73" s="140" t="e">
        <f t="shared" ca="1" si="159"/>
        <v>#NAME?</v>
      </c>
      <c r="AB73" s="138"/>
      <c r="AF73" s="138"/>
      <c r="AJ73" s="138"/>
      <c r="AN73" s="138"/>
    </row>
    <row r="74" spans="3:40">
      <c r="C74" s="405">
        <f t="shared" si="160"/>
        <v>41639</v>
      </c>
      <c r="D74" s="406" t="e">
        <f ca="1">_xll.FDS("TPC-US","FG_MKT_VALUE("&amp;C74&amp;")")</f>
        <v>#NAME?</v>
      </c>
      <c r="E74" s="138">
        <f t="shared" si="155"/>
        <v>6954.2000000000007</v>
      </c>
      <c r="F74" s="140" t="e">
        <f t="shared" ca="1" si="156"/>
        <v>#NAME?</v>
      </c>
      <c r="G74" s="140" t="e">
        <f t="shared" ca="1" si="157"/>
        <v>#NAME?</v>
      </c>
      <c r="H74" s="407" t="e">
        <f t="shared" ca="1" si="158"/>
        <v>#NAME?</v>
      </c>
      <c r="I74" s="140" t="e">
        <f t="shared" ca="1" si="159"/>
        <v>#NAME?</v>
      </c>
      <c r="AB74" s="138"/>
      <c r="AF74" s="138"/>
      <c r="AJ74" s="138"/>
      <c r="AN74" s="138"/>
    </row>
    <row r="75" spans="3:40">
      <c r="C75" s="405">
        <f t="shared" si="160"/>
        <v>41729</v>
      </c>
      <c r="D75" s="406" t="e">
        <f ca="1">_xll.FDS("TPC-US","FG_MKT_VALUE("&amp;C75&amp;")")</f>
        <v>#NAME?</v>
      </c>
      <c r="E75" s="138">
        <f t="shared" si="155"/>
        <v>7652.9079582875956</v>
      </c>
      <c r="F75" s="140" t="e">
        <f t="shared" ca="1" si="156"/>
        <v>#NAME?</v>
      </c>
      <c r="G75" s="140" t="e">
        <f t="shared" ca="1" si="157"/>
        <v>#NAME?</v>
      </c>
      <c r="H75" s="407" t="e">
        <f t="shared" ca="1" si="158"/>
        <v>#NAME?</v>
      </c>
      <c r="I75" s="140" t="e">
        <f t="shared" ca="1" si="159"/>
        <v>#NAME?</v>
      </c>
      <c r="AB75" s="138"/>
      <c r="AF75" s="138"/>
      <c r="AJ75" s="138"/>
      <c r="AN75" s="138"/>
    </row>
    <row r="76" spans="3:40">
      <c r="C76" s="405">
        <f t="shared" si="160"/>
        <v>41820</v>
      </c>
      <c r="D76" s="406" t="e">
        <f ca="1">_xll.FDS("TPC-US","FG_MKT_VALUE("&amp;C76&amp;")")</f>
        <v>#NAME?</v>
      </c>
      <c r="E76" s="138">
        <f t="shared" si="155"/>
        <v>7764.7775575389924</v>
      </c>
      <c r="F76" s="140" t="e">
        <f t="shared" ca="1" si="156"/>
        <v>#NAME?</v>
      </c>
      <c r="G76" s="140" t="e">
        <f t="shared" ca="1" si="157"/>
        <v>#NAME?</v>
      </c>
      <c r="H76" s="407" t="e">
        <f t="shared" ca="1" si="158"/>
        <v>#NAME?</v>
      </c>
      <c r="I76" s="140" t="e">
        <f t="shared" ca="1" si="159"/>
        <v>#NAME?</v>
      </c>
      <c r="AB76" s="138"/>
      <c r="AF76" s="138"/>
      <c r="AJ76" s="138"/>
      <c r="AN76" s="138"/>
    </row>
    <row r="77" spans="3:40">
      <c r="C77" s="405">
        <f t="shared" si="160"/>
        <v>41912</v>
      </c>
      <c r="D77" s="406" t="e">
        <f ca="1">_xll.FDS("TPC-US","FG_MKT_VALUE("&amp;C77&amp;")")</f>
        <v>#NAME?</v>
      </c>
      <c r="E77" s="138">
        <f t="shared" si="155"/>
        <v>8086.0806569704164</v>
      </c>
      <c r="F77" s="140" t="e">
        <f t="shared" ca="1" si="156"/>
        <v>#NAME?</v>
      </c>
      <c r="G77" s="140" t="e">
        <f t="shared" ca="1" si="157"/>
        <v>#NAME?</v>
      </c>
      <c r="H77" s="407" t="e">
        <f t="shared" ca="1" si="158"/>
        <v>#NAME?</v>
      </c>
      <c r="I77" s="140" t="e">
        <f t="shared" ca="1" si="159"/>
        <v>#NAME?</v>
      </c>
      <c r="AB77" s="138"/>
      <c r="AF77" s="138"/>
      <c r="AJ77" s="138"/>
      <c r="AN77" s="138"/>
    </row>
    <row r="78" spans="3:40">
      <c r="C78" s="405">
        <f t="shared" si="160"/>
        <v>42004</v>
      </c>
      <c r="D78" s="406" t="e">
        <f ca="1">_xll.FDS("TPC-US","FG_MKT_VALUE("&amp;C78&amp;")")</f>
        <v>#NAME?</v>
      </c>
      <c r="E78" s="138">
        <f t="shared" si="155"/>
        <v>7832.1549714621342</v>
      </c>
      <c r="F78" s="140" t="e">
        <f t="shared" ca="1" si="156"/>
        <v>#NAME?</v>
      </c>
      <c r="G78" s="140" t="e">
        <f t="shared" ca="1" si="157"/>
        <v>#NAME?</v>
      </c>
      <c r="H78" s="407" t="e">
        <f t="shared" ca="1" si="158"/>
        <v>#NAME?</v>
      </c>
      <c r="I78" s="140" t="e">
        <f t="shared" ca="1" si="159"/>
        <v>#NAME?</v>
      </c>
      <c r="AB78" s="138"/>
      <c r="AF78" s="138"/>
      <c r="AJ78" s="138"/>
      <c r="AN78" s="138"/>
    </row>
    <row r="79" spans="3:40">
      <c r="C79" s="405">
        <f t="shared" si="160"/>
        <v>42094</v>
      </c>
      <c r="D79" s="406" t="e">
        <f ca="1">_xll.FDS("TPC-US","FG_MKT_VALUE("&amp;C79&amp;")")</f>
        <v>#NAME?</v>
      </c>
      <c r="E79" s="138">
        <f t="shared" si="155"/>
        <v>7788.7380673574462</v>
      </c>
      <c r="F79" s="140" t="e">
        <f t="shared" ca="1" si="156"/>
        <v>#NAME?</v>
      </c>
      <c r="G79" s="140" t="e">
        <f t="shared" ca="1" si="157"/>
        <v>#NAME?</v>
      </c>
      <c r="H79" s="407" t="e">
        <f t="shared" ca="1" si="158"/>
        <v>#NAME?</v>
      </c>
      <c r="I79" s="140" t="e">
        <f t="shared" ca="1" si="159"/>
        <v>#NAME?</v>
      </c>
      <c r="AB79" s="138"/>
      <c r="AF79" s="138"/>
      <c r="AJ79" s="138"/>
      <c r="AN79" s="138"/>
    </row>
    <row r="80" spans="3:40">
      <c r="C80" s="405">
        <f t="shared" si="160"/>
        <v>42185</v>
      </c>
      <c r="D80" s="406" t="e">
        <f ca="1">_xll.FDS("TPC-US","FG_MKT_VALUE("&amp;C80&amp;")")</f>
        <v>#NAME?</v>
      </c>
      <c r="E80" s="138">
        <f t="shared" ref="E80:E83" si="161">HLOOKUP(C80,$E$2:$AI$8,7,FALSE)</f>
        <v>7749.9037163687972</v>
      </c>
      <c r="F80" s="140" t="e">
        <f t="shared" ref="F80:F83" ca="1" si="162">D80/E80</f>
        <v>#NAME?</v>
      </c>
      <c r="G80" s="140" t="e">
        <f t="shared" ca="1" si="157"/>
        <v>#NAME?</v>
      </c>
      <c r="H80" s="407" t="e">
        <f t="shared" ca="1" si="158"/>
        <v>#NAME?</v>
      </c>
      <c r="I80" s="140" t="e">
        <f t="shared" ref="I80:I83" ca="1" si="163">(G80-(H80-G80))</f>
        <v>#NAME?</v>
      </c>
      <c r="X80" s="280" t="s">
        <v>144</v>
      </c>
      <c r="AB80" s="138"/>
      <c r="AF80" s="138"/>
      <c r="AJ80" s="138"/>
      <c r="AN80" s="138"/>
    </row>
    <row r="81" spans="1:40">
      <c r="C81" s="405">
        <f t="shared" si="160"/>
        <v>42277</v>
      </c>
      <c r="D81" s="406" t="e">
        <f ca="1">_xll.FDS("TPC-US","FG_MKT_VALUE("&amp;C81&amp;")")</f>
        <v>#NAME?</v>
      </c>
      <c r="E81" s="138">
        <f t="shared" si="161"/>
        <v>7539.3728080647297</v>
      </c>
      <c r="F81" s="140" t="e">
        <f t="shared" ca="1" si="162"/>
        <v>#NAME?</v>
      </c>
      <c r="G81" s="140" t="e">
        <f t="shared" ca="1" si="157"/>
        <v>#NAME?</v>
      </c>
      <c r="H81" s="407" t="e">
        <f t="shared" ca="1" si="158"/>
        <v>#NAME?</v>
      </c>
      <c r="I81" s="140" t="e">
        <f t="shared" ca="1" si="163"/>
        <v>#NAME?</v>
      </c>
      <c r="AB81" s="138"/>
      <c r="AF81" s="138"/>
      <c r="AJ81" s="138"/>
      <c r="AN81" s="138"/>
    </row>
    <row r="82" spans="1:40">
      <c r="B82" s="138" t="s">
        <v>105</v>
      </c>
      <c r="C82" s="405">
        <f t="shared" si="160"/>
        <v>42369</v>
      </c>
      <c r="D82" s="406" t="e">
        <f ca="1">_xll.FDS("TPC-US","FG_MKT_VALUE("&amp;C82&amp;")")</f>
        <v>#NAME?</v>
      </c>
      <c r="E82" s="138">
        <f t="shared" si="161"/>
        <v>7465.4675369385541</v>
      </c>
      <c r="F82" s="140" t="e">
        <f t="shared" ca="1" si="162"/>
        <v>#NAME?</v>
      </c>
      <c r="G82" s="140" t="e">
        <f t="shared" ca="1" si="157"/>
        <v>#NAME?</v>
      </c>
      <c r="H82" s="407" t="e">
        <f t="shared" ca="1" si="158"/>
        <v>#NAME?</v>
      </c>
      <c r="I82" s="140" t="e">
        <f t="shared" ca="1" si="163"/>
        <v>#NAME?</v>
      </c>
      <c r="Q82" s="138">
        <v>11</v>
      </c>
      <c r="R82" s="138">
        <v>9</v>
      </c>
      <c r="S82" s="138">
        <v>9</v>
      </c>
      <c r="T82" s="280">
        <v>11</v>
      </c>
      <c r="V82" s="138">
        <v>10</v>
      </c>
      <c r="X82" s="280">
        <v>14</v>
      </c>
      <c r="Y82" s="138">
        <v>16</v>
      </c>
      <c r="Z82" s="138">
        <v>19</v>
      </c>
      <c r="AA82" s="138">
        <v>20</v>
      </c>
      <c r="AB82" s="280">
        <f>+AB85-AB84-AB83</f>
        <v>21</v>
      </c>
      <c r="AD82" s="138">
        <v>22</v>
      </c>
      <c r="AF82" s="138"/>
      <c r="AJ82" s="138"/>
      <c r="AN82" s="138"/>
    </row>
    <row r="83" spans="1:40">
      <c r="B83" s="138" t="s">
        <v>104</v>
      </c>
      <c r="C83" s="405">
        <f t="shared" si="160"/>
        <v>42460</v>
      </c>
      <c r="D83" s="406" t="e">
        <f ca="1">_xll.FDS("TPC-US","FG_MKT_VALUE("&amp;C83&amp;")")</f>
        <v>#NAME?</v>
      </c>
      <c r="E83" s="138">
        <f t="shared" si="161"/>
        <v>8159.6101014805363</v>
      </c>
      <c r="F83" s="140" t="e">
        <f t="shared" ca="1" si="162"/>
        <v>#NAME?</v>
      </c>
      <c r="G83" s="140" t="e">
        <f t="shared" ca="1" si="157"/>
        <v>#NAME?</v>
      </c>
      <c r="H83" s="407" t="e">
        <f t="shared" ca="1" si="158"/>
        <v>#NAME?</v>
      </c>
      <c r="I83" s="140" t="e">
        <f t="shared" ca="1" si="163"/>
        <v>#NAME?</v>
      </c>
      <c r="Q83" s="138">
        <v>8</v>
      </c>
      <c r="R83" s="138">
        <v>9.5</v>
      </c>
      <c r="S83" s="138">
        <v>9.5</v>
      </c>
      <c r="T83" s="280">
        <v>10</v>
      </c>
      <c r="V83" s="138">
        <v>12</v>
      </c>
      <c r="X83" s="280">
        <v>10</v>
      </c>
      <c r="Y83" s="138">
        <v>7</v>
      </c>
      <c r="Z83" s="138">
        <v>12</v>
      </c>
      <c r="AA83" s="138">
        <v>12</v>
      </c>
      <c r="AB83" s="280">
        <v>13</v>
      </c>
      <c r="AD83" s="138">
        <v>20</v>
      </c>
      <c r="AF83" s="138"/>
      <c r="AJ83" s="138"/>
      <c r="AN83" s="138"/>
    </row>
    <row r="84" spans="1:40">
      <c r="B84" s="138" t="s">
        <v>132</v>
      </c>
      <c r="O84" s="138">
        <v>3</v>
      </c>
      <c r="T84" s="280">
        <v>5</v>
      </c>
      <c r="V84" s="138">
        <v>5</v>
      </c>
      <c r="X84" s="280">
        <v>5</v>
      </c>
      <c r="Y84" s="138">
        <v>4.5</v>
      </c>
      <c r="Z84" s="138">
        <v>3</v>
      </c>
      <c r="AA84" s="138">
        <v>3</v>
      </c>
      <c r="AB84" s="280">
        <v>3</v>
      </c>
      <c r="AD84" s="138">
        <f>AD85-AD82-AD83</f>
        <v>3</v>
      </c>
      <c r="AF84" s="138"/>
      <c r="AJ84" s="138"/>
      <c r="AN84" s="138"/>
    </row>
    <row r="85" spans="1:40">
      <c r="B85" s="138" t="s">
        <v>113</v>
      </c>
      <c r="O85" s="138">
        <v>34</v>
      </c>
      <c r="P85" s="280">
        <v>25</v>
      </c>
      <c r="Q85" s="138">
        <v>24</v>
      </c>
      <c r="R85" s="138">
        <v>24</v>
      </c>
      <c r="S85" s="138">
        <v>24</v>
      </c>
      <c r="T85" s="138">
        <f>SUM(T82:T84)</f>
        <v>26</v>
      </c>
      <c r="V85" s="138">
        <f>SUM(V82:V84)</f>
        <v>27</v>
      </c>
      <c r="X85" s="138">
        <f>SUM(X82:X84)</f>
        <v>29</v>
      </c>
      <c r="Y85" s="138">
        <f>SUM(Y82:Y84)</f>
        <v>27.5</v>
      </c>
      <c r="Z85" s="138">
        <v>34</v>
      </c>
      <c r="AA85" s="138">
        <v>35</v>
      </c>
      <c r="AB85" s="280">
        <v>37</v>
      </c>
      <c r="AC85" s="138">
        <v>42</v>
      </c>
      <c r="AD85" s="138">
        <v>45</v>
      </c>
      <c r="AF85" s="138"/>
      <c r="AJ85" s="138"/>
      <c r="AN85" s="138"/>
    </row>
    <row r="91" spans="1:40">
      <c r="A91" s="89" t="s">
        <v>115</v>
      </c>
      <c r="B91" s="89"/>
      <c r="C91" s="89"/>
      <c r="D91" s="91"/>
      <c r="E91" s="89"/>
      <c r="F91" s="89"/>
      <c r="G91" s="89"/>
      <c r="H91" s="275"/>
      <c r="I91" s="89"/>
      <c r="J91" s="89"/>
      <c r="K91" s="89"/>
      <c r="L91" s="275"/>
      <c r="M91" s="89"/>
      <c r="N91" s="89"/>
      <c r="O91" s="89"/>
      <c r="P91" s="275"/>
      <c r="Q91" s="89"/>
      <c r="R91" s="89"/>
      <c r="S91" s="89"/>
      <c r="T91" s="275"/>
      <c r="U91" s="89"/>
      <c r="V91" s="89"/>
      <c r="AF91" s="138"/>
      <c r="AJ91" s="138"/>
      <c r="AN91" s="138"/>
    </row>
    <row r="92" spans="1:40">
      <c r="A92" s="274" t="s">
        <v>112</v>
      </c>
      <c r="B92" s="89"/>
      <c r="C92" s="89"/>
      <c r="D92" s="91">
        <v>-124.7</v>
      </c>
      <c r="E92" s="89">
        <v>-322.10000000000002</v>
      </c>
      <c r="F92" s="89">
        <f>-SUM(IS!F6:H6)</f>
        <v>-1870.1120000000001</v>
      </c>
      <c r="G92" s="89">
        <f>-SUM(IS!F6:I6)</f>
        <v>-2326.98</v>
      </c>
      <c r="H92" s="275">
        <v>-128.80000000000001</v>
      </c>
      <c r="I92" s="89">
        <v>-270.2</v>
      </c>
      <c r="J92" s="89">
        <v>-558.29999999999995</v>
      </c>
      <c r="K92" s="89">
        <v>-885.2</v>
      </c>
      <c r="L92" s="275">
        <v>-249.4</v>
      </c>
      <c r="M92" s="89">
        <v>-573.1</v>
      </c>
      <c r="N92" s="89">
        <v>-919.4</v>
      </c>
      <c r="O92" s="89">
        <v>-1248.3</v>
      </c>
      <c r="P92" s="275">
        <v>-232.7</v>
      </c>
      <c r="Q92" s="89">
        <v>-554.4</v>
      </c>
      <c r="R92" s="89">
        <v>-929.9</v>
      </c>
      <c r="S92" s="89">
        <v>-1345.8</v>
      </c>
      <c r="T92" s="275">
        <v>-365.2</v>
      </c>
      <c r="U92" s="89">
        <v>-755.7</v>
      </c>
      <c r="V92" s="89">
        <v>-1238.4000000000001</v>
      </c>
      <c r="AF92" s="138"/>
      <c r="AJ92" s="138"/>
      <c r="AN92" s="138"/>
    </row>
    <row r="93" spans="1:40">
      <c r="A93" s="274" t="s">
        <v>104</v>
      </c>
      <c r="B93" s="89"/>
      <c r="C93" s="89"/>
      <c r="D93" s="91">
        <v>-686.3</v>
      </c>
      <c r="E93" s="89">
        <v>-1349.4</v>
      </c>
      <c r="F93" s="89">
        <f>-SUM(IS!F8:H8)</f>
        <v>0</v>
      </c>
      <c r="G93" s="89">
        <f>-SUM(IS!F8:I8)</f>
        <v>0</v>
      </c>
      <c r="H93" s="275">
        <v>-440.4</v>
      </c>
      <c r="I93" s="89">
        <v>-1040.4000000000001</v>
      </c>
      <c r="J93" s="89">
        <v>-1463.4</v>
      </c>
      <c r="K93" s="89">
        <v>-1825.5</v>
      </c>
      <c r="L93" s="275">
        <v>-340.8</v>
      </c>
      <c r="M93" s="89">
        <v>-671.1</v>
      </c>
      <c r="N93" s="89">
        <v>-1062.0999999999999</v>
      </c>
      <c r="O93" s="89">
        <v>-1467.9</v>
      </c>
      <c r="P93" s="275">
        <v>-413.6</v>
      </c>
      <c r="Q93" s="89">
        <v>-815.5</v>
      </c>
      <c r="R93" s="89">
        <v>-1146.3</v>
      </c>
      <c r="S93" s="89">
        <v>-1470.2</v>
      </c>
      <c r="T93" s="275">
        <v>-297.89999999999998</v>
      </c>
      <c r="U93" s="89">
        <v>-669.9</v>
      </c>
      <c r="V93" s="89">
        <v>-1082</v>
      </c>
      <c r="AF93" s="138"/>
      <c r="AJ93" s="138"/>
      <c r="AN93" s="138"/>
    </row>
    <row r="94" spans="1:40">
      <c r="A94" s="274" t="s">
        <v>110</v>
      </c>
      <c r="B94" s="89"/>
      <c r="C94" s="89"/>
      <c r="D94" s="91"/>
      <c r="E94" s="89"/>
      <c r="F94" s="89"/>
      <c r="G94" s="89"/>
      <c r="H94" s="275"/>
      <c r="I94" s="89"/>
      <c r="J94" s="89">
        <v>-514.79999999999995</v>
      </c>
      <c r="K94" s="89">
        <v>-802.5</v>
      </c>
      <c r="L94" s="275">
        <v>-267.39999999999998</v>
      </c>
      <c r="M94" s="89">
        <v>-543.29999999999995</v>
      </c>
      <c r="N94" s="89">
        <v>-858.6</v>
      </c>
      <c r="O94" s="89">
        <v>-1183</v>
      </c>
      <c r="P94" s="275">
        <v>-301.89999999999998</v>
      </c>
      <c r="Q94" s="89">
        <v>-585.9</v>
      </c>
      <c r="R94" s="89">
        <v>-873.5</v>
      </c>
      <c r="S94" s="89">
        <v>-1182.3</v>
      </c>
      <c r="T94" s="275">
        <v>-292.10000000000002</v>
      </c>
      <c r="U94" s="89">
        <v>-614.1</v>
      </c>
      <c r="V94" s="89">
        <v>-970</v>
      </c>
      <c r="AF94" s="138"/>
      <c r="AJ94" s="138"/>
      <c r="AN94" s="138"/>
    </row>
    <row r="95" spans="1:40">
      <c r="A95" s="274" t="s">
        <v>106</v>
      </c>
      <c r="B95" s="89"/>
      <c r="C95" s="89"/>
      <c r="D95" s="91">
        <v>-54.1</v>
      </c>
      <c r="E95" s="89">
        <v>-107.9</v>
      </c>
      <c r="F95" s="89">
        <f>-SUM(IS!F10:H10)</f>
        <v>0</v>
      </c>
      <c r="G95" s="89">
        <f>-SUM(IS!F10:I10)</f>
        <v>0</v>
      </c>
      <c r="H95" s="275">
        <v>-46.1</v>
      </c>
      <c r="I95" s="89">
        <v>-124.5</v>
      </c>
      <c r="J95" s="89">
        <v>-210</v>
      </c>
      <c r="K95" s="89">
        <v>-203.1</v>
      </c>
      <c r="L95" s="275">
        <v>-54.9</v>
      </c>
      <c r="M95" s="89">
        <v>-110.4</v>
      </c>
      <c r="N95" s="89">
        <v>-157.19999999999999</v>
      </c>
      <c r="O95" s="89">
        <v>-212.3</v>
      </c>
      <c r="P95" s="275">
        <v>-44.7</v>
      </c>
      <c r="Q95" s="89">
        <v>-90.2</v>
      </c>
      <c r="R95" s="89">
        <v>-126.7</v>
      </c>
      <c r="S95" s="89">
        <v>-177.4</v>
      </c>
      <c r="T95" s="275"/>
      <c r="U95" s="89"/>
      <c r="V95" s="89"/>
      <c r="AF95" s="138"/>
      <c r="AJ95" s="138"/>
      <c r="AN95" s="138"/>
    </row>
    <row r="96" spans="1:40">
      <c r="A96" s="274" t="s">
        <v>111</v>
      </c>
      <c r="B96" s="89"/>
      <c r="C96" s="89"/>
      <c r="D96" s="91"/>
      <c r="E96" s="89"/>
      <c r="F96" s="89"/>
      <c r="G96" s="89"/>
      <c r="H96" s="275"/>
      <c r="I96" s="89"/>
      <c r="J96" s="89">
        <v>144.9</v>
      </c>
      <c r="K96" s="89"/>
      <c r="L96" s="275"/>
      <c r="M96" s="89"/>
      <c r="N96" s="89"/>
      <c r="O96" s="89"/>
      <c r="P96" s="275"/>
      <c r="Q96" s="89"/>
      <c r="R96" s="89"/>
      <c r="S96" s="89"/>
      <c r="T96" s="275"/>
      <c r="U96" s="89"/>
      <c r="V96" s="89"/>
      <c r="AF96" s="138"/>
      <c r="AJ96" s="138"/>
      <c r="AN96" s="138"/>
    </row>
    <row r="97" spans="1:43">
      <c r="A97" s="276" t="s">
        <v>113</v>
      </c>
      <c r="B97" s="277"/>
      <c r="C97" s="277"/>
      <c r="D97" s="278">
        <f t="shared" ref="D97:R97" si="164">SUM(D92:D96)</f>
        <v>-865.1</v>
      </c>
      <c r="E97" s="278">
        <f t="shared" si="164"/>
        <v>-1779.4</v>
      </c>
      <c r="F97" s="278">
        <f t="shared" si="164"/>
        <v>-1870.1120000000001</v>
      </c>
      <c r="G97" s="279">
        <f t="shared" si="164"/>
        <v>-2326.98</v>
      </c>
      <c r="H97" s="278">
        <f t="shared" si="164"/>
        <v>-615.30000000000007</v>
      </c>
      <c r="I97" s="278">
        <f t="shared" si="164"/>
        <v>-1435.1000000000001</v>
      </c>
      <c r="J97" s="278">
        <f t="shared" si="164"/>
        <v>-2601.6</v>
      </c>
      <c r="K97" s="279">
        <f t="shared" si="164"/>
        <v>-3716.2999999999997</v>
      </c>
      <c r="L97" s="278">
        <f t="shared" si="164"/>
        <v>-912.5</v>
      </c>
      <c r="M97" s="278">
        <f t="shared" si="164"/>
        <v>-1897.9</v>
      </c>
      <c r="N97" s="278">
        <f t="shared" si="164"/>
        <v>-2997.2999999999997</v>
      </c>
      <c r="O97" s="278">
        <f t="shared" si="164"/>
        <v>-4111.5</v>
      </c>
      <c r="P97" s="278">
        <f t="shared" si="164"/>
        <v>-992.9</v>
      </c>
      <c r="Q97" s="278">
        <f t="shared" si="164"/>
        <v>-2046.0000000000002</v>
      </c>
      <c r="R97" s="278">
        <f t="shared" si="164"/>
        <v>-3076.3999999999996</v>
      </c>
      <c r="S97" s="278">
        <f>SUM(S91:S96)</f>
        <v>-4175.7</v>
      </c>
      <c r="T97" s="278">
        <f>SUM(T92:T96)</f>
        <v>-955.19999999999993</v>
      </c>
      <c r="U97" s="278">
        <f>SUM(U92:U96)</f>
        <v>-2039.6999999999998</v>
      </c>
      <c r="V97" s="278">
        <f>SUM(V92:V96)</f>
        <v>-3290.4</v>
      </c>
      <c r="AF97" s="138"/>
      <c r="AJ97" s="138"/>
      <c r="AN97" s="138"/>
    </row>
    <row r="99" spans="1:43" s="89" customFormat="1" ht="10.5">
      <c r="A99" s="298" t="s">
        <v>116</v>
      </c>
      <c r="D99" s="91"/>
      <c r="H99" s="275"/>
      <c r="L99" s="275"/>
      <c r="P99" s="275"/>
      <c r="T99" s="275"/>
      <c r="X99" s="275"/>
      <c r="AB99" s="275"/>
      <c r="AF99" s="275"/>
      <c r="AJ99" s="275"/>
      <c r="AN99" s="275"/>
    </row>
    <row r="100" spans="1:43" s="89" customFormat="1">
      <c r="A100" s="274" t="s">
        <v>112</v>
      </c>
      <c r="D100" s="91">
        <v>45.3</v>
      </c>
      <c r="E100" s="89">
        <v>362.7</v>
      </c>
      <c r="F100" s="89">
        <v>369.9</v>
      </c>
      <c r="G100" s="89">
        <v>1026.3</v>
      </c>
      <c r="H100" s="275">
        <v>143.19999999999999</v>
      </c>
      <c r="I100" s="89">
        <v>814</v>
      </c>
      <c r="J100" s="89">
        <v>1499.3</v>
      </c>
      <c r="K100" s="89">
        <v>1719.7</v>
      </c>
      <c r="L100" s="275">
        <v>175.9</v>
      </c>
      <c r="M100" s="89">
        <v>254.5</v>
      </c>
      <c r="N100" s="89">
        <v>366.6</v>
      </c>
      <c r="O100" s="89">
        <v>800.1</v>
      </c>
      <c r="P100" s="275">
        <v>124.6</v>
      </c>
      <c r="Q100" s="89">
        <v>1423.7</v>
      </c>
      <c r="R100" s="89">
        <v>2234.1999999999998</v>
      </c>
      <c r="S100" s="89">
        <v>1159.7</v>
      </c>
      <c r="T100" s="275">
        <v>714.2</v>
      </c>
      <c r="U100" s="89">
        <v>925.5</v>
      </c>
      <c r="V100" s="89">
        <v>1586.7</v>
      </c>
      <c r="X100" s="275"/>
      <c r="AB100" s="275"/>
      <c r="AF100" s="275"/>
      <c r="AJ100" s="275"/>
      <c r="AN100" s="275"/>
    </row>
    <row r="101" spans="1:43" s="89" customFormat="1">
      <c r="A101" s="274" t="s">
        <v>104</v>
      </c>
      <c r="D101" s="91">
        <v>245.6</v>
      </c>
      <c r="E101" s="89">
        <v>1278.4000000000001</v>
      </c>
      <c r="F101" s="89">
        <v>1669.3</v>
      </c>
      <c r="G101" s="89">
        <v>1864.5</v>
      </c>
      <c r="H101" s="275">
        <v>305.3</v>
      </c>
      <c r="I101" s="89">
        <v>1122.5</v>
      </c>
      <c r="J101" s="89">
        <v>1302.5999999999999</v>
      </c>
      <c r="K101" s="89">
        <v>1438.7</v>
      </c>
      <c r="L101" s="275">
        <v>287.3</v>
      </c>
      <c r="M101" s="89">
        <v>608.70000000000005</v>
      </c>
      <c r="N101" s="89">
        <v>990.5</v>
      </c>
      <c r="O101" s="89">
        <v>1183.9000000000001</v>
      </c>
      <c r="P101" s="275">
        <v>490.8</v>
      </c>
      <c r="Q101" s="89">
        <v>913.9</v>
      </c>
      <c r="R101" s="89">
        <v>1030.3</v>
      </c>
      <c r="S101" s="89">
        <v>3009.4</v>
      </c>
      <c r="T101" s="275">
        <v>275.7</v>
      </c>
      <c r="U101" s="89">
        <v>922.4</v>
      </c>
      <c r="V101" s="89">
        <v>1514.9</v>
      </c>
      <c r="X101" s="275"/>
      <c r="AB101" s="275"/>
      <c r="AF101" s="275"/>
      <c r="AJ101" s="275"/>
      <c r="AN101" s="275"/>
    </row>
    <row r="102" spans="1:43" s="89" customFormat="1">
      <c r="A102" s="274" t="s">
        <v>110</v>
      </c>
      <c r="D102" s="91"/>
      <c r="H102" s="275"/>
      <c r="J102" s="89">
        <v>1775.4</v>
      </c>
      <c r="K102" s="89">
        <v>2104.6</v>
      </c>
      <c r="L102" s="275">
        <v>207.2</v>
      </c>
      <c r="M102" s="89">
        <v>641</v>
      </c>
      <c r="N102" s="89">
        <v>900.1</v>
      </c>
      <c r="O102" s="89">
        <v>1318.8</v>
      </c>
      <c r="P102" s="275">
        <v>289</v>
      </c>
      <c r="Q102" s="89">
        <v>665.1</v>
      </c>
      <c r="R102" s="89">
        <v>1038</v>
      </c>
      <c r="S102" s="89">
        <v>1336.1</v>
      </c>
      <c r="T102" s="275">
        <v>663.4</v>
      </c>
      <c r="U102" s="89">
        <v>1001.8</v>
      </c>
      <c r="V102" s="89">
        <v>1320.1</v>
      </c>
      <c r="X102" s="275"/>
      <c r="AB102" s="275"/>
      <c r="AF102" s="275"/>
      <c r="AJ102" s="275"/>
      <c r="AN102" s="275"/>
    </row>
    <row r="103" spans="1:43" s="89" customFormat="1">
      <c r="A103" s="274" t="s">
        <v>106</v>
      </c>
      <c r="D103" s="91">
        <v>21.4</v>
      </c>
      <c r="E103" s="89">
        <v>119.6</v>
      </c>
      <c r="F103" s="89">
        <v>209.3</v>
      </c>
      <c r="G103" s="89">
        <v>282.5</v>
      </c>
      <c r="H103" s="275">
        <v>113.8</v>
      </c>
      <c r="I103" s="89">
        <v>180.3</v>
      </c>
      <c r="J103" s="89">
        <v>288.3</v>
      </c>
      <c r="K103" s="89">
        <v>277.3</v>
      </c>
      <c r="L103" s="275">
        <v>50.6</v>
      </c>
      <c r="M103" s="89">
        <v>140.30000000000001</v>
      </c>
      <c r="N103" s="89">
        <v>185.4</v>
      </c>
      <c r="O103" s="89">
        <v>304</v>
      </c>
      <c r="P103" s="275">
        <v>11.2</v>
      </c>
      <c r="Q103" s="89">
        <v>26.4</v>
      </c>
      <c r="R103" s="89">
        <v>72.8</v>
      </c>
      <c r="S103" s="89">
        <v>21.1</v>
      </c>
      <c r="T103" s="275"/>
      <c r="X103" s="275"/>
      <c r="AB103" s="275"/>
      <c r="AF103" s="275"/>
      <c r="AJ103" s="275"/>
      <c r="AN103" s="275"/>
    </row>
    <row r="104" spans="1:43" s="89" customFormat="1">
      <c r="A104" s="274" t="s">
        <v>111</v>
      </c>
      <c r="D104" s="91"/>
      <c r="H104" s="275"/>
      <c r="J104" s="89">
        <v>-98.5</v>
      </c>
      <c r="L104" s="275"/>
      <c r="P104" s="275"/>
      <c r="T104" s="275"/>
      <c r="X104" s="275"/>
      <c r="AB104" s="275"/>
      <c r="AF104" s="275"/>
      <c r="AJ104" s="275"/>
      <c r="AN104" s="275"/>
    </row>
    <row r="105" spans="1:43" s="277" customFormat="1">
      <c r="A105" s="276" t="s">
        <v>113</v>
      </c>
      <c r="D105" s="278">
        <f t="shared" ref="D105:AI105" si="165">SUM(D100:D104)</f>
        <v>312.29999999999995</v>
      </c>
      <c r="E105" s="278">
        <f t="shared" si="165"/>
        <v>1760.7</v>
      </c>
      <c r="F105" s="278">
        <f t="shared" si="165"/>
        <v>2248.5</v>
      </c>
      <c r="G105" s="279">
        <f t="shared" si="165"/>
        <v>3173.3</v>
      </c>
      <c r="H105" s="278">
        <f t="shared" si="165"/>
        <v>562.29999999999995</v>
      </c>
      <c r="I105" s="278">
        <f t="shared" si="165"/>
        <v>2116.8000000000002</v>
      </c>
      <c r="J105" s="278">
        <f t="shared" si="165"/>
        <v>4767.0999999999995</v>
      </c>
      <c r="K105" s="279">
        <f t="shared" si="165"/>
        <v>5540.3</v>
      </c>
      <c r="L105" s="278">
        <f t="shared" si="165"/>
        <v>721.00000000000011</v>
      </c>
      <c r="M105" s="278">
        <f t="shared" si="165"/>
        <v>1644.5</v>
      </c>
      <c r="N105" s="278">
        <f t="shared" si="165"/>
        <v>2442.6</v>
      </c>
      <c r="O105" s="278">
        <f t="shared" si="165"/>
        <v>3606.8</v>
      </c>
      <c r="P105" s="278">
        <f t="shared" si="165"/>
        <v>915.6</v>
      </c>
      <c r="Q105" s="278">
        <f t="shared" si="165"/>
        <v>3029.1</v>
      </c>
      <c r="R105" s="278">
        <f t="shared" si="165"/>
        <v>4375.3</v>
      </c>
      <c r="S105" s="278">
        <f t="shared" si="165"/>
        <v>5526.3000000000011</v>
      </c>
      <c r="T105" s="278">
        <f t="shared" si="165"/>
        <v>1653.3000000000002</v>
      </c>
      <c r="U105" s="278">
        <f t="shared" si="165"/>
        <v>2849.7</v>
      </c>
      <c r="V105" s="278">
        <f t="shared" si="165"/>
        <v>4421.7000000000007</v>
      </c>
      <c r="W105" s="278">
        <f t="shared" si="165"/>
        <v>0</v>
      </c>
      <c r="X105" s="278">
        <f t="shared" si="165"/>
        <v>0</v>
      </c>
      <c r="Y105" s="278">
        <f t="shared" si="165"/>
        <v>0</v>
      </c>
      <c r="Z105" s="278">
        <f t="shared" si="165"/>
        <v>0</v>
      </c>
      <c r="AA105" s="278">
        <f t="shared" si="165"/>
        <v>0</v>
      </c>
      <c r="AB105" s="278">
        <f t="shared" si="165"/>
        <v>0</v>
      </c>
      <c r="AC105" s="278">
        <f t="shared" si="165"/>
        <v>0</v>
      </c>
      <c r="AD105" s="278">
        <f t="shared" si="165"/>
        <v>0</v>
      </c>
      <c r="AE105" s="278">
        <f t="shared" si="165"/>
        <v>0</v>
      </c>
      <c r="AF105" s="278">
        <f t="shared" si="165"/>
        <v>0</v>
      </c>
      <c r="AG105" s="278">
        <f t="shared" si="165"/>
        <v>0</v>
      </c>
      <c r="AH105" s="278">
        <f t="shared" si="165"/>
        <v>0</v>
      </c>
      <c r="AI105" s="278">
        <f t="shared" si="165"/>
        <v>0</v>
      </c>
      <c r="AJ105" s="278">
        <f t="shared" ref="AJ105:AM105" si="166">SUM(AJ100:AJ104)</f>
        <v>0</v>
      </c>
      <c r="AK105" s="278">
        <f t="shared" si="166"/>
        <v>0</v>
      </c>
      <c r="AL105" s="278">
        <f t="shared" si="166"/>
        <v>0</v>
      </c>
      <c r="AM105" s="278">
        <f t="shared" si="166"/>
        <v>0</v>
      </c>
      <c r="AN105" s="278">
        <f t="shared" ref="AN105:AQ105" si="167">SUM(AN100:AN104)</f>
        <v>0</v>
      </c>
      <c r="AO105" s="278">
        <f t="shared" si="167"/>
        <v>0</v>
      </c>
      <c r="AP105" s="278">
        <f t="shared" si="167"/>
        <v>0</v>
      </c>
      <c r="AQ105" s="278">
        <f t="shared" si="167"/>
        <v>0</v>
      </c>
    </row>
    <row r="106" spans="1:43" s="89" customFormat="1">
      <c r="H106" s="275"/>
      <c r="L106" s="275"/>
      <c r="P106" s="275"/>
      <c r="T106" s="275"/>
      <c r="X106" s="275"/>
      <c r="AB106" s="275"/>
      <c r="AF106" s="275"/>
      <c r="AJ106" s="275"/>
      <c r="AN106" s="275"/>
    </row>
    <row r="107" spans="1:43" s="139" customFormat="1" ht="10.5">
      <c r="A107" s="343" t="s">
        <v>121</v>
      </c>
      <c r="B107" s="343"/>
      <c r="C107" s="343"/>
      <c r="D107" s="343"/>
      <c r="E107" s="343"/>
      <c r="F107" s="343"/>
      <c r="G107" s="343">
        <f>IS!J11</f>
        <v>3199.21</v>
      </c>
      <c r="H107" s="344">
        <f>IS!K11+IS!I11+IS!H11+IS!G11</f>
        <v>2949.424</v>
      </c>
      <c r="I107" s="343">
        <f>IS!L11+IS!K11+IS!I11+IS!H11</f>
        <v>2854.9059999999999</v>
      </c>
      <c r="J107" s="343">
        <f>IS!M11+IS!L11+IS!K11+IS!I11</f>
        <v>3289.5099999999998</v>
      </c>
      <c r="K107" s="343">
        <f>IS!N11+IS!M11+IS!L11+IS!K11</f>
        <v>3716.317</v>
      </c>
      <c r="L107" s="344">
        <f>IS!P11+IS!N11+IS!M11+IS!L11</f>
        <v>4013.5620000000008</v>
      </c>
      <c r="M107" s="343">
        <f>IS!Q11+IS!P11+IS!N11+IS!M11</f>
        <v>4179.05</v>
      </c>
      <c r="N107" s="343">
        <f>IS!R11+IS!Q11+IS!P11+IS!N11</f>
        <v>4112.0330000000004</v>
      </c>
      <c r="O107" s="343">
        <f>IS!S11+IS!R11+IS!Q11+IS!P11</f>
        <v>4111.4709999999995</v>
      </c>
      <c r="P107" s="344">
        <f>IS!U11+IS!S11+IS!R11+IS!Q11</f>
        <v>4191.8649999999998</v>
      </c>
      <c r="Q107" s="343">
        <f>IS!V11+IS!U11+IS!S11+IS!R11</f>
        <v>4259.5839999999989</v>
      </c>
      <c r="R107" s="343">
        <f>IS!W11+IS!V11+IS!U11+IS!S11</f>
        <v>4190.5789999999997</v>
      </c>
      <c r="S107" s="343">
        <f>IS!X11+IS!W11+IS!V11+IS!U11</f>
        <v>4175.6719999999996</v>
      </c>
      <c r="T107" s="344">
        <f>IS!Z11+IS!X11+IS!W11+IS!V11</f>
        <v>4137.976999999999</v>
      </c>
      <c r="U107" s="343">
        <f>IS!AA11+IS!Z11+IS!X11+IS!W11</f>
        <v>4169.4219999999996</v>
      </c>
      <c r="V107" s="343">
        <f>IS!AB11+IS!AA11+IS!Z11+IS!X11</f>
        <v>4389.723</v>
      </c>
      <c r="W107" s="343">
        <f>IS!AC11+IS!AB11+IS!AA11+IS!Z11</f>
        <v>4492.3090000000002</v>
      </c>
      <c r="X107" s="344">
        <f>IS!AE11+IS!AC11+IS!AB11+IS!AA11</f>
        <v>4603.5410000000002</v>
      </c>
      <c r="Y107" s="343">
        <f>IS!AF11+IS!AE11+IS!AC11+IS!AB11</f>
        <v>4831.4690000000001</v>
      </c>
      <c r="Z107" s="343">
        <f>IS!AG11+IS!AF11+IS!AE11+IS!AC11</f>
        <v>4921.5190000000002</v>
      </c>
      <c r="AA107" s="343">
        <f>IS!AH11+IS!AG11+IS!AF11+IS!AE11</f>
        <v>4920.4719999999998</v>
      </c>
      <c r="AB107" s="344">
        <f>IS!AJ11+IS!AH11+IS!AG11+IS!AF11</f>
        <v>4939.3760000000002</v>
      </c>
      <c r="AC107" s="343">
        <f>IS!AK11+IS!AJ11+IS!AH11+IS!AG11</f>
        <v>4873.2090000000007</v>
      </c>
      <c r="AD107" s="343">
        <f>IS!AL11+IS!AK11+IS!AJ11+IS!AH11</f>
        <v>4865.4480000000003</v>
      </c>
      <c r="AE107" s="343">
        <f>IS!AM11+IS!AL11+IS!AK11+IS!AJ11</f>
        <v>4911.2170000000006</v>
      </c>
      <c r="AF107" s="344">
        <f>IS!AO11+IS!AM11+IS!AL11+IS!AK11</f>
        <v>4943.2089999999998</v>
      </c>
      <c r="AG107" s="343">
        <f>IS!AP11+IS!AO11+IS!AM11+IS!AL11</f>
        <v>4944.2119999999995</v>
      </c>
      <c r="AH107" s="343">
        <f>IS!AQ11+IS!AP11+IS!AO11+IS!AM11</f>
        <v>4810.7389999999996</v>
      </c>
      <c r="AI107" s="343">
        <f>IS!AR11+IS!AQ11+IS!AP11+IS!AO11</f>
        <v>4757.2080000000005</v>
      </c>
      <c r="AJ107" s="344">
        <f>IS!AS11+IS!AQ11+IS!AP11+IS!AO11</f>
        <v>8321.3479999999981</v>
      </c>
      <c r="AK107" s="343">
        <f>IS!AT11+IS!AS11+IS!AQ11+IS!AP11</f>
        <v>8232.143</v>
      </c>
      <c r="AL107" s="343">
        <f>IS!AU11+IS!AT11+IS!AS11+IS!AQ11</f>
        <v>8104.9539999999997</v>
      </c>
      <c r="AM107" s="343">
        <f>IS!AV11+IS!AU11+IS!AT11+IS!AS11</f>
        <v>8028.5859999999993</v>
      </c>
      <c r="AN107" s="344">
        <f>IS!AW11+IS!AU11+IS!AT11+IS!AS11</f>
        <v>8088.7330000000002</v>
      </c>
      <c r="AO107" s="343">
        <f>IS!AX11+IS!AW11+IS!AU11+IS!AT11</f>
        <v>7786.1869999999999</v>
      </c>
      <c r="AP107" s="343">
        <f>IS!AY11+IS!AX11+IS!AW11+IS!AU11</f>
        <v>7716.5180000000009</v>
      </c>
      <c r="AQ107" s="343">
        <f>IS!AZ11+IS!AY11+IS!AX11+IS!AW11</f>
        <v>7721.7080000000005</v>
      </c>
    </row>
  </sheetData>
  <pageMargins left="0.7" right="0.7" top="0.75" bottom="0.75" header="0.3" footer="0.3"/>
  <pageSetup orientation="portrait" r:id="rId1"/>
  <ignoredErrors>
    <ignoredError sqref="D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</vt:lpstr>
      <vt:lpstr>Backlog</vt:lpstr>
    </vt:vector>
  </TitlesOfParts>
  <Company>Macquarie Group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Rathod;lmarquez</dc:creator>
  <cp:lastModifiedBy>15515</cp:lastModifiedBy>
  <dcterms:created xsi:type="dcterms:W3CDTF">2013-07-01T19:46:33Z</dcterms:created>
  <dcterms:modified xsi:type="dcterms:W3CDTF">2020-02-08T15:13:16Z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T_EQUIP" linkTarget="PROP_PLANT_EQUIP">
    <vt:lpwstr>#REF!</vt:lpwstr>
  </property>
  <property fmtid="{D5CDD505-2E9C-101B-9397-08002B2CF9AE}" pid="3" name="_NewReviewCycle">
    <vt:lpwstr/>
  </property>
  <property fmtid="{D5CDD505-2E9C-101B-9397-08002B2CF9AE}" pid="4" name="_AdHocReviewCycleID">
    <vt:i4>1238904831</vt:i4>
  </property>
  <property fmtid="{D5CDD505-2E9C-101B-9397-08002B2CF9AE}" pid="5" name="_EmailSubject">
    <vt:lpwstr>Project</vt:lpwstr>
  </property>
  <property fmtid="{D5CDD505-2E9C-101B-9397-08002B2CF9AE}" pid="6" name="_AuthorEmail">
    <vt:lpwstr>Sameer.Rathod@macquarie.com</vt:lpwstr>
  </property>
  <property fmtid="{D5CDD505-2E9C-101B-9397-08002B2CF9AE}" pid="7" name="_AuthorEmailDisplayName">
    <vt:lpwstr>Sameer Rathod</vt:lpwstr>
  </property>
  <property fmtid="{D5CDD505-2E9C-101B-9397-08002B2CF9AE}" pid="8" name="_PreviousAdHocReviewCycleID">
    <vt:i4>358076990</vt:i4>
  </property>
  <property fmtid="{D5CDD505-2E9C-101B-9397-08002B2CF9AE}" pid="9" name="_ReviewingToolsShownOnce">
    <vt:lpwstr/>
  </property>
</Properties>
</file>