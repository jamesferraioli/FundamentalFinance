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01"/>
  <workbookPr codeName="ThisWorkbook" defaultThemeVersion="124226"/>
  <mc:AlternateContent xmlns:mc="http://schemas.openxmlformats.org/markup-compatibility/2006">
    <mc:Choice Requires="x15">
      <x15ac:absPath xmlns:x15ac="http://schemas.microsoft.com/office/spreadsheetml/2010/11/ac" url="C:\Users\Jim\Desktop\Equity Research Stuff\AAPL\"/>
    </mc:Choice>
  </mc:AlternateContent>
  <xr:revisionPtr revIDLastSave="0" documentId="13_ncr:1_{FBF92EF4-726D-47AF-9793-7FAF8068D3A7}" xr6:coauthVersionLast="43" xr6:coauthVersionMax="43" xr10:uidLastSave="{00000000-0000-0000-0000-000000000000}"/>
  <bookViews>
    <workbookView xWindow="-108" yWindow="-108" windowWidth="23256" windowHeight="12576" tabRatio="700" xr2:uid="{00000000-000D-0000-FFFF-FFFF00000000}"/>
  </bookViews>
  <sheets>
    <sheet name="AAPL Earnings Model" sheetId="3" r:id="rId1"/>
    <sheet name="Dollar Index" sheetId="18" state="hidden" r:id="rId2"/>
  </sheets>
  <definedNames>
    <definedName name="_xlnm._FilterDatabase" localSheetId="1" hidden="1">'Dollar Index'!$A$15:$C$1273</definedName>
    <definedName name="DATA">#REF!</definedName>
    <definedName name="_xlnm.Print_Area" localSheetId="0">'AAPL Earnings Model'!$A$1:$BU$215</definedName>
  </definedNames>
  <calcPr calcId="181029" concurrentCalc="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X135" i="3" l="1"/>
  <c r="AY135" i="3"/>
  <c r="AS135" i="3"/>
  <c r="AT135" i="3"/>
  <c r="AU135" i="3"/>
  <c r="AZ135" i="3"/>
  <c r="AZ65" i="3"/>
  <c r="BB135" i="3"/>
  <c r="BB65" i="3"/>
  <c r="BC135" i="3"/>
  <c r="BC65" i="3"/>
  <c r="BD135" i="3"/>
  <c r="BD65" i="3"/>
  <c r="BE135" i="3"/>
  <c r="BE65" i="3"/>
  <c r="AV64" i="3"/>
  <c r="BA64" i="3"/>
  <c r="BF64" i="3"/>
  <c r="BK64" i="3"/>
  <c r="BP64" i="3"/>
  <c r="BU64" i="3"/>
  <c r="BB33" i="3"/>
  <c r="BB10" i="3"/>
  <c r="BG33" i="3"/>
  <c r="BG10" i="3"/>
  <c r="BL33" i="3"/>
  <c r="BL10" i="3"/>
  <c r="BQ33" i="3"/>
  <c r="BQ10" i="3"/>
  <c r="BC33" i="3"/>
  <c r="BC10" i="3"/>
  <c r="BH33" i="3"/>
  <c r="BH10" i="3"/>
  <c r="BM33" i="3"/>
  <c r="BM10" i="3"/>
  <c r="BR33" i="3"/>
  <c r="BR10" i="3"/>
  <c r="BD33" i="3"/>
  <c r="BD10" i="3"/>
  <c r="BI33" i="3"/>
  <c r="BI10" i="3"/>
  <c r="BN33" i="3"/>
  <c r="BN10" i="3"/>
  <c r="BS33" i="3"/>
  <c r="BS10" i="3"/>
  <c r="AZ33" i="3"/>
  <c r="AZ10" i="3"/>
  <c r="BE33" i="3"/>
  <c r="BE10" i="3"/>
  <c r="BJ33" i="3"/>
  <c r="BJ10" i="3"/>
  <c r="BO33" i="3"/>
  <c r="BO10" i="3"/>
  <c r="BT33" i="3"/>
  <c r="BT10" i="3"/>
  <c r="BU10" i="3"/>
  <c r="BB35" i="3"/>
  <c r="BG35" i="3"/>
  <c r="BL35" i="3"/>
  <c r="BQ35" i="3"/>
  <c r="BQ11" i="3"/>
  <c r="BC35" i="3"/>
  <c r="BH35" i="3"/>
  <c r="BM35" i="3"/>
  <c r="BR35" i="3"/>
  <c r="BR11" i="3"/>
  <c r="BD35" i="3"/>
  <c r="BI35" i="3"/>
  <c r="BN35" i="3"/>
  <c r="BS35" i="3"/>
  <c r="BS11" i="3"/>
  <c r="AZ35" i="3"/>
  <c r="BE35" i="3"/>
  <c r="BJ35" i="3"/>
  <c r="BO35" i="3"/>
  <c r="BT35" i="3"/>
  <c r="BT11" i="3"/>
  <c r="BU11" i="3"/>
  <c r="BU12" i="3"/>
  <c r="BQ14" i="3"/>
  <c r="BR14" i="3"/>
  <c r="BS14" i="3"/>
  <c r="BT14" i="3"/>
  <c r="BU14" i="3"/>
  <c r="BQ13" i="3"/>
  <c r="BR13" i="3"/>
  <c r="BS13" i="3"/>
  <c r="BT13" i="3"/>
  <c r="BU13" i="3"/>
  <c r="BU16" i="3"/>
  <c r="AV55" i="3"/>
  <c r="AV62" i="3"/>
  <c r="AW41" i="3"/>
  <c r="BB41" i="3"/>
  <c r="BG41" i="3"/>
  <c r="BL41" i="3"/>
  <c r="BQ41" i="3"/>
  <c r="AY91" i="3"/>
  <c r="AX91" i="3"/>
  <c r="AW91" i="3"/>
  <c r="AU91" i="3"/>
  <c r="AZ91" i="3"/>
  <c r="AZ55" i="3"/>
  <c r="AZ62" i="3"/>
  <c r="BB91" i="3"/>
  <c r="BB55" i="3"/>
  <c r="BB62" i="3"/>
  <c r="BC91" i="3"/>
  <c r="BC55" i="3"/>
  <c r="BC62" i="3"/>
  <c r="BD91" i="3"/>
  <c r="BD55" i="3"/>
  <c r="BD62" i="3"/>
  <c r="BE91" i="3"/>
  <c r="BE55" i="3"/>
  <c r="BE62" i="3"/>
  <c r="BG91" i="3"/>
  <c r="BG55" i="3"/>
  <c r="BG62" i="3"/>
  <c r="BH91" i="3"/>
  <c r="BH55" i="3"/>
  <c r="BH62" i="3"/>
  <c r="BI91" i="3"/>
  <c r="BI55" i="3"/>
  <c r="BI62" i="3"/>
  <c r="BJ91" i="3"/>
  <c r="BJ55" i="3"/>
  <c r="BJ62" i="3"/>
  <c r="BL91" i="3"/>
  <c r="BL55" i="3"/>
  <c r="BL62" i="3"/>
  <c r="BM91" i="3"/>
  <c r="BM55" i="3"/>
  <c r="BM62" i="3"/>
  <c r="BN91" i="3"/>
  <c r="BN55" i="3"/>
  <c r="BN62" i="3"/>
  <c r="BO91" i="3"/>
  <c r="BO62" i="3"/>
  <c r="BO55" i="3"/>
  <c r="BQ18" i="3"/>
  <c r="AX41" i="3"/>
  <c r="BC41" i="3"/>
  <c r="BH41" i="3"/>
  <c r="BM41" i="3"/>
  <c r="BR41" i="3"/>
  <c r="BQ91" i="3"/>
  <c r="BQ62" i="3"/>
  <c r="BQ55" i="3"/>
  <c r="BR18" i="3"/>
  <c r="AY41" i="3"/>
  <c r="BD41" i="3"/>
  <c r="BI41" i="3"/>
  <c r="BN41" i="3"/>
  <c r="BS41" i="3"/>
  <c r="BR91" i="3"/>
  <c r="BR62" i="3"/>
  <c r="BR55" i="3"/>
  <c r="BS18" i="3"/>
  <c r="AU41" i="3"/>
  <c r="AZ41" i="3"/>
  <c r="BE41" i="3"/>
  <c r="BJ41" i="3"/>
  <c r="BO41" i="3"/>
  <c r="BT41" i="3"/>
  <c r="BS91" i="3"/>
  <c r="BS62" i="3"/>
  <c r="BS55" i="3"/>
  <c r="BT18" i="3"/>
  <c r="BU18" i="3"/>
  <c r="AN115" i="3"/>
  <c r="AO115" i="3"/>
  <c r="AP115" i="3"/>
  <c r="AP166" i="3"/>
  <c r="AI115" i="3"/>
  <c r="AJ115" i="3"/>
  <c r="AK115" i="3"/>
  <c r="AK166" i="3"/>
  <c r="AJ166" i="3"/>
  <c r="AZ166" i="3"/>
  <c r="AZ115" i="3"/>
  <c r="AI141" i="3"/>
  <c r="AJ141" i="3"/>
  <c r="AK141" i="3"/>
  <c r="AK167" i="3"/>
  <c r="AZ167" i="3"/>
  <c r="AZ141" i="3"/>
  <c r="AI142" i="3"/>
  <c r="AJ142" i="3"/>
  <c r="AK142" i="3"/>
  <c r="AK168" i="3"/>
  <c r="AZ168" i="3"/>
  <c r="AZ142" i="3"/>
  <c r="AZ82" i="3"/>
  <c r="BB115" i="3"/>
  <c r="AW167" i="3"/>
  <c r="BB167" i="3"/>
  <c r="BB141" i="3"/>
  <c r="AW168" i="3"/>
  <c r="BB168" i="3"/>
  <c r="BB142" i="3"/>
  <c r="BB82" i="3"/>
  <c r="BC115" i="3"/>
  <c r="AX115" i="3"/>
  <c r="AX167" i="3"/>
  <c r="BC167" i="3"/>
  <c r="BC141" i="3"/>
  <c r="AX142" i="3"/>
  <c r="AX168" i="3"/>
  <c r="BC168" i="3"/>
  <c r="BC142" i="3"/>
  <c r="BC82" i="3"/>
  <c r="BD115" i="3"/>
  <c r="AY115" i="3"/>
  <c r="AY167" i="3"/>
  <c r="BD167" i="3"/>
  <c r="BD141" i="3"/>
  <c r="AY142" i="3"/>
  <c r="AY168" i="3"/>
  <c r="BD168" i="3"/>
  <c r="BD142" i="3"/>
  <c r="BD82" i="3"/>
  <c r="BE115" i="3"/>
  <c r="BE167" i="3"/>
  <c r="BE141" i="3"/>
  <c r="BE168" i="3"/>
  <c r="BE142" i="3"/>
  <c r="BE82" i="3"/>
  <c r="BG115" i="3"/>
  <c r="BG167" i="3"/>
  <c r="BG141" i="3"/>
  <c r="BG168" i="3"/>
  <c r="BG142" i="3"/>
  <c r="BG82" i="3"/>
  <c r="BH115" i="3"/>
  <c r="BH167" i="3"/>
  <c r="BH141" i="3"/>
  <c r="BH168" i="3"/>
  <c r="BH142" i="3"/>
  <c r="BH82" i="3"/>
  <c r="BI115" i="3"/>
  <c r="BI167" i="3"/>
  <c r="BI141" i="3"/>
  <c r="BI168" i="3"/>
  <c r="BI142" i="3"/>
  <c r="BI82" i="3"/>
  <c r="BJ115" i="3"/>
  <c r="BJ167" i="3"/>
  <c r="BJ141" i="3"/>
  <c r="BJ168" i="3"/>
  <c r="BJ142" i="3"/>
  <c r="BJ82" i="3"/>
  <c r="BL115" i="3"/>
  <c r="BL167" i="3"/>
  <c r="BL141" i="3"/>
  <c r="BL168" i="3"/>
  <c r="BL142" i="3"/>
  <c r="BL82" i="3"/>
  <c r="BM115" i="3"/>
  <c r="BM167" i="3"/>
  <c r="BM141" i="3"/>
  <c r="BM168" i="3"/>
  <c r="BM142" i="3"/>
  <c r="BM82" i="3"/>
  <c r="BN115" i="3"/>
  <c r="BN167" i="3"/>
  <c r="BN141" i="3"/>
  <c r="BN168" i="3"/>
  <c r="BN142" i="3"/>
  <c r="BN82" i="3"/>
  <c r="BO115" i="3"/>
  <c r="BO167" i="3"/>
  <c r="BO141" i="3"/>
  <c r="BO168" i="3"/>
  <c r="BO142" i="3"/>
  <c r="BO82" i="3"/>
  <c r="AZ11" i="3"/>
  <c r="AZ12" i="3"/>
  <c r="AZ14" i="3"/>
  <c r="AZ13" i="3"/>
  <c r="AZ16" i="3"/>
  <c r="AZ18" i="3"/>
  <c r="AZ19" i="3"/>
  <c r="AZ21" i="3"/>
  <c r="AZ22" i="3"/>
  <c r="AZ23" i="3"/>
  <c r="AZ24" i="3"/>
  <c r="AZ111" i="3"/>
  <c r="AZ47" i="3"/>
  <c r="AZ48" i="3"/>
  <c r="AZ25" i="3"/>
  <c r="AZ143" i="3"/>
  <c r="AZ144" i="3"/>
  <c r="AZ83" i="3"/>
  <c r="BB11" i="3"/>
  <c r="BB12" i="3"/>
  <c r="BB14" i="3"/>
  <c r="BB13" i="3"/>
  <c r="BB16" i="3"/>
  <c r="BB18" i="3"/>
  <c r="AZ84" i="3"/>
  <c r="AZ85" i="3"/>
  <c r="AY85" i="3"/>
  <c r="AY104" i="3"/>
  <c r="AX85" i="3"/>
  <c r="AX104" i="3"/>
  <c r="AW85" i="3"/>
  <c r="AW104" i="3"/>
  <c r="AU85" i="3"/>
  <c r="AU104" i="3"/>
  <c r="AZ104" i="3"/>
  <c r="AY106" i="3"/>
  <c r="AX106" i="3"/>
  <c r="AW106" i="3"/>
  <c r="AU106" i="3"/>
  <c r="AZ106" i="3"/>
  <c r="AZ73" i="3"/>
  <c r="AZ76" i="3"/>
  <c r="BB19" i="3"/>
  <c r="BB21" i="3"/>
  <c r="BB22" i="3"/>
  <c r="BB23" i="3"/>
  <c r="BB24" i="3"/>
  <c r="BB111" i="3"/>
  <c r="BB48" i="3"/>
  <c r="BB25" i="3"/>
  <c r="BB143" i="3"/>
  <c r="BB144" i="3"/>
  <c r="BB83" i="3"/>
  <c r="BC11" i="3"/>
  <c r="BC12" i="3"/>
  <c r="BC14" i="3"/>
  <c r="BC13" i="3"/>
  <c r="BC16" i="3"/>
  <c r="BC18" i="3"/>
  <c r="BB84" i="3"/>
  <c r="BB85" i="3"/>
  <c r="BB104" i="3"/>
  <c r="BB106" i="3"/>
  <c r="BB73" i="3"/>
  <c r="BB76" i="3"/>
  <c r="BC19" i="3"/>
  <c r="BC21" i="3"/>
  <c r="BC22" i="3"/>
  <c r="BC23" i="3"/>
  <c r="BC24" i="3"/>
  <c r="BC111" i="3"/>
  <c r="BC48" i="3"/>
  <c r="BC25" i="3"/>
  <c r="BC143" i="3"/>
  <c r="BC144" i="3"/>
  <c r="BC83" i="3"/>
  <c r="BD11" i="3"/>
  <c r="BD12" i="3"/>
  <c r="BD14" i="3"/>
  <c r="BD13" i="3"/>
  <c r="BD16" i="3"/>
  <c r="BD18" i="3"/>
  <c r="BC84" i="3"/>
  <c r="BC85" i="3"/>
  <c r="BC104" i="3"/>
  <c r="BC106" i="3"/>
  <c r="BC73" i="3"/>
  <c r="BC76" i="3"/>
  <c r="BD19" i="3"/>
  <c r="BD21" i="3"/>
  <c r="BD22" i="3"/>
  <c r="BD23" i="3"/>
  <c r="BD24" i="3"/>
  <c r="BD111" i="3"/>
  <c r="BD48" i="3"/>
  <c r="BD25" i="3"/>
  <c r="BD143" i="3"/>
  <c r="BD144" i="3"/>
  <c r="BD83" i="3"/>
  <c r="BE11" i="3"/>
  <c r="BE12" i="3"/>
  <c r="BE14" i="3"/>
  <c r="BE13" i="3"/>
  <c r="BE16" i="3"/>
  <c r="BE18" i="3"/>
  <c r="BD84" i="3"/>
  <c r="BD85" i="3"/>
  <c r="BD104" i="3"/>
  <c r="BD106" i="3"/>
  <c r="BD73" i="3"/>
  <c r="BD76" i="3"/>
  <c r="BE19" i="3"/>
  <c r="BE21" i="3"/>
  <c r="BE22" i="3"/>
  <c r="BE23" i="3"/>
  <c r="BE24" i="3"/>
  <c r="BE111" i="3"/>
  <c r="BE48" i="3"/>
  <c r="BE25" i="3"/>
  <c r="BE143" i="3"/>
  <c r="BE144" i="3"/>
  <c r="BE83" i="3"/>
  <c r="BG11" i="3"/>
  <c r="BG12" i="3"/>
  <c r="BG14" i="3"/>
  <c r="BG13" i="3"/>
  <c r="BG16" i="3"/>
  <c r="BG18" i="3"/>
  <c r="BE84" i="3"/>
  <c r="BE85" i="3"/>
  <c r="BE104" i="3"/>
  <c r="BE106" i="3"/>
  <c r="BE73" i="3"/>
  <c r="BE76" i="3"/>
  <c r="BG19" i="3"/>
  <c r="BG21" i="3"/>
  <c r="BG22" i="3"/>
  <c r="BG23" i="3"/>
  <c r="BG24" i="3"/>
  <c r="BG111" i="3"/>
  <c r="BG48" i="3"/>
  <c r="BG25" i="3"/>
  <c r="BG143" i="3"/>
  <c r="BG144" i="3"/>
  <c r="BG83" i="3"/>
  <c r="BH11" i="3"/>
  <c r="BH12" i="3"/>
  <c r="BH14" i="3"/>
  <c r="BH13" i="3"/>
  <c r="BH16" i="3"/>
  <c r="BH18" i="3"/>
  <c r="BG84" i="3"/>
  <c r="BG85" i="3"/>
  <c r="BG104" i="3"/>
  <c r="BG106" i="3"/>
  <c r="BG73" i="3"/>
  <c r="BG76" i="3"/>
  <c r="BH19" i="3"/>
  <c r="BH21" i="3"/>
  <c r="BH22" i="3"/>
  <c r="BH23" i="3"/>
  <c r="BH24" i="3"/>
  <c r="BH111" i="3"/>
  <c r="BH48" i="3"/>
  <c r="BH25" i="3"/>
  <c r="BH143" i="3"/>
  <c r="BH144" i="3"/>
  <c r="BH83" i="3"/>
  <c r="BI11" i="3"/>
  <c r="BI12" i="3"/>
  <c r="BI14" i="3"/>
  <c r="BI13" i="3"/>
  <c r="BI16" i="3"/>
  <c r="BI18" i="3"/>
  <c r="BH84" i="3"/>
  <c r="BH85" i="3"/>
  <c r="BH104" i="3"/>
  <c r="BH106" i="3"/>
  <c r="BH73" i="3"/>
  <c r="BH76" i="3"/>
  <c r="BI19" i="3"/>
  <c r="BI21" i="3"/>
  <c r="BI22" i="3"/>
  <c r="BI23" i="3"/>
  <c r="BI24" i="3"/>
  <c r="BI111" i="3"/>
  <c r="BI48" i="3"/>
  <c r="BI25" i="3"/>
  <c r="BI143" i="3"/>
  <c r="BI144" i="3"/>
  <c r="BI83" i="3"/>
  <c r="BJ11" i="3"/>
  <c r="BJ12" i="3"/>
  <c r="BJ14" i="3"/>
  <c r="BJ13" i="3"/>
  <c r="BJ16" i="3"/>
  <c r="BJ18" i="3"/>
  <c r="BI84" i="3"/>
  <c r="BI85" i="3"/>
  <c r="BI104" i="3"/>
  <c r="BI106" i="3"/>
  <c r="BI73" i="3"/>
  <c r="BI76" i="3"/>
  <c r="BJ19" i="3"/>
  <c r="BJ21" i="3"/>
  <c r="BJ22" i="3"/>
  <c r="BJ23" i="3"/>
  <c r="BJ24" i="3"/>
  <c r="BJ111" i="3"/>
  <c r="BJ48" i="3"/>
  <c r="BJ25" i="3"/>
  <c r="BJ143" i="3"/>
  <c r="BJ144" i="3"/>
  <c r="BJ83" i="3"/>
  <c r="BL11" i="3"/>
  <c r="BL12" i="3"/>
  <c r="BL14" i="3"/>
  <c r="BL13" i="3"/>
  <c r="BL16" i="3"/>
  <c r="BL18" i="3"/>
  <c r="BJ84" i="3"/>
  <c r="BJ85" i="3"/>
  <c r="BJ104" i="3"/>
  <c r="BJ106" i="3"/>
  <c r="BJ73" i="3"/>
  <c r="BJ76" i="3"/>
  <c r="BL19" i="3"/>
  <c r="BL21" i="3"/>
  <c r="BL22" i="3"/>
  <c r="BL23" i="3"/>
  <c r="BL24" i="3"/>
  <c r="BL111" i="3"/>
  <c r="BL48" i="3"/>
  <c r="BL25" i="3"/>
  <c r="BL143" i="3"/>
  <c r="BL144" i="3"/>
  <c r="BL83" i="3"/>
  <c r="BM11" i="3"/>
  <c r="BM12" i="3"/>
  <c r="BM14" i="3"/>
  <c r="BM13" i="3"/>
  <c r="BM16" i="3"/>
  <c r="BM18" i="3"/>
  <c r="BL84" i="3"/>
  <c r="BL85" i="3"/>
  <c r="BL104" i="3"/>
  <c r="BL106" i="3"/>
  <c r="BL73" i="3"/>
  <c r="BL76" i="3"/>
  <c r="BM19" i="3"/>
  <c r="BM21" i="3"/>
  <c r="BM22" i="3"/>
  <c r="BM23" i="3"/>
  <c r="BM24" i="3"/>
  <c r="BM111" i="3"/>
  <c r="BM48" i="3"/>
  <c r="BM25" i="3"/>
  <c r="BM143" i="3"/>
  <c r="BM144" i="3"/>
  <c r="BM83" i="3"/>
  <c r="BN11" i="3"/>
  <c r="BN12" i="3"/>
  <c r="BN14" i="3"/>
  <c r="BN13" i="3"/>
  <c r="BN16" i="3"/>
  <c r="BN18" i="3"/>
  <c r="BM84" i="3"/>
  <c r="BM85" i="3"/>
  <c r="BM104" i="3"/>
  <c r="BM106" i="3"/>
  <c r="BM73" i="3"/>
  <c r="BM76" i="3"/>
  <c r="BN19" i="3"/>
  <c r="BN21" i="3"/>
  <c r="BN22" i="3"/>
  <c r="BN23" i="3"/>
  <c r="BN24" i="3"/>
  <c r="BN111" i="3"/>
  <c r="BN48" i="3"/>
  <c r="BN25" i="3"/>
  <c r="BN143" i="3"/>
  <c r="BN144" i="3"/>
  <c r="BN83" i="3"/>
  <c r="BO11" i="3"/>
  <c r="BO12" i="3"/>
  <c r="BO14" i="3"/>
  <c r="BO13" i="3"/>
  <c r="BO16" i="3"/>
  <c r="BO18" i="3"/>
  <c r="BN84" i="3"/>
  <c r="BN85" i="3"/>
  <c r="BN104" i="3"/>
  <c r="BN106" i="3"/>
  <c r="BN73" i="3"/>
  <c r="BN76" i="3"/>
  <c r="BO19" i="3"/>
  <c r="BO21" i="3"/>
  <c r="BO22" i="3"/>
  <c r="BO23" i="3"/>
  <c r="BO24" i="3"/>
  <c r="BO111" i="3"/>
  <c r="BO48" i="3"/>
  <c r="BO25" i="3"/>
  <c r="BO143" i="3"/>
  <c r="BO144" i="3"/>
  <c r="BO83" i="3"/>
  <c r="BO84" i="3"/>
  <c r="BO85" i="3"/>
  <c r="BO104" i="3"/>
  <c r="BO106" i="3"/>
  <c r="BO73" i="3"/>
  <c r="BO76" i="3"/>
  <c r="BQ19" i="3"/>
  <c r="BQ115" i="3"/>
  <c r="BQ167" i="3"/>
  <c r="BQ141" i="3"/>
  <c r="BQ168" i="3"/>
  <c r="BQ142" i="3"/>
  <c r="BQ82" i="3"/>
  <c r="BQ12" i="3"/>
  <c r="BQ16" i="3"/>
  <c r="BQ21" i="3"/>
  <c r="BQ22" i="3"/>
  <c r="BQ23" i="3"/>
  <c r="BQ24" i="3"/>
  <c r="BQ111" i="3"/>
  <c r="BQ48" i="3"/>
  <c r="BQ25" i="3"/>
  <c r="BQ143" i="3"/>
  <c r="BQ144" i="3"/>
  <c r="BQ83" i="3"/>
  <c r="BQ84" i="3"/>
  <c r="BQ85" i="3"/>
  <c r="BQ104" i="3"/>
  <c r="BQ106" i="3"/>
  <c r="BQ73" i="3"/>
  <c r="BQ76" i="3"/>
  <c r="BR19" i="3"/>
  <c r="BR115" i="3"/>
  <c r="BR167" i="3"/>
  <c r="BR141" i="3"/>
  <c r="BR168" i="3"/>
  <c r="BR142" i="3"/>
  <c r="BR82" i="3"/>
  <c r="BR12" i="3"/>
  <c r="BR16" i="3"/>
  <c r="BR21" i="3"/>
  <c r="BR22" i="3"/>
  <c r="BR23" i="3"/>
  <c r="BR24" i="3"/>
  <c r="BR111" i="3"/>
  <c r="BR48" i="3"/>
  <c r="BR25" i="3"/>
  <c r="BR143" i="3"/>
  <c r="BR144" i="3"/>
  <c r="BR83" i="3"/>
  <c r="BR84" i="3"/>
  <c r="BR85" i="3"/>
  <c r="BR104" i="3"/>
  <c r="BR106" i="3"/>
  <c r="BR73" i="3"/>
  <c r="BR76" i="3"/>
  <c r="BS19" i="3"/>
  <c r="BS115" i="3"/>
  <c r="BS167" i="3"/>
  <c r="BS141" i="3"/>
  <c r="BS168" i="3"/>
  <c r="BS142" i="3"/>
  <c r="BS82" i="3"/>
  <c r="BS12" i="3"/>
  <c r="BS16" i="3"/>
  <c r="BS21" i="3"/>
  <c r="BS22" i="3"/>
  <c r="BS23" i="3"/>
  <c r="BS24" i="3"/>
  <c r="BS111" i="3"/>
  <c r="BS48" i="3"/>
  <c r="BS25" i="3"/>
  <c r="BS143" i="3"/>
  <c r="BS144" i="3"/>
  <c r="BS83" i="3"/>
  <c r="BS84" i="3"/>
  <c r="BS85" i="3"/>
  <c r="BS104" i="3"/>
  <c r="BS106" i="3"/>
  <c r="BS73" i="3"/>
  <c r="BS76" i="3"/>
  <c r="BT19" i="3"/>
  <c r="BU19" i="3"/>
  <c r="BU21" i="3"/>
  <c r="BU22" i="3"/>
  <c r="BT12" i="3"/>
  <c r="BT16" i="3"/>
  <c r="BT21" i="3"/>
  <c r="BT22" i="3"/>
  <c r="BT23" i="3"/>
  <c r="BU23" i="3"/>
  <c r="BU24" i="3"/>
  <c r="BU111" i="3"/>
  <c r="BT115" i="3"/>
  <c r="BU115" i="3"/>
  <c r="AY96" i="3"/>
  <c r="AU96" i="3"/>
  <c r="AT96" i="3"/>
  <c r="AZ96" i="3"/>
  <c r="AZ56" i="3"/>
  <c r="AW96" i="3"/>
  <c r="BB96" i="3"/>
  <c r="BB56" i="3"/>
  <c r="AX96" i="3"/>
  <c r="BC96" i="3"/>
  <c r="BC56" i="3"/>
  <c r="BD96" i="3"/>
  <c r="BD56" i="3"/>
  <c r="BE96" i="3"/>
  <c r="BE56" i="3"/>
  <c r="BG96" i="3"/>
  <c r="BG56" i="3"/>
  <c r="BH96" i="3"/>
  <c r="BH56" i="3"/>
  <c r="BI96" i="3"/>
  <c r="BI56" i="3"/>
  <c r="BJ96" i="3"/>
  <c r="BJ56" i="3"/>
  <c r="BL96" i="3"/>
  <c r="BL56" i="3"/>
  <c r="BM96" i="3"/>
  <c r="BM56" i="3"/>
  <c r="BN96" i="3"/>
  <c r="BN56" i="3"/>
  <c r="BO96" i="3"/>
  <c r="BO56" i="3"/>
  <c r="BQ96" i="3"/>
  <c r="BQ56" i="3"/>
  <c r="BP56" i="3"/>
  <c r="BQ120" i="3"/>
  <c r="BR96" i="3"/>
  <c r="BR56" i="3"/>
  <c r="BR120" i="3"/>
  <c r="BS96" i="3"/>
  <c r="BS56" i="3"/>
  <c r="BS120" i="3"/>
  <c r="BT96" i="3"/>
  <c r="BT56" i="3"/>
  <c r="BT120" i="3"/>
  <c r="BU120" i="3"/>
  <c r="AY94" i="3"/>
  <c r="AU94" i="3"/>
  <c r="AT94" i="3"/>
  <c r="AZ94" i="3"/>
  <c r="AZ57" i="3"/>
  <c r="AW94" i="3"/>
  <c r="BB94" i="3"/>
  <c r="BB57" i="3"/>
  <c r="AX94" i="3"/>
  <c r="BC94" i="3"/>
  <c r="BC57" i="3"/>
  <c r="BD94" i="3"/>
  <c r="BD57" i="3"/>
  <c r="BE94" i="3"/>
  <c r="BE57" i="3"/>
  <c r="BG94" i="3"/>
  <c r="BG57" i="3"/>
  <c r="BH94" i="3"/>
  <c r="BH57" i="3"/>
  <c r="BI94" i="3"/>
  <c r="BI57" i="3"/>
  <c r="BJ94" i="3"/>
  <c r="BJ57" i="3"/>
  <c r="BL94" i="3"/>
  <c r="BL57" i="3"/>
  <c r="BM94" i="3"/>
  <c r="BM57" i="3"/>
  <c r="BN94" i="3"/>
  <c r="BN57" i="3"/>
  <c r="BO94" i="3"/>
  <c r="BO57" i="3"/>
  <c r="BQ94" i="3"/>
  <c r="BQ57" i="3"/>
  <c r="BP57" i="3"/>
  <c r="BQ121" i="3"/>
  <c r="BR94" i="3"/>
  <c r="BR57" i="3"/>
  <c r="BR121" i="3"/>
  <c r="BS94" i="3"/>
  <c r="BS57" i="3"/>
  <c r="BS121" i="3"/>
  <c r="BT94" i="3"/>
  <c r="BT57" i="3"/>
  <c r="BT121" i="3"/>
  <c r="BU121" i="3"/>
  <c r="AY93" i="3"/>
  <c r="AU93" i="3"/>
  <c r="AT93" i="3"/>
  <c r="AZ93" i="3"/>
  <c r="AZ59" i="3"/>
  <c r="AW93" i="3"/>
  <c r="BB93" i="3"/>
  <c r="BB59" i="3"/>
  <c r="AX93" i="3"/>
  <c r="BC93" i="3"/>
  <c r="BC59" i="3"/>
  <c r="BD93" i="3"/>
  <c r="BD59" i="3"/>
  <c r="BE93" i="3"/>
  <c r="BE59" i="3"/>
  <c r="BG93" i="3"/>
  <c r="BG59" i="3"/>
  <c r="BH93" i="3"/>
  <c r="BH59" i="3"/>
  <c r="BI93" i="3"/>
  <c r="BI59" i="3"/>
  <c r="BJ93" i="3"/>
  <c r="BJ59" i="3"/>
  <c r="BL93" i="3"/>
  <c r="BL59" i="3"/>
  <c r="BM93" i="3"/>
  <c r="BM59" i="3"/>
  <c r="BN93" i="3"/>
  <c r="BN59" i="3"/>
  <c r="BO93" i="3"/>
  <c r="BO59" i="3"/>
  <c r="BQ93" i="3"/>
  <c r="BQ59" i="3"/>
  <c r="BP59" i="3"/>
  <c r="BQ122" i="3"/>
  <c r="BR93" i="3"/>
  <c r="BR59" i="3"/>
  <c r="BR122" i="3"/>
  <c r="BS93" i="3"/>
  <c r="BS59" i="3"/>
  <c r="BS122" i="3"/>
  <c r="BT93" i="3"/>
  <c r="BT59" i="3"/>
  <c r="BT122" i="3"/>
  <c r="BU122" i="3"/>
  <c r="AY98" i="3"/>
  <c r="AU98" i="3"/>
  <c r="AT98" i="3"/>
  <c r="AZ98" i="3"/>
  <c r="AZ70" i="3"/>
  <c r="AW98" i="3"/>
  <c r="BB98" i="3"/>
  <c r="BB70" i="3"/>
  <c r="AX98" i="3"/>
  <c r="BC98" i="3"/>
  <c r="BC70" i="3"/>
  <c r="BD98" i="3"/>
  <c r="BD70" i="3"/>
  <c r="BE98" i="3"/>
  <c r="BE70" i="3"/>
  <c r="BG98" i="3"/>
  <c r="BG70" i="3"/>
  <c r="BH98" i="3"/>
  <c r="BH70" i="3"/>
  <c r="BI98" i="3"/>
  <c r="BI70" i="3"/>
  <c r="BJ98" i="3"/>
  <c r="BJ70" i="3"/>
  <c r="BL98" i="3"/>
  <c r="BL70" i="3"/>
  <c r="BM98" i="3"/>
  <c r="BM70" i="3"/>
  <c r="BN98" i="3"/>
  <c r="BN70" i="3"/>
  <c r="BO98" i="3"/>
  <c r="BO70" i="3"/>
  <c r="BQ98" i="3"/>
  <c r="BQ70" i="3"/>
  <c r="BP70" i="3"/>
  <c r="BQ124" i="3"/>
  <c r="BR98" i="3"/>
  <c r="BR70" i="3"/>
  <c r="BR124" i="3"/>
  <c r="BS98" i="3"/>
  <c r="BS70" i="3"/>
  <c r="BS124" i="3"/>
  <c r="BT98" i="3"/>
  <c r="BT70" i="3"/>
  <c r="BT124" i="3"/>
  <c r="BU124" i="3"/>
  <c r="BQ72" i="3"/>
  <c r="BO72" i="3"/>
  <c r="BP72" i="3"/>
  <c r="BQ125" i="3"/>
  <c r="BR72" i="3"/>
  <c r="BR125" i="3"/>
  <c r="BS72" i="3"/>
  <c r="BS125" i="3"/>
  <c r="BT72" i="3"/>
  <c r="BT125" i="3"/>
  <c r="BU125" i="3"/>
  <c r="AX134" i="3"/>
  <c r="AY134" i="3"/>
  <c r="AZ134" i="3"/>
  <c r="AX114" i="3"/>
  <c r="AY114" i="3"/>
  <c r="AY103" i="3"/>
  <c r="AX103" i="3"/>
  <c r="AW103" i="3"/>
  <c r="AS114" i="3"/>
  <c r="AT114" i="3"/>
  <c r="AU114" i="3"/>
  <c r="AU103" i="3"/>
  <c r="AZ103" i="3"/>
  <c r="AZ114" i="3"/>
  <c r="AZ113" i="3"/>
  <c r="AZ63" i="3"/>
  <c r="BB134" i="3"/>
  <c r="BB103" i="3"/>
  <c r="BB114" i="3"/>
  <c r="BB113" i="3"/>
  <c r="BB63" i="3"/>
  <c r="BC134" i="3"/>
  <c r="BC103" i="3"/>
  <c r="BC114" i="3"/>
  <c r="BC113" i="3"/>
  <c r="BC63" i="3"/>
  <c r="BD134" i="3"/>
  <c r="BD103" i="3"/>
  <c r="BD114" i="3"/>
  <c r="BD113" i="3"/>
  <c r="BD63" i="3"/>
  <c r="BE134" i="3"/>
  <c r="BE103" i="3"/>
  <c r="BE114" i="3"/>
  <c r="BE113" i="3"/>
  <c r="BE63" i="3"/>
  <c r="BG134" i="3"/>
  <c r="BG103" i="3"/>
  <c r="BG114" i="3"/>
  <c r="BG113" i="3"/>
  <c r="BG63" i="3"/>
  <c r="BH134" i="3"/>
  <c r="BG135" i="3"/>
  <c r="BG65" i="3"/>
  <c r="BH103" i="3"/>
  <c r="BH114" i="3"/>
  <c r="BH113" i="3"/>
  <c r="BH63" i="3"/>
  <c r="BI134" i="3"/>
  <c r="BH135" i="3"/>
  <c r="BH65" i="3"/>
  <c r="BI103" i="3"/>
  <c r="BI114" i="3"/>
  <c r="BI113" i="3"/>
  <c r="BI63" i="3"/>
  <c r="BJ134" i="3"/>
  <c r="BI135" i="3"/>
  <c r="BI65" i="3"/>
  <c r="BJ103" i="3"/>
  <c r="BJ114" i="3"/>
  <c r="BJ113" i="3"/>
  <c r="BJ63" i="3"/>
  <c r="BL134" i="3"/>
  <c r="BJ135" i="3"/>
  <c r="BJ65" i="3"/>
  <c r="BL103" i="3"/>
  <c r="BL114" i="3"/>
  <c r="BL113" i="3"/>
  <c r="BL63" i="3"/>
  <c r="BM134" i="3"/>
  <c r="BL135" i="3"/>
  <c r="BL65" i="3"/>
  <c r="BM103" i="3"/>
  <c r="BM114" i="3"/>
  <c r="BM113" i="3"/>
  <c r="BM63" i="3"/>
  <c r="BN134" i="3"/>
  <c r="BM135" i="3"/>
  <c r="BM65" i="3"/>
  <c r="BN103" i="3"/>
  <c r="BN114" i="3"/>
  <c r="BN113" i="3"/>
  <c r="BN63" i="3"/>
  <c r="BO134" i="3"/>
  <c r="BN135" i="3"/>
  <c r="BN65" i="3"/>
  <c r="BO103" i="3"/>
  <c r="BO114" i="3"/>
  <c r="BO113" i="3"/>
  <c r="BO63" i="3"/>
  <c r="BO135" i="3"/>
  <c r="BO65" i="3"/>
  <c r="BQ103" i="3"/>
  <c r="BQ114" i="3"/>
  <c r="BQ134" i="3"/>
  <c r="BQ113" i="3"/>
  <c r="BQ63" i="3"/>
  <c r="BQ135" i="3"/>
  <c r="BQ65" i="3"/>
  <c r="BR103" i="3"/>
  <c r="BR114" i="3"/>
  <c r="BR134" i="3"/>
  <c r="BR113" i="3"/>
  <c r="BR63" i="3"/>
  <c r="BR135" i="3"/>
  <c r="BR65" i="3"/>
  <c r="BS103" i="3"/>
  <c r="BS114" i="3"/>
  <c r="BS134" i="3"/>
  <c r="BS113" i="3"/>
  <c r="BS63" i="3"/>
  <c r="BS135" i="3"/>
  <c r="BS65" i="3"/>
  <c r="BT103" i="3"/>
  <c r="BT114" i="3"/>
  <c r="BU114" i="3"/>
  <c r="BU116" i="3"/>
  <c r="BU117" i="3"/>
  <c r="AZ58" i="3"/>
  <c r="BB58" i="3"/>
  <c r="BC58" i="3"/>
  <c r="BD58" i="3"/>
  <c r="BE58" i="3"/>
  <c r="BG58" i="3"/>
  <c r="BH58" i="3"/>
  <c r="BI58" i="3"/>
  <c r="BJ58" i="3"/>
  <c r="BL58" i="3"/>
  <c r="BM58" i="3"/>
  <c r="BN58" i="3"/>
  <c r="BO58" i="3"/>
  <c r="BQ58" i="3"/>
  <c r="BP58" i="3"/>
  <c r="AZ60" i="3"/>
  <c r="BB60" i="3"/>
  <c r="BC60" i="3"/>
  <c r="BD60" i="3"/>
  <c r="BE60" i="3"/>
  <c r="BG60" i="3"/>
  <c r="BH60" i="3"/>
  <c r="BI60" i="3"/>
  <c r="BJ60" i="3"/>
  <c r="BL60" i="3"/>
  <c r="BM60" i="3"/>
  <c r="BN60" i="3"/>
  <c r="BO60" i="3"/>
  <c r="BQ60" i="3"/>
  <c r="BP60" i="3"/>
  <c r="AZ66" i="3"/>
  <c r="BB66" i="3"/>
  <c r="BC66" i="3"/>
  <c r="BD66" i="3"/>
  <c r="BE66" i="3"/>
  <c r="BG66" i="3"/>
  <c r="BH66" i="3"/>
  <c r="BI66" i="3"/>
  <c r="BJ66" i="3"/>
  <c r="BL66" i="3"/>
  <c r="BM66" i="3"/>
  <c r="BN66" i="3"/>
  <c r="BO66" i="3"/>
  <c r="BQ66" i="3"/>
  <c r="BP66" i="3"/>
  <c r="BQ123" i="3"/>
  <c r="BR58" i="3"/>
  <c r="BR60" i="3"/>
  <c r="BR66" i="3"/>
  <c r="BR123" i="3"/>
  <c r="BS58" i="3"/>
  <c r="BS60" i="3"/>
  <c r="BS66" i="3"/>
  <c r="BS123" i="3"/>
  <c r="BT58" i="3"/>
  <c r="BT60" i="3"/>
  <c r="BT66" i="3"/>
  <c r="BT123" i="3"/>
  <c r="BU123" i="3"/>
  <c r="AZ71" i="3"/>
  <c r="BB71" i="3"/>
  <c r="BC71" i="3"/>
  <c r="BD71" i="3"/>
  <c r="BE71" i="3"/>
  <c r="BG71" i="3"/>
  <c r="BH71" i="3"/>
  <c r="BI71" i="3"/>
  <c r="BJ71" i="3"/>
  <c r="BL71" i="3"/>
  <c r="BM71" i="3"/>
  <c r="BN71" i="3"/>
  <c r="BO71" i="3"/>
  <c r="BQ71" i="3"/>
  <c r="BP71" i="3"/>
  <c r="AZ77" i="3"/>
  <c r="BA77" i="3"/>
  <c r="BB77" i="3"/>
  <c r="BC77" i="3"/>
  <c r="BD77" i="3"/>
  <c r="BE77" i="3"/>
  <c r="BF77" i="3"/>
  <c r="BG77" i="3"/>
  <c r="BH77" i="3"/>
  <c r="BI77" i="3"/>
  <c r="BJ77" i="3"/>
  <c r="BK77" i="3"/>
  <c r="BL77" i="3"/>
  <c r="BM77" i="3"/>
  <c r="BN77" i="3"/>
  <c r="BO77" i="3"/>
  <c r="BP77" i="3"/>
  <c r="BQ77" i="3"/>
  <c r="BQ126" i="3"/>
  <c r="BR71" i="3"/>
  <c r="BR77" i="3"/>
  <c r="BR126" i="3"/>
  <c r="BS71" i="3"/>
  <c r="BS77" i="3"/>
  <c r="BS126" i="3"/>
  <c r="BT71" i="3"/>
  <c r="BT77" i="3"/>
  <c r="BT126" i="3"/>
  <c r="BU126" i="3"/>
  <c r="BU127" i="3"/>
  <c r="BT167" i="3"/>
  <c r="BT141" i="3"/>
  <c r="BU141" i="3"/>
  <c r="BT168" i="3"/>
  <c r="BT142" i="3"/>
  <c r="BU142" i="3"/>
  <c r="BP76" i="3"/>
  <c r="BQ145" i="3"/>
  <c r="BR145" i="3"/>
  <c r="BS145" i="3"/>
  <c r="BT82" i="3"/>
  <c r="BT24" i="3"/>
  <c r="BT111" i="3"/>
  <c r="BT48" i="3"/>
  <c r="BT25" i="3"/>
  <c r="BT143" i="3"/>
  <c r="BT144" i="3"/>
  <c r="BT83" i="3"/>
  <c r="BT84" i="3"/>
  <c r="BT85" i="3"/>
  <c r="BT104" i="3"/>
  <c r="BT106" i="3"/>
  <c r="BT76" i="3"/>
  <c r="BT145" i="3"/>
  <c r="BU145" i="3"/>
  <c r="BP73" i="3"/>
  <c r="BQ146" i="3"/>
  <c r="BR146" i="3"/>
  <c r="BS146" i="3"/>
  <c r="BT73" i="3"/>
  <c r="BT146" i="3"/>
  <c r="BU146" i="3"/>
  <c r="BQ75" i="3"/>
  <c r="BO75" i="3"/>
  <c r="BP75" i="3"/>
  <c r="BQ147" i="3"/>
  <c r="BR75" i="3"/>
  <c r="BR147" i="3"/>
  <c r="BS75" i="3"/>
  <c r="BS147" i="3"/>
  <c r="BT75" i="3"/>
  <c r="BT147" i="3"/>
  <c r="BU147" i="3"/>
  <c r="BU143" i="3"/>
  <c r="BU144" i="3"/>
  <c r="BU140" i="3"/>
  <c r="BU148" i="3"/>
  <c r="BP55" i="3"/>
  <c r="BP62" i="3"/>
  <c r="BQ130" i="3"/>
  <c r="BR130" i="3"/>
  <c r="BS130" i="3"/>
  <c r="BT91" i="3"/>
  <c r="BT55" i="3"/>
  <c r="BT62" i="3"/>
  <c r="BT130" i="3"/>
  <c r="BU130" i="3"/>
  <c r="BU131" i="3"/>
  <c r="BU132" i="3"/>
  <c r="BU133" i="3"/>
  <c r="BT134" i="3"/>
  <c r="BU134" i="3"/>
  <c r="BT135" i="3"/>
  <c r="BU135" i="3"/>
  <c r="BQ136" i="3"/>
  <c r="BR136" i="3"/>
  <c r="BS136" i="3"/>
  <c r="BT136" i="3"/>
  <c r="BU136" i="3"/>
  <c r="BU137" i="3"/>
  <c r="BU149" i="3"/>
  <c r="BA141" i="3"/>
  <c r="BA142" i="3"/>
  <c r="AZ145" i="3"/>
  <c r="AX145" i="3"/>
  <c r="AY145" i="3"/>
  <c r="BA145" i="3"/>
  <c r="AZ146" i="3"/>
  <c r="AX146" i="3"/>
  <c r="AY146" i="3"/>
  <c r="BA146" i="3"/>
  <c r="AZ75" i="3"/>
  <c r="AZ147" i="3"/>
  <c r="AX147" i="3"/>
  <c r="AY147" i="3"/>
  <c r="BA147" i="3"/>
  <c r="AX143" i="3"/>
  <c r="AY143" i="3"/>
  <c r="BA143" i="3"/>
  <c r="AX144" i="3"/>
  <c r="AY144" i="3"/>
  <c r="BA144" i="3"/>
  <c r="AX140" i="3"/>
  <c r="AY140" i="3"/>
  <c r="BA140" i="3"/>
  <c r="BA148" i="3"/>
  <c r="BA10" i="3"/>
  <c r="BA11" i="3"/>
  <c r="BA12" i="3"/>
  <c r="BA14" i="3"/>
  <c r="BA13" i="3"/>
  <c r="BA16" i="3"/>
  <c r="BA18" i="3"/>
  <c r="BA19" i="3"/>
  <c r="BA21" i="3"/>
  <c r="BA22" i="3"/>
  <c r="BA23" i="3"/>
  <c r="BA24" i="3"/>
  <c r="BA111" i="3"/>
  <c r="BA115" i="3"/>
  <c r="AZ120" i="3"/>
  <c r="AX120" i="3"/>
  <c r="AY120" i="3"/>
  <c r="BA120" i="3"/>
  <c r="AZ121" i="3"/>
  <c r="AX121" i="3"/>
  <c r="AY121" i="3"/>
  <c r="BA121" i="3"/>
  <c r="AZ122" i="3"/>
  <c r="AX122" i="3"/>
  <c r="AY122" i="3"/>
  <c r="BA122" i="3"/>
  <c r="AZ124" i="3"/>
  <c r="AX124" i="3"/>
  <c r="AY124" i="3"/>
  <c r="BA124" i="3"/>
  <c r="AZ72" i="3"/>
  <c r="AZ125" i="3"/>
  <c r="AX125" i="3"/>
  <c r="AY125" i="3"/>
  <c r="BA125" i="3"/>
  <c r="BA114" i="3"/>
  <c r="AX116" i="3"/>
  <c r="AY116" i="3"/>
  <c r="BA116" i="3"/>
  <c r="AX117" i="3"/>
  <c r="AY117" i="3"/>
  <c r="BA117" i="3"/>
  <c r="AX123" i="3"/>
  <c r="AY123" i="3"/>
  <c r="AZ123" i="3"/>
  <c r="BA123" i="3"/>
  <c r="AX126" i="3"/>
  <c r="AY126" i="3"/>
  <c r="AZ126" i="3"/>
  <c r="BA126" i="3"/>
  <c r="BA127" i="3"/>
  <c r="AX130" i="3"/>
  <c r="AY130" i="3"/>
  <c r="AZ130" i="3"/>
  <c r="BA130" i="3"/>
  <c r="AX131" i="3"/>
  <c r="AY131" i="3"/>
  <c r="BA131" i="3"/>
  <c r="AX132" i="3"/>
  <c r="AY132" i="3"/>
  <c r="BA132" i="3"/>
  <c r="AX133" i="3"/>
  <c r="AY133" i="3"/>
  <c r="BA133" i="3"/>
  <c r="BA134" i="3"/>
  <c r="BA135" i="3"/>
  <c r="AX136" i="3"/>
  <c r="AY136" i="3"/>
  <c r="AZ136" i="3"/>
  <c r="BA136" i="3"/>
  <c r="BA137" i="3"/>
  <c r="BA149" i="3"/>
  <c r="AB73" i="3"/>
  <c r="AC146" i="3"/>
  <c r="AC148" i="3"/>
  <c r="AC137" i="3"/>
  <c r="AB56" i="3"/>
  <c r="AC120" i="3"/>
  <c r="AB57" i="3"/>
  <c r="AC121" i="3"/>
  <c r="AB59" i="3"/>
  <c r="AC122" i="3"/>
  <c r="AC127" i="3"/>
  <c r="AC149" i="3"/>
  <c r="AC151" i="3"/>
  <c r="AD150" i="3"/>
  <c r="AD140" i="3"/>
  <c r="AD141" i="3"/>
  <c r="AD142" i="3"/>
  <c r="AD143" i="3"/>
  <c r="AD144" i="3"/>
  <c r="AD145" i="3"/>
  <c r="AD146" i="3"/>
  <c r="AD148" i="3"/>
  <c r="AD130" i="3"/>
  <c r="AD131" i="3"/>
  <c r="AD132" i="3"/>
  <c r="AD133" i="3"/>
  <c r="AD134" i="3"/>
  <c r="AD135" i="3"/>
  <c r="AD136" i="3"/>
  <c r="AD137" i="3"/>
  <c r="AD114" i="3"/>
  <c r="AD115" i="3"/>
  <c r="AD116" i="3"/>
  <c r="AD123" i="3"/>
  <c r="AD124" i="3"/>
  <c r="AD125" i="3"/>
  <c r="AD126" i="3"/>
  <c r="AD120" i="3"/>
  <c r="AD121" i="3"/>
  <c r="AD122" i="3"/>
  <c r="AD127" i="3"/>
  <c r="AD149" i="3"/>
  <c r="AD151" i="3"/>
  <c r="AE150" i="3"/>
  <c r="AE140" i="3"/>
  <c r="AE141" i="3"/>
  <c r="AE142" i="3"/>
  <c r="AE143" i="3"/>
  <c r="AE144" i="3"/>
  <c r="AE145" i="3"/>
  <c r="AE146" i="3"/>
  <c r="AE148" i="3"/>
  <c r="AE130" i="3"/>
  <c r="AE131" i="3"/>
  <c r="AE132" i="3"/>
  <c r="AE133" i="3"/>
  <c r="AE134" i="3"/>
  <c r="AE135" i="3"/>
  <c r="AE136" i="3"/>
  <c r="AE137" i="3"/>
  <c r="AE114" i="3"/>
  <c r="AE115" i="3"/>
  <c r="AE116" i="3"/>
  <c r="AE120" i="3"/>
  <c r="AE121" i="3"/>
  <c r="AE122" i="3"/>
  <c r="AE123" i="3"/>
  <c r="AE124" i="3"/>
  <c r="AE125" i="3"/>
  <c r="AE126" i="3"/>
  <c r="AE127" i="3"/>
  <c r="AE149" i="3"/>
  <c r="AE151" i="3"/>
  <c r="AF150" i="3"/>
  <c r="AF140" i="3"/>
  <c r="AF141" i="3"/>
  <c r="AF142" i="3"/>
  <c r="AF143" i="3"/>
  <c r="AF144" i="3"/>
  <c r="AF145" i="3"/>
  <c r="AF146" i="3"/>
  <c r="AF147" i="3"/>
  <c r="AF148" i="3"/>
  <c r="AF130" i="3"/>
  <c r="AF131" i="3"/>
  <c r="AF132" i="3"/>
  <c r="AF133" i="3"/>
  <c r="AF134" i="3"/>
  <c r="AF135" i="3"/>
  <c r="AF136" i="3"/>
  <c r="AF137" i="3"/>
  <c r="AF114" i="3"/>
  <c r="AF115" i="3"/>
  <c r="AF116" i="3"/>
  <c r="AF120" i="3"/>
  <c r="AF121" i="3"/>
  <c r="AF122" i="3"/>
  <c r="AF123" i="3"/>
  <c r="AF124" i="3"/>
  <c r="AF125" i="3"/>
  <c r="AF126" i="3"/>
  <c r="AF127" i="3"/>
  <c r="AF149" i="3"/>
  <c r="AF151" i="3"/>
  <c r="AG151" i="3"/>
  <c r="AL150" i="3"/>
  <c r="AH148" i="3"/>
  <c r="AI140" i="3"/>
  <c r="AI143" i="3"/>
  <c r="AI144" i="3"/>
  <c r="AI145" i="3"/>
  <c r="AI146" i="3"/>
  <c r="AI147" i="3"/>
  <c r="AI148" i="3"/>
  <c r="AJ140" i="3"/>
  <c r="AJ143" i="3"/>
  <c r="AJ144" i="3"/>
  <c r="AJ145" i="3"/>
  <c r="AJ146" i="3"/>
  <c r="AJ147" i="3"/>
  <c r="AJ148" i="3"/>
  <c r="AK140" i="3"/>
  <c r="AK143" i="3"/>
  <c r="AK144" i="3"/>
  <c r="AK145" i="3"/>
  <c r="AK146" i="3"/>
  <c r="AK147" i="3"/>
  <c r="AK148" i="3"/>
  <c r="AL148" i="3"/>
  <c r="AI130" i="3"/>
  <c r="AJ130" i="3"/>
  <c r="AK130" i="3"/>
  <c r="AL130" i="3"/>
  <c r="AI131" i="3"/>
  <c r="AJ131" i="3"/>
  <c r="AK131" i="3"/>
  <c r="AL131" i="3"/>
  <c r="AI132" i="3"/>
  <c r="AJ132" i="3"/>
  <c r="AK132" i="3"/>
  <c r="AL132" i="3"/>
  <c r="AI133" i="3"/>
  <c r="AJ133" i="3"/>
  <c r="AK133" i="3"/>
  <c r="AL133" i="3"/>
  <c r="AI134" i="3"/>
  <c r="AJ134" i="3"/>
  <c r="AK134" i="3"/>
  <c r="AL134" i="3"/>
  <c r="AI135" i="3"/>
  <c r="AJ135" i="3"/>
  <c r="AK135" i="3"/>
  <c r="AL135" i="3"/>
  <c r="AI136" i="3"/>
  <c r="AJ136" i="3"/>
  <c r="AK136" i="3"/>
  <c r="AL136" i="3"/>
  <c r="AL137" i="3"/>
  <c r="AI114" i="3"/>
  <c r="AJ114" i="3"/>
  <c r="AK114" i="3"/>
  <c r="AL114" i="3"/>
  <c r="AL115" i="3"/>
  <c r="AI116" i="3"/>
  <c r="AJ116" i="3"/>
  <c r="AK116" i="3"/>
  <c r="AL116" i="3"/>
  <c r="AL117" i="3"/>
  <c r="AI120" i="3"/>
  <c r="AJ120" i="3"/>
  <c r="AK120" i="3"/>
  <c r="AL120" i="3"/>
  <c r="AI121" i="3"/>
  <c r="AJ121" i="3"/>
  <c r="AK121" i="3"/>
  <c r="AL121" i="3"/>
  <c r="AI122" i="3"/>
  <c r="AJ122" i="3"/>
  <c r="AK122" i="3"/>
  <c r="AL122" i="3"/>
  <c r="AI123" i="3"/>
  <c r="AJ123" i="3"/>
  <c r="AK123" i="3"/>
  <c r="AL123" i="3"/>
  <c r="AI124" i="3"/>
  <c r="AJ124" i="3"/>
  <c r="AK124" i="3"/>
  <c r="AL124" i="3"/>
  <c r="AI125" i="3"/>
  <c r="AJ125" i="3"/>
  <c r="AK125" i="3"/>
  <c r="AL125" i="3"/>
  <c r="AI126" i="3"/>
  <c r="AJ126" i="3"/>
  <c r="AK126" i="3"/>
  <c r="AL126" i="3"/>
  <c r="AL127" i="3"/>
  <c r="AL149" i="3"/>
  <c r="AL151" i="3"/>
  <c r="AQ150" i="3"/>
  <c r="AN140" i="3"/>
  <c r="AO140" i="3"/>
  <c r="AP140" i="3"/>
  <c r="AQ140" i="3"/>
  <c r="AN141" i="3"/>
  <c r="AO141" i="3"/>
  <c r="AP141" i="3"/>
  <c r="AQ141" i="3"/>
  <c r="AN142" i="3"/>
  <c r="AO142" i="3"/>
  <c r="AP142" i="3"/>
  <c r="AQ142" i="3"/>
  <c r="AN143" i="3"/>
  <c r="AO143" i="3"/>
  <c r="AP143" i="3"/>
  <c r="AQ143" i="3"/>
  <c r="AN144" i="3"/>
  <c r="AO144" i="3"/>
  <c r="AP144" i="3"/>
  <c r="AQ144" i="3"/>
  <c r="AN145" i="3"/>
  <c r="AO145" i="3"/>
  <c r="AP145" i="3"/>
  <c r="AQ145" i="3"/>
  <c r="AN146" i="3"/>
  <c r="AO146" i="3"/>
  <c r="AP146" i="3"/>
  <c r="AQ146" i="3"/>
  <c r="AN147" i="3"/>
  <c r="AQ147" i="3"/>
  <c r="AQ148" i="3"/>
  <c r="AN130" i="3"/>
  <c r="AO130" i="3"/>
  <c r="AP130" i="3"/>
  <c r="AQ130" i="3"/>
  <c r="AN131" i="3"/>
  <c r="AO131" i="3"/>
  <c r="AP131" i="3"/>
  <c r="AQ131" i="3"/>
  <c r="AN132" i="3"/>
  <c r="AO132" i="3"/>
  <c r="AP132" i="3"/>
  <c r="AQ132" i="3"/>
  <c r="AN133" i="3"/>
  <c r="AO133" i="3"/>
  <c r="AP133" i="3"/>
  <c r="AQ133" i="3"/>
  <c r="AN134" i="3"/>
  <c r="AO134" i="3"/>
  <c r="AP134" i="3"/>
  <c r="AQ134" i="3"/>
  <c r="AN135" i="3"/>
  <c r="AO135" i="3"/>
  <c r="AP135" i="3"/>
  <c r="AQ135" i="3"/>
  <c r="AN136" i="3"/>
  <c r="AO136" i="3"/>
  <c r="AP136" i="3"/>
  <c r="AQ136" i="3"/>
  <c r="AQ137" i="3"/>
  <c r="AN114" i="3"/>
  <c r="AN113" i="3"/>
  <c r="AM113" i="3"/>
  <c r="AO113" i="3"/>
  <c r="AO114" i="3"/>
  <c r="AP113" i="3"/>
  <c r="AP114" i="3"/>
  <c r="AQ114" i="3"/>
  <c r="AQ115" i="3"/>
  <c r="AN116" i="3"/>
  <c r="AO116" i="3"/>
  <c r="AP116" i="3"/>
  <c r="AQ116" i="3"/>
  <c r="AN117" i="3"/>
  <c r="AO117" i="3"/>
  <c r="AP117" i="3"/>
  <c r="AQ117" i="3"/>
  <c r="AN120" i="3"/>
  <c r="AO120" i="3"/>
  <c r="AP120" i="3"/>
  <c r="AQ120" i="3"/>
  <c r="AN121" i="3"/>
  <c r="AO121" i="3"/>
  <c r="AP121" i="3"/>
  <c r="AQ121" i="3"/>
  <c r="AN122" i="3"/>
  <c r="AO122" i="3"/>
  <c r="AP122" i="3"/>
  <c r="AQ122" i="3"/>
  <c r="AN123" i="3"/>
  <c r="AO123" i="3"/>
  <c r="AP123" i="3"/>
  <c r="AQ123" i="3"/>
  <c r="AN124" i="3"/>
  <c r="AO124" i="3"/>
  <c r="AP124" i="3"/>
  <c r="AQ124" i="3"/>
  <c r="AN125" i="3"/>
  <c r="AO125" i="3"/>
  <c r="AP125" i="3"/>
  <c r="AQ125" i="3"/>
  <c r="AN126" i="3"/>
  <c r="AO126" i="3"/>
  <c r="AP126" i="3"/>
  <c r="AQ126" i="3"/>
  <c r="AQ127" i="3"/>
  <c r="AQ149" i="3"/>
  <c r="AQ151" i="3"/>
  <c r="AV150" i="3"/>
  <c r="AS140" i="3"/>
  <c r="AT140" i="3"/>
  <c r="AU140" i="3"/>
  <c r="AV140" i="3"/>
  <c r="AU141" i="3"/>
  <c r="AV141" i="3"/>
  <c r="AS142" i="3"/>
  <c r="AT142" i="3"/>
  <c r="AU142" i="3"/>
  <c r="AV142" i="3"/>
  <c r="AS143" i="3"/>
  <c r="AT143" i="3"/>
  <c r="AU143" i="3"/>
  <c r="AV143" i="3"/>
  <c r="AS144" i="3"/>
  <c r="AT144" i="3"/>
  <c r="AU144" i="3"/>
  <c r="AV144" i="3"/>
  <c r="AS145" i="3"/>
  <c r="AT145" i="3"/>
  <c r="AU145" i="3"/>
  <c r="AV145" i="3"/>
  <c r="AS146" i="3"/>
  <c r="AT146" i="3"/>
  <c r="AU146" i="3"/>
  <c r="AV146" i="3"/>
  <c r="AS147" i="3"/>
  <c r="AU147" i="3"/>
  <c r="AV147" i="3"/>
  <c r="AV148" i="3"/>
  <c r="AS130" i="3"/>
  <c r="AT130" i="3"/>
  <c r="AU130" i="3"/>
  <c r="AV130" i="3"/>
  <c r="AS131" i="3"/>
  <c r="AT131" i="3"/>
  <c r="AU131" i="3"/>
  <c r="AV131" i="3"/>
  <c r="AS132" i="3"/>
  <c r="AT132" i="3"/>
  <c r="AU132" i="3"/>
  <c r="AV132" i="3"/>
  <c r="AS133" i="3"/>
  <c r="AT133" i="3"/>
  <c r="AU133" i="3"/>
  <c r="AV133" i="3"/>
  <c r="AS134" i="3"/>
  <c r="AT134" i="3"/>
  <c r="AU134" i="3"/>
  <c r="AV134" i="3"/>
  <c r="AV135" i="3"/>
  <c r="AS136" i="3"/>
  <c r="AT136" i="3"/>
  <c r="AU136" i="3"/>
  <c r="AV136" i="3"/>
  <c r="AV137" i="3"/>
  <c r="AV114" i="3"/>
  <c r="AS115" i="3"/>
  <c r="AT115" i="3"/>
  <c r="AU115" i="3"/>
  <c r="AV115" i="3"/>
  <c r="AS116" i="3"/>
  <c r="AT116" i="3"/>
  <c r="AU116" i="3"/>
  <c r="AV116" i="3"/>
  <c r="AS117" i="3"/>
  <c r="AT117" i="3"/>
  <c r="AU117" i="3"/>
  <c r="AV117" i="3"/>
  <c r="AS120" i="3"/>
  <c r="AT120" i="3"/>
  <c r="AU120" i="3"/>
  <c r="AV120" i="3"/>
  <c r="AS121" i="3"/>
  <c r="AT121" i="3"/>
  <c r="AU121" i="3"/>
  <c r="AV121" i="3"/>
  <c r="AS122" i="3"/>
  <c r="AT122" i="3"/>
  <c r="AU122" i="3"/>
  <c r="AV122" i="3"/>
  <c r="AS123" i="3"/>
  <c r="AT123" i="3"/>
  <c r="AU123" i="3"/>
  <c r="AV123" i="3"/>
  <c r="AS124" i="3"/>
  <c r="AT124" i="3"/>
  <c r="AU124" i="3"/>
  <c r="AV124" i="3"/>
  <c r="AS125" i="3"/>
  <c r="AT125" i="3"/>
  <c r="AU125" i="3"/>
  <c r="AV125" i="3"/>
  <c r="AS126" i="3"/>
  <c r="AT126" i="3"/>
  <c r="AU126" i="3"/>
  <c r="AV126" i="3"/>
  <c r="AV127" i="3"/>
  <c r="AV149" i="3"/>
  <c r="AV151" i="3"/>
  <c r="BA150" i="3"/>
  <c r="BA151" i="3"/>
  <c r="BF150" i="3"/>
  <c r="BF141" i="3"/>
  <c r="BF142" i="3"/>
  <c r="BA76" i="3"/>
  <c r="BB145" i="3"/>
  <c r="BC145" i="3"/>
  <c r="BD145" i="3"/>
  <c r="BE145" i="3"/>
  <c r="BF145" i="3"/>
  <c r="BA73" i="3"/>
  <c r="BB146" i="3"/>
  <c r="BC146" i="3"/>
  <c r="BD146" i="3"/>
  <c r="BE146" i="3"/>
  <c r="BF146" i="3"/>
  <c r="BB75" i="3"/>
  <c r="BA75" i="3"/>
  <c r="BB147" i="3"/>
  <c r="BC75" i="3"/>
  <c r="BC147" i="3"/>
  <c r="BD75" i="3"/>
  <c r="BD147" i="3"/>
  <c r="BE75" i="3"/>
  <c r="BE147" i="3"/>
  <c r="BF147" i="3"/>
  <c r="BF143" i="3"/>
  <c r="BF144" i="3"/>
  <c r="BF140" i="3"/>
  <c r="BF148" i="3"/>
  <c r="BF10" i="3"/>
  <c r="BF11" i="3"/>
  <c r="BF12" i="3"/>
  <c r="BF14" i="3"/>
  <c r="BF13" i="3"/>
  <c r="BF16" i="3"/>
  <c r="BF18" i="3"/>
  <c r="BF19" i="3"/>
  <c r="BF21" i="3"/>
  <c r="BF22" i="3"/>
  <c r="BF23" i="3"/>
  <c r="BF24" i="3"/>
  <c r="BF111" i="3"/>
  <c r="BF115" i="3"/>
  <c r="BA56" i="3"/>
  <c r="BB120" i="3"/>
  <c r="BC120" i="3"/>
  <c r="BD120" i="3"/>
  <c r="BE120" i="3"/>
  <c r="BF120" i="3"/>
  <c r="BA57" i="3"/>
  <c r="BB121" i="3"/>
  <c r="BC121" i="3"/>
  <c r="BD121" i="3"/>
  <c r="BE121" i="3"/>
  <c r="BF121" i="3"/>
  <c r="BA59" i="3"/>
  <c r="BB122" i="3"/>
  <c r="BC122" i="3"/>
  <c r="BD122" i="3"/>
  <c r="BE122" i="3"/>
  <c r="BF122" i="3"/>
  <c r="BA70" i="3"/>
  <c r="BB124" i="3"/>
  <c r="BC124" i="3"/>
  <c r="BD124" i="3"/>
  <c r="BE124" i="3"/>
  <c r="BF124" i="3"/>
  <c r="BB72" i="3"/>
  <c r="BA72" i="3"/>
  <c r="BB125" i="3"/>
  <c r="BC72" i="3"/>
  <c r="BC125" i="3"/>
  <c r="BD72" i="3"/>
  <c r="BD125" i="3"/>
  <c r="BE72" i="3"/>
  <c r="BE125" i="3"/>
  <c r="BF125" i="3"/>
  <c r="BF114" i="3"/>
  <c r="BF116" i="3"/>
  <c r="BF117" i="3"/>
  <c r="BA58" i="3"/>
  <c r="BA60" i="3"/>
  <c r="BA66" i="3"/>
  <c r="BB123" i="3"/>
  <c r="BC123" i="3"/>
  <c r="BD123" i="3"/>
  <c r="BE123" i="3"/>
  <c r="BF123" i="3"/>
  <c r="BA71" i="3"/>
  <c r="BB126" i="3"/>
  <c r="BC126" i="3"/>
  <c r="BD126" i="3"/>
  <c r="BE126" i="3"/>
  <c r="BF126" i="3"/>
  <c r="BF127" i="3"/>
  <c r="BA55" i="3"/>
  <c r="BA62" i="3"/>
  <c r="BB130" i="3"/>
  <c r="BC130" i="3"/>
  <c r="BD130" i="3"/>
  <c r="BE130" i="3"/>
  <c r="BF130" i="3"/>
  <c r="BF131" i="3"/>
  <c r="BF132" i="3"/>
  <c r="BF133" i="3"/>
  <c r="BF134" i="3"/>
  <c r="BF135" i="3"/>
  <c r="BB136" i="3"/>
  <c r="BC136" i="3"/>
  <c r="BD136" i="3"/>
  <c r="BE136" i="3"/>
  <c r="BF136" i="3"/>
  <c r="BF137" i="3"/>
  <c r="BF149" i="3"/>
  <c r="BF151" i="3"/>
  <c r="BK150" i="3"/>
  <c r="BK141" i="3"/>
  <c r="BK142" i="3"/>
  <c r="BF76" i="3"/>
  <c r="BG145" i="3"/>
  <c r="BH145" i="3"/>
  <c r="BI145" i="3"/>
  <c r="BJ145" i="3"/>
  <c r="BK145" i="3"/>
  <c r="BF73" i="3"/>
  <c r="BG146" i="3"/>
  <c r="BH146" i="3"/>
  <c r="BI146" i="3"/>
  <c r="BJ146" i="3"/>
  <c r="BK146" i="3"/>
  <c r="BG75" i="3"/>
  <c r="BF75" i="3"/>
  <c r="BG147" i="3"/>
  <c r="BH75" i="3"/>
  <c r="BH147" i="3"/>
  <c r="BI75" i="3"/>
  <c r="BI147" i="3"/>
  <c r="BJ75" i="3"/>
  <c r="BJ147" i="3"/>
  <c r="BK147" i="3"/>
  <c r="BK143" i="3"/>
  <c r="BK144" i="3"/>
  <c r="BK140" i="3"/>
  <c r="BK148" i="3"/>
  <c r="BK10" i="3"/>
  <c r="BK11" i="3"/>
  <c r="BK12" i="3"/>
  <c r="BK14" i="3"/>
  <c r="BK13" i="3"/>
  <c r="BK16" i="3"/>
  <c r="BK18" i="3"/>
  <c r="BK19" i="3"/>
  <c r="BK21" i="3"/>
  <c r="BK22" i="3"/>
  <c r="BK23" i="3"/>
  <c r="BK24" i="3"/>
  <c r="BK111" i="3"/>
  <c r="BK115" i="3"/>
  <c r="BF56" i="3"/>
  <c r="BG120" i="3"/>
  <c r="BH120" i="3"/>
  <c r="BI120" i="3"/>
  <c r="BJ120" i="3"/>
  <c r="BK120" i="3"/>
  <c r="BF57" i="3"/>
  <c r="BG121" i="3"/>
  <c r="BH121" i="3"/>
  <c r="BI121" i="3"/>
  <c r="BJ121" i="3"/>
  <c r="BK121" i="3"/>
  <c r="BF59" i="3"/>
  <c r="BG122" i="3"/>
  <c r="BH122" i="3"/>
  <c r="BI122" i="3"/>
  <c r="BJ122" i="3"/>
  <c r="BK122" i="3"/>
  <c r="BF70" i="3"/>
  <c r="BG124" i="3"/>
  <c r="BH124" i="3"/>
  <c r="BI124" i="3"/>
  <c r="BJ124" i="3"/>
  <c r="BK124" i="3"/>
  <c r="BG72" i="3"/>
  <c r="BF72" i="3"/>
  <c r="BG125" i="3"/>
  <c r="BH72" i="3"/>
  <c r="BH125" i="3"/>
  <c r="BI72" i="3"/>
  <c r="BI125" i="3"/>
  <c r="BJ72" i="3"/>
  <c r="BJ125" i="3"/>
  <c r="BK125" i="3"/>
  <c r="BK114" i="3"/>
  <c r="BK116" i="3"/>
  <c r="BK117" i="3"/>
  <c r="BF58" i="3"/>
  <c r="BF60" i="3"/>
  <c r="BF66" i="3"/>
  <c r="BG123" i="3"/>
  <c r="BH123" i="3"/>
  <c r="BI123" i="3"/>
  <c r="BJ123" i="3"/>
  <c r="BK123" i="3"/>
  <c r="BF71" i="3"/>
  <c r="BG126" i="3"/>
  <c r="BH126" i="3"/>
  <c r="BI126" i="3"/>
  <c r="BJ126" i="3"/>
  <c r="BK126" i="3"/>
  <c r="BK127" i="3"/>
  <c r="BF55" i="3"/>
  <c r="BF62" i="3"/>
  <c r="BG130" i="3"/>
  <c r="BH130" i="3"/>
  <c r="BI130" i="3"/>
  <c r="BJ130" i="3"/>
  <c r="BK130" i="3"/>
  <c r="BK131" i="3"/>
  <c r="BK132" i="3"/>
  <c r="BK133" i="3"/>
  <c r="BK134" i="3"/>
  <c r="BK135" i="3"/>
  <c r="BG136" i="3"/>
  <c r="BH136" i="3"/>
  <c r="BI136" i="3"/>
  <c r="BJ136" i="3"/>
  <c r="BK136" i="3"/>
  <c r="BK137" i="3"/>
  <c r="BK149" i="3"/>
  <c r="BK151" i="3"/>
  <c r="BP150" i="3"/>
  <c r="BP141" i="3"/>
  <c r="BP142" i="3"/>
  <c r="BK76" i="3"/>
  <c r="BL145" i="3"/>
  <c r="BM145" i="3"/>
  <c r="BN145" i="3"/>
  <c r="BO145" i="3"/>
  <c r="BP145" i="3"/>
  <c r="BK73" i="3"/>
  <c r="BL146" i="3"/>
  <c r="BM146" i="3"/>
  <c r="BN146" i="3"/>
  <c r="BO146" i="3"/>
  <c r="BP146" i="3"/>
  <c r="BL75" i="3"/>
  <c r="BK75" i="3"/>
  <c r="BL147" i="3"/>
  <c r="BM75" i="3"/>
  <c r="BM147" i="3"/>
  <c r="BN75" i="3"/>
  <c r="BN147" i="3"/>
  <c r="BO147" i="3"/>
  <c r="BP147" i="3"/>
  <c r="BP143" i="3"/>
  <c r="BP144" i="3"/>
  <c r="BP140" i="3"/>
  <c r="BP148" i="3"/>
  <c r="BP10" i="3"/>
  <c r="BP11" i="3"/>
  <c r="BP12" i="3"/>
  <c r="BP14" i="3"/>
  <c r="BP13" i="3"/>
  <c r="BP16" i="3"/>
  <c r="BP18" i="3"/>
  <c r="BP19" i="3"/>
  <c r="BP21" i="3"/>
  <c r="BP22" i="3"/>
  <c r="BP23" i="3"/>
  <c r="BP24" i="3"/>
  <c r="BP111" i="3"/>
  <c r="BP115" i="3"/>
  <c r="BK56" i="3"/>
  <c r="BL120" i="3"/>
  <c r="BM120" i="3"/>
  <c r="BN120" i="3"/>
  <c r="BO120" i="3"/>
  <c r="BP120" i="3"/>
  <c r="BK57" i="3"/>
  <c r="BL121" i="3"/>
  <c r="BM121" i="3"/>
  <c r="BN121" i="3"/>
  <c r="BO121" i="3"/>
  <c r="BP121" i="3"/>
  <c r="BK59" i="3"/>
  <c r="BL122" i="3"/>
  <c r="BM122" i="3"/>
  <c r="BN122" i="3"/>
  <c r="BO122" i="3"/>
  <c r="BP122" i="3"/>
  <c r="BK70" i="3"/>
  <c r="BL124" i="3"/>
  <c r="BM124" i="3"/>
  <c r="BN124" i="3"/>
  <c r="BO124" i="3"/>
  <c r="BP124" i="3"/>
  <c r="BL72" i="3"/>
  <c r="BK72" i="3"/>
  <c r="BL125" i="3"/>
  <c r="BM72" i="3"/>
  <c r="BM125" i="3"/>
  <c r="BN72" i="3"/>
  <c r="BN125" i="3"/>
  <c r="BO125" i="3"/>
  <c r="BP125" i="3"/>
  <c r="BP114" i="3"/>
  <c r="BP116" i="3"/>
  <c r="BP117" i="3"/>
  <c r="BK58" i="3"/>
  <c r="BK60" i="3"/>
  <c r="BK66" i="3"/>
  <c r="BL123" i="3"/>
  <c r="BM123" i="3"/>
  <c r="BN123" i="3"/>
  <c r="BO123" i="3"/>
  <c r="BP123" i="3"/>
  <c r="BK71" i="3"/>
  <c r="BL126" i="3"/>
  <c r="BM126" i="3"/>
  <c r="BN126" i="3"/>
  <c r="BO126" i="3"/>
  <c r="BP126" i="3"/>
  <c r="BP127" i="3"/>
  <c r="BK55" i="3"/>
  <c r="BK62" i="3"/>
  <c r="BL130" i="3"/>
  <c r="BM130" i="3"/>
  <c r="BN130" i="3"/>
  <c r="BO130" i="3"/>
  <c r="BP130" i="3"/>
  <c r="BP131" i="3"/>
  <c r="BP132" i="3"/>
  <c r="BP133" i="3"/>
  <c r="BP134" i="3"/>
  <c r="BP135" i="3"/>
  <c r="BL136" i="3"/>
  <c r="BM136" i="3"/>
  <c r="BN136" i="3"/>
  <c r="BO136" i="3"/>
  <c r="BP136" i="3"/>
  <c r="BP137" i="3"/>
  <c r="BP149" i="3"/>
  <c r="BP151" i="3"/>
  <c r="BU150" i="3"/>
  <c r="BU151" i="3"/>
  <c r="AZ26" i="3"/>
  <c r="BB26" i="3"/>
  <c r="BC26" i="3"/>
  <c r="BD26" i="3"/>
  <c r="BD28" i="3"/>
  <c r="AZ28" i="3"/>
  <c r="BB28" i="3"/>
  <c r="BC28" i="3"/>
  <c r="AW150" i="3"/>
  <c r="AW148" i="3"/>
  <c r="AW137" i="3"/>
  <c r="AW127" i="3"/>
  <c r="AW149" i="3"/>
  <c r="AW151" i="3"/>
  <c r="AX150" i="3"/>
  <c r="AX148" i="3"/>
  <c r="AX137" i="3"/>
  <c r="AX127" i="3"/>
  <c r="AX149" i="3"/>
  <c r="AX151" i="3"/>
  <c r="AY150" i="3"/>
  <c r="AY148" i="3"/>
  <c r="AY137" i="3"/>
  <c r="AY127" i="3"/>
  <c r="AY149" i="3"/>
  <c r="AY151" i="3"/>
  <c r="AY54" i="3"/>
  <c r="AY160" i="3"/>
  <c r="C178" i="3"/>
  <c r="AN158" i="3"/>
  <c r="AN161" i="3"/>
  <c r="C179" i="3"/>
  <c r="C180" i="3"/>
  <c r="C181" i="3"/>
  <c r="AW33" i="3"/>
  <c r="AR33" i="3"/>
  <c r="AM33" i="3"/>
  <c r="AX33" i="3"/>
  <c r="AS33" i="3"/>
  <c r="AN33" i="3"/>
  <c r="AY33" i="3"/>
  <c r="AT33" i="3"/>
  <c r="AO33" i="3"/>
  <c r="AU33" i="3"/>
  <c r="AP33" i="3"/>
  <c r="AK33" i="3"/>
  <c r="AW12" i="3"/>
  <c r="AW35" i="3"/>
  <c r="AX12" i="3"/>
  <c r="AX35" i="3"/>
  <c r="AY12" i="3"/>
  <c r="AY35" i="3"/>
  <c r="AU12" i="3"/>
  <c r="AU35" i="3"/>
  <c r="AZ20" i="3"/>
  <c r="AZ29" i="3"/>
  <c r="AY47" i="3"/>
  <c r="BB20" i="3"/>
  <c r="BB29" i="3"/>
  <c r="BC20" i="3"/>
  <c r="BC29" i="3"/>
  <c r="BD20" i="3"/>
  <c r="BD29" i="3"/>
  <c r="BE20" i="3"/>
  <c r="BE29" i="3"/>
  <c r="BG20" i="3"/>
  <c r="BG29" i="3"/>
  <c r="BH20" i="3"/>
  <c r="BH29" i="3"/>
  <c r="BI20" i="3"/>
  <c r="BI29" i="3"/>
  <c r="BJ20" i="3"/>
  <c r="BJ29" i="3"/>
  <c r="BL20" i="3"/>
  <c r="BL29" i="3"/>
  <c r="BM20" i="3"/>
  <c r="BM29" i="3"/>
  <c r="BN20" i="3"/>
  <c r="BN29" i="3"/>
  <c r="BO20" i="3"/>
  <c r="BO29" i="3"/>
  <c r="BQ20" i="3"/>
  <c r="BQ29" i="3"/>
  <c r="BR20" i="3"/>
  <c r="BR29" i="3"/>
  <c r="BS20" i="3"/>
  <c r="BS29" i="3"/>
  <c r="BT20" i="3"/>
  <c r="BU20" i="3"/>
  <c r="BG112" i="3"/>
  <c r="BH112" i="3"/>
  <c r="BI112" i="3"/>
  <c r="BJ112" i="3"/>
  <c r="AY42" i="3"/>
  <c r="C195" i="3"/>
  <c r="BT29" i="3"/>
  <c r="BU76" i="3"/>
  <c r="AV23" i="3"/>
  <c r="AV10" i="3"/>
  <c r="AV11" i="3"/>
  <c r="AV12" i="3"/>
  <c r="AV14" i="3"/>
  <c r="AV13" i="3"/>
  <c r="AV16" i="3"/>
  <c r="AV18" i="3"/>
  <c r="AV19" i="3"/>
  <c r="AV20" i="3"/>
  <c r="AV21" i="3"/>
  <c r="AV22" i="3"/>
  <c r="AV38" i="3"/>
  <c r="C196" i="3"/>
  <c r="BU152" i="3"/>
  <c r="C186" i="3"/>
  <c r="C187" i="3"/>
  <c r="AM73" i="3"/>
  <c r="C194" i="3"/>
  <c r="C191" i="3"/>
  <c r="C193" i="3"/>
  <c r="C197" i="3"/>
  <c r="C198" i="3"/>
  <c r="BU154" i="3"/>
  <c r="AQ10" i="3"/>
  <c r="AV33" i="3"/>
  <c r="AL10" i="3"/>
  <c r="AQ33" i="3"/>
  <c r="AG10" i="3"/>
  <c r="AL33" i="3"/>
  <c r="BA33" i="3"/>
  <c r="BF33" i="3"/>
  <c r="BK33" i="3"/>
  <c r="BP33" i="3"/>
  <c r="BU33" i="3"/>
  <c r="BT148" i="3"/>
  <c r="BT127" i="3"/>
  <c r="BT137" i="3"/>
  <c r="BT149" i="3"/>
  <c r="BQ148" i="3"/>
  <c r="BQ127" i="3"/>
  <c r="BQ137" i="3"/>
  <c r="BQ149" i="3"/>
  <c r="AC12" i="3"/>
  <c r="AC16" i="3"/>
  <c r="AC22" i="3"/>
  <c r="AC24" i="3"/>
  <c r="AC111" i="3"/>
  <c r="AD12" i="3"/>
  <c r="AD16" i="3"/>
  <c r="AD22" i="3"/>
  <c r="AD24" i="3"/>
  <c r="AD111" i="3"/>
  <c r="AE12" i="3"/>
  <c r="AE16" i="3"/>
  <c r="AE22" i="3"/>
  <c r="AE24" i="3"/>
  <c r="AE111" i="3"/>
  <c r="AF12" i="3"/>
  <c r="AF16" i="3"/>
  <c r="AF22" i="3"/>
  <c r="AF24" i="3"/>
  <c r="AF111" i="3"/>
  <c r="AL11" i="3"/>
  <c r="AL12" i="3"/>
  <c r="AL14" i="3"/>
  <c r="AL13" i="3"/>
  <c r="AL16" i="3"/>
  <c r="AL21" i="3"/>
  <c r="AL22" i="3"/>
  <c r="AL23" i="3"/>
  <c r="AL24" i="3"/>
  <c r="AL111" i="3"/>
  <c r="AQ11" i="3"/>
  <c r="AQ12" i="3"/>
  <c r="AQ14" i="3"/>
  <c r="AQ13" i="3"/>
  <c r="AQ16" i="3"/>
  <c r="AQ18" i="3"/>
  <c r="AQ19" i="3"/>
  <c r="AQ20" i="3"/>
  <c r="AQ21" i="3"/>
  <c r="AQ22" i="3"/>
  <c r="AQ23" i="3"/>
  <c r="AQ24" i="3"/>
  <c r="AQ111" i="3"/>
  <c r="AV24" i="3"/>
  <c r="AV111" i="3"/>
  <c r="BA20" i="3"/>
  <c r="BF20" i="3"/>
  <c r="BK20" i="3"/>
  <c r="BP20" i="3"/>
  <c r="BQ150" i="3"/>
  <c r="BQ151" i="3"/>
  <c r="BR150" i="3"/>
  <c r="BR148" i="3"/>
  <c r="BR127" i="3"/>
  <c r="BR137" i="3"/>
  <c r="BR149" i="3"/>
  <c r="BR151" i="3"/>
  <c r="BS150" i="3"/>
  <c r="BS148" i="3"/>
  <c r="BS127" i="3"/>
  <c r="BS137" i="3"/>
  <c r="BS149" i="3"/>
  <c r="BS151" i="3"/>
  <c r="BT150" i="3"/>
  <c r="BT151" i="3"/>
  <c r="BT54" i="3"/>
  <c r="BU170" i="3"/>
  <c r="E134" i="3"/>
  <c r="F134" i="3"/>
  <c r="G134" i="3"/>
  <c r="H134" i="3"/>
  <c r="H170" i="3"/>
  <c r="J134" i="3"/>
  <c r="K134" i="3"/>
  <c r="L134" i="3"/>
  <c r="M134" i="3"/>
  <c r="M170" i="3"/>
  <c r="O134" i="3"/>
  <c r="P134" i="3"/>
  <c r="Q134" i="3"/>
  <c r="R134" i="3"/>
  <c r="R170" i="3"/>
  <c r="T134" i="3"/>
  <c r="U134" i="3"/>
  <c r="V134" i="3"/>
  <c r="W134" i="3"/>
  <c r="W170" i="3"/>
  <c r="Y134" i="3"/>
  <c r="Z134" i="3"/>
  <c r="AA134" i="3"/>
  <c r="AB134" i="3"/>
  <c r="AB170" i="3"/>
  <c r="AG134" i="3"/>
  <c r="AG170" i="3"/>
  <c r="AL170" i="3"/>
  <c r="AQ170" i="3"/>
  <c r="AV170" i="3"/>
  <c r="BA170" i="3"/>
  <c r="BF170" i="3"/>
  <c r="BK170" i="3"/>
  <c r="BP170" i="3"/>
  <c r="C202" i="3"/>
  <c r="BA84" i="3"/>
  <c r="BA83" i="3"/>
  <c r="BA82" i="3"/>
  <c r="BA85" i="3"/>
  <c r="BE26" i="3"/>
  <c r="BG26" i="3"/>
  <c r="BH26" i="3"/>
  <c r="BI26" i="3"/>
  <c r="BJ26" i="3"/>
  <c r="BL26" i="3"/>
  <c r="BM26" i="3"/>
  <c r="BN26" i="3"/>
  <c r="BO26" i="3"/>
  <c r="BQ26" i="3"/>
  <c r="BR26" i="3"/>
  <c r="BS26" i="3"/>
  <c r="BT26" i="3"/>
  <c r="BU26" i="3"/>
  <c r="BU161" i="3"/>
  <c r="BU54" i="3"/>
  <c r="BU73" i="3"/>
  <c r="BU55" i="3"/>
  <c r="BU62" i="3"/>
  <c r="BU160" i="3"/>
  <c r="AW16" i="3"/>
  <c r="AW21" i="3"/>
  <c r="AW22" i="3"/>
  <c r="AW24" i="3"/>
  <c r="AW111" i="3"/>
  <c r="AX16" i="3"/>
  <c r="AX21" i="3"/>
  <c r="AX22" i="3"/>
  <c r="AX24" i="3"/>
  <c r="AX111" i="3"/>
  <c r="AY16" i="3"/>
  <c r="AY21" i="3"/>
  <c r="AY22" i="3"/>
  <c r="AY24" i="3"/>
  <c r="AY111" i="3"/>
  <c r="AY157" i="3"/>
  <c r="AZ157" i="3"/>
  <c r="BB157" i="3"/>
  <c r="BC157" i="3"/>
  <c r="BD157" i="3"/>
  <c r="BE157" i="3"/>
  <c r="BG157" i="3"/>
  <c r="BH157" i="3"/>
  <c r="BI157" i="3"/>
  <c r="BJ157" i="3"/>
  <c r="BL157" i="3"/>
  <c r="BM157" i="3"/>
  <c r="BN157" i="3"/>
  <c r="BO157" i="3"/>
  <c r="BQ157" i="3"/>
  <c r="BR157" i="3"/>
  <c r="BS157" i="3"/>
  <c r="BT157" i="3"/>
  <c r="BT156" i="3"/>
  <c r="BU156" i="3"/>
  <c r="BU159" i="3"/>
  <c r="BU157" i="3"/>
  <c r="BP26" i="3"/>
  <c r="BP161" i="3"/>
  <c r="BL150" i="3"/>
  <c r="BL127" i="3"/>
  <c r="BL148" i="3"/>
  <c r="BL137" i="3"/>
  <c r="BL149" i="3"/>
  <c r="BL151" i="3"/>
  <c r="BM150" i="3"/>
  <c r="BM127" i="3"/>
  <c r="BM148" i="3"/>
  <c r="BM137" i="3"/>
  <c r="BM149" i="3"/>
  <c r="BM151" i="3"/>
  <c r="BN150" i="3"/>
  <c r="BN127" i="3"/>
  <c r="BN148" i="3"/>
  <c r="BN137" i="3"/>
  <c r="BN149" i="3"/>
  <c r="BN151" i="3"/>
  <c r="BO150" i="3"/>
  <c r="BO127" i="3"/>
  <c r="BO148" i="3"/>
  <c r="BO137" i="3"/>
  <c r="BO149" i="3"/>
  <c r="BO151" i="3"/>
  <c r="BO54" i="3"/>
  <c r="BP54" i="3"/>
  <c r="BP160" i="3"/>
  <c r="BO156" i="3"/>
  <c r="BP156" i="3"/>
  <c r="BP159" i="3"/>
  <c r="BP157" i="3"/>
  <c r="BP152" i="3"/>
  <c r="BP154" i="3"/>
  <c r="BK26" i="3"/>
  <c r="BK161" i="3"/>
  <c r="BG150" i="3"/>
  <c r="BG127" i="3"/>
  <c r="BG148" i="3"/>
  <c r="BG137" i="3"/>
  <c r="BG149" i="3"/>
  <c r="BG151" i="3"/>
  <c r="BH150" i="3"/>
  <c r="BH127" i="3"/>
  <c r="BH148" i="3"/>
  <c r="BH137" i="3"/>
  <c r="BH149" i="3"/>
  <c r="BH151" i="3"/>
  <c r="BI150" i="3"/>
  <c r="BI127" i="3"/>
  <c r="BI148" i="3"/>
  <c r="BI137" i="3"/>
  <c r="BI149" i="3"/>
  <c r="BI151" i="3"/>
  <c r="BJ150" i="3"/>
  <c r="BJ127" i="3"/>
  <c r="BJ148" i="3"/>
  <c r="BJ137" i="3"/>
  <c r="BJ149" i="3"/>
  <c r="BJ151" i="3"/>
  <c r="BJ54" i="3"/>
  <c r="BK54" i="3"/>
  <c r="BK160" i="3"/>
  <c r="BJ156" i="3"/>
  <c r="BK156" i="3"/>
  <c r="BK159" i="3"/>
  <c r="BK157" i="3"/>
  <c r="BK152" i="3"/>
  <c r="BK154" i="3"/>
  <c r="BF26" i="3"/>
  <c r="BF161" i="3"/>
  <c r="BB150" i="3"/>
  <c r="BB127" i="3"/>
  <c r="BB137" i="3"/>
  <c r="BB148" i="3"/>
  <c r="BB149" i="3"/>
  <c r="BB151" i="3"/>
  <c r="BC150" i="3"/>
  <c r="BC127" i="3"/>
  <c r="BC148" i="3"/>
  <c r="BC137" i="3"/>
  <c r="BC149" i="3"/>
  <c r="BC151" i="3"/>
  <c r="BD150" i="3"/>
  <c r="BD127" i="3"/>
  <c r="BD148" i="3"/>
  <c r="BD137" i="3"/>
  <c r="BD149" i="3"/>
  <c r="BD151" i="3"/>
  <c r="BE150" i="3"/>
  <c r="BE127" i="3"/>
  <c r="BE148" i="3"/>
  <c r="BE137" i="3"/>
  <c r="BE149" i="3"/>
  <c r="BE151" i="3"/>
  <c r="BE54" i="3"/>
  <c r="BF54" i="3"/>
  <c r="BF160" i="3"/>
  <c r="BE156" i="3"/>
  <c r="BF156" i="3"/>
  <c r="BF159" i="3"/>
  <c r="BF157" i="3"/>
  <c r="BF152" i="3"/>
  <c r="BF154" i="3"/>
  <c r="BA26" i="3"/>
  <c r="BA161" i="3"/>
  <c r="AZ127" i="3"/>
  <c r="AZ137" i="3"/>
  <c r="AZ148" i="3"/>
  <c r="AZ149" i="3"/>
  <c r="AZ150" i="3"/>
  <c r="AZ151" i="3"/>
  <c r="AZ54" i="3"/>
  <c r="BA54" i="3"/>
  <c r="BA160" i="3"/>
  <c r="BA156" i="3"/>
  <c r="BA159" i="3"/>
  <c r="BA157" i="3"/>
  <c r="BA152" i="3"/>
  <c r="BA154" i="3"/>
  <c r="AR12" i="3"/>
  <c r="AR16" i="3"/>
  <c r="AR21" i="3"/>
  <c r="AR22" i="3"/>
  <c r="AR24" i="3"/>
  <c r="AS12" i="3"/>
  <c r="AS16" i="3"/>
  <c r="AS21" i="3"/>
  <c r="AS22" i="3"/>
  <c r="AS24" i="3"/>
  <c r="AT12" i="3"/>
  <c r="AT16" i="3"/>
  <c r="AT21" i="3"/>
  <c r="AT22" i="3"/>
  <c r="AT24" i="3"/>
  <c r="AU16" i="3"/>
  <c r="AU21" i="3"/>
  <c r="AU22" i="3"/>
  <c r="AU24" i="3"/>
  <c r="AV26" i="3"/>
  <c r="AV161" i="3"/>
  <c r="AV54" i="3"/>
  <c r="AV76" i="3"/>
  <c r="AV73" i="3"/>
  <c r="AV160" i="3"/>
  <c r="AV156" i="3"/>
  <c r="AV159" i="3"/>
  <c r="AV157" i="3"/>
  <c r="AV152" i="3"/>
  <c r="AV154" i="3"/>
  <c r="BD54" i="3"/>
  <c r="BD156" i="3"/>
  <c r="AF54" i="3"/>
  <c r="AF157" i="3"/>
  <c r="AE54" i="3"/>
  <c r="AE157" i="3"/>
  <c r="AD157" i="3"/>
  <c r="AC54" i="3"/>
  <c r="AC157" i="3"/>
  <c r="AG11" i="3"/>
  <c r="AG12" i="3"/>
  <c r="AG14" i="3"/>
  <c r="AG13" i="3"/>
  <c r="AG16" i="3"/>
  <c r="AG21" i="3"/>
  <c r="AG22" i="3"/>
  <c r="AG23" i="3"/>
  <c r="AG24" i="3"/>
  <c r="AG111" i="3"/>
  <c r="AG114" i="3"/>
  <c r="AG115" i="3"/>
  <c r="AG116" i="3"/>
  <c r="AG117" i="3"/>
  <c r="AG120" i="3"/>
  <c r="AG121" i="3"/>
  <c r="AG122" i="3"/>
  <c r="AG123" i="3"/>
  <c r="AG124" i="3"/>
  <c r="AG125" i="3"/>
  <c r="AG126" i="3"/>
  <c r="AG127" i="3"/>
  <c r="AG130" i="3"/>
  <c r="AG131" i="3"/>
  <c r="AG132" i="3"/>
  <c r="AG133" i="3"/>
  <c r="AG135" i="3"/>
  <c r="AG136" i="3"/>
  <c r="AG137" i="3"/>
  <c r="AG140" i="3"/>
  <c r="AG141" i="3"/>
  <c r="AG142" i="3"/>
  <c r="AG143" i="3"/>
  <c r="AG144" i="3"/>
  <c r="AG145" i="3"/>
  <c r="AG146" i="3"/>
  <c r="AG147" i="3"/>
  <c r="AG148" i="3"/>
  <c r="AG149" i="3"/>
  <c r="H150" i="3"/>
  <c r="D148" i="3"/>
  <c r="E140" i="3"/>
  <c r="E141" i="3"/>
  <c r="E147" i="3"/>
  <c r="E148" i="3"/>
  <c r="F140" i="3"/>
  <c r="F141" i="3"/>
  <c r="F147" i="3"/>
  <c r="F148" i="3"/>
  <c r="G140" i="3"/>
  <c r="G141" i="3"/>
  <c r="G142" i="3"/>
  <c r="G147" i="3"/>
  <c r="G148" i="3"/>
  <c r="H148" i="3"/>
  <c r="E130" i="3"/>
  <c r="F130" i="3"/>
  <c r="G130" i="3"/>
  <c r="H130" i="3"/>
  <c r="E131" i="3"/>
  <c r="F131" i="3"/>
  <c r="G131" i="3"/>
  <c r="H131" i="3"/>
  <c r="E132" i="3"/>
  <c r="F132" i="3"/>
  <c r="G132" i="3"/>
  <c r="H132" i="3"/>
  <c r="F133" i="3"/>
  <c r="G133" i="3"/>
  <c r="H133" i="3"/>
  <c r="E135" i="3"/>
  <c r="F135" i="3"/>
  <c r="G135" i="3"/>
  <c r="H135" i="3"/>
  <c r="D136" i="3"/>
  <c r="E136" i="3"/>
  <c r="F136" i="3"/>
  <c r="G136" i="3"/>
  <c r="H136" i="3"/>
  <c r="H137" i="3"/>
  <c r="D12" i="3"/>
  <c r="D16" i="3"/>
  <c r="D22" i="3"/>
  <c r="D24" i="3"/>
  <c r="D111" i="3"/>
  <c r="E12" i="3"/>
  <c r="E16" i="3"/>
  <c r="E22" i="3"/>
  <c r="E24" i="3"/>
  <c r="E111" i="3"/>
  <c r="F12" i="3"/>
  <c r="F16" i="3"/>
  <c r="F22" i="3"/>
  <c r="F24" i="3"/>
  <c r="F111" i="3"/>
  <c r="G12" i="3"/>
  <c r="G16" i="3"/>
  <c r="G22" i="3"/>
  <c r="G24" i="3"/>
  <c r="G111" i="3"/>
  <c r="H111" i="3"/>
  <c r="H114" i="3"/>
  <c r="H115" i="3"/>
  <c r="E116" i="3"/>
  <c r="F116" i="3"/>
  <c r="G116" i="3"/>
  <c r="H116" i="3"/>
  <c r="E117" i="3"/>
  <c r="F117" i="3"/>
  <c r="H117" i="3"/>
  <c r="H118" i="3"/>
  <c r="E120" i="3"/>
  <c r="F120" i="3"/>
  <c r="G120" i="3"/>
  <c r="H120" i="3"/>
  <c r="E121" i="3"/>
  <c r="F121" i="3"/>
  <c r="G121" i="3"/>
  <c r="H121" i="3"/>
  <c r="F122" i="3"/>
  <c r="G122" i="3"/>
  <c r="H122" i="3"/>
  <c r="D123" i="3"/>
  <c r="E123" i="3"/>
  <c r="F123" i="3"/>
  <c r="G123" i="3"/>
  <c r="H123" i="3"/>
  <c r="E124" i="3"/>
  <c r="F124" i="3"/>
  <c r="G124" i="3"/>
  <c r="H124" i="3"/>
  <c r="E125" i="3"/>
  <c r="F125" i="3"/>
  <c r="G125" i="3"/>
  <c r="H125" i="3"/>
  <c r="E126" i="3"/>
  <c r="F126" i="3"/>
  <c r="G126" i="3"/>
  <c r="H126" i="3"/>
  <c r="H127" i="3"/>
  <c r="H149" i="3"/>
  <c r="H151" i="3"/>
  <c r="M150" i="3"/>
  <c r="I148" i="3"/>
  <c r="J140" i="3"/>
  <c r="J141" i="3"/>
  <c r="J142" i="3"/>
  <c r="J148" i="3"/>
  <c r="K140" i="3"/>
  <c r="K141" i="3"/>
  <c r="K142" i="3"/>
  <c r="K148" i="3"/>
  <c r="L140" i="3"/>
  <c r="L141" i="3"/>
  <c r="L142" i="3"/>
  <c r="L148" i="3"/>
  <c r="M148" i="3"/>
  <c r="J130" i="3"/>
  <c r="K130" i="3"/>
  <c r="L130" i="3"/>
  <c r="M130" i="3"/>
  <c r="J131" i="3"/>
  <c r="K131" i="3"/>
  <c r="L131" i="3"/>
  <c r="M131" i="3"/>
  <c r="J132" i="3"/>
  <c r="K132" i="3"/>
  <c r="L132" i="3"/>
  <c r="M132" i="3"/>
  <c r="M133" i="3"/>
  <c r="J135" i="3"/>
  <c r="K135" i="3"/>
  <c r="L135" i="3"/>
  <c r="M135" i="3"/>
  <c r="J136" i="3"/>
  <c r="K136" i="3"/>
  <c r="L136" i="3"/>
  <c r="M136" i="3"/>
  <c r="M137" i="3"/>
  <c r="I12" i="3"/>
  <c r="I16" i="3"/>
  <c r="I22" i="3"/>
  <c r="I24" i="3"/>
  <c r="I111" i="3"/>
  <c r="J12" i="3"/>
  <c r="J16" i="3"/>
  <c r="J22" i="3"/>
  <c r="J24" i="3"/>
  <c r="J111" i="3"/>
  <c r="K12" i="3"/>
  <c r="K16" i="3"/>
  <c r="K22" i="3"/>
  <c r="K24" i="3"/>
  <c r="K111" i="3"/>
  <c r="L12" i="3"/>
  <c r="L16" i="3"/>
  <c r="L22" i="3"/>
  <c r="L24" i="3"/>
  <c r="L111" i="3"/>
  <c r="M111" i="3"/>
  <c r="M114" i="3"/>
  <c r="M115" i="3"/>
  <c r="J116" i="3"/>
  <c r="K116" i="3"/>
  <c r="L116" i="3"/>
  <c r="M116" i="3"/>
  <c r="M117" i="3"/>
  <c r="M118" i="3"/>
  <c r="J120" i="3"/>
  <c r="K120" i="3"/>
  <c r="L120" i="3"/>
  <c r="M120" i="3"/>
  <c r="J121" i="3"/>
  <c r="K121" i="3"/>
  <c r="L121" i="3"/>
  <c r="M121" i="3"/>
  <c r="J122" i="3"/>
  <c r="K122" i="3"/>
  <c r="L122" i="3"/>
  <c r="M122" i="3"/>
  <c r="J123" i="3"/>
  <c r="K123" i="3"/>
  <c r="L123" i="3"/>
  <c r="M123" i="3"/>
  <c r="J124" i="3"/>
  <c r="K124" i="3"/>
  <c r="L124" i="3"/>
  <c r="M124" i="3"/>
  <c r="J125" i="3"/>
  <c r="K125" i="3"/>
  <c r="L125" i="3"/>
  <c r="M125" i="3"/>
  <c r="J126" i="3"/>
  <c r="K126" i="3"/>
  <c r="L126" i="3"/>
  <c r="M126" i="3"/>
  <c r="M127" i="3"/>
  <c r="M149" i="3"/>
  <c r="M151" i="3"/>
  <c r="R150" i="3"/>
  <c r="N148" i="3"/>
  <c r="O140" i="3"/>
  <c r="O141" i="3"/>
  <c r="O142" i="3"/>
  <c r="O148" i="3"/>
  <c r="P140" i="3"/>
  <c r="P141" i="3"/>
  <c r="P142" i="3"/>
  <c r="P148" i="3"/>
  <c r="Q140" i="3"/>
  <c r="Q141" i="3"/>
  <c r="Q142" i="3"/>
  <c r="Q148" i="3"/>
  <c r="R148" i="3"/>
  <c r="O130" i="3"/>
  <c r="P130" i="3"/>
  <c r="Q130" i="3"/>
  <c r="R130" i="3"/>
  <c r="O131" i="3"/>
  <c r="P131" i="3"/>
  <c r="Q131" i="3"/>
  <c r="R131" i="3"/>
  <c r="O132" i="3"/>
  <c r="P132" i="3"/>
  <c r="Q132" i="3"/>
  <c r="R132" i="3"/>
  <c r="P133" i="3"/>
  <c r="Q133" i="3"/>
  <c r="R133" i="3"/>
  <c r="O135" i="3"/>
  <c r="P135" i="3"/>
  <c r="Q135" i="3"/>
  <c r="R135" i="3"/>
  <c r="O136" i="3"/>
  <c r="P136" i="3"/>
  <c r="Q136" i="3"/>
  <c r="R136" i="3"/>
  <c r="R137" i="3"/>
  <c r="R12" i="3"/>
  <c r="R16" i="3"/>
  <c r="R22" i="3"/>
  <c r="R24" i="3"/>
  <c r="R111" i="3"/>
  <c r="O114" i="3"/>
  <c r="R114" i="3"/>
  <c r="O115" i="3"/>
  <c r="R115" i="3"/>
  <c r="O116" i="3"/>
  <c r="P116" i="3"/>
  <c r="Q116" i="3"/>
  <c r="R116" i="3"/>
  <c r="R117" i="3"/>
  <c r="R118" i="3"/>
  <c r="O120" i="3"/>
  <c r="P120" i="3"/>
  <c r="Q120" i="3"/>
  <c r="R120" i="3"/>
  <c r="O121" i="3"/>
  <c r="P121" i="3"/>
  <c r="Q121" i="3"/>
  <c r="R121" i="3"/>
  <c r="O122" i="3"/>
  <c r="P122" i="3"/>
  <c r="Q122" i="3"/>
  <c r="R122" i="3"/>
  <c r="O123" i="3"/>
  <c r="P123" i="3"/>
  <c r="Q123" i="3"/>
  <c r="R123" i="3"/>
  <c r="O124" i="3"/>
  <c r="P124" i="3"/>
  <c r="Q124" i="3"/>
  <c r="R124" i="3"/>
  <c r="O125" i="3"/>
  <c r="P125" i="3"/>
  <c r="Q125" i="3"/>
  <c r="R125" i="3"/>
  <c r="O126" i="3"/>
  <c r="P126" i="3"/>
  <c r="Q126" i="3"/>
  <c r="R126" i="3"/>
  <c r="R127" i="3"/>
  <c r="R149" i="3"/>
  <c r="R151" i="3"/>
  <c r="W150" i="3"/>
  <c r="S148" i="3"/>
  <c r="T140" i="3"/>
  <c r="T141" i="3"/>
  <c r="T143" i="3"/>
  <c r="T144" i="3"/>
  <c r="T147" i="3"/>
  <c r="T148" i="3"/>
  <c r="U140" i="3"/>
  <c r="U141" i="3"/>
  <c r="U143" i="3"/>
  <c r="U144" i="3"/>
  <c r="U145" i="3"/>
  <c r="U147" i="3"/>
  <c r="U148" i="3"/>
  <c r="V140" i="3"/>
  <c r="V141" i="3"/>
  <c r="V142" i="3"/>
  <c r="V143" i="3"/>
  <c r="V144" i="3"/>
  <c r="V145" i="3"/>
  <c r="V147" i="3"/>
  <c r="V148" i="3"/>
  <c r="W148" i="3"/>
  <c r="T130" i="3"/>
  <c r="U130" i="3"/>
  <c r="V130" i="3"/>
  <c r="W130" i="3"/>
  <c r="T131" i="3"/>
  <c r="U131" i="3"/>
  <c r="V131" i="3"/>
  <c r="W131" i="3"/>
  <c r="T132" i="3"/>
  <c r="U132" i="3"/>
  <c r="V132" i="3"/>
  <c r="W132" i="3"/>
  <c r="T133" i="3"/>
  <c r="U133" i="3"/>
  <c r="V133" i="3"/>
  <c r="W133" i="3"/>
  <c r="T135" i="3"/>
  <c r="U135" i="3"/>
  <c r="V135" i="3"/>
  <c r="W135" i="3"/>
  <c r="T136" i="3"/>
  <c r="U136" i="3"/>
  <c r="V136" i="3"/>
  <c r="W136" i="3"/>
  <c r="W137" i="3"/>
  <c r="W12" i="3"/>
  <c r="W16" i="3"/>
  <c r="W22" i="3"/>
  <c r="W24" i="3"/>
  <c r="W111" i="3"/>
  <c r="W114" i="3"/>
  <c r="U115" i="3"/>
  <c r="W115" i="3"/>
  <c r="T116" i="3"/>
  <c r="U116" i="3"/>
  <c r="V116" i="3"/>
  <c r="W116" i="3"/>
  <c r="W117" i="3"/>
  <c r="W118" i="3"/>
  <c r="T120" i="3"/>
  <c r="U120" i="3"/>
  <c r="V120" i="3"/>
  <c r="W120" i="3"/>
  <c r="T121" i="3"/>
  <c r="U121" i="3"/>
  <c r="V121" i="3"/>
  <c r="W121" i="3"/>
  <c r="T122" i="3"/>
  <c r="U122" i="3"/>
  <c r="V122" i="3"/>
  <c r="W122" i="3"/>
  <c r="T123" i="3"/>
  <c r="U123" i="3"/>
  <c r="V123" i="3"/>
  <c r="W123" i="3"/>
  <c r="T124" i="3"/>
  <c r="U124" i="3"/>
  <c r="V124" i="3"/>
  <c r="W124" i="3"/>
  <c r="T125" i="3"/>
  <c r="U125" i="3"/>
  <c r="V125" i="3"/>
  <c r="W125" i="3"/>
  <c r="T126" i="3"/>
  <c r="U126" i="3"/>
  <c r="V126" i="3"/>
  <c r="W126" i="3"/>
  <c r="W127" i="3"/>
  <c r="W149" i="3"/>
  <c r="W151" i="3"/>
  <c r="AB150" i="3"/>
  <c r="X148" i="3"/>
  <c r="Y140" i="3"/>
  <c r="Y141" i="3"/>
  <c r="Y142" i="3"/>
  <c r="Y143" i="3"/>
  <c r="Y144" i="3"/>
  <c r="Y148" i="3"/>
  <c r="Z140" i="3"/>
  <c r="Z141" i="3"/>
  <c r="Z142" i="3"/>
  <c r="Z143" i="3"/>
  <c r="Z144" i="3"/>
  <c r="Z148" i="3"/>
  <c r="AA140" i="3"/>
  <c r="AA141" i="3"/>
  <c r="AA142" i="3"/>
  <c r="AA143" i="3"/>
  <c r="AA144" i="3"/>
  <c r="AA145" i="3"/>
  <c r="AA146" i="3"/>
  <c r="AA148" i="3"/>
  <c r="AB148" i="3"/>
  <c r="Y130" i="3"/>
  <c r="Z130" i="3"/>
  <c r="AA130" i="3"/>
  <c r="AB130" i="3"/>
  <c r="Y131" i="3"/>
  <c r="Z131" i="3"/>
  <c r="AA131" i="3"/>
  <c r="AB131" i="3"/>
  <c r="Y132" i="3"/>
  <c r="Z132" i="3"/>
  <c r="AA132" i="3"/>
  <c r="AB132" i="3"/>
  <c r="Y133" i="3"/>
  <c r="Z133" i="3"/>
  <c r="AA133" i="3"/>
  <c r="AB133" i="3"/>
  <c r="Y135" i="3"/>
  <c r="Z135" i="3"/>
  <c r="AA135" i="3"/>
  <c r="AB135" i="3"/>
  <c r="Y136" i="3"/>
  <c r="Z136" i="3"/>
  <c r="AA136" i="3"/>
  <c r="AB136" i="3"/>
  <c r="AB137" i="3"/>
  <c r="AB12" i="3"/>
  <c r="AB16" i="3"/>
  <c r="AB22" i="3"/>
  <c r="AB24" i="3"/>
  <c r="AB111" i="3"/>
  <c r="AB114" i="3"/>
  <c r="AB115" i="3"/>
  <c r="Y116" i="3"/>
  <c r="Z116" i="3"/>
  <c r="AA116" i="3"/>
  <c r="AB116" i="3"/>
  <c r="AB117" i="3"/>
  <c r="Y120" i="3"/>
  <c r="Z120" i="3"/>
  <c r="AA120" i="3"/>
  <c r="AB120" i="3"/>
  <c r="Y121" i="3"/>
  <c r="Z121" i="3"/>
  <c r="AA121" i="3"/>
  <c r="AB121" i="3"/>
  <c r="Y122" i="3"/>
  <c r="Z122" i="3"/>
  <c r="AA122" i="3"/>
  <c r="AB122" i="3"/>
  <c r="Y123" i="3"/>
  <c r="Z123" i="3"/>
  <c r="AA123" i="3"/>
  <c r="AB123" i="3"/>
  <c r="Y124" i="3"/>
  <c r="Z124" i="3"/>
  <c r="AA124" i="3"/>
  <c r="AB124" i="3"/>
  <c r="Y125" i="3"/>
  <c r="Z125" i="3"/>
  <c r="AA125" i="3"/>
  <c r="AB125" i="3"/>
  <c r="Y126" i="3"/>
  <c r="Z126" i="3"/>
  <c r="AA126" i="3"/>
  <c r="AB126" i="3"/>
  <c r="AB127" i="3"/>
  <c r="AB149" i="3"/>
  <c r="AB151" i="3"/>
  <c r="AG150" i="3"/>
  <c r="AG76" i="3"/>
  <c r="AG152" i="3"/>
  <c r="AG154" i="3"/>
  <c r="AG156" i="3"/>
  <c r="AG54" i="3"/>
  <c r="AG55" i="3"/>
  <c r="AG62" i="3"/>
  <c r="AG157" i="3"/>
  <c r="AC158" i="3"/>
  <c r="AD158" i="3"/>
  <c r="AE158" i="3"/>
  <c r="AF158" i="3"/>
  <c r="AG159" i="3"/>
  <c r="AC160" i="3"/>
  <c r="AD160" i="3"/>
  <c r="AE73" i="3"/>
  <c r="AE160" i="3"/>
  <c r="AF73" i="3"/>
  <c r="AF160" i="3"/>
  <c r="AG73" i="3"/>
  <c r="AG26" i="3"/>
  <c r="AG160" i="3"/>
  <c r="AC161" i="3"/>
  <c r="AD161" i="3"/>
  <c r="AE161" i="3"/>
  <c r="AF161" i="3"/>
  <c r="AG161" i="3"/>
  <c r="AP148" i="3"/>
  <c r="AH150" i="3"/>
  <c r="AH137" i="3"/>
  <c r="AH12" i="3"/>
  <c r="AH16" i="3"/>
  <c r="AH22" i="3"/>
  <c r="AH24" i="3"/>
  <c r="AH111" i="3"/>
  <c r="AH127" i="3"/>
  <c r="AH149" i="3"/>
  <c r="AH151" i="3"/>
  <c r="AI150" i="3"/>
  <c r="AI137" i="3"/>
  <c r="AI12" i="3"/>
  <c r="AI16" i="3"/>
  <c r="AI22" i="3"/>
  <c r="AI24" i="3"/>
  <c r="AI111" i="3"/>
  <c r="AI127" i="3"/>
  <c r="AI149" i="3"/>
  <c r="AI151" i="3"/>
  <c r="AJ150" i="3"/>
  <c r="AJ137" i="3"/>
  <c r="AJ12" i="3"/>
  <c r="AJ16" i="3"/>
  <c r="AJ22" i="3"/>
  <c r="AJ24" i="3"/>
  <c r="AJ111" i="3"/>
  <c r="AJ127" i="3"/>
  <c r="AJ149" i="3"/>
  <c r="AJ151" i="3"/>
  <c r="AK150" i="3"/>
  <c r="AK137" i="3"/>
  <c r="AK12" i="3"/>
  <c r="AK16" i="3"/>
  <c r="AK22" i="3"/>
  <c r="AK24" i="3"/>
  <c r="AK111" i="3"/>
  <c r="AK127" i="3"/>
  <c r="AK149" i="3"/>
  <c r="AK151" i="3"/>
  <c r="AM150" i="3"/>
  <c r="AM148" i="3"/>
  <c r="AM137" i="3"/>
  <c r="AM12" i="3"/>
  <c r="AM16" i="3"/>
  <c r="AM21" i="3"/>
  <c r="AM22" i="3"/>
  <c r="AM24" i="3"/>
  <c r="AM111" i="3"/>
  <c r="AM127" i="3"/>
  <c r="AM149" i="3"/>
  <c r="AM151" i="3"/>
  <c r="AN150" i="3"/>
  <c r="AN148" i="3"/>
  <c r="AN137" i="3"/>
  <c r="AN12" i="3"/>
  <c r="AN16" i="3"/>
  <c r="AN21" i="3"/>
  <c r="AN22" i="3"/>
  <c r="AN24" i="3"/>
  <c r="AN111" i="3"/>
  <c r="AN127" i="3"/>
  <c r="AN149" i="3"/>
  <c r="AN151" i="3"/>
  <c r="AO150" i="3"/>
  <c r="AO12" i="3"/>
  <c r="AO16" i="3"/>
  <c r="AO21" i="3"/>
  <c r="AO22" i="3"/>
  <c r="AO24" i="3"/>
  <c r="AO111" i="3"/>
  <c r="AO127" i="3"/>
  <c r="AO148" i="3"/>
  <c r="AO137" i="3"/>
  <c r="AO149" i="3"/>
  <c r="AO151" i="3"/>
  <c r="AP150" i="3"/>
  <c r="AP12" i="3"/>
  <c r="AP16" i="3"/>
  <c r="AP21" i="3"/>
  <c r="AP22" i="3"/>
  <c r="AP24" i="3"/>
  <c r="AP111" i="3"/>
  <c r="AP127" i="3"/>
  <c r="AP137" i="3"/>
  <c r="AP149" i="3"/>
  <c r="AP151" i="3"/>
  <c r="AR150" i="3"/>
  <c r="AR148" i="3"/>
  <c r="AR137" i="3"/>
  <c r="AR111" i="3"/>
  <c r="AR127" i="3"/>
  <c r="AR149" i="3"/>
  <c r="AR151" i="3"/>
  <c r="AS150" i="3"/>
  <c r="AS148" i="3"/>
  <c r="AS137" i="3"/>
  <c r="AS111" i="3"/>
  <c r="AS127" i="3"/>
  <c r="AS149" i="3"/>
  <c r="AS151" i="3"/>
  <c r="AT150" i="3"/>
  <c r="AT148" i="3"/>
  <c r="AT137" i="3"/>
  <c r="AT111" i="3"/>
  <c r="AT127" i="3"/>
  <c r="AT149" i="3"/>
  <c r="AT151" i="3"/>
  <c r="AU150" i="3"/>
  <c r="AU148" i="3"/>
  <c r="AU137" i="3"/>
  <c r="AU111" i="3"/>
  <c r="AU127" i="3"/>
  <c r="AU149" i="3"/>
  <c r="AU151" i="3"/>
  <c r="BT105" i="3"/>
  <c r="BS105" i="3"/>
  <c r="BR105" i="3"/>
  <c r="BQ105" i="3"/>
  <c r="BO105" i="3"/>
  <c r="BN105" i="3"/>
  <c r="BM105" i="3"/>
  <c r="BL105" i="3"/>
  <c r="BT95" i="3"/>
  <c r="BT97" i="3"/>
  <c r="BT99" i="3"/>
  <c r="BT100" i="3"/>
  <c r="BS95" i="3"/>
  <c r="BS97" i="3"/>
  <c r="BS99" i="3"/>
  <c r="BS100" i="3"/>
  <c r="BR95" i="3"/>
  <c r="BR97" i="3"/>
  <c r="BR99" i="3"/>
  <c r="BR100" i="3"/>
  <c r="BQ95" i="3"/>
  <c r="BQ97" i="3"/>
  <c r="BQ99" i="3"/>
  <c r="BQ100" i="3"/>
  <c r="BO95" i="3"/>
  <c r="BO97" i="3"/>
  <c r="BO99" i="3"/>
  <c r="BO100" i="3"/>
  <c r="BN95" i="3"/>
  <c r="BN97" i="3"/>
  <c r="BN99" i="3"/>
  <c r="BN100" i="3"/>
  <c r="BM95" i="3"/>
  <c r="BM97" i="3"/>
  <c r="BM99" i="3"/>
  <c r="BM100" i="3"/>
  <c r="BL95" i="3"/>
  <c r="BL97" i="3"/>
  <c r="BL99" i="3"/>
  <c r="BL100" i="3"/>
  <c r="BJ105" i="3"/>
  <c r="BI105" i="3"/>
  <c r="BH105" i="3"/>
  <c r="BG105" i="3"/>
  <c r="BJ97" i="3"/>
  <c r="BJ99" i="3"/>
  <c r="BJ95" i="3"/>
  <c r="BJ100" i="3"/>
  <c r="BI97" i="3"/>
  <c r="BI99" i="3"/>
  <c r="BI95" i="3"/>
  <c r="BI100" i="3"/>
  <c r="BH97" i="3"/>
  <c r="BH99" i="3"/>
  <c r="BH95" i="3"/>
  <c r="BH100" i="3"/>
  <c r="BG97" i="3"/>
  <c r="BG99" i="3"/>
  <c r="BG95" i="3"/>
  <c r="BG100" i="3"/>
  <c r="AZ105" i="3"/>
  <c r="AZ95" i="3"/>
  <c r="AZ97" i="3"/>
  <c r="AZ99" i="3"/>
  <c r="AZ100" i="3"/>
  <c r="BE105" i="3"/>
  <c r="BD105" i="3"/>
  <c r="BC105" i="3"/>
  <c r="BB105" i="3"/>
  <c r="BE97" i="3"/>
  <c r="BE99" i="3"/>
  <c r="BE95" i="3"/>
  <c r="BE100" i="3"/>
  <c r="BD97" i="3"/>
  <c r="BD99" i="3"/>
  <c r="BD95" i="3"/>
  <c r="BD100" i="3"/>
  <c r="BC97" i="3"/>
  <c r="BC99" i="3"/>
  <c r="BC95" i="3"/>
  <c r="BC100" i="3"/>
  <c r="BB97" i="3"/>
  <c r="BB99" i="3"/>
  <c r="BB95" i="3"/>
  <c r="BB100" i="3"/>
  <c r="BU82" i="3"/>
  <c r="BU83" i="3"/>
  <c r="BU84" i="3"/>
  <c r="BU85" i="3"/>
  <c r="BU70" i="3"/>
  <c r="BU71" i="3"/>
  <c r="BU72" i="3"/>
  <c r="BU74" i="3"/>
  <c r="BU75" i="3"/>
  <c r="BU77" i="3"/>
  <c r="BU78" i="3"/>
  <c r="BU86" i="3"/>
  <c r="BT74" i="3"/>
  <c r="BT78" i="3"/>
  <c r="BT86" i="3"/>
  <c r="BS74" i="3"/>
  <c r="BS78" i="3"/>
  <c r="BS86" i="3"/>
  <c r="BR74" i="3"/>
  <c r="BR78" i="3"/>
  <c r="BR86" i="3"/>
  <c r="BQ74" i="3"/>
  <c r="BQ78" i="3"/>
  <c r="BQ86" i="3"/>
  <c r="AZ80" i="3"/>
  <c r="BA80" i="3"/>
  <c r="BB80" i="3"/>
  <c r="BC80" i="3"/>
  <c r="BD80" i="3"/>
  <c r="BE80" i="3"/>
  <c r="BF80" i="3"/>
  <c r="BG80" i="3"/>
  <c r="BH80" i="3"/>
  <c r="BI80" i="3"/>
  <c r="BJ80" i="3"/>
  <c r="BK80" i="3"/>
  <c r="BL80" i="3"/>
  <c r="BM80" i="3"/>
  <c r="BN80" i="3"/>
  <c r="BO80" i="3"/>
  <c r="BP80" i="3"/>
  <c r="BQ80" i="3"/>
  <c r="BR80" i="3"/>
  <c r="BS80" i="3"/>
  <c r="BT80" i="3"/>
  <c r="BU80" i="3"/>
  <c r="BU58" i="3"/>
  <c r="BU56" i="3"/>
  <c r="BU57" i="3"/>
  <c r="BU59" i="3"/>
  <c r="BU60" i="3"/>
  <c r="BU61" i="3"/>
  <c r="BT113" i="3"/>
  <c r="BT63" i="3"/>
  <c r="BU63" i="3"/>
  <c r="BT65" i="3"/>
  <c r="BU65" i="3"/>
  <c r="BU66" i="3"/>
  <c r="BU67" i="3"/>
  <c r="BT61" i="3"/>
  <c r="BT67" i="3"/>
  <c r="BS54" i="3"/>
  <c r="BS61" i="3"/>
  <c r="BS67" i="3"/>
  <c r="BR54" i="3"/>
  <c r="BR61" i="3"/>
  <c r="BR67" i="3"/>
  <c r="BQ54" i="3"/>
  <c r="BQ61" i="3"/>
  <c r="BQ67" i="3"/>
  <c r="BP82" i="3"/>
  <c r="BP83" i="3"/>
  <c r="BP84" i="3"/>
  <c r="BP85" i="3"/>
  <c r="BP74" i="3"/>
  <c r="BP78" i="3"/>
  <c r="BP86" i="3"/>
  <c r="BO74" i="3"/>
  <c r="BO78" i="3"/>
  <c r="BO86" i="3"/>
  <c r="BN74" i="3"/>
  <c r="BN78" i="3"/>
  <c r="BN86" i="3"/>
  <c r="BM74" i="3"/>
  <c r="BM78" i="3"/>
  <c r="BM86" i="3"/>
  <c r="BL74" i="3"/>
  <c r="BL78" i="3"/>
  <c r="BL86" i="3"/>
  <c r="BP61" i="3"/>
  <c r="BP63" i="3"/>
  <c r="BP65" i="3"/>
  <c r="BP67" i="3"/>
  <c r="BO61" i="3"/>
  <c r="BO67" i="3"/>
  <c r="BN54" i="3"/>
  <c r="BN61" i="3"/>
  <c r="BN67" i="3"/>
  <c r="BM54" i="3"/>
  <c r="BM61" i="3"/>
  <c r="BM67" i="3"/>
  <c r="BL54" i="3"/>
  <c r="BL61" i="3"/>
  <c r="BL67" i="3"/>
  <c r="BK82" i="3"/>
  <c r="BK83" i="3"/>
  <c r="BK84" i="3"/>
  <c r="BK85" i="3"/>
  <c r="BK74" i="3"/>
  <c r="BK78" i="3"/>
  <c r="BK86" i="3"/>
  <c r="BJ74" i="3"/>
  <c r="BJ78" i="3"/>
  <c r="BJ86" i="3"/>
  <c r="BI74" i="3"/>
  <c r="BI78" i="3"/>
  <c r="BI86" i="3"/>
  <c r="BH74" i="3"/>
  <c r="BH78" i="3"/>
  <c r="BH86" i="3"/>
  <c r="BG74" i="3"/>
  <c r="BG78" i="3"/>
  <c r="BG86" i="3"/>
  <c r="BK61" i="3"/>
  <c r="BK63" i="3"/>
  <c r="BK65" i="3"/>
  <c r="BK67" i="3"/>
  <c r="BJ61" i="3"/>
  <c r="BJ67" i="3"/>
  <c r="BI54" i="3"/>
  <c r="BI61" i="3"/>
  <c r="BI67" i="3"/>
  <c r="BH54" i="3"/>
  <c r="BH61" i="3"/>
  <c r="BH67" i="3"/>
  <c r="BG54" i="3"/>
  <c r="BG61" i="3"/>
  <c r="BG67" i="3"/>
  <c r="BF82" i="3"/>
  <c r="BF83" i="3"/>
  <c r="BF84" i="3"/>
  <c r="BF85" i="3"/>
  <c r="BF74" i="3"/>
  <c r="BF78" i="3"/>
  <c r="BF86" i="3"/>
  <c r="BF61" i="3"/>
  <c r="BF63" i="3"/>
  <c r="BF65" i="3"/>
  <c r="BF67" i="3"/>
  <c r="BE74" i="3"/>
  <c r="BE78" i="3"/>
  <c r="BE86" i="3"/>
  <c r="BE61" i="3"/>
  <c r="BE67" i="3"/>
  <c r="BD74" i="3"/>
  <c r="BD78" i="3"/>
  <c r="BD61" i="3"/>
  <c r="BD67" i="3"/>
  <c r="BC74" i="3"/>
  <c r="BC78" i="3"/>
  <c r="BC86" i="3"/>
  <c r="BC54" i="3"/>
  <c r="BC61" i="3"/>
  <c r="BC67" i="3"/>
  <c r="BB74" i="3"/>
  <c r="BB78" i="3"/>
  <c r="BB86" i="3"/>
  <c r="BB54" i="3"/>
  <c r="BB61" i="3"/>
  <c r="BB67" i="3"/>
  <c r="AZ15" i="3"/>
  <c r="AZ17" i="3"/>
  <c r="AZ27" i="3"/>
  <c r="AK77" i="3"/>
  <c r="AV167" i="3"/>
  <c r="BS36" i="3"/>
  <c r="BR36" i="3"/>
  <c r="BQ36" i="3"/>
  <c r="BS34" i="3"/>
  <c r="BR34" i="3"/>
  <c r="BN36" i="3"/>
  <c r="BM36" i="3"/>
  <c r="BL36" i="3"/>
  <c r="BN34" i="3"/>
  <c r="BM34" i="3"/>
  <c r="BI36" i="3"/>
  <c r="BH36" i="3"/>
  <c r="BG36" i="3"/>
  <c r="BI34" i="3"/>
  <c r="BH34" i="3"/>
  <c r="BB17" i="3"/>
  <c r="BD36" i="3"/>
  <c r="BC36" i="3"/>
  <c r="BB36" i="3"/>
  <c r="BD34" i="3"/>
  <c r="BC34" i="3"/>
  <c r="BA29" i="3"/>
  <c r="AV29" i="3"/>
  <c r="BA30" i="3"/>
  <c r="AR113" i="3"/>
  <c r="AY171" i="3"/>
  <c r="AX171" i="3"/>
  <c r="AW171" i="3"/>
  <c r="AY169" i="3"/>
  <c r="AX169" i="3"/>
  <c r="AW169" i="3"/>
  <c r="AY166" i="3"/>
  <c r="AX166" i="3"/>
  <c r="AW166" i="3"/>
  <c r="AU171" i="3"/>
  <c r="AT171" i="3"/>
  <c r="AS171" i="3"/>
  <c r="AR171" i="3"/>
  <c r="AU169" i="3"/>
  <c r="AT169" i="3"/>
  <c r="AS169" i="3"/>
  <c r="AR169" i="3"/>
  <c r="AU168" i="3"/>
  <c r="AT168" i="3"/>
  <c r="AS168" i="3"/>
  <c r="AR168" i="3"/>
  <c r="AU167" i="3"/>
  <c r="AT167" i="3"/>
  <c r="AS167" i="3"/>
  <c r="AR167" i="3"/>
  <c r="AU166" i="3"/>
  <c r="AT166" i="3"/>
  <c r="AS166" i="3"/>
  <c r="AR166" i="3"/>
  <c r="AP171" i="3"/>
  <c r="AO171" i="3"/>
  <c r="AP169" i="3"/>
  <c r="AO169" i="3"/>
  <c r="AP168" i="3"/>
  <c r="AO168" i="3"/>
  <c r="AP167" i="3"/>
  <c r="AO167" i="3"/>
  <c r="AO166" i="3"/>
  <c r="AV169" i="3"/>
  <c r="AV168" i="3"/>
  <c r="AQ169" i="3"/>
  <c r="AQ168" i="3"/>
  <c r="AQ167" i="3"/>
  <c r="AX54" i="3"/>
  <c r="AX160" i="3"/>
  <c r="AY158" i="3"/>
  <c r="AY161" i="3"/>
  <c r="AX158" i="3"/>
  <c r="AX161" i="3"/>
  <c r="AW158" i="3"/>
  <c r="AW161" i="3"/>
  <c r="AW54" i="3"/>
  <c r="AW160" i="3"/>
  <c r="AX157" i="3"/>
  <c r="AW157" i="3"/>
  <c r="AU158" i="3"/>
  <c r="AT158" i="3"/>
  <c r="AS158" i="3"/>
  <c r="AR158" i="3"/>
  <c r="AU54" i="3"/>
  <c r="AU157" i="3"/>
  <c r="AT54" i="3"/>
  <c r="AT157" i="3"/>
  <c r="AS54" i="3"/>
  <c r="AS157" i="3"/>
  <c r="AR54" i="3"/>
  <c r="AR157" i="3"/>
  <c r="AP158" i="3"/>
  <c r="AO158" i="3"/>
  <c r="AP54" i="3"/>
  <c r="AP157" i="3"/>
  <c r="AO54" i="3"/>
  <c r="AO157" i="3"/>
  <c r="AU161" i="3"/>
  <c r="AT161" i="3"/>
  <c r="AS161" i="3"/>
  <c r="AR161" i="3"/>
  <c r="AU160" i="3"/>
  <c r="AT160" i="3"/>
  <c r="AS160" i="3"/>
  <c r="AR160" i="3"/>
  <c r="AP161" i="3"/>
  <c r="AO161" i="3"/>
  <c r="AP160" i="3"/>
  <c r="AO160" i="3"/>
  <c r="AN73" i="3"/>
  <c r="AN42" i="3"/>
  <c r="AL38" i="3"/>
  <c r="AQ26" i="3"/>
  <c r="AQ161" i="3"/>
  <c r="AQ54" i="3"/>
  <c r="AQ55" i="3"/>
  <c r="AQ62" i="3"/>
  <c r="AQ76" i="3"/>
  <c r="AQ73" i="3"/>
  <c r="AQ160" i="3"/>
  <c r="AQ156" i="3"/>
  <c r="AQ159" i="3"/>
  <c r="AQ157" i="3"/>
  <c r="AQ152" i="3"/>
  <c r="AQ154" i="3"/>
  <c r="AY113" i="3"/>
  <c r="AX113" i="3"/>
  <c r="AW113" i="3"/>
  <c r="AU113" i="3"/>
  <c r="AT113" i="3"/>
  <c r="AS113" i="3"/>
  <c r="AY105" i="3"/>
  <c r="AX105" i="3"/>
  <c r="AW105" i="3"/>
  <c r="AY102" i="3"/>
  <c r="AX102" i="3"/>
  <c r="AW102" i="3"/>
  <c r="AY101" i="3"/>
  <c r="AX101" i="3"/>
  <c r="AW101" i="3"/>
  <c r="AY95" i="3"/>
  <c r="AY97" i="3"/>
  <c r="AY99" i="3"/>
  <c r="AY100" i="3"/>
  <c r="AX95" i="3"/>
  <c r="AX97" i="3"/>
  <c r="AX99" i="3"/>
  <c r="AX100" i="3"/>
  <c r="AW95" i="3"/>
  <c r="AW97" i="3"/>
  <c r="AW99" i="3"/>
  <c r="AW100" i="3"/>
  <c r="AY90" i="3"/>
  <c r="AX90" i="3"/>
  <c r="AW90" i="3"/>
  <c r="AT106" i="3"/>
  <c r="AS106" i="3"/>
  <c r="AR106" i="3"/>
  <c r="AU105" i="3"/>
  <c r="AT105" i="3"/>
  <c r="AS105" i="3"/>
  <c r="AR105" i="3"/>
  <c r="AT85" i="3"/>
  <c r="AT104" i="3"/>
  <c r="AS85" i="3"/>
  <c r="AS104" i="3"/>
  <c r="AR85" i="3"/>
  <c r="AR104" i="3"/>
  <c r="AT103" i="3"/>
  <c r="AS103" i="3"/>
  <c r="AR103" i="3"/>
  <c r="AU102" i="3"/>
  <c r="AT102" i="3"/>
  <c r="AS102" i="3"/>
  <c r="AR102" i="3"/>
  <c r="AU101" i="3"/>
  <c r="AT101" i="3"/>
  <c r="AS101" i="3"/>
  <c r="AR101" i="3"/>
  <c r="AU95" i="3"/>
  <c r="AU97" i="3"/>
  <c r="AU99" i="3"/>
  <c r="AU100" i="3"/>
  <c r="AT95" i="3"/>
  <c r="AT97" i="3"/>
  <c r="AT99" i="3"/>
  <c r="AT100" i="3"/>
  <c r="AS94" i="3"/>
  <c r="AS95" i="3"/>
  <c r="AS96" i="3"/>
  <c r="AS97" i="3"/>
  <c r="AS98" i="3"/>
  <c r="AS99" i="3"/>
  <c r="AS100" i="3"/>
  <c r="AR94" i="3"/>
  <c r="AR95" i="3"/>
  <c r="AR96" i="3"/>
  <c r="AR97" i="3"/>
  <c r="AR98" i="3"/>
  <c r="AR99" i="3"/>
  <c r="AR100" i="3"/>
  <c r="AS93" i="3"/>
  <c r="AR93" i="3"/>
  <c r="AT91" i="3"/>
  <c r="AS91" i="3"/>
  <c r="AR91" i="3"/>
  <c r="AU90" i="3"/>
  <c r="AT90" i="3"/>
  <c r="AS90" i="3"/>
  <c r="AR90" i="3"/>
  <c r="AP106" i="3"/>
  <c r="AO106" i="3"/>
  <c r="AP105" i="3"/>
  <c r="AO105" i="3"/>
  <c r="AP85" i="3"/>
  <c r="AP104" i="3"/>
  <c r="AO85" i="3"/>
  <c r="AO104" i="3"/>
  <c r="AP103" i="3"/>
  <c r="AO103" i="3"/>
  <c r="AP102" i="3"/>
  <c r="AO102" i="3"/>
  <c r="AP101" i="3"/>
  <c r="AO101" i="3"/>
  <c r="AP94" i="3"/>
  <c r="AP95" i="3"/>
  <c r="AP96" i="3"/>
  <c r="AP97" i="3"/>
  <c r="AP98" i="3"/>
  <c r="AP99" i="3"/>
  <c r="AP100" i="3"/>
  <c r="AO94" i="3"/>
  <c r="AO95" i="3"/>
  <c r="AO96" i="3"/>
  <c r="AO97" i="3"/>
  <c r="AO98" i="3"/>
  <c r="AO99" i="3"/>
  <c r="AO100" i="3"/>
  <c r="AP93" i="3"/>
  <c r="AO93" i="3"/>
  <c r="AP91" i="3"/>
  <c r="AO91" i="3"/>
  <c r="AP90" i="3"/>
  <c r="AO90" i="3"/>
  <c r="AV84" i="3"/>
  <c r="AQ84" i="3"/>
  <c r="AV83" i="3"/>
  <c r="AQ83" i="3"/>
  <c r="AV82" i="3"/>
  <c r="AQ82" i="3"/>
  <c r="AV80" i="3"/>
  <c r="AQ80" i="3"/>
  <c r="AV77" i="3"/>
  <c r="AQ77" i="3"/>
  <c r="AV75" i="3"/>
  <c r="AQ75" i="3"/>
  <c r="AV72" i="3"/>
  <c r="AQ72" i="3"/>
  <c r="AV71" i="3"/>
  <c r="AQ71" i="3"/>
  <c r="AV70" i="3"/>
  <c r="AQ70" i="3"/>
  <c r="AV66" i="3"/>
  <c r="AQ66" i="3"/>
  <c r="AV65" i="3"/>
  <c r="AQ65" i="3"/>
  <c r="AQ64" i="3"/>
  <c r="AV63" i="3"/>
  <c r="AQ63" i="3"/>
  <c r="AY74" i="3"/>
  <c r="AY78" i="3"/>
  <c r="AY86" i="3"/>
  <c r="AX74" i="3"/>
  <c r="AX78" i="3"/>
  <c r="AX86" i="3"/>
  <c r="AW74" i="3"/>
  <c r="AW78" i="3"/>
  <c r="AW86" i="3"/>
  <c r="AV85" i="3"/>
  <c r="AV74" i="3"/>
  <c r="AV78" i="3"/>
  <c r="AV86" i="3"/>
  <c r="AU74" i="3"/>
  <c r="AU78" i="3"/>
  <c r="AU86" i="3"/>
  <c r="AT74" i="3"/>
  <c r="AT78" i="3"/>
  <c r="AT86" i="3"/>
  <c r="AS74" i="3"/>
  <c r="AS78" i="3"/>
  <c r="AS86" i="3"/>
  <c r="AR74" i="3"/>
  <c r="AR78" i="3"/>
  <c r="AR86" i="3"/>
  <c r="AQ85" i="3"/>
  <c r="AQ74" i="3"/>
  <c r="AQ78" i="3"/>
  <c r="AQ86" i="3"/>
  <c r="AP74" i="3"/>
  <c r="AP78" i="3"/>
  <c r="AP86" i="3"/>
  <c r="AO74" i="3"/>
  <c r="AO78" i="3"/>
  <c r="AO86" i="3"/>
  <c r="AY61" i="3"/>
  <c r="AY67" i="3"/>
  <c r="AX61" i="3"/>
  <c r="AX67" i="3"/>
  <c r="AW61" i="3"/>
  <c r="AW67" i="3"/>
  <c r="AV56" i="3"/>
  <c r="AV57" i="3"/>
  <c r="AV58" i="3"/>
  <c r="AV59" i="3"/>
  <c r="AV60" i="3"/>
  <c r="AV61" i="3"/>
  <c r="AV67" i="3"/>
  <c r="AU61" i="3"/>
  <c r="AU67" i="3"/>
  <c r="AT61" i="3"/>
  <c r="AT67" i="3"/>
  <c r="AS61" i="3"/>
  <c r="AS67" i="3"/>
  <c r="AR61" i="3"/>
  <c r="AR67" i="3"/>
  <c r="AQ56" i="3"/>
  <c r="AQ57" i="3"/>
  <c r="AQ58" i="3"/>
  <c r="AQ59" i="3"/>
  <c r="AQ60" i="3"/>
  <c r="AQ61" i="3"/>
  <c r="AQ67" i="3"/>
  <c r="AP61" i="3"/>
  <c r="AP67" i="3"/>
  <c r="AO61" i="3"/>
  <c r="AO67" i="3"/>
  <c r="AY48" i="3"/>
  <c r="AY45" i="3"/>
  <c r="AY44" i="3"/>
  <c r="AY40" i="3"/>
  <c r="AY39" i="3"/>
  <c r="AY38" i="3"/>
  <c r="AY37" i="3"/>
  <c r="AY36" i="3"/>
  <c r="AY34" i="3"/>
  <c r="AX47" i="3"/>
  <c r="AX48" i="3"/>
  <c r="AX45" i="3"/>
  <c r="AX44" i="3"/>
  <c r="AX42" i="3"/>
  <c r="AX40" i="3"/>
  <c r="AX39" i="3"/>
  <c r="AX38" i="3"/>
  <c r="AX37" i="3"/>
  <c r="AX36" i="3"/>
  <c r="AX34" i="3"/>
  <c r="AW47" i="3"/>
  <c r="AW48" i="3"/>
  <c r="AW45" i="3"/>
  <c r="AV25" i="3"/>
  <c r="AW44" i="3"/>
  <c r="AW42" i="3"/>
  <c r="AW40" i="3"/>
  <c r="AW39" i="3"/>
  <c r="AW38" i="3"/>
  <c r="AW37" i="3"/>
  <c r="AW36" i="3"/>
  <c r="AW34" i="3"/>
  <c r="AU47" i="3"/>
  <c r="AU48" i="3"/>
  <c r="AU45" i="3"/>
  <c r="AU44" i="3"/>
  <c r="AU42" i="3"/>
  <c r="AU40" i="3"/>
  <c r="AU39" i="3"/>
  <c r="AU38" i="3"/>
  <c r="AU37" i="3"/>
  <c r="AU36" i="3"/>
  <c r="AU34" i="3"/>
  <c r="AT47" i="3"/>
  <c r="AT48" i="3"/>
  <c r="AT45" i="3"/>
  <c r="AT44" i="3"/>
  <c r="AT42" i="3"/>
  <c r="AT41" i="3"/>
  <c r="AT40" i="3"/>
  <c r="AT39" i="3"/>
  <c r="AT38" i="3"/>
  <c r="AT37" i="3"/>
  <c r="AT36" i="3"/>
  <c r="AT35" i="3"/>
  <c r="AT34" i="3"/>
  <c r="AS47" i="3"/>
  <c r="AS48" i="3"/>
  <c r="AS45" i="3"/>
  <c r="AS44" i="3"/>
  <c r="AS42" i="3"/>
  <c r="AS41" i="3"/>
  <c r="AS40" i="3"/>
  <c r="AS39" i="3"/>
  <c r="AS38" i="3"/>
  <c r="AS37" i="3"/>
  <c r="AS36" i="3"/>
  <c r="AS35" i="3"/>
  <c r="AS34" i="3"/>
  <c r="AR47" i="3"/>
  <c r="AR48" i="3"/>
  <c r="AR45" i="3"/>
  <c r="AQ25" i="3"/>
  <c r="AR44" i="3"/>
  <c r="AR42" i="3"/>
  <c r="AR41" i="3"/>
  <c r="AR40" i="3"/>
  <c r="AR39" i="3"/>
  <c r="AR38" i="3"/>
  <c r="AR37" i="3"/>
  <c r="AR36" i="3"/>
  <c r="AR35" i="3"/>
  <c r="AR34" i="3"/>
  <c r="AP47" i="3"/>
  <c r="AP48" i="3"/>
  <c r="AP45" i="3"/>
  <c r="AP44" i="3"/>
  <c r="AP42" i="3"/>
  <c r="AP41" i="3"/>
  <c r="AP40" i="3"/>
  <c r="AP39" i="3"/>
  <c r="AP38" i="3"/>
  <c r="AP37" i="3"/>
  <c r="AP36" i="3"/>
  <c r="AP35" i="3"/>
  <c r="AP34" i="3"/>
  <c r="AO47" i="3"/>
  <c r="AO48" i="3"/>
  <c r="AO45" i="3"/>
  <c r="AO44" i="3"/>
  <c r="AO42" i="3"/>
  <c r="AO41" i="3"/>
  <c r="AO40" i="3"/>
  <c r="AO39" i="3"/>
  <c r="AO38" i="3"/>
  <c r="AO37" i="3"/>
  <c r="AO36" i="3"/>
  <c r="AO35" i="3"/>
  <c r="AO34" i="3"/>
  <c r="AV40" i="3"/>
  <c r="AV39" i="3"/>
  <c r="AV37" i="3"/>
  <c r="AV36" i="3"/>
  <c r="AV35" i="3"/>
  <c r="AQ40" i="3"/>
  <c r="AQ39" i="3"/>
  <c r="AQ38" i="3"/>
  <c r="AQ37" i="3"/>
  <c r="AQ36" i="3"/>
  <c r="AQ35" i="3"/>
  <c r="AY15" i="3"/>
  <c r="AX15" i="3"/>
  <c r="AW15" i="3"/>
  <c r="AV15" i="3"/>
  <c r="AU15" i="3"/>
  <c r="AT15" i="3"/>
  <c r="AS15" i="3"/>
  <c r="AR15" i="3"/>
  <c r="AY30" i="3"/>
  <c r="AX30" i="3"/>
  <c r="AW30" i="3"/>
  <c r="AQ29" i="3"/>
  <c r="AV30" i="3"/>
  <c r="AU30" i="3"/>
  <c r="AT30" i="3"/>
  <c r="AS30" i="3"/>
  <c r="AR30" i="3"/>
  <c r="AK29" i="3"/>
  <c r="AL29" i="3"/>
  <c r="AQ30" i="3"/>
  <c r="AY28" i="3"/>
  <c r="AX28" i="3"/>
  <c r="AW28" i="3"/>
  <c r="AV28" i="3"/>
  <c r="AU28" i="3"/>
  <c r="AT28" i="3"/>
  <c r="AS28" i="3"/>
  <c r="AR28" i="3"/>
  <c r="AY27" i="3"/>
  <c r="AX27" i="3"/>
  <c r="AW27" i="3"/>
  <c r="AV27" i="3"/>
  <c r="AU27" i="3"/>
  <c r="AT27" i="3"/>
  <c r="AS27" i="3"/>
  <c r="AR27" i="3"/>
  <c r="AY17" i="3"/>
  <c r="AX17" i="3"/>
  <c r="AW17" i="3"/>
  <c r="AV17" i="3"/>
  <c r="AU17" i="3"/>
  <c r="AT17" i="3"/>
  <c r="AS17" i="3"/>
  <c r="AR17" i="3"/>
  <c r="AP30" i="3"/>
  <c r="AO30" i="3"/>
  <c r="AQ28" i="3"/>
  <c r="AP28" i="3"/>
  <c r="AO28" i="3"/>
  <c r="AQ27" i="3"/>
  <c r="AP27" i="3"/>
  <c r="AO27" i="3"/>
  <c r="AQ17" i="3"/>
  <c r="AP17" i="3"/>
  <c r="AO17" i="3"/>
  <c r="AQ15" i="3"/>
  <c r="AP15" i="3"/>
  <c r="AO15" i="3"/>
  <c r="AN47" i="3"/>
  <c r="AN48" i="3"/>
  <c r="AN45" i="3"/>
  <c r="AM48" i="3"/>
  <c r="AM45" i="3"/>
  <c r="AN44" i="3"/>
  <c r="AM44" i="3"/>
  <c r="AK48" i="3"/>
  <c r="AK45" i="3"/>
  <c r="AJ47" i="3"/>
  <c r="AJ48" i="3"/>
  <c r="AJ45" i="3"/>
  <c r="AI48" i="3"/>
  <c r="AI45" i="3"/>
  <c r="AH47" i="3"/>
  <c r="AH48" i="3"/>
  <c r="AH45" i="3"/>
  <c r="AK44" i="3"/>
  <c r="AJ44" i="3"/>
  <c r="AI44" i="3"/>
  <c r="AH44" i="3"/>
  <c r="AN102" i="3"/>
  <c r="AN101" i="3"/>
  <c r="AN98" i="3"/>
  <c r="AN99" i="3"/>
  <c r="AN96" i="3"/>
  <c r="AN97" i="3"/>
  <c r="AN94" i="3"/>
  <c r="AN95" i="3"/>
  <c r="AN93" i="3"/>
  <c r="AN91" i="3"/>
  <c r="AN90" i="3"/>
  <c r="AN171" i="3"/>
  <c r="AN166" i="3"/>
  <c r="AN103" i="3"/>
  <c r="AN41" i="3"/>
  <c r="AN40" i="3"/>
  <c r="AN39" i="3"/>
  <c r="AJ33" i="3"/>
  <c r="AH33" i="3"/>
  <c r="AF33" i="3"/>
  <c r="AE33" i="3"/>
  <c r="AC33" i="3"/>
  <c r="AB33" i="3"/>
  <c r="AA33" i="3"/>
  <c r="Z33" i="3"/>
  <c r="Y33" i="3"/>
  <c r="X33" i="3"/>
  <c r="W33" i="3"/>
  <c r="V33" i="3"/>
  <c r="U33" i="3"/>
  <c r="T33" i="3"/>
  <c r="S33" i="3"/>
  <c r="R33" i="3"/>
  <c r="Q33" i="3"/>
  <c r="P33" i="3"/>
  <c r="O33" i="3"/>
  <c r="N33" i="3"/>
  <c r="I33" i="3"/>
  <c r="J33" i="3"/>
  <c r="K33" i="3"/>
  <c r="L33" i="3"/>
  <c r="M33" i="3"/>
  <c r="AN30" i="3"/>
  <c r="AM30" i="3"/>
  <c r="AN106" i="3"/>
  <c r="AN168" i="3"/>
  <c r="AN100" i="3"/>
  <c r="AN167" i="3"/>
  <c r="D167" i="3"/>
  <c r="I167" i="3"/>
  <c r="N167" i="3"/>
  <c r="S167" i="3"/>
  <c r="X167" i="3"/>
  <c r="D168" i="3"/>
  <c r="E168" i="3"/>
  <c r="F168" i="3"/>
  <c r="I168" i="3"/>
  <c r="N168" i="3"/>
  <c r="S168" i="3"/>
  <c r="T168" i="3"/>
  <c r="X168" i="3"/>
  <c r="AM168" i="3"/>
  <c r="AM167" i="3"/>
  <c r="AC168" i="3"/>
  <c r="AC167" i="3"/>
  <c r="AH167" i="3"/>
  <c r="AH168" i="3"/>
  <c r="AM41" i="3"/>
  <c r="AD105" i="3"/>
  <c r="AC105" i="3"/>
  <c r="AA105" i="3"/>
  <c r="Z105" i="3"/>
  <c r="Y105" i="3"/>
  <c r="X105" i="3"/>
  <c r="V105" i="3"/>
  <c r="U105" i="3"/>
  <c r="T105" i="3"/>
  <c r="S105" i="3"/>
  <c r="Q105" i="3"/>
  <c r="P105" i="3"/>
  <c r="O105" i="3"/>
  <c r="N105" i="3"/>
  <c r="I105" i="3"/>
  <c r="G105" i="3"/>
  <c r="J105" i="3"/>
  <c r="K105" i="3"/>
  <c r="L105" i="3"/>
  <c r="F105" i="3"/>
  <c r="Q41" i="3"/>
  <c r="P41" i="3"/>
  <c r="O41" i="3"/>
  <c r="N41" i="3"/>
  <c r="V41" i="3"/>
  <c r="U41" i="3"/>
  <c r="T41" i="3"/>
  <c r="S41" i="3"/>
  <c r="AA41" i="3"/>
  <c r="Z41" i="3"/>
  <c r="Y41" i="3"/>
  <c r="X41" i="3"/>
  <c r="AF41" i="3"/>
  <c r="AE41" i="3"/>
  <c r="AD41" i="3"/>
  <c r="AC41" i="3"/>
  <c r="AK41" i="3"/>
  <c r="AJ41" i="3"/>
  <c r="AI41" i="3"/>
  <c r="AH41" i="3"/>
  <c r="Q42" i="3"/>
  <c r="P42" i="3"/>
  <c r="O42" i="3"/>
  <c r="N42" i="3"/>
  <c r="V42" i="3"/>
  <c r="U42" i="3"/>
  <c r="T42" i="3"/>
  <c r="S42" i="3"/>
  <c r="AA42" i="3"/>
  <c r="Z42" i="3"/>
  <c r="Y42" i="3"/>
  <c r="X42" i="3"/>
  <c r="AD42" i="3"/>
  <c r="AC42" i="3"/>
  <c r="R20" i="3"/>
  <c r="R19" i="3"/>
  <c r="R18" i="3"/>
  <c r="W20" i="3"/>
  <c r="W19" i="3"/>
  <c r="W18" i="3"/>
  <c r="AB20" i="3"/>
  <c r="AB19" i="3"/>
  <c r="AB18" i="3"/>
  <c r="AG20" i="3"/>
  <c r="AG19" i="3"/>
  <c r="AG18" i="3"/>
  <c r="AL20" i="3"/>
  <c r="AL19" i="3"/>
  <c r="AL18" i="3"/>
  <c r="AM91" i="3"/>
  <c r="AM90" i="3"/>
  <c r="AK91" i="3"/>
  <c r="AJ91" i="3"/>
  <c r="AI91" i="3"/>
  <c r="AH91" i="3"/>
  <c r="AK90" i="3"/>
  <c r="AJ90" i="3"/>
  <c r="AI90" i="3"/>
  <c r="AH90" i="3"/>
  <c r="AF91" i="3"/>
  <c r="AE91" i="3"/>
  <c r="AD91" i="3"/>
  <c r="AC91" i="3"/>
  <c r="AF90" i="3"/>
  <c r="AE90" i="3"/>
  <c r="AD90" i="3"/>
  <c r="AC90" i="3"/>
  <c r="AA91" i="3"/>
  <c r="Z91" i="3"/>
  <c r="Y91" i="3"/>
  <c r="X91" i="3"/>
  <c r="AA90" i="3"/>
  <c r="Z90" i="3"/>
  <c r="Y90" i="3"/>
  <c r="X90" i="3"/>
  <c r="V91" i="3"/>
  <c r="U91" i="3"/>
  <c r="T91" i="3"/>
  <c r="S91" i="3"/>
  <c r="V90" i="3"/>
  <c r="U90" i="3"/>
  <c r="T90" i="3"/>
  <c r="S90" i="3"/>
  <c r="Q91" i="3"/>
  <c r="P91" i="3"/>
  <c r="O91" i="3"/>
  <c r="N91" i="3"/>
  <c r="Q90" i="3"/>
  <c r="P90" i="3"/>
  <c r="O90" i="3"/>
  <c r="N90" i="3"/>
  <c r="J91" i="3"/>
  <c r="K91" i="3"/>
  <c r="L91" i="3"/>
  <c r="I91" i="3"/>
  <c r="K90" i="3"/>
  <c r="L90" i="3"/>
  <c r="J90" i="3"/>
  <c r="I90" i="3"/>
  <c r="L101" i="3"/>
  <c r="K101" i="3"/>
  <c r="J101" i="3"/>
  <c r="I101" i="3"/>
  <c r="Q101" i="3"/>
  <c r="P101" i="3"/>
  <c r="O101" i="3"/>
  <c r="N101" i="3"/>
  <c r="V101" i="3"/>
  <c r="U101" i="3"/>
  <c r="T101" i="3"/>
  <c r="S101" i="3"/>
  <c r="AA101" i="3"/>
  <c r="Z101" i="3"/>
  <c r="Y101" i="3"/>
  <c r="X101" i="3"/>
  <c r="AC101" i="3"/>
  <c r="AK101" i="3"/>
  <c r="AJ101" i="3"/>
  <c r="AI101" i="3"/>
  <c r="AM101" i="3"/>
  <c r="AM102" i="3"/>
  <c r="AK102" i="3"/>
  <c r="AJ102" i="3"/>
  <c r="AI102" i="3"/>
  <c r="AH102" i="3"/>
  <c r="AF102" i="3"/>
  <c r="AE102" i="3"/>
  <c r="AD102" i="3"/>
  <c r="AC102" i="3"/>
  <c r="AA102" i="3"/>
  <c r="Z102" i="3"/>
  <c r="Y102" i="3"/>
  <c r="X102" i="3"/>
  <c r="V102" i="3"/>
  <c r="U102" i="3"/>
  <c r="T102" i="3"/>
  <c r="S102" i="3"/>
  <c r="Q102" i="3"/>
  <c r="P102" i="3"/>
  <c r="O102" i="3"/>
  <c r="N102" i="3"/>
  <c r="J102" i="3"/>
  <c r="K102" i="3"/>
  <c r="L102" i="3"/>
  <c r="I102" i="3"/>
  <c r="G103" i="3"/>
  <c r="F103" i="3"/>
  <c r="E103" i="3"/>
  <c r="L103" i="3"/>
  <c r="K103" i="3"/>
  <c r="J103" i="3"/>
  <c r="I103" i="3"/>
  <c r="Q103" i="3"/>
  <c r="P103" i="3"/>
  <c r="N103" i="3"/>
  <c r="V103" i="3"/>
  <c r="U103" i="3"/>
  <c r="T103" i="3"/>
  <c r="S103" i="3"/>
  <c r="AA103" i="3"/>
  <c r="Z103" i="3"/>
  <c r="Y103" i="3"/>
  <c r="X103" i="3"/>
  <c r="AC103" i="3"/>
  <c r="AM103" i="3"/>
  <c r="AH103" i="3"/>
  <c r="AJ30" i="3"/>
  <c r="AI30" i="3"/>
  <c r="AH30" i="3"/>
  <c r="AF30" i="3"/>
  <c r="AE30" i="3"/>
  <c r="Z106" i="3"/>
  <c r="AA106" i="3"/>
  <c r="AC106" i="3"/>
  <c r="AD106" i="3"/>
  <c r="AA160" i="3"/>
  <c r="Z160" i="3"/>
  <c r="Y160" i="3"/>
  <c r="X160" i="3"/>
  <c r="V160" i="3"/>
  <c r="U160" i="3"/>
  <c r="T160" i="3"/>
  <c r="S160" i="3"/>
  <c r="Q160" i="3"/>
  <c r="P160" i="3"/>
  <c r="O160" i="3"/>
  <c r="N160" i="3"/>
  <c r="L160" i="3"/>
  <c r="K160" i="3"/>
  <c r="J160" i="3"/>
  <c r="I160" i="3"/>
  <c r="G160" i="3"/>
  <c r="F160" i="3"/>
  <c r="E160" i="3"/>
  <c r="D160" i="3"/>
  <c r="AB161" i="3"/>
  <c r="AB159" i="3"/>
  <c r="AK158" i="3"/>
  <c r="AK161" i="3"/>
  <c r="AJ158" i="3"/>
  <c r="AJ161" i="3"/>
  <c r="AI158" i="3"/>
  <c r="AI161" i="3"/>
  <c r="AH158" i="3"/>
  <c r="AH161" i="3"/>
  <c r="AM158" i="3"/>
  <c r="AM161" i="3"/>
  <c r="AL156" i="3"/>
  <c r="AL159" i="3"/>
  <c r="C94" i="18"/>
  <c r="C157" i="18"/>
  <c r="C219" i="18"/>
  <c r="C280" i="18"/>
  <c r="C344" i="18"/>
  <c r="C408" i="18"/>
  <c r="C470" i="18"/>
  <c r="C531" i="18"/>
  <c r="C595" i="18"/>
  <c r="C659" i="18"/>
  <c r="C721" i="18"/>
  <c r="C782" i="18"/>
  <c r="C846" i="18"/>
  <c r="C910" i="18"/>
  <c r="C972" i="18"/>
  <c r="C1034" i="18"/>
  <c r="C1098" i="18"/>
  <c r="C1162" i="18"/>
  <c r="C1223" i="18"/>
  <c r="R77" i="3"/>
  <c r="AM166" i="3"/>
  <c r="AH166" i="3"/>
  <c r="AC166" i="3"/>
  <c r="AA166" i="3"/>
  <c r="Z166" i="3"/>
  <c r="Y166" i="3"/>
  <c r="X166" i="3"/>
  <c r="V166" i="3"/>
  <c r="T166" i="3"/>
  <c r="S166" i="3"/>
  <c r="Q166" i="3"/>
  <c r="P166" i="3"/>
  <c r="N166" i="3"/>
  <c r="L166" i="3"/>
  <c r="K166" i="3"/>
  <c r="J166" i="3"/>
  <c r="I166" i="3"/>
  <c r="E166" i="3"/>
  <c r="F166" i="3"/>
  <c r="G166" i="3"/>
  <c r="D166" i="3"/>
  <c r="AM98" i="3"/>
  <c r="AM93" i="3"/>
  <c r="AK93" i="3"/>
  <c r="AJ93" i="3"/>
  <c r="AI93" i="3"/>
  <c r="AH93" i="3"/>
  <c r="AF93" i="3"/>
  <c r="AE93" i="3"/>
  <c r="AD93" i="3"/>
  <c r="AC93" i="3"/>
  <c r="AA93" i="3"/>
  <c r="Z93" i="3"/>
  <c r="Y93" i="3"/>
  <c r="X93" i="3"/>
  <c r="V93" i="3"/>
  <c r="U93" i="3"/>
  <c r="T93" i="3"/>
  <c r="S93" i="3"/>
  <c r="Q93" i="3"/>
  <c r="P93" i="3"/>
  <c r="O93" i="3"/>
  <c r="N93" i="3"/>
  <c r="L93" i="3"/>
  <c r="K93" i="3"/>
  <c r="J93" i="3"/>
  <c r="I93" i="3"/>
  <c r="G93" i="3"/>
  <c r="AM99" i="3"/>
  <c r="AM96" i="3"/>
  <c r="AM94" i="3"/>
  <c r="AN105" i="3"/>
  <c r="AM34" i="3"/>
  <c r="AM40" i="3"/>
  <c r="AM39" i="3"/>
  <c r="AM97" i="3"/>
  <c r="AM95" i="3"/>
  <c r="AM106" i="3"/>
  <c r="AM100" i="3"/>
  <c r="AK98" i="3"/>
  <c r="AK99" i="3"/>
  <c r="AK96" i="3"/>
  <c r="AK97" i="3"/>
  <c r="AK94" i="3"/>
  <c r="AK95" i="3"/>
  <c r="AK73" i="3"/>
  <c r="AK39" i="3"/>
  <c r="AK40" i="3"/>
  <c r="AM105" i="3"/>
  <c r="AM42" i="3"/>
  <c r="AK106" i="3"/>
  <c r="AJ98" i="3"/>
  <c r="AJ99" i="3"/>
  <c r="AJ96" i="3"/>
  <c r="AJ97" i="3"/>
  <c r="AJ94" i="3"/>
  <c r="AJ95" i="3"/>
  <c r="AJ73" i="3"/>
  <c r="AH34" i="3"/>
  <c r="AJ34" i="3"/>
  <c r="AJ39" i="3"/>
  <c r="AJ40" i="3"/>
  <c r="AK105" i="3"/>
  <c r="AK42" i="3"/>
  <c r="AJ106" i="3"/>
  <c r="AI98" i="3"/>
  <c r="AI96" i="3"/>
  <c r="AI94" i="3"/>
  <c r="AI73" i="3"/>
  <c r="AI103" i="3"/>
  <c r="AI39" i="3"/>
  <c r="AI40" i="3"/>
  <c r="AI168" i="3"/>
  <c r="AI167" i="3"/>
  <c r="AJ105" i="3"/>
  <c r="AI95" i="3"/>
  <c r="AI97" i="3"/>
  <c r="AI99" i="3"/>
  <c r="AJ42" i="3"/>
  <c r="AK30" i="3"/>
  <c r="AI106" i="3"/>
  <c r="AI166" i="3"/>
  <c r="AJ103" i="3"/>
  <c r="AI171" i="3"/>
  <c r="AJ167" i="3"/>
  <c r="AJ168" i="3"/>
  <c r="AK103" i="3"/>
  <c r="AJ171" i="3"/>
  <c r="AK171" i="3"/>
  <c r="AM171" i="3"/>
  <c r="AF48" i="3"/>
  <c r="AF44" i="3"/>
  <c r="AF45" i="3"/>
  <c r="AH40" i="3"/>
  <c r="AH39" i="3"/>
  <c r="AH98" i="3"/>
  <c r="AH96" i="3"/>
  <c r="AH94" i="3"/>
  <c r="AH73" i="3"/>
  <c r="AI105" i="3"/>
  <c r="AH99" i="3"/>
  <c r="AI42" i="3"/>
  <c r="AH95" i="3"/>
  <c r="AH97" i="3"/>
  <c r="AH106" i="3"/>
  <c r="AF94" i="3"/>
  <c r="AF95" i="3"/>
  <c r="AF96" i="3"/>
  <c r="AF97" i="3"/>
  <c r="AF98" i="3"/>
  <c r="AF99" i="3"/>
  <c r="AF34" i="3"/>
  <c r="AF39" i="3"/>
  <c r="AF40" i="3"/>
  <c r="AH105" i="3"/>
  <c r="AH42" i="3"/>
  <c r="AF106" i="3"/>
  <c r="AF100" i="3"/>
  <c r="S44" i="3"/>
  <c r="E15" i="3"/>
  <c r="F15" i="3"/>
  <c r="G15" i="3"/>
  <c r="H15" i="3"/>
  <c r="I15" i="3"/>
  <c r="J15" i="3"/>
  <c r="K15" i="3"/>
  <c r="L15" i="3"/>
  <c r="M15" i="3"/>
  <c r="N15" i="3"/>
  <c r="O15" i="3"/>
  <c r="P15" i="3"/>
  <c r="Q15" i="3"/>
  <c r="R15" i="3"/>
  <c r="S15" i="3"/>
  <c r="T15" i="3"/>
  <c r="U15" i="3"/>
  <c r="V15" i="3"/>
  <c r="W15" i="3"/>
  <c r="X15" i="3"/>
  <c r="Y15" i="3"/>
  <c r="Z15" i="3"/>
  <c r="AA15" i="3"/>
  <c r="AB15" i="3"/>
  <c r="AC15" i="3"/>
  <c r="AD15" i="3"/>
  <c r="AE15" i="3"/>
  <c r="D15" i="3"/>
  <c r="AE98" i="3"/>
  <c r="AE99" i="3"/>
  <c r="AE96" i="3"/>
  <c r="AE97" i="3"/>
  <c r="AE94" i="3"/>
  <c r="AE95" i="3"/>
  <c r="AE48" i="3"/>
  <c r="AE45" i="3"/>
  <c r="AE40" i="3"/>
  <c r="AE39" i="3"/>
  <c r="AE105" i="3"/>
  <c r="AF105" i="3"/>
  <c r="AE42" i="3"/>
  <c r="AF42" i="3"/>
  <c r="AE106" i="3"/>
  <c r="AE44" i="3"/>
  <c r="AE100" i="3"/>
  <c r="AD103" i="3"/>
  <c r="AD98" i="3"/>
  <c r="AD99" i="3"/>
  <c r="AD94" i="3"/>
  <c r="AD95" i="3"/>
  <c r="AC34" i="3"/>
  <c r="AD168" i="3"/>
  <c r="AD167" i="3"/>
  <c r="AE103" i="3"/>
  <c r="AD171" i="3"/>
  <c r="AE166" i="3"/>
  <c r="AE168" i="3"/>
  <c r="AE167" i="3"/>
  <c r="AE171" i="3"/>
  <c r="AF103" i="3"/>
  <c r="AF167" i="3"/>
  <c r="AF168" i="3"/>
  <c r="AF166" i="3"/>
  <c r="AF171" i="3"/>
  <c r="AH171" i="3"/>
  <c r="AG168" i="3"/>
  <c r="AG167" i="3"/>
  <c r="AC98" i="3"/>
  <c r="AC99" i="3"/>
  <c r="AC96" i="3"/>
  <c r="AC97" i="3"/>
  <c r="AC94" i="3"/>
  <c r="AC95" i="3"/>
  <c r="AC40" i="3"/>
  <c r="AC39" i="3"/>
  <c r="AG29" i="3"/>
  <c r="AG30" i="3"/>
  <c r="AL30" i="3"/>
  <c r="AC100" i="3"/>
  <c r="AC80" i="3"/>
  <c r="X98" i="3"/>
  <c r="X99" i="3"/>
  <c r="X96" i="3"/>
  <c r="X97" i="3"/>
  <c r="X94" i="3"/>
  <c r="X95" i="3"/>
  <c r="S98" i="3"/>
  <c r="S99" i="3"/>
  <c r="S96" i="3"/>
  <c r="S97" i="3"/>
  <c r="S94" i="3"/>
  <c r="S95" i="3"/>
  <c r="O94" i="3"/>
  <c r="O95" i="3"/>
  <c r="N98" i="3"/>
  <c r="N99" i="3"/>
  <c r="N96" i="3"/>
  <c r="N97" i="3"/>
  <c r="N94" i="3"/>
  <c r="N95" i="3"/>
  <c r="I98" i="3"/>
  <c r="I99" i="3"/>
  <c r="I96" i="3"/>
  <c r="I97" i="3"/>
  <c r="I94" i="3"/>
  <c r="I95" i="3"/>
  <c r="J94" i="3"/>
  <c r="J95" i="3"/>
  <c r="X100" i="3"/>
  <c r="N100" i="3"/>
  <c r="I100" i="3"/>
  <c r="S100" i="3"/>
  <c r="AC48" i="3"/>
  <c r="X45" i="3"/>
  <c r="X44" i="3"/>
  <c r="S45" i="3"/>
  <c r="N45" i="3"/>
  <c r="N44" i="3"/>
  <c r="I45" i="3"/>
  <c r="I44" i="3"/>
  <c r="E44" i="3"/>
  <c r="E45" i="3"/>
  <c r="E39" i="3"/>
  <c r="F39" i="3"/>
  <c r="G39" i="3"/>
  <c r="H39" i="3"/>
  <c r="I39" i="3"/>
  <c r="J39" i="3"/>
  <c r="K39" i="3"/>
  <c r="L39" i="3"/>
  <c r="M39" i="3"/>
  <c r="N39" i="3"/>
  <c r="O39" i="3"/>
  <c r="P39" i="3"/>
  <c r="Q39" i="3"/>
  <c r="R39" i="3"/>
  <c r="S39" i="3"/>
  <c r="T39" i="3"/>
  <c r="U39" i="3"/>
  <c r="V39" i="3"/>
  <c r="W39" i="3"/>
  <c r="X39" i="3"/>
  <c r="Y39" i="3"/>
  <c r="Z39" i="3"/>
  <c r="AA39" i="3"/>
  <c r="AB39" i="3"/>
  <c r="E40" i="3"/>
  <c r="F40" i="3"/>
  <c r="G40" i="3"/>
  <c r="H40" i="3"/>
  <c r="I40" i="3"/>
  <c r="J40" i="3"/>
  <c r="K40" i="3"/>
  <c r="L40" i="3"/>
  <c r="M40" i="3"/>
  <c r="N40" i="3"/>
  <c r="O40" i="3"/>
  <c r="P40" i="3"/>
  <c r="Q40" i="3"/>
  <c r="R40" i="3"/>
  <c r="S40" i="3"/>
  <c r="T40" i="3"/>
  <c r="U40" i="3"/>
  <c r="V40" i="3"/>
  <c r="W40" i="3"/>
  <c r="X40" i="3"/>
  <c r="Y40" i="3"/>
  <c r="Z40" i="3"/>
  <c r="AA40" i="3"/>
  <c r="AB40" i="3"/>
  <c r="D40" i="3"/>
  <c r="D39" i="3"/>
  <c r="X34" i="3"/>
  <c r="S34" i="3"/>
  <c r="N34" i="3"/>
  <c r="I34" i="3"/>
  <c r="J34" i="3"/>
  <c r="T34" i="3"/>
  <c r="AB145" i="3"/>
  <c r="AB146" i="3"/>
  <c r="AB143" i="3"/>
  <c r="Y168" i="3"/>
  <c r="AL144" i="3"/>
  <c r="AL142" i="3"/>
  <c r="AL141" i="3"/>
  <c r="AL140" i="3"/>
  <c r="AB147" i="3"/>
  <c r="W146" i="3"/>
  <c r="R147" i="3"/>
  <c r="R146" i="3"/>
  <c r="R145" i="3"/>
  <c r="R144" i="3"/>
  <c r="R143" i="3"/>
  <c r="W145" i="3"/>
  <c r="T167" i="3"/>
  <c r="T171" i="3"/>
  <c r="O103" i="3"/>
  <c r="AB84" i="3"/>
  <c r="AB83" i="3"/>
  <c r="AB82" i="3"/>
  <c r="AB80" i="3"/>
  <c r="AB76" i="3"/>
  <c r="AB75" i="3"/>
  <c r="AB72" i="3"/>
  <c r="AB71" i="3"/>
  <c r="AB70" i="3"/>
  <c r="AB66" i="3"/>
  <c r="AB65" i="3"/>
  <c r="AB64" i="3"/>
  <c r="AB63" i="3"/>
  <c r="AB62" i="3"/>
  <c r="AB60" i="3"/>
  <c r="AB58" i="3"/>
  <c r="AB55" i="3"/>
  <c r="AB54" i="3"/>
  <c r="W84" i="3"/>
  <c r="W83" i="3"/>
  <c r="W82" i="3"/>
  <c r="W80" i="3"/>
  <c r="W76" i="3"/>
  <c r="W75" i="3"/>
  <c r="W73" i="3"/>
  <c r="W72" i="3"/>
  <c r="W71" i="3"/>
  <c r="W70" i="3"/>
  <c r="W66" i="3"/>
  <c r="W65" i="3"/>
  <c r="W64" i="3"/>
  <c r="W63" i="3"/>
  <c r="W62" i="3"/>
  <c r="W60" i="3"/>
  <c r="W59" i="3"/>
  <c r="W58" i="3"/>
  <c r="W57" i="3"/>
  <c r="W56" i="3"/>
  <c r="W55" i="3"/>
  <c r="W54" i="3"/>
  <c r="R84" i="3"/>
  <c r="R83" i="3"/>
  <c r="R82" i="3"/>
  <c r="R80" i="3"/>
  <c r="R76" i="3"/>
  <c r="R75" i="3"/>
  <c r="R73" i="3"/>
  <c r="R72" i="3"/>
  <c r="R71" i="3"/>
  <c r="R70" i="3"/>
  <c r="R66" i="3"/>
  <c r="R65" i="3"/>
  <c r="R64" i="3"/>
  <c r="R63" i="3"/>
  <c r="R62" i="3"/>
  <c r="R60" i="3"/>
  <c r="R59" i="3"/>
  <c r="R58" i="3"/>
  <c r="R57" i="3"/>
  <c r="R56" i="3"/>
  <c r="R55" i="3"/>
  <c r="R54" i="3"/>
  <c r="M84" i="3"/>
  <c r="M83" i="3"/>
  <c r="M82" i="3"/>
  <c r="M80" i="3"/>
  <c r="M77" i="3"/>
  <c r="M76" i="3"/>
  <c r="M75" i="3"/>
  <c r="M73" i="3"/>
  <c r="M72" i="3"/>
  <c r="M71" i="3"/>
  <c r="M70" i="3"/>
  <c r="M66" i="3"/>
  <c r="M65" i="3"/>
  <c r="M64" i="3"/>
  <c r="M63" i="3"/>
  <c r="M62" i="3"/>
  <c r="M60" i="3"/>
  <c r="M59" i="3"/>
  <c r="M58" i="3"/>
  <c r="M57" i="3"/>
  <c r="M56" i="3"/>
  <c r="M55" i="3"/>
  <c r="M54" i="3"/>
  <c r="H84" i="3"/>
  <c r="H83" i="3"/>
  <c r="H82" i="3"/>
  <c r="H80" i="3"/>
  <c r="H77" i="3"/>
  <c r="H76" i="3"/>
  <c r="H75" i="3"/>
  <c r="H73" i="3"/>
  <c r="H72" i="3"/>
  <c r="H71" i="3"/>
  <c r="H70" i="3"/>
  <c r="H66" i="3"/>
  <c r="H65" i="3"/>
  <c r="H64" i="3"/>
  <c r="H63" i="3"/>
  <c r="H62" i="3"/>
  <c r="H60" i="3"/>
  <c r="H59" i="3"/>
  <c r="H58" i="3"/>
  <c r="H57" i="3"/>
  <c r="H56" i="3"/>
  <c r="H55" i="3"/>
  <c r="H54" i="3"/>
  <c r="H146" i="3"/>
  <c r="H145" i="3"/>
  <c r="H144" i="3"/>
  <c r="H143" i="3"/>
  <c r="M147" i="3"/>
  <c r="M146" i="3"/>
  <c r="M145" i="3"/>
  <c r="M144" i="3"/>
  <c r="M143" i="3"/>
  <c r="H147" i="3"/>
  <c r="E167" i="3"/>
  <c r="J167" i="3"/>
  <c r="J171" i="3"/>
  <c r="H142" i="3"/>
  <c r="H168" i="3"/>
  <c r="G168" i="3"/>
  <c r="Q167" i="3"/>
  <c r="P167" i="3"/>
  <c r="W142" i="3"/>
  <c r="V168" i="3"/>
  <c r="Y167" i="3"/>
  <c r="J168" i="3"/>
  <c r="U168" i="3"/>
  <c r="O168" i="3"/>
  <c r="O167" i="3"/>
  <c r="AL167" i="3"/>
  <c r="AL168" i="3"/>
  <c r="M160" i="3"/>
  <c r="R160" i="3"/>
  <c r="AB160" i="3"/>
  <c r="H160" i="3"/>
  <c r="W160" i="3"/>
  <c r="AB157" i="3"/>
  <c r="U166" i="3"/>
  <c r="O166" i="3"/>
  <c r="AC44" i="3"/>
  <c r="AC45" i="3"/>
  <c r="F171" i="3"/>
  <c r="E171" i="3"/>
  <c r="O171" i="3"/>
  <c r="Y171" i="3"/>
  <c r="W140" i="3"/>
  <c r="U167" i="3"/>
  <c r="W144" i="3"/>
  <c r="W143" i="3"/>
  <c r="R141" i="3"/>
  <c r="R61" i="3"/>
  <c r="R67" i="3"/>
  <c r="R74" i="3"/>
  <c r="R78" i="3"/>
  <c r="R85" i="3"/>
  <c r="AB61" i="3"/>
  <c r="AB67" i="3"/>
  <c r="AB74" i="3"/>
  <c r="AB78" i="3"/>
  <c r="AB85" i="3"/>
  <c r="H140" i="3"/>
  <c r="M61" i="3"/>
  <c r="M67" i="3"/>
  <c r="M74" i="3"/>
  <c r="M78" i="3"/>
  <c r="M85" i="3"/>
  <c r="W61" i="3"/>
  <c r="W67" i="3"/>
  <c r="W74" i="3"/>
  <c r="W78" i="3"/>
  <c r="W85" i="3"/>
  <c r="D137" i="3"/>
  <c r="G98" i="3"/>
  <c r="G99" i="3"/>
  <c r="F98" i="3"/>
  <c r="F99" i="3"/>
  <c r="E98" i="3"/>
  <c r="E99" i="3"/>
  <c r="G96" i="3"/>
  <c r="G97" i="3"/>
  <c r="F96" i="3"/>
  <c r="F97" i="3"/>
  <c r="E96" i="3"/>
  <c r="E97" i="3"/>
  <c r="G94" i="3"/>
  <c r="G95" i="3"/>
  <c r="F94" i="3"/>
  <c r="F95" i="3"/>
  <c r="E94" i="3"/>
  <c r="E95" i="3"/>
  <c r="H85" i="3"/>
  <c r="G85" i="3"/>
  <c r="G104" i="3"/>
  <c r="F85" i="3"/>
  <c r="F104" i="3"/>
  <c r="E85" i="3"/>
  <c r="E104" i="3"/>
  <c r="D85" i="3"/>
  <c r="H74" i="3"/>
  <c r="H78" i="3"/>
  <c r="G74" i="3"/>
  <c r="G78" i="3"/>
  <c r="F74" i="3"/>
  <c r="F78" i="3"/>
  <c r="E74" i="3"/>
  <c r="E78" i="3"/>
  <c r="D74" i="3"/>
  <c r="D78" i="3"/>
  <c r="G45" i="3"/>
  <c r="F45" i="3"/>
  <c r="G44" i="3"/>
  <c r="F44" i="3"/>
  <c r="G34" i="3"/>
  <c r="F34" i="3"/>
  <c r="E34" i="3"/>
  <c r="H12" i="3"/>
  <c r="G17" i="3"/>
  <c r="F35" i="3"/>
  <c r="E35" i="3"/>
  <c r="D35" i="3"/>
  <c r="I137" i="3"/>
  <c r="L98" i="3"/>
  <c r="L99" i="3"/>
  <c r="K98" i="3"/>
  <c r="K99" i="3"/>
  <c r="J98" i="3"/>
  <c r="J99" i="3"/>
  <c r="L96" i="3"/>
  <c r="L97" i="3"/>
  <c r="K96" i="3"/>
  <c r="K97" i="3"/>
  <c r="J96" i="3"/>
  <c r="J97" i="3"/>
  <c r="L94" i="3"/>
  <c r="L95" i="3"/>
  <c r="K94" i="3"/>
  <c r="K95" i="3"/>
  <c r="L85" i="3"/>
  <c r="L104" i="3"/>
  <c r="K85" i="3"/>
  <c r="K104" i="3"/>
  <c r="J85" i="3"/>
  <c r="J104" i="3"/>
  <c r="I85" i="3"/>
  <c r="I104" i="3"/>
  <c r="L74" i="3"/>
  <c r="L78" i="3"/>
  <c r="K74" i="3"/>
  <c r="K78" i="3"/>
  <c r="J74" i="3"/>
  <c r="J78" i="3"/>
  <c r="I74" i="3"/>
  <c r="I78" i="3"/>
  <c r="L45" i="3"/>
  <c r="K45" i="3"/>
  <c r="J45" i="3"/>
  <c r="L44" i="3"/>
  <c r="K44" i="3"/>
  <c r="J44" i="3"/>
  <c r="L34" i="3"/>
  <c r="K34" i="3"/>
  <c r="M12" i="3"/>
  <c r="M35" i="3"/>
  <c r="K35" i="3"/>
  <c r="J35" i="3"/>
  <c r="I35" i="3"/>
  <c r="N137" i="3"/>
  <c r="Q98" i="3"/>
  <c r="Q99" i="3"/>
  <c r="P98" i="3"/>
  <c r="P99" i="3"/>
  <c r="O98" i="3"/>
  <c r="O99" i="3"/>
  <c r="Q96" i="3"/>
  <c r="Q97" i="3"/>
  <c r="P96" i="3"/>
  <c r="P97" i="3"/>
  <c r="O96" i="3"/>
  <c r="O97" i="3"/>
  <c r="Q94" i="3"/>
  <c r="Q95" i="3"/>
  <c r="P94" i="3"/>
  <c r="P95" i="3"/>
  <c r="Q85" i="3"/>
  <c r="Q104" i="3"/>
  <c r="P85" i="3"/>
  <c r="P104" i="3"/>
  <c r="O85" i="3"/>
  <c r="O104" i="3"/>
  <c r="N85" i="3"/>
  <c r="N104" i="3"/>
  <c r="Q74" i="3"/>
  <c r="Q78" i="3"/>
  <c r="P74" i="3"/>
  <c r="P78" i="3"/>
  <c r="O74" i="3"/>
  <c r="O78" i="3"/>
  <c r="N74" i="3"/>
  <c r="N78" i="3"/>
  <c r="N86" i="3"/>
  <c r="Q45" i="3"/>
  <c r="P45" i="3"/>
  <c r="O45" i="3"/>
  <c r="Q44" i="3"/>
  <c r="P44" i="3"/>
  <c r="O44" i="3"/>
  <c r="Q34" i="3"/>
  <c r="P34" i="3"/>
  <c r="O34" i="3"/>
  <c r="R35" i="3"/>
  <c r="Q12" i="3"/>
  <c r="P12" i="3"/>
  <c r="P35" i="3"/>
  <c r="O12" i="3"/>
  <c r="O35" i="3"/>
  <c r="N12" i="3"/>
  <c r="N35" i="3"/>
  <c r="S137" i="3"/>
  <c r="V98" i="3"/>
  <c r="V99" i="3"/>
  <c r="U98" i="3"/>
  <c r="U99" i="3"/>
  <c r="T98" i="3"/>
  <c r="T99" i="3"/>
  <c r="V96" i="3"/>
  <c r="V97" i="3"/>
  <c r="U96" i="3"/>
  <c r="U97" i="3"/>
  <c r="T96" i="3"/>
  <c r="T97" i="3"/>
  <c r="V94" i="3"/>
  <c r="V95" i="3"/>
  <c r="U94" i="3"/>
  <c r="U95" i="3"/>
  <c r="T94" i="3"/>
  <c r="T95" i="3"/>
  <c r="V85" i="3"/>
  <c r="V104" i="3"/>
  <c r="U85" i="3"/>
  <c r="U104" i="3"/>
  <c r="T85" i="3"/>
  <c r="T104" i="3"/>
  <c r="S85" i="3"/>
  <c r="S104" i="3"/>
  <c r="V74" i="3"/>
  <c r="V78" i="3"/>
  <c r="U74" i="3"/>
  <c r="U78" i="3"/>
  <c r="T74" i="3"/>
  <c r="T78" i="3"/>
  <c r="S74" i="3"/>
  <c r="S78" i="3"/>
  <c r="V45" i="3"/>
  <c r="U45" i="3"/>
  <c r="T45" i="3"/>
  <c r="V44" i="3"/>
  <c r="U44" i="3"/>
  <c r="T44" i="3"/>
  <c r="V34" i="3"/>
  <c r="U34" i="3"/>
  <c r="W35" i="3"/>
  <c r="V12" i="3"/>
  <c r="V35" i="3"/>
  <c r="U12" i="3"/>
  <c r="U35" i="3"/>
  <c r="T12" i="3"/>
  <c r="T35" i="3"/>
  <c r="S12" i="3"/>
  <c r="S35" i="3"/>
  <c r="X137" i="3"/>
  <c r="AA98" i="3"/>
  <c r="AA99" i="3"/>
  <c r="Z98" i="3"/>
  <c r="Z99" i="3"/>
  <c r="Y98" i="3"/>
  <c r="Y99" i="3"/>
  <c r="AA96" i="3"/>
  <c r="AA97" i="3"/>
  <c r="Z96" i="3"/>
  <c r="Z97" i="3"/>
  <c r="Y96" i="3"/>
  <c r="Y97" i="3"/>
  <c r="AA94" i="3"/>
  <c r="AA95" i="3"/>
  <c r="Z94" i="3"/>
  <c r="Z95" i="3"/>
  <c r="Y94" i="3"/>
  <c r="Y95" i="3"/>
  <c r="AA85" i="3"/>
  <c r="AA104" i="3"/>
  <c r="Z85" i="3"/>
  <c r="Z104" i="3"/>
  <c r="Y85" i="3"/>
  <c r="Y104" i="3"/>
  <c r="X85" i="3"/>
  <c r="X104" i="3"/>
  <c r="AA74" i="3"/>
  <c r="AA78" i="3"/>
  <c r="Z74" i="3"/>
  <c r="Z78" i="3"/>
  <c r="Y74" i="3"/>
  <c r="Y78" i="3"/>
  <c r="X74" i="3"/>
  <c r="X78" i="3"/>
  <c r="AA45" i="3"/>
  <c r="Z45" i="3"/>
  <c r="Y45" i="3"/>
  <c r="AA44" i="3"/>
  <c r="Z44" i="3"/>
  <c r="Y44" i="3"/>
  <c r="AA34" i="3"/>
  <c r="Z34" i="3"/>
  <c r="Y34" i="3"/>
  <c r="AB35" i="3"/>
  <c r="AA12" i="3"/>
  <c r="AA35" i="3"/>
  <c r="Z12" i="3"/>
  <c r="Z35" i="3"/>
  <c r="Y12" i="3"/>
  <c r="Y35" i="3"/>
  <c r="X12" i="3"/>
  <c r="X35" i="3"/>
  <c r="Z167" i="3"/>
  <c r="G167" i="3"/>
  <c r="F167" i="3"/>
  <c r="L167" i="3"/>
  <c r="K167" i="3"/>
  <c r="AA168" i="3"/>
  <c r="Z168" i="3"/>
  <c r="Q168" i="3"/>
  <c r="P168" i="3"/>
  <c r="K168" i="3"/>
  <c r="W168" i="3"/>
  <c r="R167" i="3"/>
  <c r="G100" i="3"/>
  <c r="E100" i="3"/>
  <c r="K171" i="3"/>
  <c r="U171" i="3"/>
  <c r="AC171" i="3"/>
  <c r="Z171" i="3"/>
  <c r="P171" i="3"/>
  <c r="AB144" i="3"/>
  <c r="W147" i="3"/>
  <c r="V167" i="3"/>
  <c r="AB86" i="3"/>
  <c r="R86" i="3"/>
  <c r="M86" i="3"/>
  <c r="W86" i="3"/>
  <c r="M140" i="3"/>
  <c r="X86" i="3"/>
  <c r="T86" i="3"/>
  <c r="L86" i="3"/>
  <c r="H86" i="3"/>
  <c r="D86" i="3"/>
  <c r="P86" i="3"/>
  <c r="Y86" i="3"/>
  <c r="AA86" i="3"/>
  <c r="S86" i="3"/>
  <c r="U86" i="3"/>
  <c r="I86" i="3"/>
  <c r="K86" i="3"/>
  <c r="E86" i="3"/>
  <c r="G86" i="3"/>
  <c r="Z86" i="3"/>
  <c r="V86" i="3"/>
  <c r="O86" i="3"/>
  <c r="Q86" i="3"/>
  <c r="J86" i="3"/>
  <c r="F86" i="3"/>
  <c r="U137" i="3"/>
  <c r="F100" i="3"/>
  <c r="F137" i="3"/>
  <c r="Y100" i="3"/>
  <c r="AA100" i="3"/>
  <c r="V16" i="3"/>
  <c r="U100" i="3"/>
  <c r="L35" i="3"/>
  <c r="Q35" i="3"/>
  <c r="Q16" i="3"/>
  <c r="O16" i="3"/>
  <c r="K137" i="3"/>
  <c r="H35" i="3"/>
  <c r="H16" i="3"/>
  <c r="Z100" i="3"/>
  <c r="T16" i="3"/>
  <c r="P100" i="3"/>
  <c r="K100" i="3"/>
  <c r="G36" i="3"/>
  <c r="G35" i="3"/>
  <c r="E17" i="3"/>
  <c r="E137" i="3"/>
  <c r="I17" i="3"/>
  <c r="K17" i="3"/>
  <c r="M16" i="3"/>
  <c r="M17" i="3"/>
  <c r="J100" i="3"/>
  <c r="L100" i="3"/>
  <c r="J137" i="3"/>
  <c r="N16" i="3"/>
  <c r="N17" i="3"/>
  <c r="P16" i="3"/>
  <c r="P17" i="3"/>
  <c r="R17" i="3"/>
  <c r="O100" i="3"/>
  <c r="Q100" i="3"/>
  <c r="P137" i="3"/>
  <c r="O137" i="3"/>
  <c r="S16" i="3"/>
  <c r="S17" i="3"/>
  <c r="U16" i="3"/>
  <c r="U17" i="3"/>
  <c r="W17" i="3"/>
  <c r="T100" i="3"/>
  <c r="V100" i="3"/>
  <c r="T137" i="3"/>
  <c r="X16" i="3"/>
  <c r="X17" i="3"/>
  <c r="Z16" i="3"/>
  <c r="Z17" i="3"/>
  <c r="AB17" i="3"/>
  <c r="Y16" i="3"/>
  <c r="Y17" i="3"/>
  <c r="AA16" i="3"/>
  <c r="AA17" i="3"/>
  <c r="Z137" i="3"/>
  <c r="Y137" i="3"/>
  <c r="AD48" i="3"/>
  <c r="H36" i="3"/>
  <c r="H17" i="3"/>
  <c r="O36" i="3"/>
  <c r="O17" i="3"/>
  <c r="J36" i="3"/>
  <c r="J17" i="3"/>
  <c r="V36" i="3"/>
  <c r="V17" i="3"/>
  <c r="F17" i="3"/>
  <c r="Q36" i="3"/>
  <c r="Q17" i="3"/>
  <c r="L36" i="3"/>
  <c r="L17" i="3"/>
  <c r="T36" i="3"/>
  <c r="T17" i="3"/>
  <c r="D36" i="3"/>
  <c r="D17" i="3"/>
  <c r="M141" i="3"/>
  <c r="M167" i="3"/>
  <c r="R142" i="3"/>
  <c r="R168" i="3"/>
  <c r="H141" i="3"/>
  <c r="H167" i="3"/>
  <c r="AB142" i="3"/>
  <c r="AB168" i="3"/>
  <c r="L168" i="3"/>
  <c r="M142" i="3"/>
  <c r="M168" i="3"/>
  <c r="AB141" i="3"/>
  <c r="AB167" i="3"/>
  <c r="AA167" i="3"/>
  <c r="AD44" i="3"/>
  <c r="AD45" i="3"/>
  <c r="AB140" i="3"/>
  <c r="S171" i="3"/>
  <c r="Q171" i="3"/>
  <c r="AA171" i="3"/>
  <c r="X171" i="3"/>
  <c r="V171" i="3"/>
  <c r="I171" i="3"/>
  <c r="G171" i="3"/>
  <c r="N171" i="3"/>
  <c r="L171" i="3"/>
  <c r="F37" i="3"/>
  <c r="F38" i="3"/>
  <c r="G37" i="3"/>
  <c r="G38" i="3"/>
  <c r="W141" i="3"/>
  <c r="W167" i="3"/>
  <c r="R140" i="3"/>
  <c r="V22" i="3"/>
  <c r="Q22" i="3"/>
  <c r="F36" i="3"/>
  <c r="H22" i="3"/>
  <c r="H38" i="3"/>
  <c r="T22" i="3"/>
  <c r="O22" i="3"/>
  <c r="D38" i="3"/>
  <c r="E36" i="3"/>
  <c r="G137" i="3"/>
  <c r="M36" i="3"/>
  <c r="M22" i="3"/>
  <c r="I36" i="3"/>
  <c r="L137" i="3"/>
  <c r="K36" i="3"/>
  <c r="R36" i="3"/>
  <c r="N36" i="3"/>
  <c r="N22" i="3"/>
  <c r="Q137" i="3"/>
  <c r="P36" i="3"/>
  <c r="P22" i="3"/>
  <c r="V137" i="3"/>
  <c r="U36" i="3"/>
  <c r="U22" i="3"/>
  <c r="W36" i="3"/>
  <c r="S36" i="3"/>
  <c r="S22" i="3"/>
  <c r="AA137" i="3"/>
  <c r="AA36" i="3"/>
  <c r="AA22" i="3"/>
  <c r="Z36" i="3"/>
  <c r="Z22" i="3"/>
  <c r="Y36" i="3"/>
  <c r="Y22" i="3"/>
  <c r="AB36" i="3"/>
  <c r="X36" i="3"/>
  <c r="X22" i="3"/>
  <c r="AH100" i="3"/>
  <c r="AD80" i="3"/>
  <c r="AE80" i="3"/>
  <c r="AF80" i="3"/>
  <c r="AI33" i="3"/>
  <c r="AD33" i="3"/>
  <c r="AD101" i="3"/>
  <c r="AF101" i="3"/>
  <c r="AH101" i="3"/>
  <c r="AE101" i="3"/>
  <c r="AD166" i="3"/>
  <c r="F28" i="3"/>
  <c r="AE34" i="3"/>
  <c r="G27" i="3"/>
  <c r="AD96" i="3"/>
  <c r="AD97" i="3"/>
  <c r="AD39" i="3"/>
  <c r="AD40" i="3"/>
  <c r="AD34" i="3"/>
  <c r="F27" i="3"/>
  <c r="G28" i="3"/>
  <c r="AG58" i="3"/>
  <c r="AG59" i="3"/>
  <c r="X24" i="3"/>
  <c r="X37" i="3"/>
  <c r="X38" i="3"/>
  <c r="AB37" i="3"/>
  <c r="AB38" i="3"/>
  <c r="Y24" i="3"/>
  <c r="Y37" i="3"/>
  <c r="Y38" i="3"/>
  <c r="Z24" i="3"/>
  <c r="Z37" i="3"/>
  <c r="Z38" i="3"/>
  <c r="AA24" i="3"/>
  <c r="AA37" i="3"/>
  <c r="AA38" i="3"/>
  <c r="S24" i="3"/>
  <c r="S37" i="3"/>
  <c r="S38" i="3"/>
  <c r="W37" i="3"/>
  <c r="W38" i="3"/>
  <c r="U24" i="3"/>
  <c r="U37" i="3"/>
  <c r="U38" i="3"/>
  <c r="P24" i="3"/>
  <c r="P37" i="3"/>
  <c r="P38" i="3"/>
  <c r="N24" i="3"/>
  <c r="N111" i="3"/>
  <c r="N127" i="3"/>
  <c r="N38" i="3"/>
  <c r="R37" i="3"/>
  <c r="R38" i="3"/>
  <c r="K37" i="3"/>
  <c r="K38" i="3"/>
  <c r="I37" i="3"/>
  <c r="I38" i="3"/>
  <c r="M24" i="3"/>
  <c r="M37" i="3"/>
  <c r="M38" i="3"/>
  <c r="L37" i="3"/>
  <c r="L38" i="3"/>
  <c r="T24" i="3"/>
  <c r="T37" i="3"/>
  <c r="T38" i="3"/>
  <c r="Q24" i="3"/>
  <c r="Q37" i="3"/>
  <c r="Q38" i="3"/>
  <c r="J38" i="3"/>
  <c r="E37" i="3"/>
  <c r="E38" i="3"/>
  <c r="O24" i="3"/>
  <c r="O37" i="3"/>
  <c r="O38" i="3"/>
  <c r="V24" i="3"/>
  <c r="V37" i="3"/>
  <c r="V38" i="3"/>
  <c r="D37" i="3"/>
  <c r="AG80" i="3"/>
  <c r="AH80" i="3"/>
  <c r="AI80" i="3"/>
  <c r="AJ80" i="3"/>
  <c r="AK80" i="3"/>
  <c r="H24" i="3"/>
  <c r="G127" i="3"/>
  <c r="J127" i="3"/>
  <c r="F127" i="3"/>
  <c r="F149" i="3"/>
  <c r="AD100" i="3"/>
  <c r="Q111" i="3"/>
  <c r="Q127" i="3"/>
  <c r="J27" i="3"/>
  <c r="T111" i="3"/>
  <c r="L28" i="3"/>
  <c r="AG71" i="3"/>
  <c r="V27" i="3"/>
  <c r="O28" i="3"/>
  <c r="L27" i="3"/>
  <c r="N37" i="3"/>
  <c r="AI58" i="3"/>
  <c r="V28" i="3"/>
  <c r="O111" i="3"/>
  <c r="AG64" i="3"/>
  <c r="T28" i="3"/>
  <c r="T27" i="3"/>
  <c r="V111" i="3"/>
  <c r="V127" i="3"/>
  <c r="Q28" i="3"/>
  <c r="Q27" i="3"/>
  <c r="O27" i="3"/>
  <c r="J28" i="3"/>
  <c r="J37" i="3"/>
  <c r="D28" i="3"/>
  <c r="D27" i="3"/>
  <c r="H27" i="3"/>
  <c r="H37" i="3"/>
  <c r="AL80" i="3"/>
  <c r="AM80" i="3"/>
  <c r="AN80" i="3"/>
  <c r="AG72" i="3"/>
  <c r="G149" i="3"/>
  <c r="H28" i="3"/>
  <c r="E27" i="3"/>
  <c r="E127" i="3"/>
  <c r="E28" i="3"/>
  <c r="M28" i="3"/>
  <c r="M27" i="3"/>
  <c r="I127" i="3"/>
  <c r="I28" i="3"/>
  <c r="I27" i="3"/>
  <c r="K28" i="3"/>
  <c r="K27" i="3"/>
  <c r="R28" i="3"/>
  <c r="R27" i="3"/>
  <c r="N28" i="3"/>
  <c r="N27" i="3"/>
  <c r="P111" i="3"/>
  <c r="P127" i="3"/>
  <c r="P28" i="3"/>
  <c r="P27" i="3"/>
  <c r="U111" i="3"/>
  <c r="U127" i="3"/>
  <c r="U28" i="3"/>
  <c r="U27" i="3"/>
  <c r="W28" i="3"/>
  <c r="W27" i="3"/>
  <c r="S111" i="3"/>
  <c r="S127" i="3"/>
  <c r="S169" i="3"/>
  <c r="S28" i="3"/>
  <c r="S27" i="3"/>
  <c r="AA27" i="3"/>
  <c r="AA111" i="3"/>
  <c r="AA127" i="3"/>
  <c r="AA169" i="3"/>
  <c r="AA28" i="3"/>
  <c r="Z111" i="3"/>
  <c r="Z127" i="3"/>
  <c r="Z169" i="3"/>
  <c r="Z28" i="3"/>
  <c r="Z27" i="3"/>
  <c r="Y27" i="3"/>
  <c r="Y111" i="3"/>
  <c r="Y127" i="3"/>
  <c r="Y28" i="3"/>
  <c r="AB28" i="3"/>
  <c r="AB27" i="3"/>
  <c r="X111" i="3"/>
  <c r="X127" i="3"/>
  <c r="X28" i="3"/>
  <c r="X27" i="3"/>
  <c r="AB169" i="3"/>
  <c r="X169" i="3"/>
  <c r="W169" i="3"/>
  <c r="V169" i="3"/>
  <c r="J149" i="3"/>
  <c r="J169" i="3"/>
  <c r="U169" i="3"/>
  <c r="N169" i="3"/>
  <c r="L127" i="3"/>
  <c r="O127" i="3"/>
  <c r="K127" i="3"/>
  <c r="D127" i="3"/>
  <c r="D149" i="3"/>
  <c r="D151" i="3"/>
  <c r="E150" i="3"/>
  <c r="T127" i="3"/>
  <c r="AI100" i="3"/>
  <c r="AG66" i="3"/>
  <c r="AL66" i="3"/>
  <c r="AG65" i="3"/>
  <c r="AJ58" i="3"/>
  <c r="AA149" i="3"/>
  <c r="S149" i="3"/>
  <c r="U149" i="3"/>
  <c r="N149" i="3"/>
  <c r="E149" i="3"/>
  <c r="Q149" i="3"/>
  <c r="Y149" i="3"/>
  <c r="Z149" i="3"/>
  <c r="X149" i="3"/>
  <c r="P149" i="3"/>
  <c r="V149" i="3"/>
  <c r="AG82" i="3"/>
  <c r="AG84" i="3"/>
  <c r="AG60" i="3"/>
  <c r="M169" i="3"/>
  <c r="T149" i="3"/>
  <c r="T169" i="3"/>
  <c r="L149" i="3"/>
  <c r="L169" i="3"/>
  <c r="I169" i="3"/>
  <c r="K149" i="3"/>
  <c r="K169" i="3"/>
  <c r="Q169" i="3"/>
  <c r="O149" i="3"/>
  <c r="O169" i="3"/>
  <c r="Y169" i="3"/>
  <c r="P169" i="3"/>
  <c r="R169" i="3"/>
  <c r="AJ100" i="3"/>
  <c r="AL84" i="3"/>
  <c r="M152" i="3"/>
  <c r="R152" i="3"/>
  <c r="AB152" i="3"/>
  <c r="W152" i="3"/>
  <c r="AK58" i="3"/>
  <c r="I149" i="3"/>
  <c r="AL82" i="3"/>
  <c r="H152" i="3"/>
  <c r="H61" i="3"/>
  <c r="H67" i="3"/>
  <c r="D61" i="3"/>
  <c r="D67" i="3"/>
  <c r="E151" i="3"/>
  <c r="F150" i="3"/>
  <c r="AK100" i="3"/>
  <c r="AE35" i="3"/>
  <c r="AL59" i="3"/>
  <c r="AL58" i="3"/>
  <c r="AM58" i="3"/>
  <c r="F151" i="3"/>
  <c r="G150" i="3"/>
  <c r="I61" i="3"/>
  <c r="I67" i="3"/>
  <c r="N61" i="3"/>
  <c r="N67" i="3"/>
  <c r="S61" i="3"/>
  <c r="S67" i="3"/>
  <c r="X61" i="3"/>
  <c r="X67" i="3"/>
  <c r="AL62" i="3"/>
  <c r="AE36" i="3"/>
  <c r="AE17" i="3"/>
  <c r="AL145" i="3"/>
  <c r="AL71" i="3"/>
  <c r="AL64" i="3"/>
  <c r="AN58" i="3"/>
  <c r="AL72" i="3"/>
  <c r="E61" i="3"/>
  <c r="E67" i="3"/>
  <c r="G151" i="3"/>
  <c r="J61" i="3"/>
  <c r="J67" i="3"/>
  <c r="O61" i="3"/>
  <c r="O67" i="3"/>
  <c r="T61" i="3"/>
  <c r="T67" i="3"/>
  <c r="Y61" i="3"/>
  <c r="Y67" i="3"/>
  <c r="AL76" i="3"/>
  <c r="AL65" i="3"/>
  <c r="F61" i="3"/>
  <c r="F67" i="3"/>
  <c r="G61" i="3"/>
  <c r="G67" i="3"/>
  <c r="L61" i="3"/>
  <c r="L67" i="3"/>
  <c r="K61" i="3"/>
  <c r="K67" i="3"/>
  <c r="P61" i="3"/>
  <c r="P67" i="3"/>
  <c r="Q61" i="3"/>
  <c r="Q67" i="3"/>
  <c r="V61" i="3"/>
  <c r="V67" i="3"/>
  <c r="U61" i="3"/>
  <c r="U67" i="3"/>
  <c r="AA61" i="3"/>
  <c r="AA67" i="3"/>
  <c r="Z61" i="3"/>
  <c r="Z67" i="3"/>
  <c r="AL60" i="3"/>
  <c r="AL146" i="3"/>
  <c r="AL73" i="3"/>
  <c r="I150" i="3"/>
  <c r="I151" i="3"/>
  <c r="J150" i="3"/>
  <c r="J151" i="3"/>
  <c r="K150" i="3"/>
  <c r="K151" i="3"/>
  <c r="L150" i="3"/>
  <c r="L151" i="3"/>
  <c r="BA65" i="3"/>
  <c r="N150" i="3"/>
  <c r="N151" i="3"/>
  <c r="O150" i="3"/>
  <c r="O151" i="3"/>
  <c r="P150" i="3"/>
  <c r="P151" i="3"/>
  <c r="Q150" i="3"/>
  <c r="Q151" i="3"/>
  <c r="S150" i="3"/>
  <c r="S151" i="3"/>
  <c r="T150" i="3"/>
  <c r="T151" i="3"/>
  <c r="U150" i="3"/>
  <c r="U151" i="3"/>
  <c r="V150" i="3"/>
  <c r="V151" i="3"/>
  <c r="X150" i="3"/>
  <c r="X151" i="3"/>
  <c r="Y150" i="3"/>
  <c r="Y151" i="3"/>
  <c r="Z150" i="3"/>
  <c r="Z151" i="3"/>
  <c r="AA150" i="3"/>
  <c r="AA151" i="3"/>
  <c r="AE38" i="3"/>
  <c r="AG75" i="3"/>
  <c r="AE37" i="3"/>
  <c r="AE28" i="3"/>
  <c r="AE27" i="3"/>
  <c r="AL75" i="3"/>
  <c r="AL147" i="3"/>
  <c r="AC35" i="3"/>
  <c r="AC36" i="3"/>
  <c r="AC17" i="3"/>
  <c r="AC74" i="3"/>
  <c r="AC78" i="3"/>
  <c r="AC38" i="3"/>
  <c r="AC37" i="3"/>
  <c r="AC27" i="3"/>
  <c r="AC28" i="3"/>
  <c r="AC169" i="3"/>
  <c r="AC85" i="3"/>
  <c r="AC86" i="3"/>
  <c r="AC104" i="3"/>
  <c r="AC61" i="3"/>
  <c r="AC67" i="3"/>
  <c r="AG63" i="3"/>
  <c r="AL113" i="3"/>
  <c r="AL63" i="3"/>
  <c r="AD35" i="3"/>
  <c r="AD36" i="3"/>
  <c r="AD17" i="3"/>
  <c r="AE169" i="3"/>
  <c r="AD38" i="3"/>
  <c r="AD74" i="3"/>
  <c r="AD78" i="3"/>
  <c r="AE74" i="3"/>
  <c r="AE78" i="3"/>
  <c r="AD27" i="3"/>
  <c r="AD37" i="3"/>
  <c r="AD28" i="3"/>
  <c r="AD169" i="3"/>
  <c r="AD85" i="3"/>
  <c r="AD86" i="3"/>
  <c r="AD104" i="3"/>
  <c r="AE85" i="3"/>
  <c r="AE86" i="3"/>
  <c r="AE104" i="3"/>
  <c r="AD61" i="3"/>
  <c r="AD67" i="3"/>
  <c r="AE61" i="3"/>
  <c r="AE67" i="3"/>
  <c r="AF35" i="3"/>
  <c r="AG33" i="3"/>
  <c r="AF15" i="3"/>
  <c r="AG56" i="3"/>
  <c r="AG39" i="3"/>
  <c r="AF36" i="3"/>
  <c r="AF17" i="3"/>
  <c r="AG40" i="3"/>
  <c r="AG15" i="3"/>
  <c r="AG35" i="3"/>
  <c r="AG17" i="3"/>
  <c r="AF38" i="3"/>
  <c r="AG57" i="3"/>
  <c r="AF74" i="3"/>
  <c r="AF78" i="3"/>
  <c r="AG70" i="3"/>
  <c r="AG74" i="3"/>
  <c r="AG78" i="3"/>
  <c r="AG36" i="3"/>
  <c r="AG38" i="3"/>
  <c r="AF37" i="3"/>
  <c r="AG37" i="3"/>
  <c r="AF169" i="3"/>
  <c r="AG169" i="3"/>
  <c r="AI34" i="3"/>
  <c r="AI35" i="3"/>
  <c r="AH15" i="3"/>
  <c r="AH35" i="3"/>
  <c r="AI15" i="3"/>
  <c r="AH74" i="3"/>
  <c r="AH78" i="3"/>
  <c r="AJ35" i="3"/>
  <c r="AI36" i="3"/>
  <c r="AI17" i="3"/>
  <c r="AH38" i="3"/>
  <c r="AH17" i="3"/>
  <c r="AH36" i="3"/>
  <c r="AI38" i="3"/>
  <c r="AK34" i="3"/>
  <c r="AK35" i="3"/>
  <c r="AI74" i="3"/>
  <c r="AI78" i="3"/>
  <c r="AJ15" i="3"/>
  <c r="AM35" i="3"/>
  <c r="AH37" i="3"/>
  <c r="AJ36" i="3"/>
  <c r="AJ17" i="3"/>
  <c r="AK15" i="3"/>
  <c r="AL39" i="3"/>
  <c r="AN34" i="3"/>
  <c r="AM15" i="3"/>
  <c r="AL55" i="3"/>
  <c r="AL56" i="3"/>
  <c r="AJ74" i="3"/>
  <c r="AJ78" i="3"/>
  <c r="AL15" i="3"/>
  <c r="AL40" i="3"/>
  <c r="AM36" i="3"/>
  <c r="AM17" i="3"/>
  <c r="AH169" i="3"/>
  <c r="AK36" i="3"/>
  <c r="AK17" i="3"/>
  <c r="AN35" i="3"/>
  <c r="AJ38" i="3"/>
  <c r="AI37" i="3"/>
  <c r="AM38" i="3"/>
  <c r="AN15" i="3"/>
  <c r="AL35" i="3"/>
  <c r="AL17" i="3"/>
  <c r="AK74" i="3"/>
  <c r="AK78" i="3"/>
  <c r="AL70" i="3"/>
  <c r="AL74" i="3"/>
  <c r="AL78" i="3"/>
  <c r="AL57" i="3"/>
  <c r="AI169" i="3"/>
  <c r="AK38" i="3"/>
  <c r="AJ37" i="3"/>
  <c r="AK37" i="3"/>
  <c r="AM74" i="3"/>
  <c r="AM78" i="3"/>
  <c r="AL36" i="3"/>
  <c r="AN36" i="3"/>
  <c r="AN17" i="3"/>
  <c r="AM37" i="3"/>
  <c r="AJ169" i="3"/>
  <c r="AL169" i="3"/>
  <c r="AM169" i="3"/>
  <c r="AK169" i="3"/>
  <c r="AL37" i="3"/>
  <c r="AG83" i="3"/>
  <c r="AG85" i="3"/>
  <c r="AF85" i="3"/>
  <c r="AG86" i="3"/>
  <c r="AF86" i="3"/>
  <c r="AF104" i="3"/>
  <c r="AF61" i="3"/>
  <c r="AF67" i="3"/>
  <c r="AF87" i="3"/>
  <c r="AG61" i="3"/>
  <c r="AG67" i="3"/>
  <c r="AG87" i="3"/>
  <c r="AF27" i="3"/>
  <c r="AG25" i="3"/>
  <c r="AI28" i="3"/>
  <c r="AH27" i="3"/>
  <c r="AF28" i="3"/>
  <c r="AH28" i="3"/>
  <c r="AG27" i="3"/>
  <c r="AG28" i="3"/>
  <c r="AH85" i="3"/>
  <c r="AI27" i="3"/>
  <c r="AJ28" i="3"/>
  <c r="AH86" i="3"/>
  <c r="AH104" i="3"/>
  <c r="AH54" i="3"/>
  <c r="AJ27" i="3"/>
  <c r="AK28" i="3"/>
  <c r="AL26" i="3"/>
  <c r="AI85" i="3"/>
  <c r="AL161" i="3"/>
  <c r="AH160" i="3"/>
  <c r="AI86" i="3"/>
  <c r="AI104" i="3"/>
  <c r="AH157" i="3"/>
  <c r="AL28" i="3"/>
  <c r="AK27" i="3"/>
  <c r="AH61" i="3"/>
  <c r="AH67" i="3"/>
  <c r="AH87" i="3"/>
  <c r="AJ85" i="3"/>
  <c r="AL25" i="3"/>
  <c r="AM28" i="3"/>
  <c r="AL27" i="3"/>
  <c r="AJ86" i="3"/>
  <c r="AJ104" i="3"/>
  <c r="AL143" i="3"/>
  <c r="AI54" i="3"/>
  <c r="AL83" i="3"/>
  <c r="AL85" i="3"/>
  <c r="AK85" i="3"/>
  <c r="AM27" i="3"/>
  <c r="AI160" i="3"/>
  <c r="AK86" i="3"/>
  <c r="AK104" i="3"/>
  <c r="AL86" i="3"/>
  <c r="AI157" i="3"/>
  <c r="AM85" i="3"/>
  <c r="AI61" i="3"/>
  <c r="AI67" i="3"/>
  <c r="AI87" i="3"/>
  <c r="AK54" i="3"/>
  <c r="AJ54" i="3"/>
  <c r="AJ160" i="3"/>
  <c r="AK160" i="3"/>
  <c r="AM86" i="3"/>
  <c r="AM104" i="3"/>
  <c r="AJ157" i="3"/>
  <c r="AK157" i="3"/>
  <c r="AJ61" i="3"/>
  <c r="AJ67" i="3"/>
  <c r="AJ87" i="3"/>
  <c r="AK61" i="3"/>
  <c r="AK67" i="3"/>
  <c r="AK87" i="3"/>
  <c r="AL54" i="3"/>
  <c r="AL160" i="3"/>
  <c r="AL61" i="3"/>
  <c r="AL67" i="3"/>
  <c r="AL87" i="3"/>
  <c r="AL157" i="3"/>
  <c r="AM54" i="3"/>
  <c r="AM160" i="3"/>
  <c r="AM157" i="3"/>
  <c r="AM61" i="3"/>
  <c r="AM67" i="3"/>
  <c r="AM87" i="3"/>
  <c r="BA63" i="3"/>
  <c r="AN38" i="3"/>
  <c r="AN27" i="3"/>
  <c r="AN28" i="3"/>
  <c r="AN37" i="3"/>
  <c r="AN169" i="3"/>
  <c r="AN85" i="3"/>
  <c r="AN104" i="3"/>
  <c r="BF29" i="3"/>
  <c r="BF30" i="3"/>
  <c r="AN74" i="3"/>
  <c r="AN78" i="3"/>
  <c r="AN86" i="3"/>
  <c r="BK29" i="3"/>
  <c r="BK30" i="3"/>
  <c r="AL152" i="3"/>
  <c r="BP29" i="3"/>
  <c r="BP30" i="3"/>
  <c r="C203" i="3"/>
  <c r="BU29" i="3"/>
  <c r="BU30" i="3"/>
  <c r="AN54" i="3"/>
  <c r="AN157" i="3"/>
  <c r="AL154" i="3"/>
  <c r="AN160" i="3"/>
  <c r="AN61" i="3"/>
  <c r="AN67" i="3"/>
  <c r="AN87" i="3"/>
  <c r="C207" i="3"/>
  <c r="BB15" i="3"/>
  <c r="BC15" i="3"/>
  <c r="BC17" i="3"/>
  <c r="BD17" i="3"/>
  <c r="BD15" i="3"/>
  <c r="BH15" i="3"/>
  <c r="BH17" i="3"/>
  <c r="BG15" i="3"/>
  <c r="BG17" i="3"/>
  <c r="BI15" i="3"/>
  <c r="BI17" i="3"/>
  <c r="BM15" i="3"/>
  <c r="BL15" i="3"/>
  <c r="BL17" i="3"/>
  <c r="BM17" i="3"/>
  <c r="BN17" i="3"/>
  <c r="BN15" i="3"/>
  <c r="BR15" i="3"/>
  <c r="BR17" i="3"/>
  <c r="BQ15" i="3"/>
  <c r="BQ17" i="3"/>
  <c r="BS17" i="3"/>
  <c r="BS15" i="3"/>
  <c r="BU17" i="3"/>
  <c r="BT17" i="3"/>
  <c r="BU15" i="3"/>
  <c r="BT15" i="3"/>
  <c r="BP15" i="3"/>
  <c r="BP17" i="3"/>
  <c r="BO17" i="3"/>
  <c r="BO15" i="3"/>
  <c r="BK15" i="3"/>
  <c r="BK17" i="3"/>
  <c r="BJ17" i="3"/>
  <c r="BJ15" i="3"/>
  <c r="BF17" i="3"/>
  <c r="BE17" i="3"/>
  <c r="BF15" i="3"/>
  <c r="BE15" i="3"/>
  <c r="BA39" i="3"/>
  <c r="AZ34" i="3"/>
  <c r="BE34" i="3"/>
  <c r="BE36" i="3"/>
  <c r="BB34" i="3"/>
  <c r="BF35" i="3"/>
  <c r="BF36" i="3"/>
  <c r="BF39" i="3"/>
  <c r="BF40" i="3"/>
  <c r="BG34" i="3"/>
  <c r="BJ34" i="3"/>
  <c r="BJ36" i="3"/>
  <c r="BL34" i="3"/>
  <c r="BO34" i="3"/>
  <c r="BO36" i="3"/>
  <c r="BQ34" i="3"/>
  <c r="BT34" i="3"/>
  <c r="BT36" i="3"/>
  <c r="BK35" i="3"/>
  <c r="BK36" i="3"/>
  <c r="BK39" i="3"/>
  <c r="BK40" i="3"/>
  <c r="BP35" i="3"/>
  <c r="BP36" i="3"/>
  <c r="BP39" i="3"/>
  <c r="BP40" i="3"/>
  <c r="BU35" i="3"/>
  <c r="BU36" i="3"/>
  <c r="BU39" i="3"/>
  <c r="BU40" i="3"/>
  <c r="BD169" i="3"/>
  <c r="BU38" i="3"/>
  <c r="BU37" i="3"/>
  <c r="BP38" i="3"/>
  <c r="BP37" i="3"/>
  <c r="BK38" i="3"/>
  <c r="BK37" i="3"/>
  <c r="BT37" i="3"/>
  <c r="BS37" i="3"/>
  <c r="BR37" i="3"/>
  <c r="BQ37" i="3"/>
  <c r="BO37" i="3"/>
  <c r="BN37" i="3"/>
  <c r="BM37" i="3"/>
  <c r="BL37" i="3"/>
  <c r="BJ37" i="3"/>
  <c r="BI37" i="3"/>
  <c r="BH37" i="3"/>
  <c r="BG37" i="3"/>
  <c r="BF38" i="3"/>
  <c r="BF37" i="3"/>
  <c r="BE37" i="3"/>
  <c r="BD37" i="3"/>
  <c r="BC37" i="3"/>
  <c r="BB37" i="3"/>
  <c r="BA28" i="3"/>
  <c r="BA25" i="3"/>
  <c r="BA27" i="3"/>
  <c r="BA17" i="3"/>
  <c r="BA15" i="3"/>
  <c r="AZ74" i="3"/>
  <c r="AZ78" i="3"/>
  <c r="AZ86" i="3"/>
  <c r="AZ61" i="3"/>
  <c r="AZ67" i="3"/>
  <c r="AZ87" i="3"/>
  <c r="BA35" i="3"/>
  <c r="AZ36" i="3"/>
  <c r="BA40" i="3"/>
  <c r="BA36" i="3"/>
  <c r="BA38" i="3"/>
  <c r="AZ37" i="3"/>
  <c r="BA37" i="3"/>
  <c r="AZ169" i="3"/>
  <c r="BA169" i="3"/>
  <c r="BB27" i="3"/>
  <c r="AZ160" i="3"/>
  <c r="BB169" i="3"/>
  <c r="BA74" i="3"/>
  <c r="BA78" i="3"/>
  <c r="BA86" i="3"/>
  <c r="BA61" i="3"/>
  <c r="BA67" i="3"/>
  <c r="BA87" i="3"/>
  <c r="AZ158" i="3"/>
  <c r="AZ161" i="3"/>
  <c r="BC27" i="3"/>
  <c r="BB160" i="3"/>
  <c r="BB156" i="3"/>
  <c r="BB158" i="3"/>
  <c r="BB161" i="3"/>
  <c r="BB87" i="3"/>
  <c r="BC169" i="3"/>
  <c r="BD27" i="3"/>
  <c r="BC160" i="3"/>
  <c r="BC87" i="3"/>
  <c r="BC156" i="3"/>
  <c r="BC158" i="3"/>
  <c r="BC161" i="3"/>
  <c r="BD160" i="3"/>
  <c r="BD86" i="3"/>
  <c r="BD87" i="3"/>
  <c r="BD158" i="3"/>
  <c r="BD161" i="3"/>
  <c r="BE27" i="3"/>
  <c r="BE28" i="3"/>
  <c r="BF28" i="3"/>
  <c r="BF25" i="3"/>
  <c r="BF27" i="3"/>
  <c r="BF169" i="3"/>
  <c r="BE169" i="3"/>
  <c r="BE160" i="3"/>
  <c r="BE87" i="3"/>
  <c r="BF87" i="3"/>
  <c r="BE158" i="3"/>
  <c r="BE161" i="3"/>
  <c r="BG28" i="3"/>
  <c r="BG27" i="3"/>
  <c r="BG169" i="3"/>
  <c r="BG87" i="3"/>
  <c r="BG156" i="3"/>
  <c r="BG158" i="3"/>
  <c r="BG161" i="3"/>
  <c r="BG160" i="3"/>
  <c r="BH28" i="3"/>
  <c r="BH27" i="3"/>
  <c r="BH169" i="3"/>
  <c r="BI28" i="3"/>
  <c r="BI27" i="3"/>
  <c r="BH156" i="3"/>
  <c r="BH158" i="3"/>
  <c r="BH161" i="3"/>
  <c r="BH160" i="3"/>
  <c r="BH87" i="3"/>
  <c r="BI169" i="3"/>
  <c r="BJ28" i="3"/>
  <c r="BJ27" i="3"/>
  <c r="BK28" i="3"/>
  <c r="BK25" i="3"/>
  <c r="BK27" i="3"/>
  <c r="BI160" i="3"/>
  <c r="BI87" i="3"/>
  <c r="BI156" i="3"/>
  <c r="BI158" i="3"/>
  <c r="BI161" i="3"/>
  <c r="BJ169" i="3"/>
  <c r="BK169" i="3"/>
  <c r="BL27" i="3"/>
  <c r="BL28" i="3"/>
  <c r="BJ160" i="3"/>
  <c r="BJ87" i="3"/>
  <c r="BK87" i="3"/>
  <c r="BL169" i="3"/>
  <c r="BJ158" i="3"/>
  <c r="BJ161" i="3"/>
  <c r="BL160" i="3"/>
  <c r="BL156" i="3"/>
  <c r="BL158" i="3"/>
  <c r="BL161" i="3"/>
  <c r="BL87" i="3"/>
  <c r="BM27" i="3"/>
  <c r="BM28" i="3"/>
  <c r="BM169" i="3"/>
  <c r="BN28" i="3"/>
  <c r="BN27" i="3"/>
  <c r="BN169" i="3"/>
  <c r="BM160" i="3"/>
  <c r="BM87" i="3"/>
  <c r="BM156" i="3"/>
  <c r="BM158" i="3"/>
  <c r="BM161" i="3"/>
  <c r="BN156" i="3"/>
  <c r="BN158" i="3"/>
  <c r="BN161" i="3"/>
  <c r="BN160" i="3"/>
  <c r="BN87" i="3"/>
  <c r="BO27" i="3"/>
  <c r="BO28" i="3"/>
  <c r="BP28" i="3"/>
  <c r="BP25" i="3"/>
  <c r="BP27" i="3"/>
  <c r="BP169" i="3"/>
  <c r="BO169" i="3"/>
  <c r="BO160" i="3"/>
  <c r="BO87" i="3"/>
  <c r="BQ27" i="3"/>
  <c r="BQ28" i="3"/>
  <c r="BP87" i="3"/>
  <c r="BQ169" i="3"/>
  <c r="BO158" i="3"/>
  <c r="BO161" i="3"/>
  <c r="BR27" i="3"/>
  <c r="BR28" i="3"/>
  <c r="BQ156" i="3"/>
  <c r="BQ158" i="3"/>
  <c r="BQ161" i="3"/>
  <c r="BQ160" i="3"/>
  <c r="BQ87" i="3"/>
  <c r="BR169" i="3"/>
  <c r="BR160" i="3"/>
  <c r="BR87" i="3"/>
  <c r="BR156" i="3"/>
  <c r="BR158" i="3"/>
  <c r="BR161" i="3"/>
  <c r="BS28" i="3"/>
  <c r="BS27" i="3"/>
  <c r="BS169" i="3"/>
  <c r="BS160" i="3"/>
  <c r="BS87" i="3"/>
  <c r="BS156" i="3"/>
  <c r="BS158" i="3"/>
  <c r="BS161" i="3"/>
  <c r="BU25" i="3"/>
  <c r="BU27" i="3"/>
  <c r="BU28" i="3"/>
  <c r="BT28" i="3"/>
  <c r="BT27" i="3"/>
  <c r="BU169" i="3"/>
  <c r="BT169" i="3"/>
  <c r="BT160" i="3"/>
  <c r="BT87" i="3"/>
  <c r="C3" i="3"/>
  <c r="C205" i="3"/>
  <c r="C206" i="3"/>
  <c r="C208" i="3"/>
  <c r="C4" i="3"/>
  <c r="C5" i="3"/>
  <c r="C213" i="3"/>
  <c r="C215" i="3"/>
  <c r="C214" i="3"/>
  <c r="C6" i="3"/>
  <c r="BU87" i="3"/>
  <c r="BT158" i="3"/>
  <c r="BT16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AF35" authorId="0" shapeId="0" xr:uid="{00000000-0006-0000-0000-000037000000}">
      <text>
        <r>
          <rPr>
            <sz val="9"/>
            <color indexed="81"/>
            <rFont val="Tahoma"/>
            <family val="2"/>
          </rPr>
          <t>Management guided gross margin between 38.5 percent and 39.5 percent on 7/21/15</t>
        </r>
      </text>
    </comment>
    <comment ref="AF38" authorId="0" shapeId="0" xr:uid="{00000000-0006-0000-0000-00003E000000}">
      <text>
        <r>
          <rPr>
            <sz val="9"/>
            <color indexed="81"/>
            <rFont val="Tahoma"/>
            <family val="2"/>
          </rPr>
          <t>Management guided tax rate of 26.3 percent on 7/21/15</t>
        </r>
      </text>
    </comment>
  </commentList>
</comments>
</file>

<file path=xl/sharedStrings.xml><?xml version="1.0" encoding="utf-8"?>
<sst xmlns="http://schemas.openxmlformats.org/spreadsheetml/2006/main" count="930" uniqueCount="330">
  <si>
    <t>FY 2013</t>
  </si>
  <si>
    <t>Gross Profit</t>
  </si>
  <si>
    <t xml:space="preserve">Operating Income </t>
  </si>
  <si>
    <t xml:space="preserve">Income before income taxes </t>
  </si>
  <si>
    <t>Basic shares outstanding</t>
  </si>
  <si>
    <t xml:space="preserve">Diluted shares outstanding </t>
  </si>
  <si>
    <t>FY 2014</t>
  </si>
  <si>
    <t>Selling, general and administrative</t>
  </si>
  <si>
    <t>Research and development</t>
  </si>
  <si>
    <t>Effective tax rate</t>
  </si>
  <si>
    <t>(Dollars in millions, except per share data)</t>
  </si>
  <si>
    <t>Inventories</t>
  </si>
  <si>
    <t>Total Current Assets</t>
  </si>
  <si>
    <t xml:space="preserve">Property, plant and equipment, net </t>
  </si>
  <si>
    <t>Total Assets</t>
  </si>
  <si>
    <t>Assets</t>
  </si>
  <si>
    <t>Liabilities</t>
  </si>
  <si>
    <t>Total Current liabilities</t>
  </si>
  <si>
    <t>Other current assets</t>
  </si>
  <si>
    <t>Deferred tax assets</t>
  </si>
  <si>
    <t>Other noncurrent assets</t>
  </si>
  <si>
    <t>Total liabilities</t>
  </si>
  <si>
    <t>Equity</t>
  </si>
  <si>
    <t>Common stock</t>
  </si>
  <si>
    <t>Accumulated other comprehensive income</t>
  </si>
  <si>
    <t>Total liabilities and equity</t>
  </si>
  <si>
    <t xml:space="preserve"> -   </t>
  </si>
  <si>
    <t>Cash flows from operating activities</t>
  </si>
  <si>
    <t>Net income (loss)</t>
  </si>
  <si>
    <t>Deferred income taxes, net</t>
  </si>
  <si>
    <t>Other</t>
  </si>
  <si>
    <t>Net cash provided by operating activities</t>
  </si>
  <si>
    <t>Cash flows from investing activities</t>
  </si>
  <si>
    <t>Net cash provided by (used for) investing</t>
  </si>
  <si>
    <t>Cash flows from financing activities</t>
  </si>
  <si>
    <t>Net cash provided by (used for) financing</t>
  </si>
  <si>
    <t>Net increase (decrease) in cash and equivalents</t>
  </si>
  <si>
    <t>Cash and equivalents at beginning of period</t>
  </si>
  <si>
    <t>Cash and equivalents at end of period</t>
  </si>
  <si>
    <t>Change in operating assets and liabilities</t>
  </si>
  <si>
    <t>F1Q14</t>
  </si>
  <si>
    <t>F2Q14</t>
  </si>
  <si>
    <t>F3Q14</t>
  </si>
  <si>
    <t>F4Q14</t>
  </si>
  <si>
    <t>Revenue growth rate (year over year)</t>
  </si>
  <si>
    <t>Revenue growth rate (quarter over quarter)</t>
  </si>
  <si>
    <t>Multiple Valuation</t>
  </si>
  <si>
    <t>Ratios</t>
  </si>
  <si>
    <t>SG&amp;A to sales</t>
  </si>
  <si>
    <t>R&amp;D to sales</t>
  </si>
  <si>
    <t>Balance Sheet Ratios &amp; Assumptions</t>
  </si>
  <si>
    <t>Receivables turnover</t>
  </si>
  <si>
    <t>Inventory turnover</t>
  </si>
  <si>
    <t>Number of days of payables</t>
  </si>
  <si>
    <t>Cash Flow Ratios &amp; Assumptions</t>
  </si>
  <si>
    <t xml:space="preserve"> </t>
  </si>
  <si>
    <t>Gross margin percentage (GAAP)</t>
  </si>
  <si>
    <t>Operating margin (GAAP)</t>
  </si>
  <si>
    <t>F4Q19E</t>
  </si>
  <si>
    <t>Share repurchase assumptions: average price</t>
  </si>
  <si>
    <t>Share repurchase: amount in the period ($M)</t>
  </si>
  <si>
    <t>Diluted share impact (convertible retirement)</t>
  </si>
  <si>
    <t>Free Cash Flow to Firm (FCFF)*</t>
  </si>
  <si>
    <t>Discounted FCFF</t>
  </si>
  <si>
    <t>Discounted Cash Flow Valuation</t>
  </si>
  <si>
    <t>Current share price</t>
  </si>
  <si>
    <t>Shares outstanding</t>
  </si>
  <si>
    <t>Market Capitalization ($M)</t>
  </si>
  <si>
    <t>Equity market risk premium</t>
  </si>
  <si>
    <t>Required return on equity (CAPM)</t>
  </si>
  <si>
    <t>Equity to total capital</t>
  </si>
  <si>
    <t>Average cost of debt</t>
  </si>
  <si>
    <t xml:space="preserve">After tax cost of debt </t>
  </si>
  <si>
    <t>WACC Inputs</t>
  </si>
  <si>
    <t>Net income to revenue</t>
  </si>
  <si>
    <t>P/E used for valuation</t>
  </si>
  <si>
    <t>Apple Inc Income Statement</t>
  </si>
  <si>
    <t>Apple Inc Balance Sheet</t>
  </si>
  <si>
    <t>Apple Inc Cash Flow Statement</t>
  </si>
  <si>
    <t>Net sales</t>
  </si>
  <si>
    <t>Cost of sales</t>
  </si>
  <si>
    <t>Provisions for income tax</t>
  </si>
  <si>
    <t>Sept-14</t>
  </si>
  <si>
    <t>June-14</t>
  </si>
  <si>
    <t>Mar-14</t>
  </si>
  <si>
    <t>Dec-13</t>
  </si>
  <si>
    <t>Sept-13</t>
  </si>
  <si>
    <t>Dec-14</t>
  </si>
  <si>
    <t>Mar-15</t>
  </si>
  <si>
    <t>June-15</t>
  </si>
  <si>
    <t>Sept-15</t>
  </si>
  <si>
    <t>Dec-16</t>
  </si>
  <si>
    <t>Dec-15</t>
  </si>
  <si>
    <t>Mar-16</t>
  </si>
  <si>
    <t>June-16</t>
  </si>
  <si>
    <t>Sept-16</t>
  </si>
  <si>
    <t>Mar-17</t>
  </si>
  <si>
    <t>June-17</t>
  </si>
  <si>
    <t>Sept-17</t>
  </si>
  <si>
    <t>Dec-17</t>
  </si>
  <si>
    <t>Mar-18</t>
  </si>
  <si>
    <t>June-18</t>
  </si>
  <si>
    <t>Sept-18</t>
  </si>
  <si>
    <t>Dec-18</t>
  </si>
  <si>
    <t>Mar-19</t>
  </si>
  <si>
    <t>June-19</t>
  </si>
  <si>
    <t>Sept-19</t>
  </si>
  <si>
    <t>Dec-10</t>
  </si>
  <si>
    <t>Dec-09</t>
  </si>
  <si>
    <t>Mar-10</t>
  </si>
  <si>
    <t>June-10</t>
  </si>
  <si>
    <t>Sept-10</t>
  </si>
  <si>
    <t>F1Q10</t>
  </si>
  <si>
    <t>F2Q10</t>
  </si>
  <si>
    <t>F3Q10</t>
  </si>
  <si>
    <t>F4Q10</t>
  </si>
  <si>
    <t>FY 2010</t>
  </si>
  <si>
    <t>Mar-11</t>
  </si>
  <si>
    <t>June-11</t>
  </si>
  <si>
    <t>Sept-11</t>
  </si>
  <si>
    <t>F1Q11</t>
  </si>
  <si>
    <t>F2Q11</t>
  </si>
  <si>
    <t>F3Q11</t>
  </si>
  <si>
    <t>F4Q11</t>
  </si>
  <si>
    <t>FY 2011</t>
  </si>
  <si>
    <t>Dec-11</t>
  </si>
  <si>
    <t>Mar-12</t>
  </si>
  <si>
    <t>June-12</t>
  </si>
  <si>
    <t>Sept-12</t>
  </si>
  <si>
    <t>F1Q12</t>
  </si>
  <si>
    <t>F2Q12</t>
  </si>
  <si>
    <t>F3Q12</t>
  </si>
  <si>
    <t>F4Q12</t>
  </si>
  <si>
    <t>FY 2012</t>
  </si>
  <si>
    <t>Dec-12</t>
  </si>
  <si>
    <t>Mar-13</t>
  </si>
  <si>
    <t>June-13</t>
  </si>
  <si>
    <t>F1Q13</t>
  </si>
  <si>
    <t>F2Q13</t>
  </si>
  <si>
    <t>F3Q13</t>
  </si>
  <si>
    <t>F4Q13</t>
  </si>
  <si>
    <t>Dividends per share</t>
  </si>
  <si>
    <t>Cash and equivalents</t>
  </si>
  <si>
    <t>Short-term marketable securities</t>
  </si>
  <si>
    <t xml:space="preserve">Accounts receivables </t>
  </si>
  <si>
    <t>Long-term marketable securities</t>
  </si>
  <si>
    <t>Goodwill</t>
  </si>
  <si>
    <t>Acquired intangible assets, net</t>
  </si>
  <si>
    <t>Accounts payable</t>
  </si>
  <si>
    <t>Accrued expenses</t>
  </si>
  <si>
    <t>Deferred revenue</t>
  </si>
  <si>
    <t>Deferred revenue (non-current)</t>
  </si>
  <si>
    <t>Long-term debt</t>
  </si>
  <si>
    <t>Other non-current liabilities</t>
  </si>
  <si>
    <t>Commitments and contingencies</t>
  </si>
  <si>
    <t xml:space="preserve">Retained earnings </t>
  </si>
  <si>
    <t>Total shareholders' equity</t>
  </si>
  <si>
    <t>Share-based compensation expense</t>
  </si>
  <si>
    <t>Accounts receivable</t>
  </si>
  <si>
    <t>Vendor non-trade receivables</t>
  </si>
  <si>
    <t>Other current and non-current liabilities</t>
  </si>
  <si>
    <t>Purchases of marketable securities</t>
  </si>
  <si>
    <t>Proceeds from maturities of securities</t>
  </si>
  <si>
    <t>Proceeds from sales of securities</t>
  </si>
  <si>
    <t>Payments made for acquisitions</t>
  </si>
  <si>
    <t>Proceeds from issuance of common stock</t>
  </si>
  <si>
    <t>Excess tax benefits from equity awards</t>
  </si>
  <si>
    <t>Taxes paid related to equity awards</t>
  </si>
  <si>
    <t>Dividends paid</t>
  </si>
  <si>
    <t>Repurchase of common stock</t>
  </si>
  <si>
    <t>Proceeds from issuance of long-term debt</t>
  </si>
  <si>
    <t>Proceeds from issuance of commercial paper</t>
  </si>
  <si>
    <t>Other investing activities</t>
  </si>
  <si>
    <t>Other financing activities</t>
  </si>
  <si>
    <t>Other current and non-current assets</t>
  </si>
  <si>
    <t>Adjusted cash per share</t>
  </si>
  <si>
    <t>Beta (relative to the S&amp;P500)</t>
  </si>
  <si>
    <t>Revenue growth (in perpetuity)</t>
  </si>
  <si>
    <t>NPV of stage-one cash flows</t>
  </si>
  <si>
    <t>Constant CFO growth rate</t>
  </si>
  <si>
    <t>Ave CapEx (% of sales)</t>
  </si>
  <si>
    <t>DCF Valuation</t>
  </si>
  <si>
    <t>PV of terminal value</t>
  </si>
  <si>
    <t xml:space="preserve">Net income </t>
  </si>
  <si>
    <t xml:space="preserve">Basic EPS </t>
  </si>
  <si>
    <t xml:space="preserve">Diluted EPS </t>
  </si>
  <si>
    <t>F1Q15</t>
  </si>
  <si>
    <t>P/E 3-month high</t>
  </si>
  <si>
    <t>P/E 3-month low</t>
  </si>
  <si>
    <t>F2Q15</t>
  </si>
  <si>
    <t>DCF Period (approximate number of years)</t>
  </si>
  <si>
    <t>F3Q15</t>
  </si>
  <si>
    <t>Commercial paper/current portion of LT debt</t>
  </si>
  <si>
    <t>F4Q15</t>
  </si>
  <si>
    <t>FY 2019E</t>
  </si>
  <si>
    <t xml:space="preserve">Plus cash/(debt) per share </t>
  </si>
  <si>
    <t>P/E 3-month average (a)</t>
  </si>
  <si>
    <t>Constant market Sharpe ratio(b)</t>
  </si>
  <si>
    <t>S&amp;P500 implied volatility(c)</t>
  </si>
  <si>
    <r>
      <t>Constant Growth Stage Assumptions</t>
    </r>
    <r>
      <rPr>
        <sz val="11"/>
        <color theme="1"/>
        <rFont val="Calibri"/>
        <family val="2"/>
        <scheme val="minor"/>
      </rPr>
      <t>(d,e)</t>
    </r>
  </si>
  <si>
    <t>Implied P/E 12-month target value</t>
  </si>
  <si>
    <t>Implied DCF 12-month target value</t>
  </si>
  <si>
    <t>Total operating expenses</t>
  </si>
  <si>
    <t>Change in basic shares  (excluding repurchases)</t>
  </si>
  <si>
    <t>Change in diluted shares  (excluding repurchases)</t>
  </si>
  <si>
    <t>FY 2015</t>
  </si>
  <si>
    <t>F1Q20E</t>
  </si>
  <si>
    <t>Dec-19</t>
  </si>
  <si>
    <t>Mar-20</t>
  </si>
  <si>
    <t>June-20</t>
  </si>
  <si>
    <t>Sept-20</t>
  </si>
  <si>
    <t>F2Q20E</t>
  </si>
  <si>
    <t>F3Q20E</t>
  </si>
  <si>
    <t>F4Q20E</t>
  </si>
  <si>
    <t>FY 2020E</t>
  </si>
  <si>
    <t>F1Q16</t>
  </si>
  <si>
    <t>F2Q16</t>
  </si>
  <si>
    <t>F3Q16</t>
  </si>
  <si>
    <t>Ratio Analysis</t>
  </si>
  <si>
    <t>Shares repurchased (in millions)</t>
  </si>
  <si>
    <t>Risk Free (12 mo ave 10yr US-T)</t>
  </si>
  <si>
    <t>F4Q16</t>
  </si>
  <si>
    <t>FY 2016</t>
  </si>
  <si>
    <t>Dec-20</t>
  </si>
  <si>
    <t>Mar-21</t>
  </si>
  <si>
    <t>June-21</t>
  </si>
  <si>
    <t>Sept-21</t>
  </si>
  <si>
    <t>F1Q21E</t>
  </si>
  <si>
    <t>F2Q21E</t>
  </si>
  <si>
    <t>F3Q21E</t>
  </si>
  <si>
    <t>FY 2021E</t>
  </si>
  <si>
    <t>F1Q17</t>
  </si>
  <si>
    <t>Trade Weighted U.S. Dollar Index</t>
  </si>
  <si>
    <t>A weighted average of the foreign exchange value of the U.S. dollar against the currencies of a broad group of major U.S. trading partners.
Broad currency index includes the Euro Area, Canada, Japan, Mexico, China, United Kingdom, Taiwan, Korea, Singapore, Hong Kong, Malaysia, Brazil, Switzerland, Thailand, Philippines, Australia, Indonesia, India, Israel, Saudi Arabia, Russia, Sweden, Argentina, Venezuela, Chile and Colombia.</t>
  </si>
  <si>
    <t>Source: Board of Governors of the Federal Reserve System (US), Trade Weighted U.S. Dollar Index: Broad [DTWEXB], retrieved from FRED, Federal Reserve Bank of St. Louis; https://fred.stlouisfed.org/series/DTWEXB, March 17, 2017.</t>
  </si>
  <si>
    <t>FRED Graph Observations</t>
  </si>
  <si>
    <t>Federal Reserve Economic Data</t>
  </si>
  <si>
    <t>Link: https://fred.stlouisfed.org</t>
  </si>
  <si>
    <t>Help: https://fred.stlouisfed.org/help-faq</t>
  </si>
  <si>
    <t>Economic Research Division</t>
  </si>
  <si>
    <t>Federal Reserve Bank of St. Louis</t>
  </si>
  <si>
    <t>DTWEXB</t>
  </si>
  <si>
    <t>Trade Weighted U.S. Dollar Index: Broad, Index Jan 1997=100, Daily, Not Seasonally Adjusted</t>
  </si>
  <si>
    <t>Frequency: Daily</t>
  </si>
  <si>
    <t>observation_date</t>
  </si>
  <si>
    <t>Average</t>
  </si>
  <si>
    <t>Repatriation tax estimate per share</t>
  </si>
  <si>
    <t>Cash and investments held by foreign subsidiaries</t>
  </si>
  <si>
    <t>Net cash and investments per share  (pre-DTL)</t>
  </si>
  <si>
    <t xml:space="preserve">Estimate of tax adjustment on net cash and investments per share </t>
  </si>
  <si>
    <t xml:space="preserve">Net Cash and investments per share </t>
  </si>
  <si>
    <t>DTL to foreign cash and investment balance</t>
  </si>
  <si>
    <t xml:space="preserve">Net cash &amp; investments per share </t>
  </si>
  <si>
    <t>Debt-to-Equity Ratio</t>
  </si>
  <si>
    <t>Dividend growth rate (YoY)</t>
  </si>
  <si>
    <t>Commercial Paper and ST Debt-to-Total Debt</t>
  </si>
  <si>
    <t xml:space="preserve">Total Depreciation and amortization </t>
  </si>
  <si>
    <t>Amortization of Acquired Intangibles</t>
  </si>
  <si>
    <t>Capex-to-Sales</t>
  </si>
  <si>
    <t>Capex growth rate (QoQ)</t>
  </si>
  <si>
    <t>All other depreciation and Amortization</t>
  </si>
  <si>
    <t>Current Deferred Revenue-to-Total Deferred Revenue</t>
  </si>
  <si>
    <t>Growth in total investments (QoQ)</t>
  </si>
  <si>
    <t>Short-term marketable securities as a % total investments</t>
  </si>
  <si>
    <t>Day Count (number of days in the quarter)</t>
  </si>
  <si>
    <t>Days of inventory on hand</t>
  </si>
  <si>
    <t>Days sales outstanding</t>
  </si>
  <si>
    <t>Payables turnover</t>
  </si>
  <si>
    <t>Cash conversion cycle</t>
  </si>
  <si>
    <t>Interest and dividend income</t>
  </si>
  <si>
    <t>Interest expense</t>
  </si>
  <si>
    <t>Other income/(expense)</t>
  </si>
  <si>
    <t>Total other income/(expense)</t>
  </si>
  <si>
    <t>Interest expense as a percentage of average debt</t>
  </si>
  <si>
    <t>Share Count Analysis</t>
  </si>
  <si>
    <t>Growth in total debt (QoQ)</t>
  </si>
  <si>
    <t>Net Cash from Operations growth rate (YoY)</t>
  </si>
  <si>
    <t>Excess tax benefits from equity awards as a percentage of stock-based comp</t>
  </si>
  <si>
    <t>Taxes paid related to equity awards  as a percentage of stock-based comp</t>
  </si>
  <si>
    <t>F2Q17</t>
  </si>
  <si>
    <t>EBITDA</t>
  </si>
  <si>
    <t>Interest and dividend income as a % of investments</t>
  </si>
  <si>
    <t>Total Deferred Revenue-to-Prior 4 Quarters of Revenue</t>
  </si>
  <si>
    <t>Depreciation &amp; Amort Exp-to-Average PP&amp;E &amp; Intangibles</t>
  </si>
  <si>
    <t>% of total cash and investments held by foreign subs</t>
  </si>
  <si>
    <t>Def Tax Liability (DTL) for unremitted earnings of foreign subs</t>
  </si>
  <si>
    <t>Mean monthly return</t>
  </si>
  <si>
    <t xml:space="preserve">Standard deviation </t>
  </si>
  <si>
    <t>Implied upper bound</t>
  </si>
  <si>
    <t>Implied Lower bound</t>
  </si>
  <si>
    <t>Implied target value</t>
  </si>
  <si>
    <t>Implied 50/50 average target value</t>
  </si>
  <si>
    <t>Risk Estimation Summary (g)</t>
  </si>
  <si>
    <t xml:space="preserve">Implied target price band </t>
  </si>
  <si>
    <t>S1 Weighted Average Cost of Capital</t>
  </si>
  <si>
    <t>Stage 2 Long-Term WACC (f)</t>
  </si>
  <si>
    <t>Deferred revenue (current portion)</t>
  </si>
  <si>
    <t>Vendor non-trade receivables turnover</t>
  </si>
  <si>
    <t>Payments for acquisition of PPE</t>
  </si>
  <si>
    <t>Payments for acquisition of intangible assets</t>
  </si>
  <si>
    <t>Share-based compensation to Sales</t>
  </si>
  <si>
    <t>Blue cells = Primary estimates</t>
  </si>
  <si>
    <t>Dec-21</t>
  </si>
  <si>
    <t>Mar-22</t>
  </si>
  <si>
    <t>June-22</t>
  </si>
  <si>
    <t>Sept-22</t>
  </si>
  <si>
    <t>FY 2022E</t>
  </si>
  <si>
    <t>Sept-23</t>
  </si>
  <si>
    <t>FY 2023E</t>
  </si>
  <si>
    <t>F2Q22E</t>
  </si>
  <si>
    <t>F3Q22E</t>
  </si>
  <si>
    <t>F4Q22E</t>
  </si>
  <si>
    <t>Dec-22</t>
  </si>
  <si>
    <t>F1Q23E</t>
  </si>
  <si>
    <t>Mar-23</t>
  </si>
  <si>
    <t>F2Q23E</t>
  </si>
  <si>
    <t>June-23</t>
  </si>
  <si>
    <t>F3Q23E</t>
  </si>
  <si>
    <t>F4Q23E</t>
  </si>
  <si>
    <t>F3Q17</t>
  </si>
  <si>
    <t>F4Q17</t>
  </si>
  <si>
    <t>FY 2017</t>
  </si>
  <si>
    <t>F1Q18</t>
  </si>
  <si>
    <t>F2Q18</t>
  </si>
  <si>
    <t>F3Q18</t>
  </si>
  <si>
    <t>F4Q18</t>
  </si>
  <si>
    <t>FY 2018</t>
  </si>
  <si>
    <t>F1Q19</t>
  </si>
  <si>
    <t>F2Q19</t>
  </si>
  <si>
    <t>F3Q19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</si>
</sst>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1">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 #,##0.0_);_(* \(#,##0.0\);_(* &quot;-&quot;??_);_(@_)"/>
    <numFmt numFmtId="165" formatCode="_(* #,##0_);_(* \(#,##0\);_(* &quot;-&quot;??_);_(@_)"/>
    <numFmt numFmtId="166" formatCode="0.0%"/>
    <numFmt numFmtId="167" formatCode="_(* #,##0.000_);_(* \(#,##0.000\);_(* &quot;-&quot;??_);_(@_)"/>
    <numFmt numFmtId="168" formatCode="0.0\x"/>
    <numFmt numFmtId="169" formatCode="0.0_)\%;\(0.0\)\%;0.0_)\%;@_)_%"/>
    <numFmt numFmtId="170" formatCode="#,##0.0_)_%;\(#,##0.0\)_%;0.0_)_%;@_)_%"/>
    <numFmt numFmtId="171" formatCode="#,##0.0_);\(#,##0.0\);#,##0.0_);@_)"/>
    <numFmt numFmtId="172" formatCode="&quot;$&quot;_(#,##0.00_);&quot;$&quot;\(#,##0.00\);&quot;$&quot;_(0.00_);@_)"/>
    <numFmt numFmtId="173" formatCode="#,##0.00_);\(#,##0.00\);0.00_);@_)"/>
    <numFmt numFmtId="174" formatCode="\€_(#,##0.00_);\€\(#,##0.00\);\€_(0.00_);@_)"/>
    <numFmt numFmtId="175" formatCode="#,##0_)\x;\(#,##0\)\x;0_)\x;@_)_x"/>
    <numFmt numFmtId="176" formatCode="#,##0_)_x;\(#,##0\)_x;0_)_x;@_)_x"/>
    <numFmt numFmtId="177" formatCode="* #,##0.00_);\(#,##0.00\)"/>
    <numFmt numFmtId="178" formatCode="&quot;$&quot;#,##0;\-&quot;$&quot;#,##0"/>
    <numFmt numFmtId="179" formatCode="#,##0;\-#,##0;&quot;-&quot;"/>
    <numFmt numFmtId="180" formatCode="0.000000"/>
    <numFmt numFmtId="181" formatCode="_(* #,##0,,_);_(* \(#,##0,,\);_(* &quot;-&quot;_)"/>
    <numFmt numFmtId="182" formatCode="_(* #,##0_);[Red]_(* \(#,##0\);_(* &quot;&quot;&quot;&quot;&quot;&quot;&quot;&quot;\ \-\ &quot;&quot;&quot;&quot;&quot;&quot;&quot;&quot;_);_(@_)"/>
    <numFmt numFmtId="183" formatCode="&quot;£&quot;#,##0;[Red]\-&quot;£&quot;#,##0"/>
    <numFmt numFmtId="184" formatCode="_(* #,##0,_);[Red]_(* \(#,##0,\);_(* &quot;&quot;&quot;&quot;&quot;&quot;&quot;&quot;\ \-\ &quot;&quot;&quot;&quot;&quot;&quot;&quot;&quot;_);_(@_)"/>
    <numFmt numFmtId="185" formatCode="0.00_);[Red]\(0.00\)"/>
    <numFmt numFmtId="186" formatCode="0%;\(0%\);;"/>
    <numFmt numFmtId="187" formatCode="&quot;£&quot;#,##0.00;[Red]\-&quot;£&quot;#,##0.00"/>
    <numFmt numFmtId="188" formatCode="_(* #,##0.000_);_(* \(#,##0.000\);_(* &quot;-&quot;_);_(@_)"/>
    <numFmt numFmtId="189" formatCode="0%;\(0%\);&quot;-&quot;"/>
    <numFmt numFmtId="190" formatCode="_-&quot;£&quot;* #,##0_-;\-&quot;£&quot;* #,##0_-;_-&quot;£&quot;* &quot;-&quot;_-;_-@_-"/>
    <numFmt numFmtId="191" formatCode="_(&quot;$&quot;* #,##0,_);_(&quot;$&quot;* \(#,##0,\);_(&quot;$&quot;* &quot;-&quot;_);_(@_)"/>
    <numFmt numFmtId="192" formatCode="#,##0\ ;\(#,##0.0\)"/>
    <numFmt numFmtId="193" formatCode="0.0"/>
    <numFmt numFmtId="194" formatCode="#,##0.00;\-#,##0.00;&quot;-&quot;"/>
    <numFmt numFmtId="195" formatCode="_._.* \(#,##0\)_%;_._.* #,##0_)_%;_._.* 0_)_%;_._.@_)_%"/>
    <numFmt numFmtId="196" formatCode="_._.&quot;$&quot;* \(#,##0\)_%;_._.&quot;$&quot;* #,##0_)_%;_._.&quot;$&quot;* 0_)_%;_._.@_)_%"/>
    <numFmt numFmtId="197" formatCode="&quot;$&quot;0.00_)"/>
    <numFmt numFmtId="198" formatCode="&quot;SFr.&quot;\ #,##0.00;&quot;SFr.&quot;\ \-#,##0.00"/>
    <numFmt numFmtId="199" formatCode="#,##0;\(#,##0\)"/>
    <numFmt numFmtId="200" formatCode="_([$€-2]* #,##0.00_);_([$€-2]* \(#,##0.00\);_([$€-2]* &quot;-&quot;??_)"/>
    <numFmt numFmtId="201" formatCode="_-* #,##0\ _D_M_-;\-* #,##0\ _D_M_-;_-* &quot;-&quot;\ _D_M_-;_-@_-"/>
    <numFmt numFmtId="202" formatCode="_-* #,##0.00\ _D_M_-;\-* #,##0.00\ _D_M_-;_-* &quot;-&quot;??\ _D_M_-;_-@_-"/>
    <numFmt numFmtId="203" formatCode="_-* #,##0\ &quot;DM&quot;_-;\-* #,##0\ &quot;DM&quot;_-;_-* &quot;-&quot;\ &quot;DM&quot;_-;_-@_-"/>
    <numFmt numFmtId="204" formatCode="_-* #,##0.00\ &quot;DM&quot;_-;\-* #,##0.00\ &quot;DM&quot;_-;_-* &quot;-&quot;??\ &quot;DM&quot;_-;_-@_-"/>
    <numFmt numFmtId="205" formatCode="#,##0.0_);\(#,##0.0\)"/>
    <numFmt numFmtId="206" formatCode="#,##0.0\ ;\(#,##0.0\)"/>
    <numFmt numFmtId="207" formatCode="0%;\(0%\)"/>
    <numFmt numFmtId="208" formatCode="&quot;SFr.&quot;#,##0;[Red]&quot;SFr.&quot;\-#,##0"/>
    <numFmt numFmtId="209" formatCode="#,##0.0000000000;\-#,##0.0000000000"/>
    <numFmt numFmtId="210" formatCode="#,##0.0;\-#,##0.0"/>
    <numFmt numFmtId="211" formatCode="#,##0.000;\-#,##0.000"/>
    <numFmt numFmtId="212" formatCode="#,##0.0000;\-#,##0.0000"/>
    <numFmt numFmtId="213" formatCode="#,##0.00000;\-#,##0.00000"/>
    <numFmt numFmtId="214" formatCode="#,##0.000000;\-#,##0.000000"/>
    <numFmt numFmtId="215" formatCode="#,##0.0000000;\-#,##0.0000000"/>
    <numFmt numFmtId="216" formatCode="#,##0.00000000;\-#,##0.00000000"/>
    <numFmt numFmtId="217" formatCode="#,##0.000000000;\-#,##0.000000000"/>
    <numFmt numFmtId="218" formatCode="#,##0___);\(#,##0.00\)"/>
    <numFmt numFmtId="219" formatCode="#,##0&quot;%&quot;"/>
    <numFmt numFmtId="220" formatCode="#,##0_);[Red]\(#,##0\);&quot;-&quot;"/>
    <numFmt numFmtId="221" formatCode="_-&quot;£&quot;* #,##0.00_-;\-&quot;£&quot;* #,##0.00_-;_-&quot;£&quot;* &quot;-&quot;??_-;_-@_-"/>
    <numFmt numFmtId="222" formatCode="*-"/>
    <numFmt numFmtId="223" formatCode="#,##0;[Red]\(#,##0\)"/>
    <numFmt numFmtId="224" formatCode="_-&quot;$&quot;* #,##0_-;\-&quot;$&quot;* #,##0_-;_-&quot;$&quot;* &quot;-&quot;_-;_-@_-"/>
    <numFmt numFmtId="225" formatCode="_-&quot;$&quot;* #,##0.00_-;\-&quot;$&quot;* #,##0.00_-;_-&quot;$&quot;* &quot;-&quot;??_-;_-@_-"/>
    <numFmt numFmtId="226" formatCode="0\x"/>
    <numFmt numFmtId="227" formatCode="yyyy\-mm\-dd"/>
    <numFmt numFmtId="228" formatCode="0.0000"/>
  </numFmts>
  <fonts count="72" x14ac:knownFonts="1">
    <font>
      <sz val="11"/>
      <color theme="1"/>
      <name val="Calibri"/>
      <family val="2"/>
      <scheme val="minor"/>
    </font>
    <font>
      <sz val="11"/>
      <color theme="1"/>
      <name val="Calibri"/>
      <family val="2"/>
      <scheme val="minor"/>
    </font>
    <font>
      <b/>
      <sz val="11"/>
      <color theme="1"/>
      <name val="Calibri"/>
      <family val="2"/>
      <scheme val="minor"/>
    </font>
    <font>
      <b/>
      <u val="singleAccounting"/>
      <sz val="11"/>
      <color theme="1"/>
      <name val="Calibri"/>
      <family val="2"/>
      <scheme val="minor"/>
    </font>
    <font>
      <u val="singleAccounting"/>
      <sz val="11"/>
      <color theme="1"/>
      <name val="Calibri"/>
      <family val="2"/>
      <scheme val="minor"/>
    </font>
    <font>
      <sz val="11"/>
      <color rgb="FF7030A0"/>
      <name val="Calibri"/>
      <family val="2"/>
      <scheme val="minor"/>
    </font>
    <font>
      <sz val="11"/>
      <color theme="3"/>
      <name val="Calibri"/>
      <family val="2"/>
      <scheme val="minor"/>
    </font>
    <font>
      <b/>
      <sz val="11"/>
      <color theme="9" tint="-0.499984740745262"/>
      <name val="Calibri"/>
      <family val="2"/>
      <scheme val="minor"/>
    </font>
    <font>
      <sz val="11"/>
      <color theme="9" tint="-0.499984740745262"/>
      <name val="Calibri"/>
      <family val="2"/>
      <scheme val="minor"/>
    </font>
    <font>
      <b/>
      <u/>
      <sz val="11"/>
      <color theme="1"/>
      <name val="Calibri"/>
      <family val="2"/>
      <scheme val="minor"/>
    </font>
    <font>
      <sz val="10"/>
      <name val="Arial"/>
      <family val="2"/>
    </font>
    <font>
      <sz val="11"/>
      <name val="Calibri"/>
      <family val="2"/>
      <scheme val="minor"/>
    </font>
    <font>
      <u val="singleAccounting"/>
      <sz val="11"/>
      <name val="Calibri"/>
      <family val="2"/>
      <scheme val="minor"/>
    </font>
    <font>
      <b/>
      <sz val="11"/>
      <name val="Calibri"/>
      <family val="2"/>
      <scheme val="minor"/>
    </font>
    <font>
      <b/>
      <sz val="11"/>
      <color rgb="FFFF0000"/>
      <name val="Calibri"/>
      <family val="2"/>
      <scheme val="minor"/>
    </font>
    <font>
      <sz val="11"/>
      <color rgb="FFFF0000"/>
      <name val="Calibri"/>
      <family val="2"/>
      <scheme val="minor"/>
    </font>
    <font>
      <sz val="11"/>
      <name val="Calibri"/>
      <family val="2"/>
    </font>
    <font>
      <b/>
      <u/>
      <sz val="12"/>
      <color theme="0" tint="-0.14999847407452621"/>
      <name val="Calibri"/>
      <family val="2"/>
      <scheme val="minor"/>
    </font>
    <font>
      <b/>
      <sz val="11"/>
      <color theme="0" tint="-0.14999847407452621"/>
      <name val="Calibri"/>
      <family val="2"/>
      <scheme val="minor"/>
    </font>
    <font>
      <sz val="10"/>
      <color theme="0" tint="-0.14999847407452621"/>
      <name val="Calibri"/>
      <family val="2"/>
      <scheme val="minor"/>
    </font>
    <font>
      <b/>
      <u val="singleAccounting"/>
      <sz val="11"/>
      <color theme="0" tint="-0.14999847407452621"/>
      <name val="Calibri"/>
      <family val="2"/>
      <scheme val="minor"/>
    </font>
    <font>
      <sz val="9"/>
      <color indexed="81"/>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0"/>
      <name val="Helv"/>
      <family val="2"/>
    </font>
    <font>
      <sz val="8"/>
      <name val="Helv"/>
    </font>
    <font>
      <b/>
      <sz val="12"/>
      <name val="Tms Rmn"/>
    </font>
    <font>
      <b/>
      <i/>
      <sz val="12"/>
      <name val="Tms Rmn"/>
    </font>
    <font>
      <b/>
      <sz val="10"/>
      <name val="MS Sans Serif"/>
      <family val="2"/>
    </font>
    <font>
      <sz val="10"/>
      <color indexed="8"/>
      <name val="Arial"/>
      <family val="2"/>
    </font>
    <font>
      <b/>
      <sz val="11"/>
      <name val="Arial"/>
      <family val="2"/>
    </font>
    <font>
      <sz val="10"/>
      <name val="Helv"/>
    </font>
    <font>
      <sz val="10"/>
      <color theme="1"/>
      <name val="Arial"/>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b/>
      <sz val="10"/>
      <name val="Arial"/>
      <family val="2"/>
    </font>
    <font>
      <u/>
      <sz val="11"/>
      <color theme="10"/>
      <name val="Calibri"/>
      <family val="2"/>
    </font>
    <font>
      <u/>
      <sz val="10"/>
      <color indexed="12"/>
      <name val="Arial"/>
      <family val="2"/>
    </font>
    <font>
      <u/>
      <sz val="10"/>
      <color theme="10"/>
      <name val="Trebuchet MS"/>
      <family val="2"/>
    </font>
    <font>
      <sz val="10"/>
      <color indexed="14"/>
      <name val="Arial"/>
      <family val="2"/>
    </font>
    <font>
      <sz val="10"/>
      <name val="MS Sans Serif"/>
      <family val="2"/>
    </font>
    <font>
      <sz val="7"/>
      <name val="Small Fonts"/>
      <family val="2"/>
    </font>
    <font>
      <sz val="12"/>
      <name val="Helv"/>
      <family val="2"/>
    </font>
    <font>
      <sz val="10"/>
      <name val="Trebuchet MS"/>
      <family val="2"/>
    </font>
    <font>
      <sz val="10"/>
      <name val="Tms Rmn"/>
    </font>
    <font>
      <sz val="10"/>
      <name val="Tms Rmn"/>
      <family val="1"/>
    </font>
    <font>
      <sz val="11"/>
      <color indexed="8"/>
      <name val="Calibri"/>
      <family val="2"/>
    </font>
    <font>
      <b/>
      <u/>
      <sz val="26"/>
      <color indexed="9"/>
      <name val="Arial"/>
      <family val="2"/>
    </font>
    <font>
      <sz val="10"/>
      <color indexed="10"/>
      <name val="Arial"/>
      <family val="2"/>
    </font>
    <font>
      <sz val="12"/>
      <name val="Helv"/>
    </font>
    <font>
      <sz val="10"/>
      <color rgb="FF404040"/>
      <name val="Segoe UI"/>
      <family val="2"/>
    </font>
    <font>
      <b/>
      <sz val="10"/>
      <color rgb="FF404040"/>
      <name val="Segoe UI"/>
      <family val="2"/>
    </font>
    <font>
      <b/>
      <sz val="10"/>
      <color indexed="10"/>
      <name val="Arial"/>
      <family val="2"/>
    </font>
    <font>
      <sz val="8"/>
      <name val="Tms Rmn"/>
    </font>
    <font>
      <b/>
      <sz val="11"/>
      <color theme="1" tint="0.14999847407452621"/>
      <name val="Calibri"/>
      <family val="2"/>
      <scheme val="minor"/>
    </font>
    <font>
      <b/>
      <u val="singleAccounting"/>
      <sz val="11"/>
      <color theme="1" tint="0.14999847407452621"/>
      <name val="Calibri"/>
      <family val="2"/>
      <scheme val="minor"/>
    </font>
    <font>
      <i/>
      <sz val="11"/>
      <color theme="1"/>
      <name val="Calibri"/>
      <family val="2"/>
      <scheme val="minor"/>
    </font>
    <font>
      <b/>
      <u val="singleAccounting"/>
      <sz val="11"/>
      <name val="Calibri"/>
      <family val="2"/>
      <scheme val="minor"/>
    </font>
    <font>
      <b/>
      <i/>
      <sz val="11"/>
      <color theme="1"/>
      <name val="Calibri"/>
      <family val="2"/>
      <scheme val="minor"/>
    </font>
    <font>
      <b/>
      <i/>
      <sz val="11"/>
      <name val="Calibri"/>
      <family val="2"/>
      <scheme val="minor"/>
    </font>
  </fonts>
  <fills count="10">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4" tint="0.39997558519241921"/>
        <bgColor indexed="64"/>
      </patternFill>
    </fill>
  </fills>
  <borders count="33">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style="thin">
        <color auto="1"/>
      </bottom>
      <diagonal/>
    </border>
    <border>
      <left/>
      <right/>
      <top style="hair">
        <color indexed="8"/>
      </top>
      <bottom style="hair">
        <color indexed="8"/>
      </bottom>
      <diagonal/>
    </border>
    <border>
      <left/>
      <right/>
      <top/>
      <bottom style="medium">
        <color indexed="18"/>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hair">
        <color auto="1"/>
      </bottom>
      <diagonal/>
    </border>
    <border>
      <left/>
      <right/>
      <top/>
      <bottom style="hair">
        <color auto="1"/>
      </bottom>
      <diagonal/>
    </border>
    <border>
      <left/>
      <right/>
      <top style="hair">
        <color auto="1"/>
      </top>
      <bottom/>
      <diagonal/>
    </border>
    <border>
      <left style="thin">
        <color auto="1"/>
      </left>
      <right style="thin">
        <color auto="1"/>
      </right>
      <top style="hair">
        <color auto="1"/>
      </top>
      <bottom/>
      <diagonal/>
    </border>
  </borders>
  <cellStyleXfs count="329">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lignment vertical="top"/>
    </xf>
    <xf numFmtId="0" fontId="16" fillId="0" borderId="0"/>
    <xf numFmtId="43" fontId="16" fillId="0" borderId="0" applyFont="0" applyFill="0" applyBorder="0" applyAlignment="0" applyProtection="0"/>
    <xf numFmtId="169" fontId="10" fillId="0" borderId="0" applyFont="0" applyFill="0" applyBorder="0" applyAlignment="0" applyProtection="0"/>
    <xf numFmtId="170" fontId="10" fillId="0" borderId="0" applyFont="0" applyFill="0" applyBorder="0" applyAlignment="0" applyProtection="0"/>
    <xf numFmtId="171"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74" fontId="10"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0" fillId="4" borderId="0" applyNumberFormat="0" applyFont="0" applyAlignment="0" applyProtection="0"/>
    <xf numFmtId="175" fontId="10" fillId="0" borderId="0" applyFont="0" applyFill="0" applyBorder="0" applyAlignment="0" applyProtection="0"/>
    <xf numFmtId="176" fontId="10" fillId="0" borderId="0" applyFont="0" applyFill="0" applyBorder="0" applyProtection="0">
      <alignment horizontal="right"/>
    </xf>
    <xf numFmtId="0" fontId="23" fillId="0" borderId="0" applyNumberFormat="0" applyFill="0" applyBorder="0" applyProtection="0">
      <alignment vertical="top"/>
    </xf>
    <xf numFmtId="0" fontId="23" fillId="0" borderId="0" applyNumberFormat="0" applyFill="0" applyBorder="0" applyProtection="0">
      <alignment vertical="top"/>
    </xf>
    <xf numFmtId="0" fontId="23" fillId="0" borderId="0" applyNumberFormat="0" applyFill="0" applyBorder="0" applyProtection="0">
      <alignment vertical="top"/>
    </xf>
    <xf numFmtId="0" fontId="23" fillId="0" borderId="0" applyNumberFormat="0" applyFill="0" applyBorder="0" applyProtection="0">
      <alignment vertical="top"/>
    </xf>
    <xf numFmtId="0" fontId="23" fillId="0" borderId="0" applyNumberFormat="0" applyFill="0" applyBorder="0" applyProtection="0">
      <alignment vertical="top"/>
    </xf>
    <xf numFmtId="0" fontId="24" fillId="0" borderId="15" applyNumberFormat="0" applyFill="0" applyAlignment="0" applyProtection="0"/>
    <xf numFmtId="0" fontId="25" fillId="0" borderId="16" applyNumberFormat="0" applyFill="0" applyProtection="0">
      <alignment horizontal="center"/>
    </xf>
    <xf numFmtId="0" fontId="25" fillId="0" borderId="0" applyNumberFormat="0" applyFill="0" applyBorder="0" applyProtection="0">
      <alignment horizontal="left"/>
    </xf>
    <xf numFmtId="0" fontId="26" fillId="0" borderId="0" applyNumberFormat="0" applyFill="0" applyBorder="0" applyProtection="0">
      <alignment horizontal="centerContinuous"/>
    </xf>
    <xf numFmtId="0" fontId="27" fillId="0" borderId="0" applyNumberFormat="0" applyFill="0" applyBorder="0" applyAlignment="0" applyProtection="0"/>
    <xf numFmtId="0" fontId="28" fillId="0" borderId="0"/>
    <xf numFmtId="177" fontId="29" fillId="0" borderId="0">
      <alignment horizontal="center"/>
    </xf>
    <xf numFmtId="37" fontId="30" fillId="0" borderId="0"/>
    <xf numFmtId="37" fontId="31" fillId="0" borderId="0"/>
    <xf numFmtId="178" fontId="32" fillId="0" borderId="2"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32" fillId="0" borderId="2"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32" fillId="0" borderId="2"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1" fillId="0" borderId="0" applyAlignment="0" applyProtection="0"/>
    <xf numFmtId="178" fontId="32" fillId="0" borderId="2" applyAlignment="0" applyProtection="0"/>
    <xf numFmtId="178" fontId="1" fillId="0" borderId="0" applyAlignment="0" applyProtection="0"/>
    <xf numFmtId="178" fontId="1" fillId="0" borderId="0" applyAlignment="0" applyProtection="0"/>
    <xf numFmtId="178" fontId="1" fillId="0" borderId="0" applyAlignment="0" applyProtection="0"/>
    <xf numFmtId="178" fontId="32" fillId="0" borderId="2" applyAlignment="0" applyProtection="0"/>
    <xf numFmtId="178" fontId="32" fillId="0" borderId="2" applyAlignment="0" applyProtection="0"/>
    <xf numFmtId="178" fontId="32" fillId="0" borderId="2" applyAlignment="0" applyProtection="0"/>
    <xf numFmtId="178" fontId="32" fillId="0" borderId="2" applyAlignment="0" applyProtection="0"/>
    <xf numFmtId="178" fontId="1" fillId="0" borderId="0" applyAlignment="0" applyProtection="0"/>
    <xf numFmtId="179" fontId="33" fillId="0" borderId="0" applyFill="0" applyBorder="0" applyAlignment="0"/>
    <xf numFmtId="180" fontId="10" fillId="0" borderId="0" applyFill="0" applyBorder="0" applyAlignment="0"/>
    <xf numFmtId="181" fontId="10" fillId="0" borderId="0" applyFill="0" applyBorder="0" applyAlignment="0"/>
    <xf numFmtId="164" fontId="10" fillId="0" borderId="0" applyFill="0" applyBorder="0" applyAlignment="0"/>
    <xf numFmtId="182" fontId="10" fillId="0" borderId="0" applyFill="0" applyBorder="0" applyAlignment="0"/>
    <xf numFmtId="183" fontId="10" fillId="0" borderId="0" applyFill="0" applyBorder="0" applyAlignment="0"/>
    <xf numFmtId="184" fontId="10" fillId="0" borderId="0" applyFill="0" applyBorder="0" applyAlignment="0"/>
    <xf numFmtId="185" fontId="10" fillId="0" borderId="0" applyFill="0" applyBorder="0" applyAlignment="0"/>
    <xf numFmtId="186" fontId="10" fillId="0" borderId="0" applyFill="0" applyBorder="0" applyAlignment="0"/>
    <xf numFmtId="187" fontId="10" fillId="0" borderId="0" applyFill="0" applyBorder="0" applyAlignment="0"/>
    <xf numFmtId="179" fontId="33" fillId="0" borderId="0" applyFill="0" applyBorder="0" applyAlignment="0"/>
    <xf numFmtId="188" fontId="10" fillId="0" borderId="0" applyFill="0" applyBorder="0" applyAlignment="0"/>
    <xf numFmtId="189" fontId="10" fillId="0" borderId="0" applyFill="0" applyBorder="0" applyAlignment="0"/>
    <xf numFmtId="190" fontId="10" fillId="0" borderId="0" applyFill="0" applyBorder="0" applyAlignment="0"/>
    <xf numFmtId="181" fontId="10" fillId="0" borderId="0" applyFill="0" applyBorder="0" applyAlignment="0"/>
    <xf numFmtId="164" fontId="10" fillId="0" borderId="0" applyFill="0" applyBorder="0" applyAlignment="0"/>
    <xf numFmtId="0" fontId="34" fillId="0" borderId="0" applyFill="0" applyBorder="0" applyProtection="0">
      <alignment horizontal="center"/>
      <protection locked="0"/>
    </xf>
    <xf numFmtId="0" fontId="35" fillId="0" borderId="0"/>
    <xf numFmtId="191" fontId="10" fillId="0" borderId="0"/>
    <xf numFmtId="191" fontId="10" fillId="0" borderId="0"/>
    <xf numFmtId="191" fontId="10" fillId="0" borderId="0"/>
    <xf numFmtId="191" fontId="10" fillId="0" borderId="0"/>
    <xf numFmtId="191" fontId="10" fillId="0" borderId="0"/>
    <xf numFmtId="191" fontId="10" fillId="0" borderId="0"/>
    <xf numFmtId="191" fontId="10" fillId="0" borderId="0"/>
    <xf numFmtId="191" fontId="10" fillId="0" borderId="0"/>
    <xf numFmtId="192" fontId="35" fillId="0" borderId="7"/>
    <xf numFmtId="193" fontId="1" fillId="0" borderId="0"/>
    <xf numFmtId="0" fontId="28" fillId="0" borderId="7"/>
    <xf numFmtId="193" fontId="1" fillId="0" borderId="0"/>
    <xf numFmtId="179" fontId="10" fillId="0" borderId="0" applyFont="0" applyFill="0" applyBorder="0" applyAlignment="0" applyProtection="0"/>
    <xf numFmtId="188" fontId="10" fillId="0" borderId="0" applyFont="0" applyFill="0" applyBorder="0" applyAlignment="0" applyProtection="0"/>
    <xf numFmtId="43" fontId="10" fillId="0" borderId="0" applyFont="0" applyFill="0" applyBorder="0" applyAlignment="0" applyProtection="0">
      <alignment wrapText="1"/>
    </xf>
    <xf numFmtId="43" fontId="1" fillId="0" borderId="0" applyFont="0" applyFill="0" applyBorder="0" applyAlignment="0" applyProtection="0"/>
    <xf numFmtId="43" fontId="10" fillId="0" borderId="0" applyFont="0" applyFill="0" applyBorder="0" applyAlignment="0" applyProtection="0">
      <alignment wrapText="1"/>
    </xf>
    <xf numFmtId="43" fontId="10" fillId="0" borderId="0" applyFont="0" applyFill="0" applyBorder="0" applyAlignment="0" applyProtection="0">
      <alignment wrapText="1"/>
    </xf>
    <xf numFmtId="43" fontId="10" fillId="0" borderId="0" applyFont="0" applyFill="0" applyBorder="0" applyAlignment="0" applyProtection="0"/>
    <xf numFmtId="4" fontId="35" fillId="0" borderId="0" applyFont="0" applyFill="0" applyBorder="0" applyAlignment="0" applyProtection="0"/>
    <xf numFmtId="4" fontId="35" fillId="0" borderId="0" applyFont="0" applyFill="0" applyBorder="0" applyAlignment="0" applyProtection="0"/>
    <xf numFmtId="43" fontId="1" fillId="0" borderId="0" applyFont="0" applyFill="0" applyBorder="0" applyAlignment="0" applyProtection="0"/>
    <xf numFmtId="4" fontId="1" fillId="0" borderId="0" applyFont="0" applyFill="0" applyBorder="0" applyAlignment="0" applyProtection="0"/>
    <xf numFmtId="43" fontId="36" fillId="0" borderId="0" applyFont="0" applyFill="0" applyBorder="0" applyAlignment="0" applyProtection="0"/>
    <xf numFmtId="4" fontId="1" fillId="0" borderId="0" applyFont="0" applyFill="0" applyBorder="0" applyAlignment="0" applyProtection="0"/>
    <xf numFmtId="4" fontId="28"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37" fillId="0" borderId="0" applyNumberFormat="0" applyFill="0" applyBorder="0" applyAlignment="0" applyProtection="0"/>
    <xf numFmtId="0" fontId="38" fillId="0" borderId="0" applyFill="0" applyBorder="0" applyAlignment="0" applyProtection="0">
      <protection locked="0"/>
    </xf>
    <xf numFmtId="194" fontId="10" fillId="0" borderId="0">
      <alignment horizontal="center"/>
    </xf>
    <xf numFmtId="195" fontId="39" fillId="0" borderId="0" applyFill="0" applyBorder="0" applyProtection="0"/>
    <xf numFmtId="196" fontId="40" fillId="0" borderId="0" applyFont="0" applyFill="0" applyBorder="0" applyAlignment="0" applyProtection="0"/>
    <xf numFmtId="197" fontId="41" fillId="0" borderId="17">
      <protection hidden="1"/>
    </xf>
    <xf numFmtId="181" fontId="10" fillId="0" borderId="0" applyFont="0" applyFill="0" applyBorder="0" applyAlignment="0" applyProtection="0"/>
    <xf numFmtId="164" fontId="10" fillId="0" borderId="0" applyFont="0" applyFill="0" applyBorder="0" applyAlignment="0" applyProtection="0"/>
    <xf numFmtId="8" fontId="1" fillId="0" borderId="0" applyFont="0" applyFill="0" applyBorder="0" applyAlignment="0" applyProtection="0"/>
    <xf numFmtId="44" fontId="10" fillId="0" borderId="0" applyFont="0" applyFill="0" applyBorder="0" applyAlignment="0" applyProtection="0"/>
    <xf numFmtId="0" fontId="37" fillId="0" borderId="0" applyNumberFormat="0" applyFill="0" applyBorder="0" applyAlignment="0" applyProtection="0"/>
    <xf numFmtId="1" fontId="29" fillId="0" borderId="0"/>
    <xf numFmtId="14" fontId="42" fillId="0" borderId="0">
      <alignment horizontal="center"/>
    </xf>
    <xf numFmtId="14" fontId="33" fillId="0" borderId="0" applyFill="0" applyBorder="0" applyAlignment="0"/>
    <xf numFmtId="15" fontId="43" fillId="5" borderId="0" applyNumberFormat="0" applyFont="0" applyFill="0" applyBorder="0" applyAlignment="0">
      <alignment horizontal="center" wrapText="1"/>
    </xf>
    <xf numFmtId="0" fontId="33" fillId="0" borderId="14" applyNumberFormat="0" applyFill="0" applyBorder="0" applyAlignment="0" applyProtection="0"/>
    <xf numFmtId="198" fontId="35" fillId="0" borderId="0" applyFont="0" applyFill="0" applyBorder="0" applyAlignment="0" applyProtection="0"/>
    <xf numFmtId="199" fontId="40" fillId="0" borderId="0" applyFont="0" applyFill="0" applyBorder="0" applyAlignment="0" applyProtection="0"/>
    <xf numFmtId="179" fontId="44" fillId="0" borderId="0" applyFill="0" applyBorder="0" applyAlignment="0"/>
    <xf numFmtId="188" fontId="10" fillId="0" borderId="0" applyFill="0" applyBorder="0" applyAlignment="0"/>
    <xf numFmtId="181" fontId="10" fillId="0" borderId="0" applyFill="0" applyBorder="0" applyAlignment="0"/>
    <xf numFmtId="164" fontId="10" fillId="0" borderId="0" applyFill="0" applyBorder="0" applyAlignment="0"/>
    <xf numFmtId="179" fontId="44" fillId="0" borderId="0" applyFill="0" applyBorder="0" applyAlignment="0"/>
    <xf numFmtId="188" fontId="10" fillId="0" borderId="0" applyFill="0" applyBorder="0" applyAlignment="0"/>
    <xf numFmtId="189" fontId="10" fillId="0" borderId="0" applyFill="0" applyBorder="0" applyAlignment="0"/>
    <xf numFmtId="190" fontId="10" fillId="0" borderId="0" applyFill="0" applyBorder="0" applyAlignment="0"/>
    <xf numFmtId="181" fontId="10" fillId="0" borderId="0" applyFill="0" applyBorder="0" applyAlignment="0"/>
    <xf numFmtId="164" fontId="10" fillId="0" borderId="0" applyFill="0" applyBorder="0" applyAlignment="0"/>
    <xf numFmtId="197" fontId="41" fillId="0" borderId="17">
      <protection hidden="1"/>
    </xf>
    <xf numFmtId="200" fontId="10" fillId="0" borderId="0" applyFont="0" applyFill="0" applyBorder="0" applyAlignment="0" applyProtection="0"/>
    <xf numFmtId="38" fontId="45" fillId="5" borderId="0" applyNumberFormat="0" applyBorder="0" applyAlignment="0" applyProtection="0"/>
    <xf numFmtId="0" fontId="46" fillId="0" borderId="18" applyNumberFormat="0" applyAlignment="0" applyProtection="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46" fillId="0" borderId="9">
      <alignment horizontal="left" vertical="center"/>
    </xf>
    <xf numFmtId="0" fontId="46" fillId="0" borderId="9">
      <alignment horizontal="left" vertical="center"/>
    </xf>
    <xf numFmtId="0" fontId="46" fillId="0" borderId="9">
      <alignment horizontal="left" vertical="center"/>
    </xf>
    <xf numFmtId="0" fontId="46" fillId="0" borderId="9">
      <alignment horizontal="left" vertical="center"/>
    </xf>
    <xf numFmtId="0" fontId="1" fillId="0" borderId="0">
      <alignment horizontal="left" vertical="center"/>
    </xf>
    <xf numFmtId="14" fontId="47" fillId="6" borderId="17">
      <alignment horizontal="center" vertical="center" wrapText="1"/>
    </xf>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applyFill="0" applyAlignment="0" applyProtection="0">
      <protection locked="0"/>
    </xf>
    <xf numFmtId="0" fontId="34" fillId="0" borderId="7" applyFill="0" applyAlignment="0" applyProtection="0">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0" fontId="45" fillId="7" borderId="14" applyNumberFormat="0" applyBorder="0" applyAlignment="0" applyProtection="0"/>
    <xf numFmtId="179" fontId="51" fillId="0" borderId="0" applyFill="0" applyBorder="0" applyAlignment="0"/>
    <xf numFmtId="188" fontId="10" fillId="0" borderId="0" applyFill="0" applyBorder="0" applyAlignment="0"/>
    <xf numFmtId="181" fontId="10" fillId="0" borderId="0" applyFill="0" applyBorder="0" applyAlignment="0"/>
    <xf numFmtId="164" fontId="10" fillId="0" borderId="0" applyFill="0" applyBorder="0" applyAlignment="0"/>
    <xf numFmtId="179" fontId="51" fillId="0" borderId="0" applyFill="0" applyBorder="0" applyAlignment="0"/>
    <xf numFmtId="188" fontId="10" fillId="0" borderId="0" applyFill="0" applyBorder="0" applyAlignment="0"/>
    <xf numFmtId="189" fontId="10" fillId="0" borderId="0" applyFill="0" applyBorder="0" applyAlignment="0"/>
    <xf numFmtId="190" fontId="10" fillId="0" borderId="0" applyFill="0" applyBorder="0" applyAlignment="0"/>
    <xf numFmtId="181" fontId="10" fillId="0" borderId="0" applyFill="0" applyBorder="0" applyAlignment="0"/>
    <xf numFmtId="164" fontId="10" fillId="0" borderId="0" applyFill="0" applyBorder="0" applyAlignment="0"/>
    <xf numFmtId="201" fontId="10" fillId="0" borderId="0" applyFont="0" applyFill="0" applyBorder="0" applyAlignment="0" applyProtection="0"/>
    <xf numFmtId="202" fontId="10" fillId="0" borderId="0" applyFont="0" applyFill="0" applyBorder="0" applyAlignment="0" applyProtection="0"/>
    <xf numFmtId="38" fontId="52" fillId="0" borderId="0" applyFont="0" applyFill="0" applyBorder="0" applyAlignment="0" applyProtection="0"/>
    <xf numFmtId="40" fontId="52" fillId="0" borderId="0" applyFont="0" applyFill="0" applyBorder="0" applyAlignment="0" applyProtection="0"/>
    <xf numFmtId="203" fontId="10" fillId="0" borderId="0" applyFont="0" applyFill="0" applyBorder="0" applyAlignment="0" applyProtection="0"/>
    <xf numFmtId="204" fontId="10" fillId="0" borderId="0" applyFont="0" applyFill="0" applyBorder="0" applyAlignment="0" applyProtection="0"/>
    <xf numFmtId="6" fontId="52" fillId="0" borderId="0" applyFont="0" applyFill="0" applyBorder="0" applyAlignment="0" applyProtection="0"/>
    <xf numFmtId="8" fontId="52" fillId="0" borderId="0" applyFont="0" applyFill="0" applyBorder="0" applyAlignment="0" applyProtection="0"/>
    <xf numFmtId="205" fontId="29" fillId="0" borderId="7"/>
    <xf numFmtId="37" fontId="53" fillId="0" borderId="0"/>
    <xf numFmtId="206" fontId="35" fillId="0" borderId="0"/>
    <xf numFmtId="206" fontId="1" fillId="0" borderId="0"/>
    <xf numFmtId="207" fontId="10" fillId="0" borderId="0"/>
    <xf numFmtId="208" fontId="10" fillId="0" borderId="0"/>
    <xf numFmtId="0" fontId="54" fillId="0" borderId="0"/>
    <xf numFmtId="0" fontId="54" fillId="0" borderId="0"/>
    <xf numFmtId="0" fontId="54" fillId="0" borderId="0"/>
    <xf numFmtId="0" fontId="54" fillId="0" borderId="0"/>
    <xf numFmtId="0" fontId="10" fillId="0" borderId="0"/>
    <xf numFmtId="0" fontId="10" fillId="0" borderId="0"/>
    <xf numFmtId="0" fontId="1" fillId="0" borderId="0"/>
    <xf numFmtId="0" fontId="10" fillId="0" borderId="0"/>
    <xf numFmtId="0" fontId="10" fillId="0" borderId="0">
      <alignment wrapText="1"/>
    </xf>
    <xf numFmtId="0" fontId="10" fillId="0" borderId="0"/>
    <xf numFmtId="0" fontId="55" fillId="0" borderId="0"/>
    <xf numFmtId="0" fontId="10" fillId="0" borderId="0"/>
    <xf numFmtId="0" fontId="10" fillId="0" borderId="0"/>
    <xf numFmtId="37" fontId="56" fillId="0" borderId="0"/>
    <xf numFmtId="0" fontId="1" fillId="0" borderId="0"/>
    <xf numFmtId="0" fontId="1" fillId="0" borderId="0"/>
    <xf numFmtId="0" fontId="10" fillId="0" borderId="0">
      <alignment wrapText="1"/>
    </xf>
    <xf numFmtId="0" fontId="10" fillId="0" borderId="0"/>
    <xf numFmtId="37" fontId="56" fillId="0" borderId="0"/>
    <xf numFmtId="0" fontId="10" fillId="0" borderId="0"/>
    <xf numFmtId="37" fontId="56" fillId="0" borderId="0"/>
    <xf numFmtId="0" fontId="1" fillId="0" borderId="0"/>
    <xf numFmtId="0" fontId="36" fillId="0" borderId="0"/>
    <xf numFmtId="37" fontId="1" fillId="0" borderId="0"/>
    <xf numFmtId="0" fontId="1" fillId="0" borderId="0"/>
    <xf numFmtId="37" fontId="1" fillId="0" borderId="0"/>
    <xf numFmtId="0" fontId="10" fillId="0" borderId="0">
      <alignment wrapText="1"/>
    </xf>
    <xf numFmtId="37" fontId="57" fillId="0" borderId="0"/>
    <xf numFmtId="0" fontId="10" fillId="0" borderId="0"/>
    <xf numFmtId="37" fontId="10" fillId="0" borderId="0"/>
    <xf numFmtId="37" fontId="10" fillId="0" borderId="0"/>
    <xf numFmtId="209" fontId="10" fillId="0" borderId="0"/>
    <xf numFmtId="210" fontId="10" fillId="0" borderId="0"/>
    <xf numFmtId="39" fontId="10" fillId="0" borderId="0"/>
    <xf numFmtId="39" fontId="10" fillId="0" borderId="0"/>
    <xf numFmtId="211" fontId="10" fillId="0" borderId="0"/>
    <xf numFmtId="212" fontId="10" fillId="0" borderId="0"/>
    <xf numFmtId="213" fontId="10" fillId="0" borderId="0"/>
    <xf numFmtId="214" fontId="10" fillId="0" borderId="0"/>
    <xf numFmtId="215" fontId="10" fillId="0" borderId="0"/>
    <xf numFmtId="216" fontId="10" fillId="0" borderId="0"/>
    <xf numFmtId="217" fontId="10" fillId="0" borderId="0"/>
    <xf numFmtId="218" fontId="52" fillId="0" borderId="0"/>
    <xf numFmtId="219" fontId="41" fillId="0" borderId="0">
      <protection hidden="1"/>
    </xf>
    <xf numFmtId="186" fontId="10" fillId="0" borderId="0" applyFont="0" applyFill="0" applyBorder="0" applyAlignment="0" applyProtection="0"/>
    <xf numFmtId="187" fontId="10" fillId="0" borderId="0" applyFont="0" applyFill="0" applyBorder="0" applyAlignment="0" applyProtection="0"/>
    <xf numFmtId="207" fontId="10" fillId="0" borderId="0" applyFont="0" applyFill="0" applyBorder="0" applyAlignment="0" applyProtection="0"/>
    <xf numFmtId="208" fontId="10" fillId="0" borderId="0" applyFont="0" applyFill="0" applyBorder="0" applyAlignment="0" applyProtection="0"/>
    <xf numFmtId="10" fontId="10" fillId="0" borderId="0" applyFont="0" applyFill="0" applyBorder="0" applyAlignment="0" applyProtection="0"/>
    <xf numFmtId="9" fontId="58" fillId="0" borderId="0" applyFont="0" applyFill="0" applyBorder="0" applyAlignment="0" applyProtection="0"/>
    <xf numFmtId="9" fontId="3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9" fontId="58" fillId="0" borderId="0" applyFont="0" applyFill="0" applyBorder="0" applyAlignment="0" applyProtection="0"/>
    <xf numFmtId="9" fontId="52" fillId="0" borderId="19" applyNumberFormat="0" applyBorder="0"/>
    <xf numFmtId="205" fontId="29" fillId="0" borderId="0"/>
    <xf numFmtId="0" fontId="59" fillId="8" borderId="20" applyNumberFormat="0" applyFont="0" applyFill="0" applyAlignment="0">
      <alignment horizontal="center" vertical="center"/>
    </xf>
    <xf numFmtId="179" fontId="60" fillId="0" borderId="0" applyFill="0" applyBorder="0" applyAlignment="0"/>
    <xf numFmtId="188" fontId="10" fillId="0" borderId="0" applyFill="0" applyBorder="0" applyAlignment="0"/>
    <xf numFmtId="181" fontId="10" fillId="0" borderId="0" applyFill="0" applyBorder="0" applyAlignment="0"/>
    <xf numFmtId="164" fontId="10" fillId="0" borderId="0" applyFill="0" applyBorder="0" applyAlignment="0"/>
    <xf numFmtId="179" fontId="60" fillId="0" borderId="0" applyFill="0" applyBorder="0" applyAlignment="0"/>
    <xf numFmtId="188" fontId="10" fillId="0" borderId="0" applyFill="0" applyBorder="0" applyAlignment="0"/>
    <xf numFmtId="189" fontId="10" fillId="0" borderId="0" applyFill="0" applyBorder="0" applyAlignment="0"/>
    <xf numFmtId="190" fontId="10" fillId="0" borderId="0" applyFill="0" applyBorder="0" applyAlignment="0"/>
    <xf numFmtId="181" fontId="10" fillId="0" borderId="0" applyFill="0" applyBorder="0" applyAlignment="0"/>
    <xf numFmtId="164" fontId="10" fillId="0" borderId="0" applyFill="0" applyBorder="0" applyAlignment="0"/>
    <xf numFmtId="37" fontId="56" fillId="0" borderId="21"/>
    <xf numFmtId="0" fontId="61" fillId="0" borderId="0"/>
    <xf numFmtId="0" fontId="35" fillId="0" borderId="0"/>
    <xf numFmtId="0" fontId="52" fillId="0" borderId="0"/>
    <xf numFmtId="37" fontId="62" fillId="0" borderId="17">
      <alignment horizontal="right"/>
      <protection locked="0"/>
    </xf>
    <xf numFmtId="37" fontId="63" fillId="0" borderId="17">
      <alignment horizontal="right"/>
      <protection locked="0"/>
    </xf>
    <xf numFmtId="49" fontId="33" fillId="0" borderId="0" applyFill="0" applyBorder="0" applyAlignment="0"/>
    <xf numFmtId="220" fontId="10" fillId="0" borderId="0" applyFill="0" applyBorder="0" applyAlignment="0"/>
    <xf numFmtId="221" fontId="10" fillId="0" borderId="0" applyFill="0" applyBorder="0" applyAlignment="0"/>
    <xf numFmtId="222" fontId="10" fillId="0" borderId="0" applyFill="0" applyBorder="0" applyAlignment="0"/>
    <xf numFmtId="223" fontId="10" fillId="0" borderId="0" applyFill="0" applyBorder="0" applyAlignment="0"/>
    <xf numFmtId="49" fontId="10" fillId="0" borderId="0"/>
    <xf numFmtId="0" fontId="64" fillId="0" borderId="0" applyFill="0" applyBorder="0" applyProtection="0">
      <alignment horizontal="left" vertical="top"/>
    </xf>
    <xf numFmtId="40" fontId="65" fillId="0" borderId="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37" fontId="56" fillId="0" borderId="7"/>
    <xf numFmtId="37" fontId="56" fillId="0" borderId="22"/>
    <xf numFmtId="224" fontId="10" fillId="0" borderId="0" applyFont="0" applyFill="0" applyBorder="0" applyAlignment="0" applyProtection="0"/>
    <xf numFmtId="225" fontId="10" fillId="0" borderId="0" applyFont="0" applyFill="0" applyBorder="0" applyAlignment="0" applyProtection="0"/>
    <xf numFmtId="0" fontId="10" fillId="0" borderId="0"/>
    <xf numFmtId="0" fontId="10" fillId="0" borderId="0"/>
  </cellStyleXfs>
  <cellXfs count="402">
    <xf numFmtId="0" fontId="0" fillId="0" borderId="0" xfId="0"/>
    <xf numFmtId="164" fontId="0" fillId="0" borderId="0" xfId="1" applyNumberFormat="1" applyFont="1" applyAlignment="1">
      <alignment horizontal="right"/>
    </xf>
    <xf numFmtId="164" fontId="3" fillId="0" borderId="0" xfId="1" quotePrefix="1" applyNumberFormat="1" applyFont="1" applyBorder="1" applyAlignment="1">
      <alignment horizontal="right"/>
    </xf>
    <xf numFmtId="164" fontId="3" fillId="0" borderId="0" xfId="1" quotePrefix="1" applyNumberFormat="1" applyFont="1" applyFill="1" applyBorder="1" applyAlignment="1">
      <alignment horizontal="right"/>
    </xf>
    <xf numFmtId="165" fontId="0" fillId="0" borderId="5" xfId="1" applyNumberFormat="1" applyFont="1" applyBorder="1" applyAlignment="1">
      <alignment horizontal="right"/>
    </xf>
    <xf numFmtId="165" fontId="0" fillId="0" borderId="0" xfId="1" applyNumberFormat="1" applyFont="1" applyBorder="1" applyAlignment="1">
      <alignment horizontal="right"/>
    </xf>
    <xf numFmtId="0" fontId="0" fillId="0" borderId="0" xfId="0" applyAlignment="1">
      <alignment horizontal="right"/>
    </xf>
    <xf numFmtId="0" fontId="0" fillId="0" borderId="3" xfId="0" applyFont="1" applyBorder="1"/>
    <xf numFmtId="0" fontId="0" fillId="0" borderId="3" xfId="0" applyFont="1" applyFill="1" applyBorder="1"/>
    <xf numFmtId="43" fontId="2" fillId="0" borderId="0" xfId="1" applyNumberFormat="1" applyFont="1" applyFill="1" applyBorder="1" applyAlignment="1">
      <alignment horizontal="right"/>
    </xf>
    <xf numFmtId="165" fontId="6" fillId="0" borderId="0" xfId="1" applyNumberFormat="1" applyFont="1" applyBorder="1" applyAlignment="1">
      <alignment horizontal="right"/>
    </xf>
    <xf numFmtId="165" fontId="5" fillId="0" borderId="0" xfId="1" applyNumberFormat="1" applyFont="1" applyBorder="1" applyAlignment="1">
      <alignment horizontal="right"/>
    </xf>
    <xf numFmtId="165" fontId="5" fillId="0" borderId="3" xfId="1" applyNumberFormat="1" applyFont="1" applyBorder="1" applyAlignment="1">
      <alignment horizontal="right"/>
    </xf>
    <xf numFmtId="9" fontId="6" fillId="0" borderId="0" xfId="2" applyFont="1" applyBorder="1" applyAlignment="1">
      <alignment horizontal="right"/>
    </xf>
    <xf numFmtId="165" fontId="8" fillId="0" borderId="0" xfId="1" applyNumberFormat="1" applyFont="1" applyBorder="1" applyAlignment="1">
      <alignment horizontal="right"/>
    </xf>
    <xf numFmtId="165" fontId="8" fillId="0" borderId="5" xfId="1" applyNumberFormat="1" applyFont="1" applyBorder="1" applyAlignment="1">
      <alignment horizontal="right"/>
    </xf>
    <xf numFmtId="9" fontId="0" fillId="0" borderId="0" xfId="2" applyFont="1" applyBorder="1" applyAlignment="1">
      <alignment horizontal="right"/>
    </xf>
    <xf numFmtId="0" fontId="9" fillId="0" borderId="3" xfId="0" applyFont="1" applyBorder="1"/>
    <xf numFmtId="9" fontId="5" fillId="0" borderId="0" xfId="2" applyFont="1" applyBorder="1" applyAlignment="1">
      <alignment horizontal="right"/>
    </xf>
    <xf numFmtId="9" fontId="8" fillId="0" borderId="0" xfId="2" applyFont="1" applyBorder="1" applyAlignment="1">
      <alignment horizontal="right"/>
    </xf>
    <xf numFmtId="0" fontId="0" fillId="0" borderId="0" xfId="0" applyBorder="1" applyAlignment="1">
      <alignment vertical="top" wrapText="1"/>
    </xf>
    <xf numFmtId="165" fontId="0" fillId="0" borderId="3" xfId="1" applyNumberFormat="1" applyFont="1" applyBorder="1" applyAlignment="1">
      <alignment horizontal="right"/>
    </xf>
    <xf numFmtId="165" fontId="0" fillId="0" borderId="4" xfId="1" applyNumberFormat="1" applyFont="1" applyBorder="1" applyAlignment="1">
      <alignment horizontal="right"/>
    </xf>
    <xf numFmtId="164" fontId="0" fillId="0" borderId="0" xfId="1" applyNumberFormat="1" applyFont="1" applyFill="1" applyAlignment="1">
      <alignment horizontal="right"/>
    </xf>
    <xf numFmtId="165" fontId="13" fillId="0" borderId="0" xfId="1" applyNumberFormat="1" applyFont="1" applyFill="1" applyBorder="1" applyAlignment="1">
      <alignment horizontal="right"/>
    </xf>
    <xf numFmtId="165" fontId="11" fillId="0" borderId="5" xfId="1" applyNumberFormat="1" applyFont="1" applyFill="1" applyBorder="1" applyAlignment="1">
      <alignment horizontal="right"/>
    </xf>
    <xf numFmtId="43" fontId="13" fillId="0" borderId="0" xfId="1" applyNumberFormat="1" applyFont="1" applyFill="1" applyBorder="1" applyAlignment="1">
      <alignment horizontal="right"/>
    </xf>
    <xf numFmtId="43" fontId="13" fillId="0" borderId="5" xfId="1" applyNumberFormat="1" applyFont="1" applyFill="1" applyBorder="1" applyAlignment="1">
      <alignment horizontal="right"/>
    </xf>
    <xf numFmtId="164" fontId="3" fillId="0" borderId="5" xfId="1" quotePrefix="1" applyNumberFormat="1" applyFont="1" applyBorder="1" applyAlignment="1">
      <alignment horizontal="right"/>
    </xf>
    <xf numFmtId="164" fontId="3" fillId="0" borderId="5" xfId="1" quotePrefix="1" applyNumberFormat="1" applyFont="1" applyFill="1" applyBorder="1" applyAlignment="1">
      <alignment horizontal="right"/>
    </xf>
    <xf numFmtId="166" fontId="0" fillId="0" borderId="0" xfId="2" applyNumberFormat="1" applyFont="1" applyFill="1" applyBorder="1" applyAlignment="1">
      <alignment horizontal="right"/>
    </xf>
    <xf numFmtId="164" fontId="1" fillId="0" borderId="5" xfId="1" quotePrefix="1" applyNumberFormat="1" applyFont="1" applyFill="1" applyBorder="1" applyAlignment="1">
      <alignment horizontal="right"/>
    </xf>
    <xf numFmtId="43" fontId="1" fillId="0" borderId="0" xfId="1" quotePrefix="1" applyNumberFormat="1" applyFont="1" applyBorder="1" applyAlignment="1">
      <alignment horizontal="right"/>
    </xf>
    <xf numFmtId="0" fontId="0" fillId="0" borderId="0" xfId="0" applyFont="1"/>
    <xf numFmtId="9" fontId="1" fillId="0" borderId="5" xfId="2" quotePrefix="1" applyFont="1" applyFill="1" applyBorder="1" applyAlignment="1">
      <alignment horizontal="right"/>
    </xf>
    <xf numFmtId="43" fontId="2" fillId="0" borderId="0" xfId="1" quotePrefix="1" applyNumberFormat="1" applyFont="1" applyBorder="1" applyAlignment="1">
      <alignment horizontal="right"/>
    </xf>
    <xf numFmtId="165" fontId="0" fillId="0" borderId="3" xfId="1" applyNumberFormat="1" applyFont="1" applyFill="1" applyBorder="1" applyAlignment="1">
      <alignment horizontal="right"/>
    </xf>
    <xf numFmtId="165" fontId="0" fillId="0" borderId="0" xfId="1" applyNumberFormat="1" applyFont="1" applyFill="1" applyBorder="1" applyAlignment="1">
      <alignment horizontal="right"/>
    </xf>
    <xf numFmtId="164" fontId="3" fillId="0" borderId="2" xfId="1" quotePrefix="1" applyNumberFormat="1" applyFont="1" applyFill="1" applyBorder="1" applyAlignment="1">
      <alignment horizontal="right"/>
    </xf>
    <xf numFmtId="43" fontId="0" fillId="0" borderId="0" xfId="1" applyFont="1"/>
    <xf numFmtId="43" fontId="0" fillId="0" borderId="0" xfId="1" applyFont="1" applyAlignment="1">
      <alignment horizontal="right"/>
    </xf>
    <xf numFmtId="165" fontId="12" fillId="0" borderId="0" xfId="1" applyNumberFormat="1" applyFont="1" applyFill="1" applyBorder="1" applyAlignment="1">
      <alignment horizontal="right"/>
    </xf>
    <xf numFmtId="165" fontId="11" fillId="0" borderId="3" xfId="1" applyNumberFormat="1" applyFont="1" applyFill="1" applyBorder="1" applyAlignment="1">
      <alignment horizontal="right"/>
    </xf>
    <xf numFmtId="165" fontId="11" fillId="0" borderId="4" xfId="1" applyNumberFormat="1" applyFont="1" applyFill="1" applyBorder="1" applyAlignment="1">
      <alignment horizontal="right"/>
    </xf>
    <xf numFmtId="165" fontId="12" fillId="0" borderId="3" xfId="1" applyNumberFormat="1" applyFont="1" applyFill="1" applyBorder="1" applyAlignment="1">
      <alignment horizontal="right"/>
    </xf>
    <xf numFmtId="165" fontId="12" fillId="0" borderId="4" xfId="1" applyNumberFormat="1" applyFont="1" applyFill="1" applyBorder="1" applyAlignment="1">
      <alignment horizontal="right"/>
    </xf>
    <xf numFmtId="165" fontId="13" fillId="0" borderId="3" xfId="1" applyNumberFormat="1" applyFont="1" applyFill="1" applyBorder="1" applyAlignment="1">
      <alignment horizontal="right"/>
    </xf>
    <xf numFmtId="165" fontId="13" fillId="0" borderId="4" xfId="1" applyNumberFormat="1" applyFont="1" applyFill="1" applyBorder="1" applyAlignment="1">
      <alignment horizontal="right"/>
    </xf>
    <xf numFmtId="0" fontId="0" fillId="0" borderId="0" xfId="0" applyFont="1" applyFill="1"/>
    <xf numFmtId="43" fontId="14" fillId="0" borderId="9" xfId="1" applyNumberFormat="1" applyFont="1" applyFill="1" applyBorder="1" applyAlignment="1">
      <alignment horizontal="right"/>
    </xf>
    <xf numFmtId="43" fontId="2" fillId="0" borderId="0" xfId="1" quotePrefix="1" applyNumberFormat="1" applyFont="1" applyFill="1" applyBorder="1" applyAlignment="1">
      <alignment horizontal="right"/>
    </xf>
    <xf numFmtId="164" fontId="2" fillId="0" borderId="0" xfId="1" quotePrefix="1" applyNumberFormat="1" applyFont="1" applyFill="1" applyBorder="1" applyAlignment="1">
      <alignment horizontal="right"/>
    </xf>
    <xf numFmtId="0" fontId="2" fillId="0" borderId="3" xfId="0" applyFont="1" applyFill="1" applyBorder="1"/>
    <xf numFmtId="168" fontId="0" fillId="0" borderId="0" xfId="2" applyNumberFormat="1" applyFont="1" applyBorder="1" applyAlignment="1">
      <alignment horizontal="right"/>
    </xf>
    <xf numFmtId="168" fontId="0" fillId="0" borderId="0" xfId="1" applyNumberFormat="1" applyFont="1" applyBorder="1" applyAlignment="1">
      <alignment horizontal="right"/>
    </xf>
    <xf numFmtId="164" fontId="2" fillId="0" borderId="3" xfId="1" quotePrefix="1" applyNumberFormat="1" applyFont="1" applyFill="1" applyBorder="1" applyAlignment="1">
      <alignment horizontal="right"/>
    </xf>
    <xf numFmtId="43" fontId="1" fillId="0" borderId="3" xfId="1" quotePrefix="1" applyNumberFormat="1" applyFont="1" applyBorder="1" applyAlignment="1">
      <alignment horizontal="right"/>
    </xf>
    <xf numFmtId="7" fontId="2" fillId="0" borderId="3" xfId="1" applyNumberFormat="1" applyFont="1" applyBorder="1" applyAlignment="1">
      <alignment horizontal="right"/>
    </xf>
    <xf numFmtId="7" fontId="2" fillId="0" borderId="0" xfId="1" applyNumberFormat="1" applyFont="1" applyBorder="1" applyAlignment="1">
      <alignment horizontal="right"/>
    </xf>
    <xf numFmtId="164" fontId="0" fillId="0" borderId="4" xfId="1" applyNumberFormat="1" applyFont="1" applyBorder="1" applyAlignment="1">
      <alignment horizontal="right"/>
    </xf>
    <xf numFmtId="164" fontId="0" fillId="0" borderId="0" xfId="1" applyNumberFormat="1" applyFont="1" applyAlignment="1">
      <alignment horizontal="left"/>
    </xf>
    <xf numFmtId="0" fontId="0" fillId="0" borderId="0" xfId="0" applyFill="1"/>
    <xf numFmtId="43" fontId="0" fillId="0" borderId="4" xfId="1" applyNumberFormat="1" applyFont="1" applyBorder="1" applyAlignment="1">
      <alignment horizontal="right"/>
    </xf>
    <xf numFmtId="166" fontId="0" fillId="0" borderId="4" xfId="2" applyNumberFormat="1" applyFont="1" applyBorder="1" applyAlignment="1">
      <alignment horizontal="right"/>
    </xf>
    <xf numFmtId="166" fontId="2" fillId="0" borderId="4" xfId="2" applyNumberFormat="1" applyFont="1" applyBorder="1" applyAlignment="1">
      <alignment horizontal="right"/>
    </xf>
    <xf numFmtId="43" fontId="0" fillId="0" borderId="0" xfId="1" applyFont="1" applyFill="1"/>
    <xf numFmtId="165" fontId="0" fillId="0" borderId="0" xfId="0" applyNumberFormat="1" applyFill="1"/>
    <xf numFmtId="43" fontId="0" fillId="0" borderId="0" xfId="1" applyFont="1" applyFill="1" applyAlignment="1">
      <alignment horizontal="right"/>
    </xf>
    <xf numFmtId="165" fontId="15" fillId="0" borderId="5" xfId="1" applyNumberFormat="1" applyFont="1" applyBorder="1" applyAlignment="1">
      <alignment horizontal="right"/>
    </xf>
    <xf numFmtId="165" fontId="15" fillId="0" borderId="3" xfId="1" applyNumberFormat="1" applyFont="1" applyBorder="1" applyAlignment="1">
      <alignment horizontal="right"/>
    </xf>
    <xf numFmtId="165" fontId="15" fillId="0" borderId="0" xfId="1" applyNumberFormat="1" applyFont="1" applyBorder="1" applyAlignment="1">
      <alignment horizontal="right"/>
    </xf>
    <xf numFmtId="165" fontId="15" fillId="0" borderId="4" xfId="1" applyNumberFormat="1" applyFont="1" applyBorder="1" applyAlignment="1">
      <alignment horizontal="right"/>
    </xf>
    <xf numFmtId="165" fontId="15" fillId="0" borderId="0" xfId="1" applyNumberFormat="1" applyFont="1" applyFill="1" applyBorder="1" applyAlignment="1">
      <alignment horizontal="right"/>
    </xf>
    <xf numFmtId="165" fontId="2" fillId="0" borderId="0" xfId="1" applyNumberFormat="1" applyFont="1" applyFill="1" applyBorder="1" applyAlignment="1">
      <alignment horizontal="right"/>
    </xf>
    <xf numFmtId="165" fontId="2" fillId="0" borderId="7" xfId="1" applyNumberFormat="1" applyFont="1" applyFill="1" applyBorder="1" applyAlignment="1">
      <alignment horizontal="right"/>
    </xf>
    <xf numFmtId="165" fontId="2" fillId="0" borderId="3" xfId="1" applyNumberFormat="1" applyFont="1" applyFill="1" applyBorder="1" applyAlignment="1">
      <alignment horizontal="right"/>
    </xf>
    <xf numFmtId="165" fontId="2" fillId="0" borderId="6" xfId="1" applyNumberFormat="1" applyFont="1" applyFill="1" applyBorder="1" applyAlignment="1">
      <alignment horizontal="right"/>
    </xf>
    <xf numFmtId="164" fontId="15" fillId="0" borderId="0" xfId="1" applyNumberFormat="1" applyFont="1" applyAlignment="1">
      <alignment horizontal="right"/>
    </xf>
    <xf numFmtId="43" fontId="11" fillId="0" borderId="0" xfId="1" applyNumberFormat="1" applyFont="1" applyFill="1" applyBorder="1" applyAlignment="1">
      <alignment horizontal="right"/>
    </xf>
    <xf numFmtId="165" fontId="5" fillId="0" borderId="7" xfId="1" applyNumberFormat="1" applyFont="1" applyFill="1" applyBorder="1" applyAlignment="1">
      <alignment horizontal="right"/>
    </xf>
    <xf numFmtId="165" fontId="8" fillId="0" borderId="7" xfId="1" applyNumberFormat="1" applyFont="1" applyFill="1" applyBorder="1" applyAlignment="1">
      <alignment horizontal="right"/>
    </xf>
    <xf numFmtId="165" fontId="6" fillId="0" borderId="7" xfId="1" applyNumberFormat="1" applyFont="1" applyFill="1" applyBorder="1" applyAlignment="1">
      <alignment horizontal="right"/>
    </xf>
    <xf numFmtId="9" fontId="8" fillId="0" borderId="8" xfId="2" applyFont="1" applyFill="1" applyBorder="1" applyAlignment="1">
      <alignment horizontal="right"/>
    </xf>
    <xf numFmtId="0" fontId="15" fillId="0" borderId="0" xfId="0" applyFont="1"/>
    <xf numFmtId="165" fontId="0" fillId="0" borderId="4" xfId="1" applyNumberFormat="1" applyFont="1" applyFill="1" applyBorder="1" applyAlignment="1">
      <alignment horizontal="right"/>
    </xf>
    <xf numFmtId="165" fontId="0" fillId="0" borderId="5" xfId="1" applyNumberFormat="1" applyFont="1" applyFill="1" applyBorder="1" applyAlignment="1">
      <alignment horizontal="right"/>
    </xf>
    <xf numFmtId="165" fontId="2" fillId="0" borderId="4" xfId="1" applyNumberFormat="1" applyFont="1" applyFill="1" applyBorder="1" applyAlignment="1">
      <alignment horizontal="right"/>
    </xf>
    <xf numFmtId="165" fontId="2" fillId="0" borderId="5" xfId="1" applyNumberFormat="1" applyFont="1" applyFill="1" applyBorder="1" applyAlignment="1">
      <alignment horizontal="right"/>
    </xf>
    <xf numFmtId="0" fontId="0" fillId="0" borderId="0" xfId="0" applyAlignment="1">
      <alignment horizontal="left"/>
    </xf>
    <xf numFmtId="0" fontId="0" fillId="0" borderId="0" xfId="0" applyFont="1" applyAlignment="1">
      <alignment horizontal="left"/>
    </xf>
    <xf numFmtId="164" fontId="0" fillId="0" borderId="0" xfId="1" applyNumberFormat="1" applyFont="1" applyBorder="1" applyAlignment="1">
      <alignment horizontal="right"/>
    </xf>
    <xf numFmtId="0" fontId="0" fillId="0" borderId="0" xfId="0" applyBorder="1" applyAlignment="1">
      <alignment horizontal="right"/>
    </xf>
    <xf numFmtId="0" fontId="2" fillId="0" borderId="0" xfId="0" applyFont="1" applyFill="1" applyBorder="1" applyAlignment="1">
      <alignment horizontal="left"/>
    </xf>
    <xf numFmtId="165" fontId="1" fillId="0" borderId="2" xfId="1" applyNumberFormat="1" applyFont="1" applyBorder="1" applyAlignment="1">
      <alignment horizontal="right"/>
    </xf>
    <xf numFmtId="165" fontId="1" fillId="0" borderId="3" xfId="1" applyNumberFormat="1" applyFont="1" applyFill="1" applyBorder="1" applyAlignment="1">
      <alignment horizontal="right"/>
    </xf>
    <xf numFmtId="165" fontId="1" fillId="0" borderId="0" xfId="1" applyNumberFormat="1" applyFont="1" applyFill="1" applyBorder="1" applyAlignment="1">
      <alignment horizontal="right"/>
    </xf>
    <xf numFmtId="165" fontId="1" fillId="0" borderId="4" xfId="1" applyNumberFormat="1" applyFont="1" applyFill="1" applyBorder="1" applyAlignment="1">
      <alignment horizontal="right"/>
    </xf>
    <xf numFmtId="43" fontId="2" fillId="0" borderId="4" xfId="1" applyNumberFormat="1" applyFont="1" applyFill="1" applyBorder="1" applyAlignment="1">
      <alignment horizontal="right"/>
    </xf>
    <xf numFmtId="43" fontId="2" fillId="0" borderId="5" xfId="1" applyNumberFormat="1" applyFont="1" applyFill="1" applyBorder="1" applyAlignment="1">
      <alignment horizontal="right"/>
    </xf>
    <xf numFmtId="43" fontId="2" fillId="0" borderId="6" xfId="1" applyNumberFormat="1" applyFont="1" applyFill="1" applyBorder="1" applyAlignment="1">
      <alignment horizontal="right"/>
    </xf>
    <xf numFmtId="43" fontId="1" fillId="0" borderId="0" xfId="1" applyNumberFormat="1" applyFont="1" applyFill="1" applyBorder="1" applyAlignment="1">
      <alignment horizontal="right"/>
    </xf>
    <xf numFmtId="43" fontId="1" fillId="0" borderId="4" xfId="1" quotePrefix="1" applyNumberFormat="1" applyFont="1" applyBorder="1" applyAlignment="1">
      <alignment horizontal="right"/>
    </xf>
    <xf numFmtId="37" fontId="11" fillId="0" borderId="0" xfId="3" applyNumberFormat="1" applyFont="1" applyFill="1">
      <alignment vertical="top"/>
    </xf>
    <xf numFmtId="9" fontId="0" fillId="0" borderId="4" xfId="2" applyNumberFormat="1" applyFont="1" applyBorder="1" applyAlignment="1">
      <alignment horizontal="right"/>
    </xf>
    <xf numFmtId="166" fontId="0" fillId="0" borderId="0" xfId="2" applyNumberFormat="1" applyFont="1" applyAlignment="1">
      <alignment horizontal="right"/>
    </xf>
    <xf numFmtId="0" fontId="0" fillId="0" borderId="0" xfId="0"/>
    <xf numFmtId="0" fontId="0" fillId="0" borderId="3" xfId="0" applyFont="1" applyFill="1" applyBorder="1"/>
    <xf numFmtId="9" fontId="1" fillId="0" borderId="0" xfId="2" quotePrefix="1" applyFont="1" applyFill="1" applyBorder="1" applyAlignment="1">
      <alignment horizontal="right"/>
    </xf>
    <xf numFmtId="165" fontId="1" fillId="0" borderId="2" xfId="1" applyNumberFormat="1" applyFont="1" applyFill="1" applyBorder="1" applyAlignment="1">
      <alignment horizontal="right"/>
    </xf>
    <xf numFmtId="165" fontId="12" fillId="0" borderId="5" xfId="1" applyNumberFormat="1" applyFont="1" applyFill="1" applyBorder="1" applyAlignment="1">
      <alignment horizontal="right"/>
    </xf>
    <xf numFmtId="165" fontId="13" fillId="0" borderId="5" xfId="1" applyNumberFormat="1" applyFont="1" applyFill="1" applyBorder="1" applyAlignment="1">
      <alignment horizontal="right"/>
    </xf>
    <xf numFmtId="164" fontId="18" fillId="2" borderId="2" xfId="1" quotePrefix="1" applyNumberFormat="1" applyFont="1" applyFill="1" applyBorder="1" applyAlignment="1">
      <alignment horizontal="right"/>
    </xf>
    <xf numFmtId="164" fontId="20" fillId="2" borderId="0" xfId="1" quotePrefix="1" applyNumberFormat="1" applyFont="1" applyFill="1" applyBorder="1" applyAlignment="1">
      <alignment horizontal="right"/>
    </xf>
    <xf numFmtId="166" fontId="0" fillId="0" borderId="5" xfId="2" applyNumberFormat="1" applyFont="1" applyFill="1" applyBorder="1" applyAlignment="1">
      <alignment horizontal="right"/>
    </xf>
    <xf numFmtId="9" fontId="0" fillId="0" borderId="5" xfId="2" applyFont="1" applyFill="1" applyBorder="1" applyAlignment="1">
      <alignment horizontal="right"/>
    </xf>
    <xf numFmtId="9" fontId="8" fillId="0" borderId="5" xfId="2" applyFont="1" applyFill="1" applyBorder="1" applyAlignment="1">
      <alignment horizontal="right"/>
    </xf>
    <xf numFmtId="0" fontId="0" fillId="0" borderId="0" xfId="0" applyFill="1" applyAlignment="1">
      <alignment horizontal="right"/>
    </xf>
    <xf numFmtId="10" fontId="0" fillId="0" borderId="5" xfId="2" applyNumberFormat="1" applyFont="1" applyFill="1" applyBorder="1" applyAlignment="1">
      <alignment horizontal="right"/>
    </xf>
    <xf numFmtId="9" fontId="0" fillId="0" borderId="0" xfId="2" applyFont="1" applyFill="1" applyBorder="1" applyAlignment="1">
      <alignment horizontal="right"/>
    </xf>
    <xf numFmtId="0" fontId="0" fillId="0" borderId="0" xfId="0" applyFont="1" applyFill="1" applyBorder="1" applyAlignment="1">
      <alignment horizontal="left"/>
    </xf>
    <xf numFmtId="0" fontId="2" fillId="0" borderId="12" xfId="0" applyFont="1" applyFill="1" applyBorder="1"/>
    <xf numFmtId="0" fontId="0" fillId="0" borderId="3" xfId="0" applyFont="1" applyFill="1" applyBorder="1" applyAlignment="1">
      <alignment horizontal="left"/>
    </xf>
    <xf numFmtId="165" fontId="1" fillId="0" borderId="5" xfId="1" applyNumberFormat="1" applyFont="1" applyFill="1" applyBorder="1" applyAlignment="1">
      <alignment horizontal="right"/>
    </xf>
    <xf numFmtId="0" fontId="0" fillId="0" borderId="0" xfId="0"/>
    <xf numFmtId="9" fontId="8" fillId="0" borderId="0" xfId="2" applyFont="1" applyBorder="1" applyAlignment="1">
      <alignment horizontal="right"/>
    </xf>
    <xf numFmtId="165" fontId="11" fillId="0" borderId="0" xfId="1" applyNumberFormat="1" applyFont="1" applyFill="1" applyBorder="1" applyAlignment="1">
      <alignment horizontal="right"/>
    </xf>
    <xf numFmtId="0" fontId="0" fillId="0" borderId="0" xfId="0"/>
    <xf numFmtId="164" fontId="3" fillId="0" borderId="0" xfId="1" quotePrefix="1" applyNumberFormat="1" applyFont="1" applyFill="1" applyBorder="1" applyAlignment="1">
      <alignment horizontal="right"/>
    </xf>
    <xf numFmtId="0" fontId="0" fillId="0" borderId="0" xfId="0" applyFont="1" applyBorder="1" applyAlignment="1">
      <alignment horizontal="left"/>
    </xf>
    <xf numFmtId="9" fontId="2" fillId="0" borderId="2" xfId="2" quotePrefix="1" applyFont="1" applyFill="1" applyBorder="1" applyAlignment="1">
      <alignment horizontal="right"/>
    </xf>
    <xf numFmtId="43" fontId="2" fillId="0" borderId="2" xfId="1" quotePrefix="1" applyNumberFormat="1" applyFont="1" applyBorder="1" applyAlignment="1">
      <alignment horizontal="right"/>
    </xf>
    <xf numFmtId="9" fontId="2" fillId="0" borderId="2" xfId="2" quotePrefix="1" applyFont="1" applyBorder="1" applyAlignment="1">
      <alignment horizontal="right"/>
    </xf>
    <xf numFmtId="0" fontId="0" fillId="0" borderId="0" xfId="0"/>
    <xf numFmtId="0" fontId="2" fillId="0" borderId="0" xfId="0" applyFont="1"/>
    <xf numFmtId="165" fontId="5" fillId="0" borderId="6" xfId="1" applyNumberFormat="1" applyFont="1" applyFill="1" applyBorder="1" applyAlignment="1">
      <alignment horizontal="right"/>
    </xf>
    <xf numFmtId="164" fontId="66" fillId="3" borderId="2" xfId="1" quotePrefix="1" applyNumberFormat="1" applyFont="1" applyFill="1" applyBorder="1" applyAlignment="1">
      <alignment horizontal="right"/>
    </xf>
    <xf numFmtId="164" fontId="66" fillId="3" borderId="11" xfId="1" quotePrefix="1" applyNumberFormat="1" applyFont="1" applyFill="1" applyBorder="1" applyAlignment="1">
      <alignment horizontal="right"/>
    </xf>
    <xf numFmtId="164" fontId="67" fillId="3" borderId="0" xfId="1" quotePrefix="1" applyNumberFormat="1" applyFont="1" applyFill="1" applyBorder="1" applyAlignment="1">
      <alignment horizontal="right"/>
    </xf>
    <xf numFmtId="164" fontId="67" fillId="3" borderId="4" xfId="1" quotePrefix="1" applyNumberFormat="1" applyFont="1" applyFill="1" applyBorder="1" applyAlignment="1">
      <alignment horizontal="right"/>
    </xf>
    <xf numFmtId="164" fontId="3" fillId="0" borderId="3" xfId="1" quotePrefix="1" applyNumberFormat="1" applyFont="1" applyBorder="1" applyAlignment="1">
      <alignment horizontal="right"/>
    </xf>
    <xf numFmtId="164" fontId="11" fillId="0" borderId="0" xfId="1" applyNumberFormat="1" applyFont="1" applyAlignment="1">
      <alignment horizontal="right"/>
    </xf>
    <xf numFmtId="166" fontId="0" fillId="9" borderId="4" xfId="2" applyNumberFormat="1" applyFont="1" applyFill="1" applyBorder="1" applyAlignment="1">
      <alignment horizontal="right"/>
    </xf>
    <xf numFmtId="10" fontId="0" fillId="0" borderId="0" xfId="2" applyNumberFormat="1" applyFont="1" applyAlignment="1">
      <alignment horizontal="right"/>
    </xf>
    <xf numFmtId="10" fontId="0" fillId="0" borderId="0" xfId="1" applyNumberFormat="1" applyFont="1" applyAlignment="1">
      <alignment horizontal="right"/>
    </xf>
    <xf numFmtId="43" fontId="0" fillId="9" borderId="4" xfId="1" applyNumberFormat="1" applyFont="1" applyFill="1" applyBorder="1" applyAlignment="1">
      <alignment horizontal="right"/>
    </xf>
    <xf numFmtId="166" fontId="0" fillId="9" borderId="4" xfId="1" applyNumberFormat="1" applyFont="1" applyFill="1" applyBorder="1" applyAlignment="1">
      <alignment horizontal="right"/>
    </xf>
    <xf numFmtId="0" fontId="0" fillId="0" borderId="3" xfId="0" applyFont="1" applyBorder="1" applyAlignment="1">
      <alignment horizontal="left"/>
    </xf>
    <xf numFmtId="0" fontId="0" fillId="0" borderId="4" xfId="0" applyFont="1" applyBorder="1" applyAlignment="1">
      <alignment horizontal="left"/>
    </xf>
    <xf numFmtId="164" fontId="0" fillId="0" borderId="0" xfId="1" applyNumberFormat="1" applyFont="1" applyFill="1" applyBorder="1" applyAlignment="1">
      <alignment horizontal="right"/>
    </xf>
    <xf numFmtId="165" fontId="0" fillId="0" borderId="0" xfId="1" applyNumberFormat="1" applyFont="1" applyAlignment="1">
      <alignment horizontal="right"/>
    </xf>
    <xf numFmtId="165" fontId="0" fillId="0" borderId="0" xfId="1" applyNumberFormat="1" applyFont="1" applyFill="1" applyAlignment="1">
      <alignment horizontal="right"/>
    </xf>
    <xf numFmtId="7" fontId="2" fillId="0" borderId="13" xfId="1" applyNumberFormat="1" applyFont="1" applyBorder="1" applyAlignment="1">
      <alignment horizontal="right"/>
    </xf>
    <xf numFmtId="7" fontId="2" fillId="0" borderId="4" xfId="1" applyNumberFormat="1" applyFont="1" applyBorder="1" applyAlignment="1">
      <alignment horizontal="right"/>
    </xf>
    <xf numFmtId="0" fontId="0" fillId="0" borderId="0" xfId="0" applyAlignment="1"/>
    <xf numFmtId="226" fontId="0" fillId="0" borderId="4" xfId="2" applyNumberFormat="1" applyFont="1" applyFill="1" applyBorder="1" applyAlignment="1">
      <alignment horizontal="right"/>
    </xf>
    <xf numFmtId="226" fontId="0" fillId="0" borderId="4" xfId="1" applyNumberFormat="1" applyFont="1" applyFill="1" applyBorder="1" applyAlignment="1">
      <alignment horizontal="right"/>
    </xf>
    <xf numFmtId="226" fontId="0" fillId="9" borderId="4" xfId="1" applyNumberFormat="1" applyFont="1" applyFill="1" applyBorder="1" applyAlignment="1">
      <alignment horizontal="right"/>
    </xf>
    <xf numFmtId="9" fontId="0" fillId="0" borderId="0" xfId="2" applyNumberFormat="1" applyFont="1" applyAlignment="1">
      <alignment horizontal="right"/>
    </xf>
    <xf numFmtId="0" fontId="0" fillId="0" borderId="3" xfId="0" applyFont="1" applyFill="1" applyBorder="1" applyAlignment="1">
      <alignment horizontal="left"/>
    </xf>
    <xf numFmtId="0" fontId="0" fillId="0" borderId="0" xfId="0" applyFont="1" applyFill="1" applyBorder="1" applyAlignment="1">
      <alignment horizontal="left"/>
    </xf>
    <xf numFmtId="10" fontId="0" fillId="0" borderId="0" xfId="2" applyNumberFormat="1" applyFont="1" applyFill="1" applyBorder="1" applyAlignment="1">
      <alignment horizontal="right"/>
    </xf>
    <xf numFmtId="165" fontId="8" fillId="0" borderId="0" xfId="1" applyNumberFormat="1" applyFont="1" applyFill="1" applyBorder="1" applyAlignment="1">
      <alignment horizontal="right"/>
    </xf>
    <xf numFmtId="166" fontId="1" fillId="0" borderId="0" xfId="2" quotePrefix="1" applyNumberFormat="1" applyFont="1" applyFill="1" applyBorder="1" applyAlignment="1">
      <alignment horizontal="right"/>
    </xf>
    <xf numFmtId="164" fontId="4" fillId="0" borderId="5" xfId="1" quotePrefix="1" applyNumberFormat="1" applyFont="1" applyFill="1" applyBorder="1" applyAlignment="1">
      <alignment horizontal="right"/>
    </xf>
    <xf numFmtId="165" fontId="4" fillId="0" borderId="3" xfId="1" applyNumberFormat="1" applyFont="1" applyFill="1" applyBorder="1" applyAlignment="1">
      <alignment horizontal="right"/>
    </xf>
    <xf numFmtId="165" fontId="4" fillId="0" borderId="0" xfId="1" applyNumberFormat="1" applyFont="1" applyFill="1" applyBorder="1" applyAlignment="1">
      <alignment horizontal="right"/>
    </xf>
    <xf numFmtId="165" fontId="4" fillId="0" borderId="4" xfId="1" applyNumberFormat="1" applyFont="1" applyFill="1" applyBorder="1" applyAlignment="1">
      <alignment horizontal="right"/>
    </xf>
    <xf numFmtId="165" fontId="4" fillId="0" borderId="5" xfId="1" applyNumberFormat="1" applyFont="1" applyFill="1" applyBorder="1" applyAlignment="1">
      <alignment horizontal="right"/>
    </xf>
    <xf numFmtId="164" fontId="3" fillId="0" borderId="31" xfId="1" quotePrefix="1" applyNumberFormat="1" applyFont="1" applyBorder="1" applyAlignment="1">
      <alignment horizontal="right"/>
    </xf>
    <xf numFmtId="164" fontId="3" fillId="0" borderId="32" xfId="1" quotePrefix="1" applyNumberFormat="1" applyFont="1" applyBorder="1" applyAlignment="1">
      <alignment horizontal="right"/>
    </xf>
    <xf numFmtId="164" fontId="3" fillId="0" borderId="31" xfId="1" quotePrefix="1" applyNumberFormat="1" applyFont="1" applyFill="1" applyBorder="1" applyAlignment="1">
      <alignment horizontal="right"/>
    </xf>
    <xf numFmtId="164" fontId="3" fillId="0" borderId="32" xfId="1" quotePrefix="1" applyNumberFormat="1" applyFont="1" applyFill="1" applyBorder="1" applyAlignment="1">
      <alignment horizontal="right"/>
    </xf>
    <xf numFmtId="166" fontId="0" fillId="0" borderId="31" xfId="2" applyNumberFormat="1" applyFont="1" applyFill="1" applyBorder="1" applyAlignment="1">
      <alignment horizontal="right"/>
    </xf>
    <xf numFmtId="9" fontId="0" fillId="0" borderId="32" xfId="2" applyFont="1" applyFill="1" applyBorder="1" applyAlignment="1">
      <alignment horizontal="right"/>
    </xf>
    <xf numFmtId="5" fontId="2" fillId="0" borderId="11" xfId="1" applyNumberFormat="1" applyFont="1" applyBorder="1" applyAlignment="1">
      <alignment horizontal="right"/>
    </xf>
    <xf numFmtId="5" fontId="9" fillId="0" borderId="4" xfId="1" applyNumberFormat="1" applyFont="1" applyBorder="1" applyAlignment="1">
      <alignment horizontal="right"/>
    </xf>
    <xf numFmtId="164" fontId="0" fillId="0" borderId="5" xfId="1" applyNumberFormat="1" applyFont="1" applyFill="1" applyBorder="1" applyAlignment="1">
      <alignment horizontal="right"/>
    </xf>
    <xf numFmtId="20" fontId="0" fillId="0" borderId="0" xfId="1" applyNumberFormat="1" applyFont="1" applyFill="1" applyAlignment="1">
      <alignment horizontal="right"/>
    </xf>
    <xf numFmtId="43" fontId="4" fillId="9" borderId="4" xfId="1" quotePrefix="1" applyNumberFormat="1" applyFont="1" applyFill="1" applyBorder="1" applyAlignment="1">
      <alignment horizontal="right"/>
    </xf>
    <xf numFmtId="43" fontId="4" fillId="0" borderId="4" xfId="1" applyNumberFormat="1" applyFont="1" applyFill="1" applyBorder="1" applyAlignment="1">
      <alignment horizontal="right"/>
    </xf>
    <xf numFmtId="0" fontId="0" fillId="0" borderId="3" xfId="0" applyFont="1" applyBorder="1" applyAlignment="1">
      <alignment horizontal="left"/>
    </xf>
    <xf numFmtId="0" fontId="0" fillId="0" borderId="0" xfId="0" applyFont="1" applyBorder="1" applyAlignment="1">
      <alignment horizontal="left"/>
    </xf>
    <xf numFmtId="9" fontId="0" fillId="0" borderId="0" xfId="2" applyFont="1" applyAlignment="1">
      <alignment horizontal="right"/>
    </xf>
    <xf numFmtId="227" fontId="0" fillId="0" borderId="0" xfId="0" applyNumberFormat="1" applyFont="1" applyFill="1" applyBorder="1" applyAlignment="1" applyProtection="1"/>
    <xf numFmtId="228" fontId="0" fillId="0" borderId="0" xfId="0" applyNumberFormat="1" applyFont="1" applyFill="1" applyBorder="1" applyAlignment="1" applyProtection="1"/>
    <xf numFmtId="2" fontId="0" fillId="0" borderId="0" xfId="0" applyNumberFormat="1"/>
    <xf numFmtId="0" fontId="0" fillId="0" borderId="3" xfId="0" applyFont="1" applyBorder="1" applyAlignment="1">
      <alignment horizontal="left"/>
    </xf>
    <xf numFmtId="0" fontId="0" fillId="0" borderId="4" xfId="0" applyFont="1" applyBorder="1" applyAlignment="1">
      <alignment horizontal="left"/>
    </xf>
    <xf numFmtId="0" fontId="9" fillId="0" borderId="25" xfId="0" applyFont="1" applyFill="1" applyBorder="1" applyAlignment="1">
      <alignment horizontal="left"/>
    </xf>
    <xf numFmtId="0" fontId="0" fillId="0" borderId="31" xfId="0" applyFont="1" applyFill="1" applyBorder="1" applyAlignment="1">
      <alignment horizontal="left"/>
    </xf>
    <xf numFmtId="0" fontId="0" fillId="0" borderId="6" xfId="0" applyFont="1" applyFill="1" applyBorder="1" applyAlignment="1">
      <alignment horizontal="left"/>
    </xf>
    <xf numFmtId="0" fontId="0" fillId="0" borderId="7" xfId="0" applyFont="1" applyFill="1" applyBorder="1" applyAlignment="1">
      <alignment horizontal="left"/>
    </xf>
    <xf numFmtId="164" fontId="11" fillId="0" borderId="0" xfId="1" applyNumberFormat="1" applyFont="1" applyFill="1" applyAlignment="1">
      <alignment horizontal="right"/>
    </xf>
    <xf numFmtId="167" fontId="0" fillId="0" borderId="0" xfId="1" applyNumberFormat="1" applyFont="1" applyAlignment="1">
      <alignment horizontal="right"/>
    </xf>
    <xf numFmtId="164" fontId="69" fillId="0" borderId="5" xfId="1" quotePrefix="1" applyNumberFormat="1" applyFont="1" applyFill="1" applyBorder="1" applyAlignment="1">
      <alignment horizontal="right"/>
    </xf>
    <xf numFmtId="0" fontId="11" fillId="0" borderId="0" xfId="0" applyFont="1"/>
    <xf numFmtId="164" fontId="11" fillId="0" borderId="0" xfId="1" quotePrefix="1" applyNumberFormat="1" applyFont="1" applyFill="1" applyBorder="1" applyAlignment="1">
      <alignment horizontal="right"/>
    </xf>
    <xf numFmtId="164" fontId="11" fillId="0" borderId="5" xfId="1" quotePrefix="1" applyNumberFormat="1" applyFont="1" applyFill="1" applyBorder="1" applyAlignment="1">
      <alignment horizontal="right"/>
    </xf>
    <xf numFmtId="9" fontId="11" fillId="0" borderId="0" xfId="2" applyFont="1" applyFill="1" applyBorder="1" applyAlignment="1">
      <alignment horizontal="right"/>
    </xf>
    <xf numFmtId="9" fontId="11" fillId="0" borderId="6" xfId="2" applyFont="1" applyFill="1" applyBorder="1" applyAlignment="1">
      <alignment horizontal="right"/>
    </xf>
    <xf numFmtId="0" fontId="0" fillId="0" borderId="3" xfId="0" applyFont="1" applyFill="1" applyBorder="1" applyAlignment="1">
      <alignment horizontal="left"/>
    </xf>
    <xf numFmtId="0" fontId="0" fillId="0" borderId="4" xfId="0" applyFont="1" applyFill="1" applyBorder="1" applyAlignment="1">
      <alignment horizontal="left"/>
    </xf>
    <xf numFmtId="0" fontId="19" fillId="2" borderId="3" xfId="0" applyFont="1" applyFill="1" applyBorder="1" applyAlignment="1">
      <alignment horizontal="left"/>
    </xf>
    <xf numFmtId="0" fontId="19" fillId="2" borderId="0" xfId="0" applyFont="1" applyFill="1" applyBorder="1" applyAlignment="1">
      <alignment horizontal="left"/>
    </xf>
    <xf numFmtId="0" fontId="0" fillId="0" borderId="6" xfId="0" applyFont="1" applyFill="1" applyBorder="1" applyAlignment="1">
      <alignment horizontal="left"/>
    </xf>
    <xf numFmtId="0" fontId="0" fillId="0" borderId="7" xfId="0" applyFont="1" applyFill="1" applyBorder="1" applyAlignment="1">
      <alignment horizontal="left"/>
    </xf>
    <xf numFmtId="0" fontId="0" fillId="0" borderId="3" xfId="0" applyFont="1" applyBorder="1" applyAlignment="1">
      <alignment horizontal="left"/>
    </xf>
    <xf numFmtId="0" fontId="0" fillId="0" borderId="4" xfId="0" applyFont="1" applyBorder="1" applyAlignment="1">
      <alignment horizontal="left"/>
    </xf>
    <xf numFmtId="0" fontId="2" fillId="0" borderId="4" xfId="0" applyFont="1" applyBorder="1" applyAlignment="1">
      <alignment horizontal="left"/>
    </xf>
    <xf numFmtId="0" fontId="0" fillId="0" borderId="3" xfId="0" applyFont="1" applyFill="1" applyBorder="1" applyAlignment="1">
      <alignment horizontal="left"/>
    </xf>
    <xf numFmtId="0" fontId="0" fillId="0" borderId="0" xfId="0" applyFont="1" applyFill="1" applyBorder="1" applyAlignment="1">
      <alignment horizontal="left"/>
    </xf>
    <xf numFmtId="0" fontId="0" fillId="0" borderId="0" xfId="0" applyFont="1" applyBorder="1" applyAlignment="1">
      <alignment horizontal="left"/>
    </xf>
    <xf numFmtId="0" fontId="0" fillId="0" borderId="12" xfId="0" applyFont="1" applyBorder="1" applyAlignment="1">
      <alignment horizontal="left"/>
    </xf>
    <xf numFmtId="0" fontId="0" fillId="0" borderId="13" xfId="0" applyFont="1" applyBorder="1" applyAlignment="1">
      <alignment horizontal="left"/>
    </xf>
    <xf numFmtId="0" fontId="2" fillId="0" borderId="13" xfId="0" applyFont="1" applyBorder="1" applyAlignment="1">
      <alignment horizontal="left"/>
    </xf>
    <xf numFmtId="43" fontId="2" fillId="0" borderId="7" xfId="1" applyNumberFormat="1" applyFont="1" applyFill="1" applyBorder="1" applyAlignment="1">
      <alignment horizontal="right"/>
    </xf>
    <xf numFmtId="43" fontId="1" fillId="0" borderId="7" xfId="1" applyNumberFormat="1" applyFont="1" applyFill="1" applyBorder="1" applyAlignment="1">
      <alignment horizontal="right"/>
    </xf>
    <xf numFmtId="43" fontId="1" fillId="0" borderId="5" xfId="1" applyNumberFormat="1" applyFont="1" applyFill="1" applyBorder="1" applyAlignment="1">
      <alignment horizontal="right"/>
    </xf>
    <xf numFmtId="43" fontId="11" fillId="0" borderId="5" xfId="1" applyNumberFormat="1" applyFont="1" applyFill="1" applyBorder="1" applyAlignment="1">
      <alignment horizontal="right"/>
    </xf>
    <xf numFmtId="43" fontId="11" fillId="0" borderId="3" xfId="1" applyNumberFormat="1" applyFont="1" applyFill="1" applyBorder="1" applyAlignment="1">
      <alignment horizontal="right"/>
    </xf>
    <xf numFmtId="43" fontId="7" fillId="0" borderId="7" xfId="1" applyNumberFormat="1" applyFont="1" applyFill="1" applyBorder="1" applyAlignment="1">
      <alignment horizontal="right"/>
    </xf>
    <xf numFmtId="43" fontId="2" fillId="0" borderId="10" xfId="1" applyNumberFormat="1" applyFont="1" applyFill="1" applyBorder="1" applyAlignment="1">
      <alignment horizontal="right"/>
    </xf>
    <xf numFmtId="43" fontId="1" fillId="0" borderId="10" xfId="1" applyNumberFormat="1" applyFont="1" applyFill="1" applyBorder="1" applyAlignment="1">
      <alignment horizontal="right"/>
    </xf>
    <xf numFmtId="43" fontId="1" fillId="0" borderId="6" xfId="1" applyNumberFormat="1" applyFont="1" applyFill="1" applyBorder="1" applyAlignment="1">
      <alignment horizontal="right"/>
    </xf>
    <xf numFmtId="9" fontId="1" fillId="0" borderId="6" xfId="2" applyFont="1" applyFill="1" applyBorder="1" applyAlignment="1">
      <alignment horizontal="right"/>
    </xf>
    <xf numFmtId="9" fontId="1" fillId="0" borderId="7" xfId="2" applyFont="1" applyFill="1" applyBorder="1" applyAlignment="1">
      <alignment horizontal="right"/>
    </xf>
    <xf numFmtId="9" fontId="1" fillId="0" borderId="10" xfId="2" applyFont="1" applyFill="1" applyBorder="1" applyAlignment="1">
      <alignment horizontal="right"/>
    </xf>
    <xf numFmtId="9" fontId="1" fillId="0" borderId="8" xfId="2" applyFont="1" applyFill="1" applyBorder="1" applyAlignment="1">
      <alignment horizontal="right"/>
    </xf>
    <xf numFmtId="9" fontId="1" fillId="0" borderId="7" xfId="2" applyNumberFormat="1" applyFont="1" applyFill="1" applyBorder="1" applyAlignment="1">
      <alignment horizontal="right"/>
    </xf>
    <xf numFmtId="164" fontId="0" fillId="0" borderId="0" xfId="1" applyNumberFormat="1" applyFont="1" applyFill="1" applyAlignment="1">
      <alignment horizontal="left"/>
    </xf>
    <xf numFmtId="9" fontId="1" fillId="0" borderId="0" xfId="2" quotePrefix="1" applyNumberFormat="1" applyFont="1" applyFill="1" applyBorder="1" applyAlignment="1">
      <alignment horizontal="right"/>
    </xf>
    <xf numFmtId="0" fontId="11" fillId="0" borderId="0" xfId="0" applyFont="1" applyFill="1"/>
    <xf numFmtId="0" fontId="0" fillId="0" borderId="25" xfId="0" applyFont="1" applyFill="1" applyBorder="1" applyAlignment="1">
      <alignment horizontal="left"/>
    </xf>
    <xf numFmtId="165" fontId="1" fillId="0" borderId="31" xfId="1" applyNumberFormat="1" applyFont="1" applyFill="1" applyBorder="1" applyAlignment="1">
      <alignment horizontal="right"/>
    </xf>
    <xf numFmtId="165" fontId="11" fillId="0" borderId="31" xfId="1" applyNumberFormat="1" applyFont="1" applyFill="1" applyBorder="1" applyAlignment="1">
      <alignment horizontal="right"/>
    </xf>
    <xf numFmtId="165" fontId="11" fillId="0" borderId="32" xfId="1" applyNumberFormat="1" applyFont="1" applyFill="1" applyBorder="1" applyAlignment="1">
      <alignment horizontal="right"/>
    </xf>
    <xf numFmtId="9" fontId="11" fillId="0" borderId="31" xfId="2" applyNumberFormat="1" applyFont="1" applyFill="1" applyBorder="1" applyAlignment="1">
      <alignment horizontal="right"/>
    </xf>
    <xf numFmtId="9" fontId="11" fillId="0" borderId="32" xfId="1" applyNumberFormat="1" applyFont="1" applyFill="1" applyBorder="1" applyAlignment="1">
      <alignment horizontal="right"/>
    </xf>
    <xf numFmtId="9" fontId="11" fillId="0" borderId="32" xfId="2" applyNumberFormat="1" applyFont="1" applyFill="1" applyBorder="1" applyAlignment="1">
      <alignment horizontal="right"/>
    </xf>
    <xf numFmtId="0" fontId="0" fillId="0" borderId="12" xfId="0" applyFont="1" applyFill="1" applyBorder="1" applyAlignment="1">
      <alignment horizontal="left"/>
    </xf>
    <xf numFmtId="165" fontId="1" fillId="0" borderId="30" xfId="1" applyNumberFormat="1" applyFont="1" applyFill="1" applyBorder="1" applyAlignment="1">
      <alignment horizontal="right"/>
    </xf>
    <xf numFmtId="165" fontId="11" fillId="0" borderId="30" xfId="1" applyNumberFormat="1" applyFont="1" applyFill="1" applyBorder="1" applyAlignment="1">
      <alignment horizontal="right"/>
    </xf>
    <xf numFmtId="165" fontId="11" fillId="0" borderId="29" xfId="1" applyNumberFormat="1" applyFont="1" applyFill="1" applyBorder="1" applyAlignment="1">
      <alignment horizontal="right"/>
    </xf>
    <xf numFmtId="9" fontId="11" fillId="0" borderId="30" xfId="2" applyNumberFormat="1" applyFont="1" applyFill="1" applyBorder="1" applyAlignment="1">
      <alignment horizontal="right"/>
    </xf>
    <xf numFmtId="9" fontId="11" fillId="0" borderId="29" xfId="1" applyNumberFormat="1" applyFont="1" applyFill="1" applyBorder="1" applyAlignment="1">
      <alignment horizontal="right"/>
    </xf>
    <xf numFmtId="9" fontId="11" fillId="0" borderId="29" xfId="2" applyNumberFormat="1" applyFont="1" applyFill="1" applyBorder="1" applyAlignment="1">
      <alignment horizontal="right"/>
    </xf>
    <xf numFmtId="164" fontId="13" fillId="0" borderId="5" xfId="1" quotePrefix="1" applyNumberFormat="1" applyFont="1" applyFill="1" applyBorder="1" applyAlignment="1">
      <alignment horizontal="right"/>
    </xf>
    <xf numFmtId="164" fontId="13" fillId="0" borderId="29" xfId="1" quotePrefix="1" applyNumberFormat="1" applyFont="1" applyFill="1" applyBorder="1" applyAlignment="1">
      <alignment horizontal="right"/>
    </xf>
    <xf numFmtId="0" fontId="9" fillId="0" borderId="4" xfId="0" applyFont="1" applyFill="1" applyBorder="1" applyAlignment="1">
      <alignment horizontal="left"/>
    </xf>
    <xf numFmtId="164" fontId="1" fillId="0" borderId="3" xfId="1" quotePrefix="1" applyNumberFormat="1" applyFont="1" applyFill="1" applyBorder="1" applyAlignment="1">
      <alignment horizontal="right"/>
    </xf>
    <xf numFmtId="165" fontId="1" fillId="0" borderId="3" xfId="1" quotePrefix="1" applyNumberFormat="1" applyFont="1" applyFill="1" applyBorder="1" applyAlignment="1">
      <alignment horizontal="right"/>
    </xf>
    <xf numFmtId="165" fontId="11" fillId="0" borderId="0" xfId="1" quotePrefix="1" applyNumberFormat="1" applyFont="1" applyFill="1" applyBorder="1" applyAlignment="1">
      <alignment horizontal="right"/>
    </xf>
    <xf numFmtId="165" fontId="11" fillId="0" borderId="5" xfId="1" quotePrefix="1" applyNumberFormat="1" applyFont="1" applyFill="1" applyBorder="1" applyAlignment="1">
      <alignment horizontal="right"/>
    </xf>
    <xf numFmtId="43" fontId="11" fillId="0" borderId="0" xfId="1" quotePrefix="1" applyNumberFormat="1" applyFont="1" applyFill="1" applyBorder="1" applyAlignment="1">
      <alignment horizontal="right"/>
    </xf>
    <xf numFmtId="9" fontId="1" fillId="0" borderId="3" xfId="2" applyFont="1" applyFill="1" applyBorder="1" applyAlignment="1">
      <alignment horizontal="right"/>
    </xf>
    <xf numFmtId="9" fontId="11" fillId="0" borderId="5" xfId="2" applyFont="1" applyFill="1" applyBorder="1" applyAlignment="1">
      <alignment horizontal="right"/>
    </xf>
    <xf numFmtId="165" fontId="69" fillId="0" borderId="0" xfId="1" applyNumberFormat="1" applyFont="1" applyFill="1" applyBorder="1" applyAlignment="1">
      <alignment horizontal="right"/>
    </xf>
    <xf numFmtId="165" fontId="69" fillId="0" borderId="5" xfId="1" applyNumberFormat="1" applyFont="1" applyFill="1" applyBorder="1" applyAlignment="1">
      <alignment horizontal="right"/>
    </xf>
    <xf numFmtId="0" fontId="0" fillId="0" borderId="25" xfId="0" applyFont="1" applyBorder="1" applyAlignment="1">
      <alignment horizontal="left"/>
    </xf>
    <xf numFmtId="0" fontId="0" fillId="0" borderId="26" xfId="0" applyFont="1" applyBorder="1" applyAlignment="1">
      <alignment horizontal="left"/>
    </xf>
    <xf numFmtId="165" fontId="12" fillId="0" borderId="30" xfId="1" applyNumberFormat="1" applyFont="1" applyFill="1" applyBorder="1" applyAlignment="1">
      <alignment horizontal="right"/>
    </xf>
    <xf numFmtId="165" fontId="12" fillId="0" borderId="29" xfId="1" applyNumberFormat="1" applyFont="1" applyFill="1" applyBorder="1" applyAlignment="1">
      <alignment horizontal="right"/>
    </xf>
    <xf numFmtId="43" fontId="8" fillId="0" borderId="0" xfId="1" applyNumberFormat="1" applyFont="1" applyFill="1" applyBorder="1" applyAlignment="1">
      <alignment horizontal="right"/>
    </xf>
    <xf numFmtId="167" fontId="0" fillId="0" borderId="0" xfId="1" applyNumberFormat="1" applyFont="1" applyFill="1"/>
    <xf numFmtId="0" fontId="11" fillId="0" borderId="0" xfId="0" applyFont="1" applyFill="1" applyAlignment="1">
      <alignment horizontal="left"/>
    </xf>
    <xf numFmtId="0" fontId="2" fillId="0" borderId="3" xfId="0" applyFont="1" applyFill="1" applyBorder="1" applyAlignment="1">
      <alignment horizontal="left"/>
    </xf>
    <xf numFmtId="165" fontId="71" fillId="0" borderId="0" xfId="1" applyNumberFormat="1" applyFont="1" applyFill="1" applyBorder="1" applyAlignment="1">
      <alignment horizontal="right"/>
    </xf>
    <xf numFmtId="165" fontId="71" fillId="0" borderId="5" xfId="1" applyNumberFormat="1" applyFont="1" applyFill="1" applyBorder="1" applyAlignment="1">
      <alignment horizontal="right"/>
    </xf>
    <xf numFmtId="0" fontId="70" fillId="0" borderId="3" xfId="0" applyFont="1" applyFill="1" applyBorder="1" applyAlignment="1">
      <alignment horizontal="left"/>
    </xf>
    <xf numFmtId="0" fontId="70" fillId="0" borderId="4" xfId="0" applyFont="1" applyFill="1" applyBorder="1" applyAlignment="1">
      <alignment horizontal="left"/>
    </xf>
    <xf numFmtId="165" fontId="70" fillId="0" borderId="3" xfId="1" applyNumberFormat="1" applyFont="1" applyFill="1" applyBorder="1" applyAlignment="1">
      <alignment horizontal="right"/>
    </xf>
    <xf numFmtId="165" fontId="70" fillId="0" borderId="0" xfId="1" applyNumberFormat="1" applyFont="1" applyFill="1" applyBorder="1" applyAlignment="1">
      <alignment horizontal="right"/>
    </xf>
    <xf numFmtId="165" fontId="70" fillId="0" borderId="4" xfId="1" applyNumberFormat="1" applyFont="1" applyFill="1" applyBorder="1" applyAlignment="1">
      <alignment horizontal="right"/>
    </xf>
    <xf numFmtId="165" fontId="70" fillId="0" borderId="5" xfId="1" applyNumberFormat="1" applyFont="1" applyFill="1" applyBorder="1" applyAlignment="1">
      <alignment horizontal="right"/>
    </xf>
    <xf numFmtId="0" fontId="68" fillId="0" borderId="0" xfId="0" applyFont="1" applyFill="1"/>
    <xf numFmtId="5" fontId="2" fillId="0" borderId="4" xfId="1" applyNumberFormat="1" applyFont="1" applyBorder="1" applyAlignment="1">
      <alignment horizontal="right"/>
    </xf>
    <xf numFmtId="5" fontId="2" fillId="0" borderId="24" xfId="1" applyNumberFormat="1" applyFont="1" applyBorder="1" applyAlignment="1">
      <alignment horizontal="right"/>
    </xf>
    <xf numFmtId="0" fontId="0" fillId="0" borderId="26" xfId="0" applyFont="1" applyFill="1" applyBorder="1" applyAlignment="1">
      <alignment horizontal="left"/>
    </xf>
    <xf numFmtId="0" fontId="0" fillId="0" borderId="13" xfId="0" applyFont="1" applyFill="1" applyBorder="1" applyAlignment="1">
      <alignment horizontal="left"/>
    </xf>
    <xf numFmtId="0" fontId="0" fillId="0" borderId="1" xfId="0" applyFont="1" applyBorder="1"/>
    <xf numFmtId="9" fontId="0" fillId="9" borderId="11" xfId="1" applyNumberFormat="1" applyFont="1" applyFill="1" applyBorder="1" applyAlignment="1">
      <alignment horizontal="right"/>
    </xf>
    <xf numFmtId="9" fontId="0" fillId="9" borderId="4" xfId="2" applyFont="1" applyFill="1" applyBorder="1" applyAlignment="1">
      <alignment horizontal="right"/>
    </xf>
    <xf numFmtId="5" fontId="0" fillId="0" borderId="4" xfId="1" applyNumberFormat="1" applyFont="1" applyFill="1" applyBorder="1" applyAlignment="1">
      <alignment horizontal="right"/>
    </xf>
    <xf numFmtId="0" fontId="0" fillId="0" borderId="12" xfId="0" applyFont="1" applyFill="1" applyBorder="1"/>
    <xf numFmtId="0" fontId="2" fillId="0" borderId="1" xfId="0" applyFont="1" applyFill="1" applyBorder="1" applyAlignment="1">
      <alignment horizontal="left"/>
    </xf>
    <xf numFmtId="0" fontId="2" fillId="0" borderId="23" xfId="0" applyFont="1" applyFill="1" applyBorder="1" applyAlignment="1">
      <alignment horizontal="left"/>
    </xf>
    <xf numFmtId="166" fontId="2" fillId="0" borderId="13" xfId="2" applyNumberFormat="1" applyFont="1" applyBorder="1" applyAlignment="1">
      <alignment horizontal="right"/>
    </xf>
    <xf numFmtId="165" fontId="2" fillId="0" borderId="13" xfId="1" applyNumberFormat="1" applyFont="1" applyBorder="1" applyAlignment="1">
      <alignment horizontal="right"/>
    </xf>
    <xf numFmtId="10" fontId="0" fillId="9" borderId="4" xfId="2" applyNumberFormat="1" applyFont="1" applyFill="1" applyBorder="1" applyAlignment="1">
      <alignment horizontal="right"/>
    </xf>
    <xf numFmtId="164" fontId="0" fillId="0" borderId="0" xfId="1" applyNumberFormat="1" applyFont="1" applyFill="1" applyAlignment="1"/>
    <xf numFmtId="5" fontId="1" fillId="0" borderId="4" xfId="1" applyNumberFormat="1" applyFont="1" applyFill="1" applyBorder="1" applyAlignment="1">
      <alignment horizontal="right"/>
    </xf>
    <xf numFmtId="168" fontId="0" fillId="0" borderId="3" xfId="2" applyNumberFormat="1" applyFont="1" applyFill="1" applyBorder="1" applyAlignment="1">
      <alignment horizontal="right"/>
    </xf>
    <xf numFmtId="168" fontId="0" fillId="0" borderId="3" xfId="1" applyNumberFormat="1" applyFont="1" applyFill="1" applyBorder="1" applyAlignment="1">
      <alignment horizontal="right"/>
    </xf>
    <xf numFmtId="43" fontId="1" fillId="0" borderId="3" xfId="1" quotePrefix="1" applyNumberFormat="1" applyFont="1" applyFill="1" applyBorder="1" applyAlignment="1">
      <alignment horizontal="right"/>
    </xf>
    <xf numFmtId="166" fontId="1" fillId="0" borderId="3" xfId="2" quotePrefix="1" applyNumberFormat="1" applyFont="1" applyFill="1" applyBorder="1" applyAlignment="1">
      <alignment horizontal="right"/>
    </xf>
    <xf numFmtId="9" fontId="1" fillId="0" borderId="3" xfId="2" quotePrefix="1" applyFont="1" applyFill="1" applyBorder="1" applyAlignment="1">
      <alignment horizontal="right"/>
    </xf>
    <xf numFmtId="164" fontId="20" fillId="2" borderId="0" xfId="1" quotePrefix="1" applyNumberFormat="1" applyFont="1" applyFill="1" applyAlignment="1">
      <alignment horizontal="right"/>
    </xf>
    <xf numFmtId="6" fontId="0" fillId="0" borderId="13" xfId="0" applyNumberFormat="1" applyFont="1" applyBorder="1" applyAlignment="1">
      <alignment horizontal="right"/>
    </xf>
    <xf numFmtId="3" fontId="0" fillId="0" borderId="0" xfId="0" applyNumberFormat="1" applyFill="1" applyAlignment="1">
      <alignment horizontal="right" vertical="center"/>
    </xf>
    <xf numFmtId="165" fontId="11" fillId="0" borderId="0" xfId="1" applyNumberFormat="1" applyFont="1" applyFill="1" applyAlignment="1">
      <alignment horizontal="right"/>
    </xf>
    <xf numFmtId="165" fontId="12" fillId="0" borderId="0" xfId="1" applyNumberFormat="1" applyFont="1" applyFill="1" applyAlignment="1">
      <alignment horizontal="right"/>
    </xf>
    <xf numFmtId="165" fontId="13" fillId="0" borderId="0" xfId="1" applyNumberFormat="1" applyFont="1" applyFill="1" applyAlignment="1">
      <alignment horizontal="right"/>
    </xf>
    <xf numFmtId="165" fontId="1" fillId="0" borderId="25" xfId="1" applyNumberFormat="1" applyFont="1" applyFill="1" applyBorder="1" applyAlignment="1">
      <alignment horizontal="right"/>
    </xf>
    <xf numFmtId="165" fontId="1" fillId="0" borderId="26" xfId="1" applyNumberFormat="1" applyFont="1" applyFill="1" applyBorder="1" applyAlignment="1">
      <alignment horizontal="right"/>
    </xf>
    <xf numFmtId="165" fontId="1" fillId="0" borderId="32" xfId="1" applyNumberFormat="1" applyFont="1" applyFill="1" applyBorder="1" applyAlignment="1">
      <alignment horizontal="right"/>
    </xf>
    <xf numFmtId="165" fontId="4" fillId="0" borderId="12" xfId="1" applyNumberFormat="1" applyFont="1" applyFill="1" applyBorder="1" applyAlignment="1">
      <alignment horizontal="right"/>
    </xf>
    <xf numFmtId="165" fontId="4" fillId="0" borderId="30" xfId="1" applyNumberFormat="1" applyFont="1" applyFill="1" applyBorder="1" applyAlignment="1">
      <alignment horizontal="right"/>
    </xf>
    <xf numFmtId="165" fontId="4" fillId="0" borderId="13" xfId="1" applyNumberFormat="1" applyFont="1" applyFill="1" applyBorder="1" applyAlignment="1">
      <alignment horizontal="right"/>
    </xf>
    <xf numFmtId="165" fontId="4" fillId="0" borderId="29" xfId="1" applyNumberFormat="1" applyFont="1" applyFill="1" applyBorder="1" applyAlignment="1">
      <alignment horizontal="right"/>
    </xf>
    <xf numFmtId="165" fontId="3" fillId="0" borderId="3" xfId="1" applyNumberFormat="1" applyFont="1" applyFill="1" applyBorder="1" applyAlignment="1">
      <alignment horizontal="right"/>
    </xf>
    <xf numFmtId="165" fontId="3" fillId="0" borderId="0" xfId="1" applyNumberFormat="1" applyFont="1" applyFill="1" applyBorder="1" applyAlignment="1">
      <alignment horizontal="right"/>
    </xf>
    <xf numFmtId="165" fontId="3" fillId="0" borderId="4" xfId="1" applyNumberFormat="1" applyFont="1" applyFill="1" applyBorder="1" applyAlignment="1">
      <alignment horizontal="right"/>
    </xf>
    <xf numFmtId="165" fontId="3" fillId="0" borderId="5" xfId="1" applyNumberFormat="1" applyFont="1" applyFill="1" applyBorder="1" applyAlignment="1">
      <alignment horizontal="right"/>
    </xf>
    <xf numFmtId="43" fontId="2" fillId="0" borderId="3" xfId="1" applyNumberFormat="1" applyFont="1" applyFill="1" applyBorder="1" applyAlignment="1">
      <alignment horizontal="right"/>
    </xf>
    <xf numFmtId="43" fontId="11" fillId="0" borderId="0" xfId="1" applyFont="1" applyFill="1" applyAlignment="1">
      <alignment horizontal="right"/>
    </xf>
    <xf numFmtId="43" fontId="11" fillId="0" borderId="5" xfId="1" applyFont="1" applyFill="1" applyBorder="1" applyAlignment="1">
      <alignment horizontal="right"/>
    </xf>
    <xf numFmtId="43" fontId="11" fillId="0" borderId="3" xfId="1" applyFont="1" applyFill="1" applyBorder="1" applyAlignment="1">
      <alignment horizontal="right"/>
    </xf>
    <xf numFmtId="43" fontId="11" fillId="0" borderId="0" xfId="1" applyFont="1" applyFill="1" applyBorder="1" applyAlignment="1">
      <alignment horizontal="right"/>
    </xf>
    <xf numFmtId="9" fontId="0" fillId="0" borderId="4" xfId="2" applyFont="1" applyFill="1" applyBorder="1" applyAlignment="1">
      <alignment horizontal="right"/>
    </xf>
    <xf numFmtId="43" fontId="0" fillId="0" borderId="0" xfId="1" applyFont="1" applyFill="1" applyBorder="1" applyAlignment="1">
      <alignment horizontal="right"/>
    </xf>
    <xf numFmtId="9" fontId="0" fillId="0" borderId="7" xfId="2" applyFont="1" applyFill="1" applyBorder="1" applyAlignment="1">
      <alignment horizontal="right"/>
    </xf>
    <xf numFmtId="167" fontId="0" fillId="0" borderId="7" xfId="1" quotePrefix="1" applyNumberFormat="1" applyFont="1" applyFill="1" applyBorder="1" applyAlignment="1">
      <alignment horizontal="right"/>
    </xf>
    <xf numFmtId="9" fontId="0" fillId="0" borderId="8" xfId="2" applyFont="1" applyFill="1" applyBorder="1" applyAlignment="1">
      <alignment horizontal="right"/>
    </xf>
    <xf numFmtId="37" fontId="12" fillId="0" borderId="0" xfId="3" applyNumberFormat="1" applyFont="1" applyFill="1">
      <alignment vertical="top"/>
    </xf>
    <xf numFmtId="165" fontId="2" fillId="0" borderId="10" xfId="1" applyNumberFormat="1" applyFont="1" applyFill="1" applyBorder="1" applyAlignment="1">
      <alignment horizontal="right"/>
    </xf>
    <xf numFmtId="165" fontId="2" fillId="0" borderId="8" xfId="1" applyNumberFormat="1" applyFont="1" applyFill="1" applyBorder="1" applyAlignment="1">
      <alignment horizontal="right"/>
    </xf>
    <xf numFmtId="164" fontId="13" fillId="0" borderId="0" xfId="1" quotePrefix="1" applyNumberFormat="1" applyFont="1" applyFill="1" applyBorder="1" applyAlignment="1">
      <alignment horizontal="right"/>
    </xf>
    <xf numFmtId="9" fontId="11" fillId="0" borderId="0" xfId="2" quotePrefix="1" applyFont="1" applyFill="1" applyBorder="1" applyAlignment="1">
      <alignment horizontal="right"/>
    </xf>
    <xf numFmtId="164" fontId="2" fillId="0" borderId="12" xfId="1" quotePrefix="1" applyNumberFormat="1" applyFont="1" applyFill="1" applyBorder="1" applyAlignment="1">
      <alignment horizontal="right"/>
    </xf>
    <xf numFmtId="164" fontId="13" fillId="0" borderId="30" xfId="1" quotePrefix="1" applyNumberFormat="1" applyFont="1" applyFill="1" applyBorder="1" applyAlignment="1">
      <alignment horizontal="right"/>
    </xf>
    <xf numFmtId="9" fontId="11" fillId="0" borderId="30" xfId="2" quotePrefix="1" applyFont="1" applyFill="1" applyBorder="1" applyAlignment="1">
      <alignment horizontal="right"/>
    </xf>
    <xf numFmtId="164" fontId="3" fillId="0" borderId="3" xfId="1" quotePrefix="1" applyNumberFormat="1" applyFont="1" applyFill="1" applyBorder="1" applyAlignment="1">
      <alignment horizontal="right"/>
    </xf>
    <xf numFmtId="164" fontId="69" fillId="0" borderId="0" xfId="1" quotePrefix="1" applyNumberFormat="1" applyFont="1" applyFill="1" applyBorder="1" applyAlignment="1">
      <alignment horizontal="right"/>
    </xf>
    <xf numFmtId="164" fontId="11" fillId="0" borderId="0" xfId="1" quotePrefix="1" applyNumberFormat="1" applyFont="1" applyFill="1" applyAlignment="1">
      <alignment horizontal="right"/>
    </xf>
    <xf numFmtId="165" fontId="11" fillId="0" borderId="0" xfId="1" quotePrefix="1" applyNumberFormat="1" applyFont="1" applyFill="1" applyAlignment="1">
      <alignment horizontal="right"/>
    </xf>
    <xf numFmtId="9" fontId="11" fillId="0" borderId="31" xfId="1" applyNumberFormat="1" applyFont="1" applyFill="1" applyBorder="1" applyAlignment="1">
      <alignment horizontal="right"/>
    </xf>
    <xf numFmtId="9" fontId="11" fillId="0" borderId="30" xfId="1" applyNumberFormat="1" applyFont="1" applyFill="1" applyBorder="1" applyAlignment="1">
      <alignment horizontal="right"/>
    </xf>
    <xf numFmtId="166" fontId="1" fillId="0" borderId="5" xfId="2" quotePrefix="1" applyNumberFormat="1" applyFont="1" applyFill="1" applyBorder="1" applyAlignment="1">
      <alignment horizontal="right"/>
    </xf>
    <xf numFmtId="9" fontId="1" fillId="0" borderId="5" xfId="2" quotePrefix="1" applyNumberFormat="1" applyFont="1" applyFill="1" applyBorder="1" applyAlignment="1">
      <alignment horizontal="right"/>
    </xf>
    <xf numFmtId="9" fontId="11" fillId="0" borderId="0" xfId="2" applyFont="1" applyFill="1" applyAlignment="1">
      <alignment horizontal="right"/>
    </xf>
    <xf numFmtId="0" fontId="11" fillId="0" borderId="0" xfId="2" applyNumberFormat="1" applyFont="1" applyFill="1" applyBorder="1" applyAlignment="1">
      <alignment horizontal="right"/>
    </xf>
    <xf numFmtId="9" fontId="11" fillId="0" borderId="7" xfId="2" applyFont="1" applyFill="1" applyBorder="1" applyAlignment="1">
      <alignment horizontal="right"/>
    </xf>
    <xf numFmtId="9" fontId="11" fillId="0" borderId="10" xfId="2" applyFont="1" applyFill="1" applyBorder="1" applyAlignment="1">
      <alignment horizontal="right"/>
    </xf>
    <xf numFmtId="9" fontId="11" fillId="0" borderId="8" xfId="2" applyFont="1" applyFill="1" applyBorder="1" applyAlignment="1">
      <alignment horizontal="right"/>
    </xf>
    <xf numFmtId="165" fontId="4" fillId="0" borderId="0" xfId="1" applyNumberFormat="1" applyFont="1" applyFill="1" applyAlignment="1">
      <alignment horizontal="right"/>
    </xf>
    <xf numFmtId="165" fontId="2" fillId="0" borderId="0" xfId="1" applyNumberFormat="1" applyFont="1" applyFill="1" applyAlignment="1">
      <alignment horizontal="right"/>
    </xf>
    <xf numFmtId="165" fontId="1" fillId="0" borderId="3" xfId="1" applyNumberFormat="1" applyFill="1" applyBorder="1" applyAlignment="1">
      <alignment horizontal="right"/>
    </xf>
    <xf numFmtId="165" fontId="1" fillId="0" borderId="0" xfId="1" applyNumberFormat="1" applyFill="1" applyAlignment="1">
      <alignment horizontal="right"/>
    </xf>
    <xf numFmtId="9" fontId="1" fillId="0" borderId="5" xfId="2" applyFont="1" applyFill="1" applyBorder="1" applyAlignment="1">
      <alignment horizontal="right"/>
    </xf>
    <xf numFmtId="9" fontId="1" fillId="0" borderId="3" xfId="2" applyFill="1" applyBorder="1" applyAlignment="1">
      <alignment horizontal="right"/>
    </xf>
    <xf numFmtId="9" fontId="1" fillId="0" borderId="0" xfId="2" applyFill="1" applyAlignment="1">
      <alignment horizontal="right"/>
    </xf>
    <xf numFmtId="9" fontId="1" fillId="0" borderId="0" xfId="2" applyFont="1" applyFill="1" applyBorder="1" applyAlignment="1">
      <alignment horizontal="right"/>
    </xf>
    <xf numFmtId="9" fontId="1" fillId="0" borderId="4" xfId="2" applyFont="1" applyFill="1" applyBorder="1" applyAlignment="1">
      <alignment horizontal="right"/>
    </xf>
    <xf numFmtId="43" fontId="1" fillId="0" borderId="3" xfId="1" applyNumberFormat="1" applyFont="1" applyFill="1" applyBorder="1" applyAlignment="1">
      <alignment horizontal="right"/>
    </xf>
    <xf numFmtId="43" fontId="1" fillId="0" borderId="4" xfId="1" applyNumberFormat="1" applyFont="1" applyFill="1" applyBorder="1" applyAlignment="1">
      <alignment horizontal="right"/>
    </xf>
    <xf numFmtId="43" fontId="1" fillId="0" borderId="6" xfId="1" applyFont="1" applyFill="1" applyBorder="1" applyAlignment="1">
      <alignment horizontal="right"/>
    </xf>
    <xf numFmtId="43" fontId="1" fillId="0" borderId="7" xfId="1" applyFont="1" applyFill="1" applyBorder="1" applyAlignment="1">
      <alignment horizontal="right"/>
    </xf>
    <xf numFmtId="43" fontId="1" fillId="0" borderId="10" xfId="1" applyFont="1" applyFill="1" applyBorder="1" applyAlignment="1">
      <alignment horizontal="right"/>
    </xf>
    <xf numFmtId="43" fontId="1" fillId="0" borderId="8" xfId="1" applyFont="1" applyFill="1" applyBorder="1" applyAlignment="1">
      <alignment horizontal="right"/>
    </xf>
    <xf numFmtId="43" fontId="1" fillId="0" borderId="6" xfId="1" quotePrefix="1" applyNumberFormat="1" applyFont="1" applyFill="1" applyBorder="1" applyAlignment="1">
      <alignment horizontal="right"/>
    </xf>
    <xf numFmtId="0" fontId="0" fillId="0" borderId="3" xfId="0" applyFont="1" applyBorder="1" applyAlignment="1">
      <alignment horizontal="left"/>
    </xf>
    <xf numFmtId="0" fontId="0" fillId="0" borderId="4" xfId="0" applyFont="1" applyBorder="1" applyAlignment="1">
      <alignment horizontal="left"/>
    </xf>
    <xf numFmtId="0" fontId="9" fillId="0" borderId="25" xfId="0" applyFont="1" applyBorder="1" applyAlignment="1">
      <alignment horizontal="left"/>
    </xf>
    <xf numFmtId="0" fontId="9" fillId="0" borderId="26" xfId="0" applyFont="1" applyBorder="1" applyAlignment="1">
      <alignment horizontal="left"/>
    </xf>
    <xf numFmtId="0" fontId="0" fillId="9" borderId="1" xfId="0" applyFont="1" applyFill="1" applyBorder="1" applyAlignment="1">
      <alignment horizontal="left"/>
    </xf>
    <xf numFmtId="0" fontId="0" fillId="9" borderId="11" xfId="0" applyFont="1" applyFill="1" applyBorder="1" applyAlignment="1">
      <alignment horizontal="left"/>
    </xf>
    <xf numFmtId="0" fontId="17" fillId="2" borderId="1" xfId="0" applyFont="1" applyFill="1" applyBorder="1" applyAlignment="1">
      <alignment horizontal="left"/>
    </xf>
    <xf numFmtId="0" fontId="17" fillId="2" borderId="2" xfId="0" applyFont="1" applyFill="1" applyBorder="1" applyAlignment="1">
      <alignment horizontal="left"/>
    </xf>
    <xf numFmtId="0" fontId="19" fillId="2" borderId="3" xfId="0" applyFont="1" applyFill="1" applyBorder="1" applyAlignment="1">
      <alignment horizontal="left"/>
    </xf>
    <xf numFmtId="0" fontId="19" fillId="2" borderId="0" xfId="0" applyFont="1" applyFill="1" applyBorder="1" applyAlignment="1">
      <alignment horizontal="left"/>
    </xf>
    <xf numFmtId="0" fontId="0" fillId="0" borderId="3" xfId="0" applyFont="1" applyFill="1" applyBorder="1" applyAlignment="1">
      <alignment horizontal="left"/>
    </xf>
    <xf numFmtId="0" fontId="0" fillId="0" borderId="0" xfId="0" applyFont="1" applyFill="1" applyBorder="1" applyAlignment="1">
      <alignment horizontal="left"/>
    </xf>
    <xf numFmtId="0" fontId="2" fillId="0" borderId="3" xfId="0" applyFont="1" applyFill="1" applyBorder="1" applyAlignment="1">
      <alignment horizontal="left"/>
    </xf>
    <xf numFmtId="0" fontId="2" fillId="0" borderId="4" xfId="0" applyFont="1" applyFill="1" applyBorder="1" applyAlignment="1">
      <alignment horizontal="left"/>
    </xf>
    <xf numFmtId="0" fontId="0" fillId="0" borderId="4" xfId="0" applyFont="1" applyFill="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0" fillId="0" borderId="6" xfId="0" applyFont="1" applyFill="1" applyBorder="1" applyAlignment="1">
      <alignment horizontal="left"/>
    </xf>
    <xf numFmtId="0" fontId="0" fillId="0" borderId="10" xfId="0" applyFont="1" applyFill="1" applyBorder="1" applyAlignment="1">
      <alignment horizontal="left"/>
    </xf>
    <xf numFmtId="0" fontId="0" fillId="0" borderId="25" xfId="0" applyFont="1" applyBorder="1" applyAlignment="1">
      <alignment horizontal="left"/>
    </xf>
    <xf numFmtId="0" fontId="0" fillId="0" borderId="26" xfId="0" applyFont="1" applyBorder="1" applyAlignment="1">
      <alignment horizontal="left"/>
    </xf>
    <xf numFmtId="0" fontId="9" fillId="0" borderId="25" xfId="0" applyFont="1" applyFill="1" applyBorder="1" applyAlignment="1">
      <alignment horizontal="left"/>
    </xf>
    <xf numFmtId="0" fontId="9" fillId="0" borderId="26" xfId="0" applyFont="1" applyFill="1" applyBorder="1" applyAlignment="1">
      <alignment horizontal="left"/>
    </xf>
    <xf numFmtId="0" fontId="9" fillId="0" borderId="3" xfId="0" applyFont="1" applyBorder="1" applyAlignment="1">
      <alignment horizontal="left"/>
    </xf>
    <xf numFmtId="0" fontId="9" fillId="0" borderId="4"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2" fillId="0" borderId="6" xfId="0" applyFont="1" applyBorder="1" applyAlignment="1">
      <alignment horizontal="left"/>
    </xf>
    <xf numFmtId="0" fontId="2" fillId="0" borderId="10" xfId="0" applyFont="1" applyBorder="1" applyAlignment="1">
      <alignment horizontal="left"/>
    </xf>
    <xf numFmtId="0" fontId="11" fillId="0" borderId="3" xfId="3" applyFont="1" applyBorder="1" applyAlignment="1">
      <alignment horizontal="left" vertical="top"/>
    </xf>
    <xf numFmtId="0" fontId="11" fillId="0" borderId="4" xfId="3" applyFont="1" applyBorder="1" applyAlignment="1">
      <alignment horizontal="left" vertical="top"/>
    </xf>
    <xf numFmtId="0" fontId="11" fillId="0" borderId="3" xfId="3" applyFont="1" applyFill="1" applyBorder="1" applyAlignment="1">
      <alignment horizontal="left" vertical="top"/>
    </xf>
    <xf numFmtId="0" fontId="11" fillId="0" borderId="4" xfId="3" applyFont="1" applyFill="1" applyBorder="1" applyAlignment="1">
      <alignment horizontal="left" vertical="top"/>
    </xf>
    <xf numFmtId="0" fontId="0" fillId="0" borderId="0" xfId="0" applyFont="1" applyBorder="1" applyAlignment="1">
      <alignment horizontal="left"/>
    </xf>
    <xf numFmtId="0" fontId="17" fillId="2" borderId="27" xfId="0" applyFont="1" applyFill="1" applyBorder="1" applyAlignment="1">
      <alignment horizontal="left"/>
    </xf>
    <xf numFmtId="0" fontId="17" fillId="2" borderId="28" xfId="0" applyFont="1" applyFill="1" applyBorder="1" applyAlignment="1">
      <alignment horizontal="left"/>
    </xf>
    <xf numFmtId="0" fontId="0" fillId="0" borderId="6" xfId="0" applyFont="1" applyBorder="1" applyAlignment="1">
      <alignment horizontal="left"/>
    </xf>
    <xf numFmtId="0" fontId="0" fillId="0" borderId="7" xfId="0" applyFont="1" applyBorder="1" applyAlignment="1">
      <alignment horizontal="left"/>
    </xf>
    <xf numFmtId="0" fontId="9" fillId="0" borderId="0" xfId="0" applyFont="1" applyBorder="1" applyAlignment="1">
      <alignment horizontal="left"/>
    </xf>
    <xf numFmtId="0" fontId="0" fillId="0" borderId="2" xfId="0" applyFont="1" applyFill="1" applyBorder="1" applyAlignment="1">
      <alignment horizontal="left"/>
    </xf>
    <xf numFmtId="0" fontId="0" fillId="0" borderId="10" xfId="0" applyFont="1" applyBorder="1" applyAlignment="1">
      <alignment horizontal="left"/>
    </xf>
    <xf numFmtId="0" fontId="17" fillId="2" borderId="11" xfId="0" applyFont="1" applyFill="1" applyBorder="1" applyAlignment="1">
      <alignment horizontal="left"/>
    </xf>
  </cellXfs>
  <cellStyles count="329">
    <cellStyle name="_%(SignOnly)" xfId="6" xr:uid="{00000000-0005-0000-0000-000000000000}"/>
    <cellStyle name="_%(SignSpaceOnly)" xfId="7" xr:uid="{00000000-0005-0000-0000-000001000000}"/>
    <cellStyle name="_Comma" xfId="8" xr:uid="{00000000-0005-0000-0000-000002000000}"/>
    <cellStyle name="_Currency" xfId="9" xr:uid="{00000000-0005-0000-0000-000003000000}"/>
    <cellStyle name="_CurrencySpace" xfId="10" xr:uid="{00000000-0005-0000-0000-000004000000}"/>
    <cellStyle name="_Euro" xfId="11" xr:uid="{00000000-0005-0000-0000-000005000000}"/>
    <cellStyle name="_Heading" xfId="12" xr:uid="{00000000-0005-0000-0000-000006000000}"/>
    <cellStyle name="_Heading_prestemp" xfId="13" xr:uid="{00000000-0005-0000-0000-000007000000}"/>
    <cellStyle name="_Heading_prestemp_1st Qtr PL FY07" xfId="14" xr:uid="{00000000-0005-0000-0000-000008000000}"/>
    <cellStyle name="_Heading_prestemp_Financial Statements" xfId="15" xr:uid="{00000000-0005-0000-0000-000009000000}"/>
    <cellStyle name="_Heading_prestemp_Financial Statementsvs1" xfId="16" xr:uid="{00000000-0005-0000-0000-00000A000000}"/>
    <cellStyle name="_Highlight" xfId="17" xr:uid="{00000000-0005-0000-0000-00000B000000}"/>
    <cellStyle name="_Multiple" xfId="18" xr:uid="{00000000-0005-0000-0000-00000C000000}"/>
    <cellStyle name="_MultipleSpace" xfId="19" xr:uid="{00000000-0005-0000-0000-00000D000000}"/>
    <cellStyle name="_SubHeading" xfId="20" xr:uid="{00000000-0005-0000-0000-00000E000000}"/>
    <cellStyle name="_SubHeading_prestemp" xfId="21" xr:uid="{00000000-0005-0000-0000-00000F000000}"/>
    <cellStyle name="_SubHeading_prestemp_1st Qtr PL FY07" xfId="22" xr:uid="{00000000-0005-0000-0000-000010000000}"/>
    <cellStyle name="_SubHeading_prestemp_Financial Statements" xfId="23" xr:uid="{00000000-0005-0000-0000-000011000000}"/>
    <cellStyle name="_SubHeading_prestemp_Financial Statementsvs1" xfId="24" xr:uid="{00000000-0005-0000-0000-000012000000}"/>
    <cellStyle name="_Table" xfId="25" xr:uid="{00000000-0005-0000-0000-000013000000}"/>
    <cellStyle name="_TableHead" xfId="26" xr:uid="{00000000-0005-0000-0000-000014000000}"/>
    <cellStyle name="_TableRowHead" xfId="27" xr:uid="{00000000-0005-0000-0000-000015000000}"/>
    <cellStyle name="_TableSuperHead" xfId="28" xr:uid="{00000000-0005-0000-0000-000016000000}"/>
    <cellStyle name="=C:\WINNT\SYSTEM32\COMMAND.COM" xfId="29" xr:uid="{00000000-0005-0000-0000-000017000000}"/>
    <cellStyle name="=C:\WINNT\SYSTEM32\COMMAND.COM 2" xfId="30" xr:uid="{00000000-0005-0000-0000-000018000000}"/>
    <cellStyle name="6-0" xfId="31" xr:uid="{00000000-0005-0000-0000-000019000000}"/>
    <cellStyle name="Bold12" xfId="32" xr:uid="{00000000-0005-0000-0000-00001A000000}"/>
    <cellStyle name="BoldItal12" xfId="33" xr:uid="{00000000-0005-0000-0000-00001B000000}"/>
    <cellStyle name="Border" xfId="34" xr:uid="{00000000-0005-0000-0000-00001C000000}"/>
    <cellStyle name="Border 10" xfId="35" xr:uid="{00000000-0005-0000-0000-00001D000000}"/>
    <cellStyle name="Border 11" xfId="36" xr:uid="{00000000-0005-0000-0000-00001E000000}"/>
    <cellStyle name="Border 12" xfId="37" xr:uid="{00000000-0005-0000-0000-00001F000000}"/>
    <cellStyle name="Border 13" xfId="38" xr:uid="{00000000-0005-0000-0000-000020000000}"/>
    <cellStyle name="Border 14" xfId="39" xr:uid="{00000000-0005-0000-0000-000021000000}"/>
    <cellStyle name="Border 15" xfId="40" xr:uid="{00000000-0005-0000-0000-000022000000}"/>
    <cellStyle name="Border 16" xfId="41" xr:uid="{00000000-0005-0000-0000-000023000000}"/>
    <cellStyle name="Border 17" xfId="42" xr:uid="{00000000-0005-0000-0000-000024000000}"/>
    <cellStyle name="Border 18" xfId="43" xr:uid="{00000000-0005-0000-0000-000025000000}"/>
    <cellStyle name="Border 19" xfId="44" xr:uid="{00000000-0005-0000-0000-000026000000}"/>
    <cellStyle name="Border 2" xfId="45" xr:uid="{00000000-0005-0000-0000-000027000000}"/>
    <cellStyle name="Border 20" xfId="46" xr:uid="{00000000-0005-0000-0000-000028000000}"/>
    <cellStyle name="Border 21" xfId="47" xr:uid="{00000000-0005-0000-0000-000029000000}"/>
    <cellStyle name="Border 22" xfId="48" xr:uid="{00000000-0005-0000-0000-00002A000000}"/>
    <cellStyle name="Border 23" xfId="49" xr:uid="{00000000-0005-0000-0000-00002B000000}"/>
    <cellStyle name="Border 24" xfId="50" xr:uid="{00000000-0005-0000-0000-00002C000000}"/>
    <cellStyle name="Border 25" xfId="51" xr:uid="{00000000-0005-0000-0000-00002D000000}"/>
    <cellStyle name="Border 26" xfId="52" xr:uid="{00000000-0005-0000-0000-00002E000000}"/>
    <cellStyle name="Border 27" xfId="53" xr:uid="{00000000-0005-0000-0000-00002F000000}"/>
    <cellStyle name="Border 28" xfId="54" xr:uid="{00000000-0005-0000-0000-000030000000}"/>
    <cellStyle name="Border 29" xfId="55" xr:uid="{00000000-0005-0000-0000-000031000000}"/>
    <cellStyle name="Border 3" xfId="56" xr:uid="{00000000-0005-0000-0000-000032000000}"/>
    <cellStyle name="Border 30" xfId="57" xr:uid="{00000000-0005-0000-0000-000033000000}"/>
    <cellStyle name="Border 31" xfId="58" xr:uid="{00000000-0005-0000-0000-000034000000}"/>
    <cellStyle name="Border 32" xfId="59" xr:uid="{00000000-0005-0000-0000-000035000000}"/>
    <cellStyle name="Border 33" xfId="60" xr:uid="{00000000-0005-0000-0000-000036000000}"/>
    <cellStyle name="Border 34" xfId="61" xr:uid="{00000000-0005-0000-0000-000037000000}"/>
    <cellStyle name="Border 35" xfId="62" xr:uid="{00000000-0005-0000-0000-000038000000}"/>
    <cellStyle name="Border 36" xfId="63" xr:uid="{00000000-0005-0000-0000-000039000000}"/>
    <cellStyle name="Border 37" xfId="64" xr:uid="{00000000-0005-0000-0000-00003A000000}"/>
    <cellStyle name="Border 38" xfId="65" xr:uid="{00000000-0005-0000-0000-00003B000000}"/>
    <cellStyle name="Border 39" xfId="66" xr:uid="{00000000-0005-0000-0000-00003C000000}"/>
    <cellStyle name="Border 4" xfId="67" xr:uid="{00000000-0005-0000-0000-00003D000000}"/>
    <cellStyle name="Border 40" xfId="68" xr:uid="{00000000-0005-0000-0000-00003E000000}"/>
    <cellStyle name="Border 41" xfId="69" xr:uid="{00000000-0005-0000-0000-00003F000000}"/>
    <cellStyle name="Border 42" xfId="70" xr:uid="{00000000-0005-0000-0000-000040000000}"/>
    <cellStyle name="Border 5" xfId="71" xr:uid="{00000000-0005-0000-0000-000041000000}"/>
    <cellStyle name="Border 6" xfId="72" xr:uid="{00000000-0005-0000-0000-000042000000}"/>
    <cellStyle name="Border 7" xfId="73" xr:uid="{00000000-0005-0000-0000-000043000000}"/>
    <cellStyle name="Border 8" xfId="74" xr:uid="{00000000-0005-0000-0000-000044000000}"/>
    <cellStyle name="Border 9" xfId="75" xr:uid="{00000000-0005-0000-0000-000045000000}"/>
    <cellStyle name="Calc Currency (0)" xfId="76" xr:uid="{00000000-0005-0000-0000-000046000000}"/>
    <cellStyle name="Calc Currency (0) 2" xfId="77" xr:uid="{00000000-0005-0000-0000-000047000000}"/>
    <cellStyle name="Calc Currency (2)" xfId="78" xr:uid="{00000000-0005-0000-0000-000048000000}"/>
    <cellStyle name="Calc Currency (2) 2" xfId="79" xr:uid="{00000000-0005-0000-0000-000049000000}"/>
    <cellStyle name="Calc Percent (0)" xfId="80" xr:uid="{00000000-0005-0000-0000-00004A000000}"/>
    <cellStyle name="Calc Percent (0) 2" xfId="81" xr:uid="{00000000-0005-0000-0000-00004B000000}"/>
    <cellStyle name="Calc Percent (1)" xfId="82" xr:uid="{00000000-0005-0000-0000-00004C000000}"/>
    <cellStyle name="Calc Percent (1) 2" xfId="83" xr:uid="{00000000-0005-0000-0000-00004D000000}"/>
    <cellStyle name="Calc Percent (2)" xfId="84" xr:uid="{00000000-0005-0000-0000-00004E000000}"/>
    <cellStyle name="Calc Percent (2) 2" xfId="85" xr:uid="{00000000-0005-0000-0000-00004F000000}"/>
    <cellStyle name="Calc Units (0)" xfId="86" xr:uid="{00000000-0005-0000-0000-000050000000}"/>
    <cellStyle name="Calc Units (0) 2" xfId="87" xr:uid="{00000000-0005-0000-0000-000051000000}"/>
    <cellStyle name="Calc Units (1)" xfId="88" xr:uid="{00000000-0005-0000-0000-000052000000}"/>
    <cellStyle name="Calc Units (1) 2" xfId="89" xr:uid="{00000000-0005-0000-0000-000053000000}"/>
    <cellStyle name="Calc Units (2)" xfId="90" xr:uid="{00000000-0005-0000-0000-000054000000}"/>
    <cellStyle name="Calc Units (2) 2" xfId="91" xr:uid="{00000000-0005-0000-0000-000055000000}"/>
    <cellStyle name="Centered Heading" xfId="92" xr:uid="{00000000-0005-0000-0000-000056000000}"/>
    <cellStyle name="columns" xfId="93" xr:uid="{00000000-0005-0000-0000-000057000000}"/>
    <cellStyle name="Comma" xfId="1" builtinId="3"/>
    <cellStyle name="Comma  - Style1" xfId="94" xr:uid="{00000000-0005-0000-0000-000059000000}"/>
    <cellStyle name="Comma  - Style2" xfId="95" xr:uid="{00000000-0005-0000-0000-00005A000000}"/>
    <cellStyle name="Comma  - Style3" xfId="96" xr:uid="{00000000-0005-0000-0000-00005B000000}"/>
    <cellStyle name="Comma  - Style4" xfId="97" xr:uid="{00000000-0005-0000-0000-00005C000000}"/>
    <cellStyle name="Comma  - Style5" xfId="98" xr:uid="{00000000-0005-0000-0000-00005D000000}"/>
    <cellStyle name="Comma  - Style6" xfId="99" xr:uid="{00000000-0005-0000-0000-00005E000000}"/>
    <cellStyle name="Comma  - Style7" xfId="100" xr:uid="{00000000-0005-0000-0000-00005F000000}"/>
    <cellStyle name="Comma  - Style8" xfId="101" xr:uid="{00000000-0005-0000-0000-000060000000}"/>
    <cellStyle name="comma (0)" xfId="102" xr:uid="{00000000-0005-0000-0000-000061000000}"/>
    <cellStyle name="comma (0) 2" xfId="103" xr:uid="{00000000-0005-0000-0000-000062000000}"/>
    <cellStyle name="comma (0) 2 2" xfId="104" xr:uid="{00000000-0005-0000-0000-000063000000}"/>
    <cellStyle name="comma (0) 3" xfId="105" xr:uid="{00000000-0005-0000-0000-000064000000}"/>
    <cellStyle name="Comma [00]" xfId="106" xr:uid="{00000000-0005-0000-0000-000065000000}"/>
    <cellStyle name="Comma [00] 2" xfId="107" xr:uid="{00000000-0005-0000-0000-000066000000}"/>
    <cellStyle name="Comma 2" xfId="5" xr:uid="{00000000-0005-0000-0000-000067000000}"/>
    <cellStyle name="Comma 2 2" xfId="108" xr:uid="{00000000-0005-0000-0000-000068000000}"/>
    <cellStyle name="Comma 2 2 2" xfId="109" xr:uid="{00000000-0005-0000-0000-000069000000}"/>
    <cellStyle name="Comma 2 3" xfId="110" xr:uid="{00000000-0005-0000-0000-00006A000000}"/>
    <cellStyle name="Comma 2 4" xfId="111" xr:uid="{00000000-0005-0000-0000-00006B000000}"/>
    <cellStyle name="Comma 2 5" xfId="112" xr:uid="{00000000-0005-0000-0000-00006C000000}"/>
    <cellStyle name="Comma 2 6" xfId="113" xr:uid="{00000000-0005-0000-0000-00006D000000}"/>
    <cellStyle name="Comma 3" xfId="114" xr:uid="{00000000-0005-0000-0000-00006E000000}"/>
    <cellStyle name="Comma 3 2" xfId="115" xr:uid="{00000000-0005-0000-0000-00006F000000}"/>
    <cellStyle name="Comma 4" xfId="116" xr:uid="{00000000-0005-0000-0000-000070000000}"/>
    <cellStyle name="Comma 4 2" xfId="117" xr:uid="{00000000-0005-0000-0000-000071000000}"/>
    <cellStyle name="Comma 5" xfId="118" xr:uid="{00000000-0005-0000-0000-000072000000}"/>
    <cellStyle name="Comma 5 2" xfId="119" xr:uid="{00000000-0005-0000-0000-000073000000}"/>
    <cellStyle name="Comma Acctg" xfId="120" xr:uid="{00000000-0005-0000-0000-000074000000}"/>
    <cellStyle name="Comma Acctg 2" xfId="121" xr:uid="{00000000-0005-0000-0000-000075000000}"/>
    <cellStyle name="Comma0" xfId="122" xr:uid="{00000000-0005-0000-0000-000076000000}"/>
    <cellStyle name="Company Name" xfId="123" xr:uid="{00000000-0005-0000-0000-000077000000}"/>
    <cellStyle name="Contracts" xfId="124" xr:uid="{00000000-0005-0000-0000-000078000000}"/>
    <cellStyle name="CR Comma" xfId="125" xr:uid="{00000000-0005-0000-0000-000079000000}"/>
    <cellStyle name="CR Currency" xfId="126" xr:uid="{00000000-0005-0000-0000-00007A000000}"/>
    <cellStyle name="curr" xfId="127" xr:uid="{00000000-0005-0000-0000-00007B000000}"/>
    <cellStyle name="Currency [00]" xfId="128" xr:uid="{00000000-0005-0000-0000-00007C000000}"/>
    <cellStyle name="Currency [00] 2" xfId="129" xr:uid="{00000000-0005-0000-0000-00007D000000}"/>
    <cellStyle name="Currency 2" xfId="130" xr:uid="{00000000-0005-0000-0000-00007E000000}"/>
    <cellStyle name="Currency Acctg" xfId="131" xr:uid="{00000000-0005-0000-0000-00007F000000}"/>
    <cellStyle name="Currency0" xfId="132" xr:uid="{00000000-0005-0000-0000-000080000000}"/>
    <cellStyle name="Data" xfId="133" xr:uid="{00000000-0005-0000-0000-000081000000}"/>
    <cellStyle name="Date" xfId="134" xr:uid="{00000000-0005-0000-0000-000082000000}"/>
    <cellStyle name="Date Short" xfId="135" xr:uid="{00000000-0005-0000-0000-000083000000}"/>
    <cellStyle name="DateJoel" xfId="136" xr:uid="{00000000-0005-0000-0000-000084000000}"/>
    <cellStyle name="debbie" xfId="137" xr:uid="{00000000-0005-0000-0000-000085000000}"/>
    <cellStyle name="Dezimal [0]_laroux" xfId="138" xr:uid="{00000000-0005-0000-0000-000086000000}"/>
    <cellStyle name="Dezimal_laroux" xfId="139" xr:uid="{00000000-0005-0000-0000-000087000000}"/>
    <cellStyle name="Enter Currency (0)" xfId="140" xr:uid="{00000000-0005-0000-0000-000088000000}"/>
    <cellStyle name="Enter Currency (0) 2" xfId="141" xr:uid="{00000000-0005-0000-0000-000089000000}"/>
    <cellStyle name="Enter Currency (2)" xfId="142" xr:uid="{00000000-0005-0000-0000-00008A000000}"/>
    <cellStyle name="Enter Currency (2) 2" xfId="143" xr:uid="{00000000-0005-0000-0000-00008B000000}"/>
    <cellStyle name="Enter Units (0)" xfId="144" xr:uid="{00000000-0005-0000-0000-00008C000000}"/>
    <cellStyle name="Enter Units (0) 2" xfId="145" xr:uid="{00000000-0005-0000-0000-00008D000000}"/>
    <cellStyle name="Enter Units (1)" xfId="146" xr:uid="{00000000-0005-0000-0000-00008E000000}"/>
    <cellStyle name="Enter Units (1) 2" xfId="147" xr:uid="{00000000-0005-0000-0000-00008F000000}"/>
    <cellStyle name="Enter Units (2)" xfId="148" xr:uid="{00000000-0005-0000-0000-000090000000}"/>
    <cellStyle name="Enter Units (2) 2" xfId="149" xr:uid="{00000000-0005-0000-0000-000091000000}"/>
    <cellStyle name="eps" xfId="150" xr:uid="{00000000-0005-0000-0000-000092000000}"/>
    <cellStyle name="Euro" xfId="151" xr:uid="{00000000-0005-0000-0000-000093000000}"/>
    <cellStyle name="Grey" xfId="152" xr:uid="{00000000-0005-0000-0000-000094000000}"/>
    <cellStyle name="Header1" xfId="153" xr:uid="{00000000-0005-0000-0000-000095000000}"/>
    <cellStyle name="Header2" xfId="154" xr:uid="{00000000-0005-0000-0000-000096000000}"/>
    <cellStyle name="Header2 10" xfId="155" xr:uid="{00000000-0005-0000-0000-000097000000}"/>
    <cellStyle name="Header2 11" xfId="156" xr:uid="{00000000-0005-0000-0000-000098000000}"/>
    <cellStyle name="Header2 12" xfId="157" xr:uid="{00000000-0005-0000-0000-000099000000}"/>
    <cellStyle name="Header2 13" xfId="158" xr:uid="{00000000-0005-0000-0000-00009A000000}"/>
    <cellStyle name="Header2 14" xfId="159" xr:uid="{00000000-0005-0000-0000-00009B000000}"/>
    <cellStyle name="Header2 15" xfId="160" xr:uid="{00000000-0005-0000-0000-00009C000000}"/>
    <cellStyle name="Header2 16" xfId="161" xr:uid="{00000000-0005-0000-0000-00009D000000}"/>
    <cellStyle name="Header2 17" xfId="162" xr:uid="{00000000-0005-0000-0000-00009E000000}"/>
    <cellStyle name="Header2 18" xfId="163" xr:uid="{00000000-0005-0000-0000-00009F000000}"/>
    <cellStyle name="Header2 19" xfId="164" xr:uid="{00000000-0005-0000-0000-0000A0000000}"/>
    <cellStyle name="Header2 2" xfId="165" xr:uid="{00000000-0005-0000-0000-0000A1000000}"/>
    <cellStyle name="Header2 20" xfId="166" xr:uid="{00000000-0005-0000-0000-0000A2000000}"/>
    <cellStyle name="Header2 21" xfId="167" xr:uid="{00000000-0005-0000-0000-0000A3000000}"/>
    <cellStyle name="Header2 22" xfId="168" xr:uid="{00000000-0005-0000-0000-0000A4000000}"/>
    <cellStyle name="Header2 23" xfId="169" xr:uid="{00000000-0005-0000-0000-0000A5000000}"/>
    <cellStyle name="Header2 24" xfId="170" xr:uid="{00000000-0005-0000-0000-0000A6000000}"/>
    <cellStyle name="Header2 25" xfId="171" xr:uid="{00000000-0005-0000-0000-0000A7000000}"/>
    <cellStyle name="Header2 26" xfId="172" xr:uid="{00000000-0005-0000-0000-0000A8000000}"/>
    <cellStyle name="Header2 27" xfId="173" xr:uid="{00000000-0005-0000-0000-0000A9000000}"/>
    <cellStyle name="Header2 28" xfId="174" xr:uid="{00000000-0005-0000-0000-0000AA000000}"/>
    <cellStyle name="Header2 29" xfId="175" xr:uid="{00000000-0005-0000-0000-0000AB000000}"/>
    <cellStyle name="Header2 3" xfId="176" xr:uid="{00000000-0005-0000-0000-0000AC000000}"/>
    <cellStyle name="Header2 30" xfId="177" xr:uid="{00000000-0005-0000-0000-0000AD000000}"/>
    <cellStyle name="Header2 31" xfId="178" xr:uid="{00000000-0005-0000-0000-0000AE000000}"/>
    <cellStyle name="Header2 32" xfId="179" xr:uid="{00000000-0005-0000-0000-0000AF000000}"/>
    <cellStyle name="Header2 33" xfId="180" xr:uid="{00000000-0005-0000-0000-0000B0000000}"/>
    <cellStyle name="Header2 34" xfId="181" xr:uid="{00000000-0005-0000-0000-0000B1000000}"/>
    <cellStyle name="Header2 35" xfId="182" xr:uid="{00000000-0005-0000-0000-0000B2000000}"/>
    <cellStyle name="Header2 36" xfId="183" xr:uid="{00000000-0005-0000-0000-0000B3000000}"/>
    <cellStyle name="Header2 37" xfId="184" xr:uid="{00000000-0005-0000-0000-0000B4000000}"/>
    <cellStyle name="Header2 38" xfId="185" xr:uid="{00000000-0005-0000-0000-0000B5000000}"/>
    <cellStyle name="Header2 39" xfId="186" xr:uid="{00000000-0005-0000-0000-0000B6000000}"/>
    <cellStyle name="Header2 4" xfId="187" xr:uid="{00000000-0005-0000-0000-0000B7000000}"/>
    <cellStyle name="Header2 40" xfId="188" xr:uid="{00000000-0005-0000-0000-0000B8000000}"/>
    <cellStyle name="Header2 41" xfId="189" xr:uid="{00000000-0005-0000-0000-0000B9000000}"/>
    <cellStyle name="Header2 42" xfId="190" xr:uid="{00000000-0005-0000-0000-0000BA000000}"/>
    <cellStyle name="Header2 5" xfId="191" xr:uid="{00000000-0005-0000-0000-0000BB000000}"/>
    <cellStyle name="Header2 6" xfId="192" xr:uid="{00000000-0005-0000-0000-0000BC000000}"/>
    <cellStyle name="Header2 7" xfId="193" xr:uid="{00000000-0005-0000-0000-0000BD000000}"/>
    <cellStyle name="Header2 8" xfId="194" xr:uid="{00000000-0005-0000-0000-0000BE000000}"/>
    <cellStyle name="Header2 9" xfId="195" xr:uid="{00000000-0005-0000-0000-0000BF000000}"/>
    <cellStyle name="Heading" xfId="196" xr:uid="{00000000-0005-0000-0000-0000C0000000}"/>
    <cellStyle name="Heading 1 2" xfId="197" xr:uid="{00000000-0005-0000-0000-0000C1000000}"/>
    <cellStyle name="Heading 1 3" xfId="198" xr:uid="{00000000-0005-0000-0000-0000C2000000}"/>
    <cellStyle name="Heading 1 4" xfId="199" xr:uid="{00000000-0005-0000-0000-0000C3000000}"/>
    <cellStyle name="Heading 2 2" xfId="200" xr:uid="{00000000-0005-0000-0000-0000C4000000}"/>
    <cellStyle name="Heading 2 3" xfId="201" xr:uid="{00000000-0005-0000-0000-0000C5000000}"/>
    <cellStyle name="Heading 2 4" xfId="202" xr:uid="{00000000-0005-0000-0000-0000C6000000}"/>
    <cellStyle name="Heading No Underline" xfId="203" xr:uid="{00000000-0005-0000-0000-0000C7000000}"/>
    <cellStyle name="Heading With Underline" xfId="204" xr:uid="{00000000-0005-0000-0000-0000C8000000}"/>
    <cellStyle name="Hyperlink 2" xfId="205" xr:uid="{00000000-0005-0000-0000-0000CA000000}"/>
    <cellStyle name="Hyperlink 2 2" xfId="206" xr:uid="{00000000-0005-0000-0000-0000CB000000}"/>
    <cellStyle name="Hyperlink 2 2 2" xfId="207" xr:uid="{00000000-0005-0000-0000-0000CC000000}"/>
    <cellStyle name="Hyperlink 3" xfId="208" xr:uid="{00000000-0005-0000-0000-0000CD000000}"/>
    <cellStyle name="Hyperlink 4" xfId="209" xr:uid="{00000000-0005-0000-0000-0000CE000000}"/>
    <cellStyle name="Input [yellow]" xfId="210" xr:uid="{00000000-0005-0000-0000-0000CF000000}"/>
    <cellStyle name="Link Currency (0)" xfId="211" xr:uid="{00000000-0005-0000-0000-0000D0000000}"/>
    <cellStyle name="Link Currency (0) 2" xfId="212" xr:uid="{00000000-0005-0000-0000-0000D1000000}"/>
    <cellStyle name="Link Currency (2)" xfId="213" xr:uid="{00000000-0005-0000-0000-0000D2000000}"/>
    <cellStyle name="Link Currency (2) 2" xfId="214" xr:uid="{00000000-0005-0000-0000-0000D3000000}"/>
    <cellStyle name="Link Units (0)" xfId="215" xr:uid="{00000000-0005-0000-0000-0000D4000000}"/>
    <cellStyle name="Link Units (0) 2" xfId="216" xr:uid="{00000000-0005-0000-0000-0000D5000000}"/>
    <cellStyle name="Link Units (1)" xfId="217" xr:uid="{00000000-0005-0000-0000-0000D6000000}"/>
    <cellStyle name="Link Units (1) 2" xfId="218" xr:uid="{00000000-0005-0000-0000-0000D7000000}"/>
    <cellStyle name="Link Units (2)" xfId="219" xr:uid="{00000000-0005-0000-0000-0000D8000000}"/>
    <cellStyle name="Link Units (2) 2" xfId="220" xr:uid="{00000000-0005-0000-0000-0000D9000000}"/>
    <cellStyle name="Millares [0]_pldt" xfId="221" xr:uid="{00000000-0005-0000-0000-0000DA000000}"/>
    <cellStyle name="Millares_pldt" xfId="222" xr:uid="{00000000-0005-0000-0000-0000DB000000}"/>
    <cellStyle name="Milliers [0]_AR1194" xfId="223" xr:uid="{00000000-0005-0000-0000-0000DC000000}"/>
    <cellStyle name="Milliers_AR1194" xfId="224" xr:uid="{00000000-0005-0000-0000-0000DD000000}"/>
    <cellStyle name="Moneda [0]_pldt" xfId="225" xr:uid="{00000000-0005-0000-0000-0000DE000000}"/>
    <cellStyle name="Moneda_pldt" xfId="226" xr:uid="{00000000-0005-0000-0000-0000DF000000}"/>
    <cellStyle name="Monétaire [0]_AR1194" xfId="227" xr:uid="{00000000-0005-0000-0000-0000E0000000}"/>
    <cellStyle name="Monétaire_AR1194" xfId="228" xr:uid="{00000000-0005-0000-0000-0000E1000000}"/>
    <cellStyle name="negativ" xfId="229" xr:uid="{00000000-0005-0000-0000-0000E2000000}"/>
    <cellStyle name="no dec" xfId="230" xr:uid="{00000000-0005-0000-0000-0000E3000000}"/>
    <cellStyle name="nodollars" xfId="231" xr:uid="{00000000-0005-0000-0000-0000E4000000}"/>
    <cellStyle name="nodollars 2" xfId="232" xr:uid="{00000000-0005-0000-0000-0000E5000000}"/>
    <cellStyle name="Normal" xfId="0" builtinId="0"/>
    <cellStyle name="Normal - Style1" xfId="233" xr:uid="{00000000-0005-0000-0000-0000E7000000}"/>
    <cellStyle name="Normal - Style1 2" xfId="234" xr:uid="{00000000-0005-0000-0000-0000E8000000}"/>
    <cellStyle name="Normal - Style2" xfId="235" xr:uid="{00000000-0005-0000-0000-0000E9000000}"/>
    <cellStyle name="Normal - Style3" xfId="236" xr:uid="{00000000-0005-0000-0000-0000EA000000}"/>
    <cellStyle name="Normal - Style4" xfId="237" xr:uid="{00000000-0005-0000-0000-0000EB000000}"/>
    <cellStyle name="Normal - Style5" xfId="238" xr:uid="{00000000-0005-0000-0000-0000EC000000}"/>
    <cellStyle name="Normal 10" xfId="239" xr:uid="{00000000-0005-0000-0000-0000ED000000}"/>
    <cellStyle name="Normal 2" xfId="3" xr:uid="{00000000-0005-0000-0000-0000EE000000}"/>
    <cellStyle name="Normal 2 2" xfId="240" xr:uid="{00000000-0005-0000-0000-0000EF000000}"/>
    <cellStyle name="Normal 2 2 2" xfId="241" xr:uid="{00000000-0005-0000-0000-0000F0000000}"/>
    <cellStyle name="Normal 2 3" xfId="242" xr:uid="{00000000-0005-0000-0000-0000F1000000}"/>
    <cellStyle name="Normal 2 3 2" xfId="243" xr:uid="{00000000-0005-0000-0000-0000F2000000}"/>
    <cellStyle name="Normal 2 4" xfId="244" xr:uid="{00000000-0005-0000-0000-0000F3000000}"/>
    <cellStyle name="Normal 2 5" xfId="245" xr:uid="{00000000-0005-0000-0000-0000F4000000}"/>
    <cellStyle name="Normal 2 6" xfId="246" xr:uid="{00000000-0005-0000-0000-0000F5000000}"/>
    <cellStyle name="Normal 2 7" xfId="247" xr:uid="{00000000-0005-0000-0000-0000F6000000}"/>
    <cellStyle name="Normal 2 8" xfId="248" xr:uid="{00000000-0005-0000-0000-0000F7000000}"/>
    <cellStyle name="Normal 3" xfId="4" xr:uid="{00000000-0005-0000-0000-0000F8000000}"/>
    <cellStyle name="Normal 3 2" xfId="249" xr:uid="{00000000-0005-0000-0000-0000F9000000}"/>
    <cellStyle name="Normal 3 3" xfId="250" xr:uid="{00000000-0005-0000-0000-0000FA000000}"/>
    <cellStyle name="Normal 3 4" xfId="251" xr:uid="{00000000-0005-0000-0000-0000FB000000}"/>
    <cellStyle name="Normal 4" xfId="252" xr:uid="{00000000-0005-0000-0000-0000FC000000}"/>
    <cellStyle name="Normal 5" xfId="253" xr:uid="{00000000-0005-0000-0000-0000FD000000}"/>
    <cellStyle name="Normal 5 2" xfId="254" xr:uid="{00000000-0005-0000-0000-0000FE000000}"/>
    <cellStyle name="Normal 6" xfId="255" xr:uid="{00000000-0005-0000-0000-0000FF000000}"/>
    <cellStyle name="Normal 6 2" xfId="256" xr:uid="{00000000-0005-0000-0000-000000010000}"/>
    <cellStyle name="Normal 6 3" xfId="257" xr:uid="{00000000-0005-0000-0000-000001010000}"/>
    <cellStyle name="Normal 7" xfId="258" xr:uid="{00000000-0005-0000-0000-000002010000}"/>
    <cellStyle name="Normal 7 2" xfId="259" xr:uid="{00000000-0005-0000-0000-000003010000}"/>
    <cellStyle name="Normal 8" xfId="260" xr:uid="{00000000-0005-0000-0000-000004010000}"/>
    <cellStyle name="Normal 8 2" xfId="261" xr:uid="{00000000-0005-0000-0000-000005010000}"/>
    <cellStyle name="Normal 8 3" xfId="262" xr:uid="{00000000-0005-0000-0000-000006010000}"/>
    <cellStyle name="Normal 9" xfId="263" xr:uid="{00000000-0005-0000-0000-000007010000}"/>
    <cellStyle name="Number0DecimalStyle" xfId="264" xr:uid="{00000000-0005-0000-0000-000008010000}"/>
    <cellStyle name="Number0DecimalStyle 2" xfId="265" xr:uid="{00000000-0005-0000-0000-000009010000}"/>
    <cellStyle name="Number10DecimalStyle" xfId="266" xr:uid="{00000000-0005-0000-0000-00000A010000}"/>
    <cellStyle name="Number1DecimalStyle" xfId="267" xr:uid="{00000000-0005-0000-0000-00000B010000}"/>
    <cellStyle name="Number2DecimalStyle" xfId="268" xr:uid="{00000000-0005-0000-0000-00000C010000}"/>
    <cellStyle name="Number2DecimalStyle 2" xfId="269" xr:uid="{00000000-0005-0000-0000-00000D010000}"/>
    <cellStyle name="Number3DecimalStyle" xfId="270" xr:uid="{00000000-0005-0000-0000-00000E010000}"/>
    <cellStyle name="Number4DecimalStyle" xfId="271" xr:uid="{00000000-0005-0000-0000-00000F010000}"/>
    <cellStyle name="Number5DecimalStyle" xfId="272" xr:uid="{00000000-0005-0000-0000-000010010000}"/>
    <cellStyle name="Number6DecimalStyle" xfId="273" xr:uid="{00000000-0005-0000-0000-000011010000}"/>
    <cellStyle name="Number7DecimalStyle" xfId="274" xr:uid="{00000000-0005-0000-0000-000012010000}"/>
    <cellStyle name="Number8DecimalStyle" xfId="275" xr:uid="{00000000-0005-0000-0000-000013010000}"/>
    <cellStyle name="Number9DecimalStyle" xfId="276" xr:uid="{00000000-0005-0000-0000-000014010000}"/>
    <cellStyle name="over" xfId="277" xr:uid="{00000000-0005-0000-0000-000015010000}"/>
    <cellStyle name="Percent" xfId="2" builtinId="5"/>
    <cellStyle name="percent (0)" xfId="278" xr:uid="{00000000-0005-0000-0000-000017010000}"/>
    <cellStyle name="Percent [0]" xfId="279" xr:uid="{00000000-0005-0000-0000-000018010000}"/>
    <cellStyle name="Percent [0] 2" xfId="280" xr:uid="{00000000-0005-0000-0000-000019010000}"/>
    <cellStyle name="Percent [00]" xfId="281" xr:uid="{00000000-0005-0000-0000-00001A010000}"/>
    <cellStyle name="Percent [00] 2" xfId="282" xr:uid="{00000000-0005-0000-0000-00001B010000}"/>
    <cellStyle name="Percent [2]" xfId="283" xr:uid="{00000000-0005-0000-0000-00001C010000}"/>
    <cellStyle name="Percent 10" xfId="284" xr:uid="{00000000-0005-0000-0000-00001D010000}"/>
    <cellStyle name="Percent 2" xfId="285" xr:uid="{00000000-0005-0000-0000-00001E010000}"/>
    <cellStyle name="Percent 2 2" xfId="286" xr:uid="{00000000-0005-0000-0000-00001F010000}"/>
    <cellStyle name="Percent 2 3" xfId="287" xr:uid="{00000000-0005-0000-0000-000020010000}"/>
    <cellStyle name="Percent 2 4" xfId="288" xr:uid="{00000000-0005-0000-0000-000021010000}"/>
    <cellStyle name="Percent 3" xfId="289" xr:uid="{00000000-0005-0000-0000-000022010000}"/>
    <cellStyle name="Percent 3 2" xfId="290" xr:uid="{00000000-0005-0000-0000-000023010000}"/>
    <cellStyle name="Percent 4" xfId="291" xr:uid="{00000000-0005-0000-0000-000024010000}"/>
    <cellStyle name="Percent 6" xfId="292" xr:uid="{00000000-0005-0000-0000-000025010000}"/>
    <cellStyle name="PERCENTAGE" xfId="293" xr:uid="{00000000-0005-0000-0000-000026010000}"/>
    <cellStyle name="posit" xfId="294" xr:uid="{00000000-0005-0000-0000-000027010000}"/>
    <cellStyle name="Powerpoint Style" xfId="295" xr:uid="{00000000-0005-0000-0000-000028010000}"/>
    <cellStyle name="PrePop Currency (0)" xfId="296" xr:uid="{00000000-0005-0000-0000-000029010000}"/>
    <cellStyle name="PrePop Currency (0) 2" xfId="297" xr:uid="{00000000-0005-0000-0000-00002A010000}"/>
    <cellStyle name="PrePop Currency (2)" xfId="298" xr:uid="{00000000-0005-0000-0000-00002B010000}"/>
    <cellStyle name="PrePop Currency (2) 2" xfId="299" xr:uid="{00000000-0005-0000-0000-00002C010000}"/>
    <cellStyle name="PrePop Units (0)" xfId="300" xr:uid="{00000000-0005-0000-0000-00002D010000}"/>
    <cellStyle name="PrePop Units (0) 2" xfId="301" xr:uid="{00000000-0005-0000-0000-00002E010000}"/>
    <cellStyle name="PrePop Units (1)" xfId="302" xr:uid="{00000000-0005-0000-0000-00002F010000}"/>
    <cellStyle name="PrePop Units (1) 2" xfId="303" xr:uid="{00000000-0005-0000-0000-000030010000}"/>
    <cellStyle name="PrePop Units (2)" xfId="304" xr:uid="{00000000-0005-0000-0000-000031010000}"/>
    <cellStyle name="PrePop Units (2) 2" xfId="305" xr:uid="{00000000-0005-0000-0000-000032010000}"/>
    <cellStyle name="SingleTopDoubleBott" xfId="306" xr:uid="{00000000-0005-0000-0000-000033010000}"/>
    <cellStyle name="Standard_A" xfId="307" xr:uid="{00000000-0005-0000-0000-000034010000}"/>
    <cellStyle name="Style 1" xfId="308" xr:uid="{00000000-0005-0000-0000-000035010000}"/>
    <cellStyle name="Style 2" xfId="309" xr:uid="{00000000-0005-0000-0000-000036010000}"/>
    <cellStyle name="Style 3" xfId="310" xr:uid="{00000000-0005-0000-0000-000037010000}"/>
    <cellStyle name="Style 4" xfId="311" xr:uid="{00000000-0005-0000-0000-000038010000}"/>
    <cellStyle name="Text Indent A" xfId="312" xr:uid="{00000000-0005-0000-0000-000039010000}"/>
    <cellStyle name="Text Indent B" xfId="313" xr:uid="{00000000-0005-0000-0000-00003A010000}"/>
    <cellStyle name="Text Indent B 2" xfId="314" xr:uid="{00000000-0005-0000-0000-00003B010000}"/>
    <cellStyle name="Text Indent C" xfId="315" xr:uid="{00000000-0005-0000-0000-00003C010000}"/>
    <cellStyle name="Text Indent C 2" xfId="316" xr:uid="{00000000-0005-0000-0000-00003D010000}"/>
    <cellStyle name="TextStyle" xfId="317" xr:uid="{00000000-0005-0000-0000-00003E010000}"/>
    <cellStyle name="Tickmark" xfId="318" xr:uid="{00000000-0005-0000-0000-00003F010000}"/>
    <cellStyle name="TimStyle" xfId="319" xr:uid="{00000000-0005-0000-0000-000040010000}"/>
    <cellStyle name="Total 2" xfId="320" xr:uid="{00000000-0005-0000-0000-000041010000}"/>
    <cellStyle name="Total 3" xfId="321" xr:uid="{00000000-0005-0000-0000-000042010000}"/>
    <cellStyle name="Total 4" xfId="322" xr:uid="{00000000-0005-0000-0000-000043010000}"/>
    <cellStyle name="Underline" xfId="323" xr:uid="{00000000-0005-0000-0000-000044010000}"/>
    <cellStyle name="UnderlineDouble" xfId="324" xr:uid="{00000000-0005-0000-0000-000045010000}"/>
    <cellStyle name="Währung [0]_RESULTS" xfId="325" xr:uid="{00000000-0005-0000-0000-000046010000}"/>
    <cellStyle name="Währung_RESULTS" xfId="326" xr:uid="{00000000-0005-0000-0000-000047010000}"/>
    <cellStyle name="표준_BINV" xfId="327" xr:uid="{00000000-0005-0000-0000-000048010000}"/>
    <cellStyle name="標準_99B-05PE_IC2" xfId="328" xr:uid="{00000000-0005-0000-0000-000049010000}"/>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97B1-40DA-AF65-A59B5A4F6F80}"/>
            </c:ext>
          </c:extLst>
        </c:ser>
        <c:dLbls>
          <c:showLegendKey val="0"/>
          <c:showVal val="0"/>
          <c:showCatName val="0"/>
          <c:showSerName val="0"/>
          <c:showPercent val="0"/>
          <c:showBubbleSize val="0"/>
        </c:dLbls>
        <c:smooth val="0"/>
        <c:axId val="83449728"/>
        <c:axId val="132637440"/>
      </c:lineChart>
      <c:catAx>
        <c:axId val="83449728"/>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32637440"/>
        <c:crosses val="autoZero"/>
        <c:auto val="1"/>
        <c:lblAlgn val="ctr"/>
        <c:lblOffset val="100"/>
        <c:tickLblSkip val="7"/>
        <c:noMultiLvlLbl val="1"/>
      </c:catAx>
      <c:valAx>
        <c:axId val="132637440"/>
        <c:scaling>
          <c:orientation val="minMax"/>
        </c:scaling>
        <c:delete val="0"/>
        <c:axPos val="l"/>
        <c:majorGridlines/>
        <c:numFmt formatCode="0.0\x" sourceLinked="0"/>
        <c:majorTickMark val="out"/>
        <c:minorTickMark val="none"/>
        <c:tickLblPos val="nextTo"/>
        <c:crossAx val="834497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91A1-432C-9629-C0B8399F17B9}"/>
            </c:ext>
          </c:extLst>
        </c:ser>
        <c:dLbls>
          <c:showLegendKey val="0"/>
          <c:showVal val="0"/>
          <c:showCatName val="0"/>
          <c:showSerName val="0"/>
          <c:showPercent val="0"/>
          <c:showBubbleSize val="0"/>
        </c:dLbls>
        <c:smooth val="0"/>
        <c:axId val="142949760"/>
        <c:axId val="142967936"/>
      </c:lineChart>
      <c:catAx>
        <c:axId val="142949760"/>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42967936"/>
        <c:crosses val="autoZero"/>
        <c:auto val="1"/>
        <c:lblAlgn val="ctr"/>
        <c:lblOffset val="100"/>
        <c:tickLblSkip val="7"/>
        <c:noMultiLvlLbl val="1"/>
      </c:catAx>
      <c:valAx>
        <c:axId val="142967936"/>
        <c:scaling>
          <c:orientation val="minMax"/>
        </c:scaling>
        <c:delete val="0"/>
        <c:axPos val="l"/>
        <c:majorGridlines/>
        <c:numFmt formatCode="0.0\x" sourceLinked="0"/>
        <c:majorTickMark val="out"/>
        <c:minorTickMark val="none"/>
        <c:tickLblPos val="nextTo"/>
        <c:crossAx val="14294976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A3B3-4E7E-8C1B-5EC41782F9D8}"/>
            </c:ext>
          </c:extLst>
        </c:ser>
        <c:dLbls>
          <c:showLegendKey val="0"/>
          <c:showVal val="0"/>
          <c:showCatName val="0"/>
          <c:showSerName val="0"/>
          <c:showPercent val="0"/>
          <c:showBubbleSize val="0"/>
        </c:dLbls>
        <c:smooth val="0"/>
        <c:axId val="142977664"/>
        <c:axId val="142983552"/>
      </c:lineChart>
      <c:catAx>
        <c:axId val="142977664"/>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42983552"/>
        <c:crosses val="autoZero"/>
        <c:auto val="1"/>
        <c:lblAlgn val="ctr"/>
        <c:lblOffset val="100"/>
        <c:tickLblSkip val="7"/>
        <c:noMultiLvlLbl val="1"/>
      </c:catAx>
      <c:valAx>
        <c:axId val="142983552"/>
        <c:scaling>
          <c:orientation val="minMax"/>
        </c:scaling>
        <c:delete val="0"/>
        <c:axPos val="l"/>
        <c:majorGridlines/>
        <c:numFmt formatCode="0.0\x" sourceLinked="0"/>
        <c:majorTickMark val="out"/>
        <c:minorTickMark val="none"/>
        <c:tickLblPos val="nextTo"/>
        <c:crossAx val="14297766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6-month Price Earnings Trend</a:t>
            </a:r>
          </a:p>
        </c:rich>
      </c:tx>
      <c:overlay val="0"/>
    </c:title>
    <c:autoTitleDeleted val="0"/>
    <c:plotArea>
      <c:layout/>
      <c:lineChart>
        <c:grouping val="standard"/>
        <c:varyColors val="0"/>
        <c:ser>
          <c:idx val="1"/>
          <c:order val="0"/>
          <c:spPr>
            <a:ln>
              <a:solidFill>
                <a:schemeClr val="accent1"/>
              </a:solidFill>
            </a:ln>
          </c:spPr>
          <c:marker>
            <c:symbol val="none"/>
          </c:marker>
          <c:val>
            <c:numRef>
              <c:f>MU!#REF!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MU!#REF!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MU!#REF!</c15:sqref>
                        </c15:formulaRef>
                      </c:ext>
                    </c:extLst>
                  </c:multiLvlStrRef>
                </c15:cat>
              </c15:filteredCategoryTitle>
            </c:ext>
            <c:ext xmlns:c16="http://schemas.microsoft.com/office/drawing/2014/chart" uri="{C3380CC4-5D6E-409C-BE32-E72D297353CC}">
              <c16:uniqueId val="{00000000-358D-4E3E-9B28-09F3A256DAA2}"/>
            </c:ext>
          </c:extLst>
        </c:ser>
        <c:dLbls>
          <c:showLegendKey val="0"/>
          <c:showVal val="0"/>
          <c:showCatName val="0"/>
          <c:showSerName val="0"/>
          <c:showPercent val="0"/>
          <c:showBubbleSize val="0"/>
        </c:dLbls>
        <c:smooth val="0"/>
        <c:axId val="145511168"/>
        <c:axId val="145512704"/>
      </c:lineChart>
      <c:catAx>
        <c:axId val="145511168"/>
        <c:scaling>
          <c:orientation val="minMax"/>
          <c:min val="41746"/>
        </c:scaling>
        <c:delete val="0"/>
        <c:axPos val="b"/>
        <c:numFmt formatCode="m/d/yyyy" sourceLinked="1"/>
        <c:majorTickMark val="out"/>
        <c:minorTickMark val="none"/>
        <c:tickLblPos val="nextTo"/>
        <c:txPr>
          <a:bodyPr rot="-5400000" vert="horz"/>
          <a:lstStyle/>
          <a:p>
            <a:pPr>
              <a:defRPr/>
            </a:pPr>
            <a:endParaRPr lang="en-US"/>
          </a:p>
        </c:txPr>
        <c:crossAx val="145512704"/>
        <c:crosses val="autoZero"/>
        <c:auto val="1"/>
        <c:lblAlgn val="ctr"/>
        <c:lblOffset val="100"/>
        <c:tickLblSkip val="7"/>
        <c:noMultiLvlLbl val="1"/>
      </c:catAx>
      <c:valAx>
        <c:axId val="145512704"/>
        <c:scaling>
          <c:orientation val="minMax"/>
        </c:scaling>
        <c:delete val="0"/>
        <c:axPos val="l"/>
        <c:majorGridlines/>
        <c:numFmt formatCode="0.0\x" sourceLinked="0"/>
        <c:majorTickMark val="out"/>
        <c:minorTickMark val="none"/>
        <c:tickLblPos val="nextTo"/>
        <c:crossAx val="14551116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236802</xdr:colOff>
      <xdr:row>51</xdr:row>
      <xdr:rowOff>0</xdr:rowOff>
    </xdr:from>
    <xdr:to>
      <xdr:col>31</xdr:col>
      <xdr:colOff>718343</xdr:colOff>
      <xdr:row>51</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236802</xdr:colOff>
      <xdr:row>108</xdr:row>
      <xdr:rowOff>0</xdr:rowOff>
    </xdr:from>
    <xdr:to>
      <xdr:col>31</xdr:col>
      <xdr:colOff>718343</xdr:colOff>
      <xdr:row>108</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236802</xdr:colOff>
      <xdr:row>163</xdr:row>
      <xdr:rowOff>0</xdr:rowOff>
    </xdr:from>
    <xdr:to>
      <xdr:col>31</xdr:col>
      <xdr:colOff>718343</xdr:colOff>
      <xdr:row>163</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236802</xdr:colOff>
      <xdr:row>88</xdr:row>
      <xdr:rowOff>0</xdr:rowOff>
    </xdr:from>
    <xdr:to>
      <xdr:col>31</xdr:col>
      <xdr:colOff>718343</xdr:colOff>
      <xdr:row>88</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M215"/>
  <sheetViews>
    <sheetView showGridLines="0" tabSelected="1" topLeftCell="A43" zoomScale="60" zoomScaleNormal="60" workbookViewId="0">
      <selection activeCell="C192" sqref="C192"/>
    </sheetView>
  </sheetViews>
  <sheetFormatPr defaultRowHeight="14.4" outlineLevelRow="1" outlineLevelCol="1" x14ac:dyDescent="0.3"/>
  <cols>
    <col min="1" max="1" width="1.6640625" customWidth="1"/>
    <col min="2" max="2" width="32.6640625" customWidth="1"/>
    <col min="3" max="3" width="17.88671875" style="33" customWidth="1"/>
    <col min="4" max="27" width="11.5546875" style="1" hidden="1" customWidth="1" outlineLevel="1"/>
    <col min="28" max="28" width="11.5546875" style="1" customWidth="1" collapsed="1"/>
    <col min="29" max="30" width="11.5546875" style="1" hidden="1" customWidth="1" outlineLevel="1"/>
    <col min="31" max="32" width="11.5546875" style="6" hidden="1" customWidth="1" outlineLevel="1"/>
    <col min="33" max="33" width="11.5546875" style="6" customWidth="1" collapsed="1"/>
    <col min="34" max="35" width="11.5546875" style="1" hidden="1" customWidth="1" outlineLevel="1"/>
    <col min="36" max="37" width="11.5546875" style="6" hidden="1" customWidth="1" outlineLevel="1"/>
    <col min="38" max="38" width="11.5546875" style="6" customWidth="1" collapsed="1"/>
    <col min="39" max="42" width="11.5546875" style="1" hidden="1" customWidth="1" outlineLevel="1"/>
    <col min="43" max="43" width="11.5546875" style="1" customWidth="1" collapsed="1"/>
    <col min="44" max="47" width="11.5546875" style="1" hidden="1" customWidth="1" outlineLevel="1"/>
    <col min="48" max="48" width="11.5546875" style="1" customWidth="1" collapsed="1"/>
    <col min="49" max="51" width="11.5546875" style="1" customWidth="1" outlineLevel="1"/>
    <col min="52" max="52" width="14.5546875" style="6" customWidth="1" outlineLevel="1"/>
    <col min="53" max="53" width="13.77734375" style="6" customWidth="1"/>
    <col min="54" max="55" width="15.109375" style="1" hidden="1" customWidth="1" outlineLevel="1"/>
    <col min="56" max="57" width="15.109375" style="6" hidden="1" customWidth="1" outlineLevel="1"/>
    <col min="58" max="58" width="15.109375" style="6" bestFit="1" customWidth="1" collapsed="1"/>
    <col min="59" max="60" width="15.109375" style="1" hidden="1" customWidth="1" outlineLevel="1"/>
    <col min="61" max="62" width="15.109375" style="6" hidden="1" customWidth="1" outlineLevel="1"/>
    <col min="63" max="63" width="15.109375" style="6" bestFit="1" customWidth="1" collapsed="1"/>
    <col min="64" max="65" width="15.109375" style="1" hidden="1" customWidth="1" outlineLevel="1"/>
    <col min="66" max="67" width="15.109375" style="6" hidden="1" customWidth="1" outlineLevel="1"/>
    <col min="68" max="68" width="15.109375" style="6" bestFit="1" customWidth="1" collapsed="1"/>
    <col min="69" max="70" width="15.109375" style="1" hidden="1" customWidth="1" outlineLevel="1"/>
    <col min="71" max="72" width="15.109375" style="6" hidden="1" customWidth="1" outlineLevel="1"/>
    <col min="73" max="73" width="15.109375" style="6" bestFit="1" customWidth="1" collapsed="1"/>
  </cols>
  <sheetData>
    <row r="1" spans="2:73" s="132" customFormat="1" ht="9" customHeight="1" x14ac:dyDescent="0.3">
      <c r="C1" s="33"/>
      <c r="D1" s="1"/>
      <c r="E1" s="1"/>
      <c r="F1" s="1"/>
      <c r="G1" s="1"/>
      <c r="H1" s="1"/>
      <c r="I1" s="1"/>
      <c r="J1" s="1"/>
      <c r="K1" s="1"/>
      <c r="L1" s="1"/>
      <c r="M1" s="1"/>
      <c r="N1" s="1"/>
      <c r="O1" s="1"/>
      <c r="P1" s="1"/>
      <c r="Q1" s="1"/>
      <c r="R1" s="1"/>
      <c r="S1" s="1"/>
      <c r="T1" s="1"/>
      <c r="U1" s="1"/>
      <c r="V1" s="1"/>
      <c r="W1" s="1"/>
      <c r="X1" s="1"/>
      <c r="Y1" s="1"/>
      <c r="Z1" s="1"/>
      <c r="AA1" s="1"/>
      <c r="AB1" s="1"/>
      <c r="AC1" s="1"/>
      <c r="AD1" s="1"/>
      <c r="AE1" s="6"/>
      <c r="AF1" s="6"/>
      <c r="AG1" s="6"/>
      <c r="AH1" s="1"/>
      <c r="AI1" s="1"/>
      <c r="AJ1" s="6"/>
      <c r="AK1" s="6"/>
      <c r="AL1" s="6"/>
      <c r="AM1" s="1"/>
      <c r="AN1" s="1"/>
      <c r="AO1" s="1"/>
      <c r="AP1" s="1"/>
      <c r="AQ1" s="1"/>
      <c r="AR1" s="1"/>
      <c r="AS1" s="1"/>
      <c r="AT1" s="1"/>
      <c r="AU1" s="1"/>
      <c r="AV1" s="1"/>
      <c r="AW1" s="1"/>
      <c r="AX1" s="1"/>
      <c r="AY1" s="1"/>
      <c r="AZ1" s="6"/>
      <c r="BA1" s="6"/>
      <c r="BB1" s="1"/>
      <c r="BC1" s="1"/>
      <c r="BD1" s="6"/>
      <c r="BE1" s="6"/>
      <c r="BF1" s="6"/>
      <c r="BG1" s="1"/>
      <c r="BH1" s="1"/>
      <c r="BI1" s="6"/>
      <c r="BJ1" s="6"/>
      <c r="BK1" s="6"/>
      <c r="BL1" s="1"/>
      <c r="BM1" s="1"/>
      <c r="BN1" s="6"/>
      <c r="BO1" s="6"/>
      <c r="BP1" s="6"/>
      <c r="BQ1" s="1"/>
      <c r="BR1" s="1"/>
      <c r="BS1" s="6"/>
      <c r="BT1" s="6"/>
      <c r="BU1" s="6"/>
    </row>
    <row r="2" spans="2:73" x14ac:dyDescent="0.3">
      <c r="B2" s="364" t="s">
        <v>301</v>
      </c>
      <c r="C2" s="365"/>
      <c r="AC2" s="40"/>
      <c r="AF2" s="149"/>
      <c r="AG2" s="149"/>
    </row>
    <row r="3" spans="2:73" ht="14.4" customHeight="1" x14ac:dyDescent="0.3">
      <c r="B3" s="284" t="s">
        <v>200</v>
      </c>
      <c r="C3" s="174">
        <f>C181</f>
        <v>251.96690859575597</v>
      </c>
      <c r="AC3" s="40"/>
      <c r="AD3" s="40"/>
      <c r="AE3" s="40"/>
      <c r="AF3" s="150"/>
      <c r="AG3" s="150"/>
      <c r="AH3" s="40"/>
      <c r="AI3" s="40"/>
      <c r="AJ3" s="40"/>
      <c r="AK3" s="67"/>
      <c r="AL3" s="177"/>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row>
    <row r="4" spans="2:73" ht="14.4" customHeight="1" x14ac:dyDescent="0.3">
      <c r="B4" s="265" t="s">
        <v>201</v>
      </c>
      <c r="C4" s="175">
        <f>C208</f>
        <v>185.03987494384484</v>
      </c>
      <c r="D4" s="48"/>
      <c r="I4" s="48"/>
      <c r="N4" s="48"/>
      <c r="S4" s="48"/>
      <c r="X4" s="48"/>
      <c r="AC4" s="40"/>
      <c r="AD4" s="40"/>
      <c r="AE4" s="40"/>
      <c r="AF4" s="67"/>
      <c r="AG4" s="67"/>
      <c r="AH4" s="40"/>
      <c r="AI4" s="40"/>
      <c r="AJ4" s="40"/>
      <c r="AK4" s="67"/>
      <c r="AL4" s="67"/>
      <c r="AM4" s="67"/>
      <c r="AN4" s="40"/>
      <c r="AO4" s="40"/>
      <c r="AP4" s="40"/>
      <c r="AQ4" s="40"/>
      <c r="AR4" s="40"/>
      <c r="AS4" s="40"/>
      <c r="AT4" s="40"/>
      <c r="AU4" s="40"/>
      <c r="AV4" s="40"/>
      <c r="AW4" s="40"/>
      <c r="AX4" s="40"/>
      <c r="AY4" s="40"/>
      <c r="AZ4" s="40"/>
      <c r="BA4" s="67"/>
      <c r="BB4" s="67"/>
      <c r="BC4" s="67"/>
      <c r="BD4" s="40"/>
      <c r="BE4" s="40"/>
      <c r="BF4" s="40"/>
      <c r="BG4" s="40"/>
      <c r="BH4" s="40"/>
      <c r="BI4" s="40"/>
      <c r="BJ4" s="40"/>
      <c r="BK4" s="40"/>
      <c r="BL4" s="40"/>
      <c r="BM4" s="40"/>
      <c r="BN4" s="40"/>
      <c r="BO4" s="40"/>
      <c r="BP4" s="40"/>
      <c r="BQ4" s="40"/>
      <c r="BR4" s="40"/>
      <c r="BS4" s="40"/>
      <c r="BT4" s="40"/>
      <c r="BU4" s="40"/>
    </row>
    <row r="5" spans="2:73" ht="14.4" customHeight="1" x14ac:dyDescent="0.3">
      <c r="B5" s="265" t="s">
        <v>291</v>
      </c>
      <c r="C5" s="275">
        <f>(0.5*C3)+(0.5*C4)</f>
        <v>218.5033917698004</v>
      </c>
      <c r="D5" s="48"/>
      <c r="I5" s="48"/>
      <c r="N5" s="48"/>
      <c r="S5" s="48"/>
      <c r="X5" s="48"/>
      <c r="AA5" s="104"/>
      <c r="AC5" s="40"/>
      <c r="AD5" s="40"/>
      <c r="AE5" s="157"/>
      <c r="AF5" s="67"/>
      <c r="AG5" s="116"/>
      <c r="AH5" s="40"/>
      <c r="AI5" s="40"/>
      <c r="AJ5" s="40"/>
      <c r="AK5" s="67"/>
      <c r="AL5" s="67"/>
      <c r="AM5" s="40"/>
      <c r="AN5" s="193"/>
      <c r="AO5" s="193"/>
      <c r="AP5" s="193"/>
      <c r="AQ5" s="193"/>
      <c r="AR5" s="193"/>
      <c r="AS5" s="193"/>
      <c r="AT5" s="193"/>
      <c r="AU5" s="193"/>
      <c r="AV5" s="193"/>
      <c r="AW5" s="193"/>
      <c r="AX5" s="193"/>
      <c r="AY5" s="193"/>
      <c r="AZ5" s="40"/>
      <c r="BA5" s="67"/>
      <c r="BB5" s="67"/>
      <c r="BC5" s="67"/>
      <c r="BD5" s="40"/>
      <c r="BE5" s="40"/>
      <c r="BF5" s="40"/>
      <c r="BG5" s="40"/>
      <c r="BH5" s="40"/>
      <c r="BI5" s="40"/>
      <c r="BJ5" s="40"/>
      <c r="BK5" s="40"/>
      <c r="BL5" s="40"/>
      <c r="BM5" s="40"/>
      <c r="BN5" s="40"/>
      <c r="BO5" s="40"/>
      <c r="BP5" s="40"/>
      <c r="BQ5" s="40"/>
      <c r="BR5" s="40"/>
      <c r="BS5" s="40"/>
      <c r="BT5" s="40"/>
      <c r="BU5" s="40"/>
    </row>
    <row r="6" spans="2:73" s="132" customFormat="1" ht="14.4" customHeight="1" x14ac:dyDescent="0.3">
      <c r="B6" s="285" t="s">
        <v>293</v>
      </c>
      <c r="C6" s="276" t="str">
        <f>TEXT(C215,"$0")&amp;" to "&amp;TEXT(C214,"$0")</f>
        <v>$190 to $247</v>
      </c>
      <c r="D6" s="48"/>
      <c r="E6" s="1"/>
      <c r="F6" s="1"/>
      <c r="G6" s="1"/>
      <c r="H6" s="1"/>
      <c r="I6" s="48"/>
      <c r="J6" s="1"/>
      <c r="K6" s="1"/>
      <c r="L6" s="1"/>
      <c r="M6" s="1"/>
      <c r="N6" s="48"/>
      <c r="O6" s="1"/>
      <c r="P6" s="1"/>
      <c r="Q6" s="1"/>
      <c r="R6" s="1"/>
      <c r="S6" s="48"/>
      <c r="T6" s="1"/>
      <c r="U6" s="1"/>
      <c r="V6" s="1"/>
      <c r="W6" s="1"/>
      <c r="X6" s="48"/>
      <c r="Y6" s="1"/>
      <c r="Z6" s="1"/>
      <c r="AA6" s="104"/>
      <c r="AB6" s="1"/>
      <c r="AC6" s="40"/>
      <c r="AD6" s="40"/>
      <c r="AE6" s="157"/>
      <c r="AF6" s="67"/>
      <c r="AG6" s="116"/>
      <c r="AH6" s="40"/>
      <c r="AI6" s="40"/>
      <c r="AJ6" s="40"/>
      <c r="AK6" s="67"/>
      <c r="AL6" s="67"/>
      <c r="AM6" s="40"/>
      <c r="AN6" s="193"/>
      <c r="AO6" s="193"/>
      <c r="AP6" s="193"/>
      <c r="AQ6" s="193"/>
      <c r="AR6" s="193"/>
      <c r="AS6" s="193"/>
      <c r="AT6" s="193"/>
      <c r="AU6" s="193"/>
      <c r="AV6" s="193"/>
      <c r="AW6" s="193"/>
      <c r="AX6" s="193"/>
      <c r="AY6" s="193"/>
      <c r="AZ6" s="40"/>
      <c r="BA6" s="67"/>
      <c r="BB6" s="67"/>
      <c r="BC6" s="67"/>
      <c r="BD6" s="40"/>
      <c r="BE6" s="40"/>
      <c r="BF6" s="40"/>
      <c r="BG6" s="40"/>
      <c r="BH6" s="40"/>
      <c r="BI6" s="40"/>
      <c r="BJ6" s="40"/>
      <c r="BK6" s="40"/>
      <c r="BL6" s="40"/>
      <c r="BM6" s="40"/>
      <c r="BN6" s="40"/>
      <c r="BO6" s="40"/>
      <c r="BP6" s="40"/>
      <c r="BQ6" s="40"/>
      <c r="BR6" s="40"/>
      <c r="BS6" s="40"/>
      <c r="BT6" s="40"/>
      <c r="BU6" s="40"/>
    </row>
    <row r="7" spans="2:73" ht="3.75" customHeight="1" x14ac:dyDescent="0.3">
      <c r="C7" s="83"/>
      <c r="D7" s="23"/>
      <c r="E7" s="23"/>
      <c r="F7" s="23"/>
      <c r="G7" s="23"/>
      <c r="H7" s="23"/>
      <c r="I7" s="23"/>
      <c r="J7" s="23"/>
      <c r="K7" s="23"/>
      <c r="L7" s="23"/>
      <c r="M7" s="23"/>
      <c r="N7" s="23"/>
      <c r="O7" s="23"/>
      <c r="P7" s="23"/>
      <c r="Q7" s="23"/>
      <c r="R7" s="23"/>
      <c r="S7" s="23"/>
      <c r="T7" s="23"/>
      <c r="U7" s="23"/>
      <c r="V7" s="23"/>
      <c r="W7" s="23"/>
      <c r="X7" s="23"/>
      <c r="Y7" s="23"/>
      <c r="Z7" s="23"/>
      <c r="AA7" s="23"/>
      <c r="AB7" s="23"/>
      <c r="AC7" s="65"/>
      <c r="AD7" s="65"/>
      <c r="AE7" s="65"/>
      <c r="AF7" s="65"/>
      <c r="AG7" s="66"/>
      <c r="AH7" s="65"/>
      <c r="AI7" s="65"/>
      <c r="AJ7" s="65"/>
      <c r="AK7" s="67"/>
      <c r="AL7" s="67"/>
      <c r="AM7" s="65"/>
      <c r="AN7" s="263"/>
      <c r="AO7" s="263"/>
      <c r="AP7" s="263"/>
      <c r="AQ7" s="263"/>
      <c r="AR7" s="263"/>
      <c r="AS7" s="263"/>
      <c r="AT7" s="263"/>
      <c r="AU7" s="263"/>
      <c r="AV7" s="263"/>
      <c r="AW7" s="263"/>
      <c r="AX7" s="263"/>
      <c r="AY7" s="263"/>
      <c r="AZ7" s="67"/>
      <c r="BA7" s="67"/>
      <c r="BB7" s="65"/>
      <c r="BC7" s="65"/>
      <c r="BD7" s="65"/>
      <c r="BE7" s="67"/>
      <c r="BF7" s="40"/>
      <c r="BG7" s="39"/>
      <c r="BH7" s="39"/>
      <c r="BI7" s="39"/>
      <c r="BJ7" s="40"/>
      <c r="BK7" s="40"/>
      <c r="BL7" s="39"/>
      <c r="BM7" s="39"/>
      <c r="BN7" s="39"/>
      <c r="BO7" s="40"/>
      <c r="BP7" s="40"/>
      <c r="BQ7" s="39"/>
      <c r="BR7" s="39"/>
      <c r="BS7" s="39"/>
      <c r="BT7" s="40"/>
      <c r="BU7" s="40"/>
    </row>
    <row r="8" spans="2:73" ht="15.6" x14ac:dyDescent="0.3">
      <c r="B8" s="366" t="s">
        <v>76</v>
      </c>
      <c r="C8" s="367"/>
      <c r="D8" s="111" t="s">
        <v>108</v>
      </c>
      <c r="E8" s="111" t="s">
        <v>109</v>
      </c>
      <c r="F8" s="111" t="s">
        <v>110</v>
      </c>
      <c r="G8" s="111" t="s">
        <v>111</v>
      </c>
      <c r="H8" s="111" t="s">
        <v>111</v>
      </c>
      <c r="I8" s="111" t="s">
        <v>107</v>
      </c>
      <c r="J8" s="111" t="s">
        <v>117</v>
      </c>
      <c r="K8" s="111" t="s">
        <v>118</v>
      </c>
      <c r="L8" s="111" t="s">
        <v>119</v>
      </c>
      <c r="M8" s="111" t="s">
        <v>119</v>
      </c>
      <c r="N8" s="111" t="s">
        <v>125</v>
      </c>
      <c r="O8" s="111" t="s">
        <v>126</v>
      </c>
      <c r="P8" s="111" t="s">
        <v>127</v>
      </c>
      <c r="Q8" s="111" t="s">
        <v>128</v>
      </c>
      <c r="R8" s="111" t="s">
        <v>128</v>
      </c>
      <c r="S8" s="111" t="s">
        <v>134</v>
      </c>
      <c r="T8" s="111" t="s">
        <v>135</v>
      </c>
      <c r="U8" s="111" t="s">
        <v>136</v>
      </c>
      <c r="V8" s="111" t="s">
        <v>86</v>
      </c>
      <c r="W8" s="111" t="s">
        <v>86</v>
      </c>
      <c r="X8" s="111" t="s">
        <v>85</v>
      </c>
      <c r="Y8" s="111" t="s">
        <v>84</v>
      </c>
      <c r="Z8" s="111" t="s">
        <v>83</v>
      </c>
      <c r="AA8" s="111" t="s">
        <v>82</v>
      </c>
      <c r="AB8" s="111" t="s">
        <v>82</v>
      </c>
      <c r="AC8" s="111" t="s">
        <v>87</v>
      </c>
      <c r="AD8" s="111" t="s">
        <v>88</v>
      </c>
      <c r="AE8" s="111" t="s">
        <v>89</v>
      </c>
      <c r="AF8" s="111" t="s">
        <v>90</v>
      </c>
      <c r="AG8" s="111" t="s">
        <v>90</v>
      </c>
      <c r="AH8" s="111" t="s">
        <v>92</v>
      </c>
      <c r="AI8" s="111" t="s">
        <v>93</v>
      </c>
      <c r="AJ8" s="111" t="s">
        <v>94</v>
      </c>
      <c r="AK8" s="111" t="s">
        <v>95</v>
      </c>
      <c r="AL8" s="111" t="s">
        <v>95</v>
      </c>
      <c r="AM8" s="111" t="s">
        <v>91</v>
      </c>
      <c r="AN8" s="111" t="s">
        <v>96</v>
      </c>
      <c r="AO8" s="111" t="s">
        <v>97</v>
      </c>
      <c r="AP8" s="111" t="s">
        <v>98</v>
      </c>
      <c r="AQ8" s="111" t="s">
        <v>98</v>
      </c>
      <c r="AR8" s="111" t="s">
        <v>99</v>
      </c>
      <c r="AS8" s="111" t="s">
        <v>100</v>
      </c>
      <c r="AT8" s="111" t="s">
        <v>101</v>
      </c>
      <c r="AU8" s="111" t="s">
        <v>102</v>
      </c>
      <c r="AV8" s="111" t="s">
        <v>102</v>
      </c>
      <c r="AW8" s="111" t="s">
        <v>103</v>
      </c>
      <c r="AX8" s="111" t="s">
        <v>104</v>
      </c>
      <c r="AY8" s="111" t="s">
        <v>105</v>
      </c>
      <c r="AZ8" s="135" t="s">
        <v>106</v>
      </c>
      <c r="BA8" s="135" t="s">
        <v>106</v>
      </c>
      <c r="BB8" s="135" t="s">
        <v>207</v>
      </c>
      <c r="BC8" s="135" t="s">
        <v>208</v>
      </c>
      <c r="BD8" s="135" t="s">
        <v>209</v>
      </c>
      <c r="BE8" s="135" t="s">
        <v>210</v>
      </c>
      <c r="BF8" s="135" t="s">
        <v>210</v>
      </c>
      <c r="BG8" s="135" t="s">
        <v>223</v>
      </c>
      <c r="BH8" s="135" t="s">
        <v>224</v>
      </c>
      <c r="BI8" s="135" t="s">
        <v>225</v>
      </c>
      <c r="BJ8" s="135" t="s">
        <v>106</v>
      </c>
      <c r="BK8" s="135" t="s">
        <v>226</v>
      </c>
      <c r="BL8" s="135" t="s">
        <v>302</v>
      </c>
      <c r="BM8" s="135" t="s">
        <v>303</v>
      </c>
      <c r="BN8" s="135" t="s">
        <v>304</v>
      </c>
      <c r="BO8" s="135" t="s">
        <v>305</v>
      </c>
      <c r="BP8" s="135" t="s">
        <v>305</v>
      </c>
      <c r="BQ8" s="135" t="s">
        <v>312</v>
      </c>
      <c r="BR8" s="135" t="s">
        <v>314</v>
      </c>
      <c r="BS8" s="135" t="s">
        <v>316</v>
      </c>
      <c r="BT8" s="135" t="s">
        <v>307</v>
      </c>
      <c r="BU8" s="136" t="s">
        <v>307</v>
      </c>
    </row>
    <row r="9" spans="2:73" ht="16.2" x14ac:dyDescent="0.45">
      <c r="B9" s="368" t="s">
        <v>10</v>
      </c>
      <c r="C9" s="369"/>
      <c r="D9" s="112" t="s">
        <v>112</v>
      </c>
      <c r="E9" s="112" t="s">
        <v>113</v>
      </c>
      <c r="F9" s="112" t="s">
        <v>114</v>
      </c>
      <c r="G9" s="112" t="s">
        <v>115</v>
      </c>
      <c r="H9" s="112" t="s">
        <v>116</v>
      </c>
      <c r="I9" s="112" t="s">
        <v>120</v>
      </c>
      <c r="J9" s="112" t="s">
        <v>121</v>
      </c>
      <c r="K9" s="112" t="s">
        <v>122</v>
      </c>
      <c r="L9" s="112" t="s">
        <v>123</v>
      </c>
      <c r="M9" s="112" t="s">
        <v>124</v>
      </c>
      <c r="N9" s="112" t="s">
        <v>129</v>
      </c>
      <c r="O9" s="112" t="s">
        <v>130</v>
      </c>
      <c r="P9" s="112" t="s">
        <v>131</v>
      </c>
      <c r="Q9" s="112" t="s">
        <v>132</v>
      </c>
      <c r="R9" s="112" t="s">
        <v>133</v>
      </c>
      <c r="S9" s="112" t="s">
        <v>137</v>
      </c>
      <c r="T9" s="112" t="s">
        <v>138</v>
      </c>
      <c r="U9" s="112" t="s">
        <v>139</v>
      </c>
      <c r="V9" s="112" t="s">
        <v>140</v>
      </c>
      <c r="W9" s="112" t="s">
        <v>0</v>
      </c>
      <c r="X9" s="112" t="s">
        <v>40</v>
      </c>
      <c r="Y9" s="112" t="s">
        <v>41</v>
      </c>
      <c r="Z9" s="112" t="s">
        <v>42</v>
      </c>
      <c r="AA9" s="112" t="s">
        <v>43</v>
      </c>
      <c r="AB9" s="112" t="s">
        <v>6</v>
      </c>
      <c r="AC9" s="112" t="s">
        <v>186</v>
      </c>
      <c r="AD9" s="112" t="s">
        <v>189</v>
      </c>
      <c r="AE9" s="112" t="s">
        <v>191</v>
      </c>
      <c r="AF9" s="112" t="s">
        <v>193</v>
      </c>
      <c r="AG9" s="112" t="s">
        <v>205</v>
      </c>
      <c r="AH9" s="112" t="s">
        <v>215</v>
      </c>
      <c r="AI9" s="112" t="s">
        <v>216</v>
      </c>
      <c r="AJ9" s="112" t="s">
        <v>217</v>
      </c>
      <c r="AK9" s="112" t="s">
        <v>221</v>
      </c>
      <c r="AL9" s="112" t="s">
        <v>222</v>
      </c>
      <c r="AM9" s="112" t="s">
        <v>231</v>
      </c>
      <c r="AN9" s="112" t="s">
        <v>279</v>
      </c>
      <c r="AO9" s="296" t="s">
        <v>319</v>
      </c>
      <c r="AP9" s="296" t="s">
        <v>320</v>
      </c>
      <c r="AQ9" s="296" t="s">
        <v>321</v>
      </c>
      <c r="AR9" s="296" t="s">
        <v>322</v>
      </c>
      <c r="AS9" s="296" t="s">
        <v>323</v>
      </c>
      <c r="AT9" s="296" t="s">
        <v>324</v>
      </c>
      <c r="AU9" s="296" t="s">
        <v>325</v>
      </c>
      <c r="AV9" s="296" t="s">
        <v>326</v>
      </c>
      <c r="AW9" s="296" t="s">
        <v>327</v>
      </c>
      <c r="AX9" s="296" t="s">
        <v>328</v>
      </c>
      <c r="AY9" s="296" t="s">
        <v>329</v>
      </c>
      <c r="AZ9" s="137" t="s">
        <v>58</v>
      </c>
      <c r="BA9" s="137" t="s">
        <v>194</v>
      </c>
      <c r="BB9" s="137" t="s">
        <v>206</v>
      </c>
      <c r="BC9" s="137" t="s">
        <v>211</v>
      </c>
      <c r="BD9" s="137" t="s">
        <v>212</v>
      </c>
      <c r="BE9" s="137" t="s">
        <v>213</v>
      </c>
      <c r="BF9" s="137" t="s">
        <v>214</v>
      </c>
      <c r="BG9" s="137" t="s">
        <v>227</v>
      </c>
      <c r="BH9" s="137" t="s">
        <v>228</v>
      </c>
      <c r="BI9" s="137" t="s">
        <v>229</v>
      </c>
      <c r="BJ9" s="137" t="s">
        <v>58</v>
      </c>
      <c r="BK9" s="137" t="s">
        <v>230</v>
      </c>
      <c r="BL9" s="137" t="s">
        <v>227</v>
      </c>
      <c r="BM9" s="137" t="s">
        <v>309</v>
      </c>
      <c r="BN9" s="137" t="s">
        <v>310</v>
      </c>
      <c r="BO9" s="137" t="s">
        <v>311</v>
      </c>
      <c r="BP9" s="137" t="s">
        <v>306</v>
      </c>
      <c r="BQ9" s="137" t="s">
        <v>313</v>
      </c>
      <c r="BR9" s="137" t="s">
        <v>315</v>
      </c>
      <c r="BS9" s="137" t="s">
        <v>317</v>
      </c>
      <c r="BT9" s="137" t="s">
        <v>318</v>
      </c>
      <c r="BU9" s="138" t="s">
        <v>308</v>
      </c>
    </row>
    <row r="10" spans="2:73" x14ac:dyDescent="0.3">
      <c r="B10" s="360" t="s">
        <v>79</v>
      </c>
      <c r="C10" s="361"/>
      <c r="D10" s="36">
        <v>15683</v>
      </c>
      <c r="E10" s="37">
        <v>13499</v>
      </c>
      <c r="F10" s="37">
        <v>15700</v>
      </c>
      <c r="G10" s="84">
        <v>20343</v>
      </c>
      <c r="H10" s="85">
        <v>65225</v>
      </c>
      <c r="I10" s="36">
        <v>26741</v>
      </c>
      <c r="J10" s="37">
        <v>24667</v>
      </c>
      <c r="K10" s="37">
        <v>28571</v>
      </c>
      <c r="L10" s="84">
        <v>28270</v>
      </c>
      <c r="M10" s="85">
        <v>108249</v>
      </c>
      <c r="N10" s="36">
        <v>46333</v>
      </c>
      <c r="O10" s="37">
        <v>39186</v>
      </c>
      <c r="P10" s="37">
        <v>35023</v>
      </c>
      <c r="Q10" s="84">
        <v>35966</v>
      </c>
      <c r="R10" s="85">
        <v>156508</v>
      </c>
      <c r="S10" s="36">
        <v>54512</v>
      </c>
      <c r="T10" s="37">
        <v>43603</v>
      </c>
      <c r="U10" s="37">
        <v>35323</v>
      </c>
      <c r="V10" s="84">
        <v>37472</v>
      </c>
      <c r="W10" s="85">
        <v>170910</v>
      </c>
      <c r="X10" s="36">
        <v>57594</v>
      </c>
      <c r="Y10" s="37">
        <v>45646</v>
      </c>
      <c r="Z10" s="37">
        <v>37432</v>
      </c>
      <c r="AA10" s="84">
        <v>42123</v>
      </c>
      <c r="AB10" s="85">
        <v>182795</v>
      </c>
      <c r="AC10" s="125">
        <v>74599</v>
      </c>
      <c r="AD10" s="125">
        <v>58010</v>
      </c>
      <c r="AE10" s="125">
        <v>49605</v>
      </c>
      <c r="AF10" s="125">
        <v>51501</v>
      </c>
      <c r="AG10" s="25">
        <f>SUM(AC10:AF10)</f>
        <v>233715</v>
      </c>
      <c r="AH10" s="125">
        <v>75872</v>
      </c>
      <c r="AI10" s="125">
        <v>50557</v>
      </c>
      <c r="AJ10" s="125">
        <v>42358</v>
      </c>
      <c r="AK10" s="125">
        <v>46852</v>
      </c>
      <c r="AL10" s="25">
        <f>SUM(AH10:AK10)</f>
        <v>215639</v>
      </c>
      <c r="AM10" s="125">
        <v>78351</v>
      </c>
      <c r="AN10" s="125">
        <v>52896</v>
      </c>
      <c r="AO10" s="298">
        <v>45408</v>
      </c>
      <c r="AP10" s="298">
        <v>52579</v>
      </c>
      <c r="AQ10" s="25">
        <f>SUM(AM10:AP10)</f>
        <v>229234</v>
      </c>
      <c r="AR10" s="299">
        <v>88293</v>
      </c>
      <c r="AS10" s="299">
        <v>61137</v>
      </c>
      <c r="AT10" s="299">
        <v>53265</v>
      </c>
      <c r="AU10" s="299">
        <v>62900</v>
      </c>
      <c r="AV10" s="25">
        <f>SUM(AR10:AU10)</f>
        <v>265595</v>
      </c>
      <c r="AW10" s="299">
        <v>84310</v>
      </c>
      <c r="AX10" s="125">
        <v>58015</v>
      </c>
      <c r="AY10" s="125">
        <v>53809</v>
      </c>
      <c r="AZ10" s="125">
        <f>AU10*(1+AZ33)</f>
        <v>67685.871966216277</v>
      </c>
      <c r="BA10" s="25">
        <f>SUM(AW10:AZ10)</f>
        <v>263819.87196621625</v>
      </c>
      <c r="BB10" s="125">
        <f>AW10*(1+BB33)</f>
        <v>87526.505670669532</v>
      </c>
      <c r="BC10" s="125">
        <f>AX10*(1+BC33)</f>
        <v>60934.996519688561</v>
      </c>
      <c r="BD10" s="125">
        <f>AY10*(1+BD33)</f>
        <v>58387.241150189955</v>
      </c>
      <c r="BE10" s="125">
        <f>AZ10*(1+BE33)</f>
        <v>76589.22803398571</v>
      </c>
      <c r="BF10" s="25">
        <f>SUM(BB10:BE10)</f>
        <v>283437.97137453372</v>
      </c>
      <c r="BG10" s="125">
        <f>BB10*(1+BG33)</f>
        <v>91025.53254440712</v>
      </c>
      <c r="BH10" s="125">
        <f>BC10*(1+BH33)</f>
        <v>64084.571933760679</v>
      </c>
      <c r="BI10" s="125">
        <f>BD10*(1+BI33)</f>
        <v>63609.541097768342</v>
      </c>
      <c r="BJ10" s="125">
        <f>BE10*(1+BJ33)</f>
        <v>86901.238724037001</v>
      </c>
      <c r="BK10" s="25">
        <f>SUM(BG10:BJ10)</f>
        <v>305620.88429997314</v>
      </c>
      <c r="BL10" s="125">
        <f>BG10*(1+BL33)</f>
        <v>92027.315371593184</v>
      </c>
      <c r="BM10" s="125">
        <f>BH10*(1+BM33)</f>
        <v>65173.017945213534</v>
      </c>
      <c r="BN10" s="125">
        <f>BI10*(1+BN33)</f>
        <v>67526.590273140799</v>
      </c>
      <c r="BO10" s="125">
        <f>BJ10*(1+BO33)</f>
        <v>96815.709369894277</v>
      </c>
      <c r="BP10" s="25">
        <f>SUM(BL10:BO10)</f>
        <v>321542.63295984181</v>
      </c>
      <c r="BQ10" s="125">
        <f>BL10*(1+BQ33)</f>
        <v>94761.545759554618</v>
      </c>
      <c r="BR10" s="125">
        <f>BM10*(1+BR33)</f>
        <v>67758.29555750257</v>
      </c>
      <c r="BS10" s="125">
        <f>BN10*(1+BS33)</f>
        <v>72841.051246150091</v>
      </c>
      <c r="BT10" s="125">
        <f>BO10*(1+BT33)</f>
        <v>109087.70677107121</v>
      </c>
      <c r="BU10" s="25">
        <f>SUM(BQ10:BT10)</f>
        <v>344448.59933427849</v>
      </c>
    </row>
    <row r="11" spans="2:73" ht="17.25" customHeight="1" x14ac:dyDescent="0.45">
      <c r="B11" s="360" t="s">
        <v>80</v>
      </c>
      <c r="C11" s="361"/>
      <c r="D11" s="164">
        <v>9272</v>
      </c>
      <c r="E11" s="165">
        <v>7874</v>
      </c>
      <c r="F11" s="165">
        <v>9564</v>
      </c>
      <c r="G11" s="166">
        <v>12831</v>
      </c>
      <c r="H11" s="167">
        <v>39541</v>
      </c>
      <c r="I11" s="164">
        <v>16443</v>
      </c>
      <c r="J11" s="165">
        <v>14449</v>
      </c>
      <c r="K11" s="165">
        <v>16649</v>
      </c>
      <c r="L11" s="166">
        <v>16890</v>
      </c>
      <c r="M11" s="167">
        <v>64431</v>
      </c>
      <c r="N11" s="164">
        <v>25630</v>
      </c>
      <c r="O11" s="165">
        <v>20622</v>
      </c>
      <c r="P11" s="165">
        <v>20029</v>
      </c>
      <c r="Q11" s="166">
        <v>21565</v>
      </c>
      <c r="R11" s="167">
        <v>87846</v>
      </c>
      <c r="S11" s="164">
        <v>33452</v>
      </c>
      <c r="T11" s="165">
        <v>27254</v>
      </c>
      <c r="U11" s="165">
        <v>22299</v>
      </c>
      <c r="V11" s="166">
        <v>23601</v>
      </c>
      <c r="W11" s="167">
        <v>106606</v>
      </c>
      <c r="X11" s="164">
        <v>35748</v>
      </c>
      <c r="Y11" s="165">
        <v>27699</v>
      </c>
      <c r="Z11" s="165">
        <v>22697</v>
      </c>
      <c r="AA11" s="166">
        <v>26114</v>
      </c>
      <c r="AB11" s="167">
        <v>112258</v>
      </c>
      <c r="AC11" s="41">
        <v>44858</v>
      </c>
      <c r="AD11" s="41">
        <v>34354</v>
      </c>
      <c r="AE11" s="41">
        <v>29924</v>
      </c>
      <c r="AF11" s="41">
        <v>30953</v>
      </c>
      <c r="AG11" s="109">
        <f>SUM(AC11:AF11)</f>
        <v>140089</v>
      </c>
      <c r="AH11" s="41">
        <v>45449</v>
      </c>
      <c r="AI11" s="41">
        <v>30636</v>
      </c>
      <c r="AJ11" s="41">
        <v>26252</v>
      </c>
      <c r="AK11" s="41">
        <v>29039</v>
      </c>
      <c r="AL11" s="109">
        <f>SUM(AH11:AK11)</f>
        <v>131376</v>
      </c>
      <c r="AM11" s="41">
        <v>48175</v>
      </c>
      <c r="AN11" s="41">
        <v>32305</v>
      </c>
      <c r="AO11" s="300">
        <v>27920</v>
      </c>
      <c r="AP11" s="300">
        <v>32648</v>
      </c>
      <c r="AQ11" s="109">
        <f>SUM(AM11:AP11)</f>
        <v>141048</v>
      </c>
      <c r="AR11" s="300">
        <v>54381</v>
      </c>
      <c r="AS11" s="300">
        <v>37715</v>
      </c>
      <c r="AT11" s="300">
        <v>32844</v>
      </c>
      <c r="AU11" s="300">
        <v>38816</v>
      </c>
      <c r="AV11" s="109">
        <f>SUM(AR11:AU11)</f>
        <v>163756</v>
      </c>
      <c r="AW11" s="300">
        <v>52279</v>
      </c>
      <c r="AX11" s="41">
        <v>36194</v>
      </c>
      <c r="AY11" s="41">
        <v>33582</v>
      </c>
      <c r="AZ11" s="41">
        <f>-AZ10*(AZ35-1)</f>
        <v>41769.392786019889</v>
      </c>
      <c r="BA11" s="109">
        <f>SUM(AW11:AZ11)</f>
        <v>163824.39278601989</v>
      </c>
      <c r="BB11" s="41">
        <f>-BB10*(BB35-1)</f>
        <v>54273.492942200603</v>
      </c>
      <c r="BC11" s="41">
        <f>-BC10*(BC35-1)</f>
        <v>38015.707386600152</v>
      </c>
      <c r="BD11" s="41">
        <f>-BD10*(BD35-1)</f>
        <v>36439.263548954252</v>
      </c>
      <c r="BE11" s="41">
        <f>-BE10*(BE35-1)</f>
        <v>47263.711850034808</v>
      </c>
      <c r="BF11" s="109">
        <f>SUM(BB11:BE11)</f>
        <v>175992.17572778981</v>
      </c>
      <c r="BG11" s="41">
        <f>-BG10*(BG35-1)</f>
        <v>56443.171816973787</v>
      </c>
      <c r="BH11" s="41">
        <f>-BH10*(BH35-1)</f>
        <v>39980.642878057988</v>
      </c>
      <c r="BI11" s="41">
        <f>-BI10*(BI35-1)</f>
        <v>39698.481836593441</v>
      </c>
      <c r="BJ11" s="41">
        <f>-BJ10*(BJ35-1)</f>
        <v>53627.320863469322</v>
      </c>
      <c r="BK11" s="109">
        <f>SUM(BG11:BJ11)</f>
        <v>189749.61739509454</v>
      </c>
      <c r="BL11" s="41">
        <f>-BL10*(BL35-1)</f>
        <v>57064.357968349192</v>
      </c>
      <c r="BM11" s="41">
        <f>-BM10*(BM35-1)</f>
        <v>40659.695104870443</v>
      </c>
      <c r="BN11" s="41">
        <f>-BN10*(BN35-1)</f>
        <v>42143.097893523656</v>
      </c>
      <c r="BO11" s="41">
        <f>-BO10*(BO35-1)</f>
        <v>59745.605324353201</v>
      </c>
      <c r="BP11" s="109">
        <f>SUM(BL11:BO11)</f>
        <v>199612.75629109651</v>
      </c>
      <c r="BQ11" s="41">
        <f>-BQ10*(BQ35-1)</f>
        <v>58759.801337489691</v>
      </c>
      <c r="BR11" s="41">
        <f>-BR10*(BR35-1)</f>
        <v>42272.580356946448</v>
      </c>
      <c r="BS11" s="41">
        <f>-BS10*(BS35-1)</f>
        <v>45459.833539895044</v>
      </c>
      <c r="BT11" s="41">
        <f>-BT10*(BT35-1)</f>
        <v>67318.734912971384</v>
      </c>
      <c r="BU11" s="109">
        <f>SUM(BQ11:BT11)</f>
        <v>213810.95014730256</v>
      </c>
    </row>
    <row r="12" spans="2:73" x14ac:dyDescent="0.3">
      <c r="B12" s="375" t="s">
        <v>1</v>
      </c>
      <c r="C12" s="376"/>
      <c r="D12" s="75">
        <f t="shared" ref="D12:AI12" si="0">D10-D11</f>
        <v>6411</v>
      </c>
      <c r="E12" s="73">
        <f t="shared" si="0"/>
        <v>5625</v>
      </c>
      <c r="F12" s="73">
        <f t="shared" si="0"/>
        <v>6136</v>
      </c>
      <c r="G12" s="86">
        <f t="shared" si="0"/>
        <v>7512</v>
      </c>
      <c r="H12" s="87">
        <f t="shared" si="0"/>
        <v>25684</v>
      </c>
      <c r="I12" s="75">
        <f t="shared" si="0"/>
        <v>10298</v>
      </c>
      <c r="J12" s="73">
        <f t="shared" si="0"/>
        <v>10218</v>
      </c>
      <c r="K12" s="73">
        <f t="shared" si="0"/>
        <v>11922</v>
      </c>
      <c r="L12" s="86">
        <f t="shared" si="0"/>
        <v>11380</v>
      </c>
      <c r="M12" s="87">
        <f t="shared" si="0"/>
        <v>43818</v>
      </c>
      <c r="N12" s="75">
        <f t="shared" si="0"/>
        <v>20703</v>
      </c>
      <c r="O12" s="73">
        <f t="shared" si="0"/>
        <v>18564</v>
      </c>
      <c r="P12" s="73">
        <f t="shared" si="0"/>
        <v>14994</v>
      </c>
      <c r="Q12" s="86">
        <f t="shared" si="0"/>
        <v>14401</v>
      </c>
      <c r="R12" s="87">
        <f t="shared" si="0"/>
        <v>68662</v>
      </c>
      <c r="S12" s="75">
        <f t="shared" si="0"/>
        <v>21060</v>
      </c>
      <c r="T12" s="73">
        <f t="shared" si="0"/>
        <v>16349</v>
      </c>
      <c r="U12" s="73">
        <f t="shared" si="0"/>
        <v>13024</v>
      </c>
      <c r="V12" s="86">
        <f t="shared" si="0"/>
        <v>13871</v>
      </c>
      <c r="W12" s="87">
        <f t="shared" si="0"/>
        <v>64304</v>
      </c>
      <c r="X12" s="75">
        <f t="shared" si="0"/>
        <v>21846</v>
      </c>
      <c r="Y12" s="73">
        <f t="shared" si="0"/>
        <v>17947</v>
      </c>
      <c r="Z12" s="73">
        <f t="shared" si="0"/>
        <v>14735</v>
      </c>
      <c r="AA12" s="86">
        <f t="shared" si="0"/>
        <v>16009</v>
      </c>
      <c r="AB12" s="87">
        <f t="shared" si="0"/>
        <v>70537</v>
      </c>
      <c r="AC12" s="24">
        <f t="shared" si="0"/>
        <v>29741</v>
      </c>
      <c r="AD12" s="24">
        <f t="shared" si="0"/>
        <v>23656</v>
      </c>
      <c r="AE12" s="24">
        <f t="shared" si="0"/>
        <v>19681</v>
      </c>
      <c r="AF12" s="24">
        <f t="shared" si="0"/>
        <v>20548</v>
      </c>
      <c r="AG12" s="110">
        <f t="shared" si="0"/>
        <v>93626</v>
      </c>
      <c r="AH12" s="24">
        <f t="shared" si="0"/>
        <v>30423</v>
      </c>
      <c r="AI12" s="24">
        <f t="shared" si="0"/>
        <v>19921</v>
      </c>
      <c r="AJ12" s="24">
        <f t="shared" ref="AJ12:BU12" si="1">AJ10-AJ11</f>
        <v>16106</v>
      </c>
      <c r="AK12" s="24">
        <f t="shared" si="1"/>
        <v>17813</v>
      </c>
      <c r="AL12" s="110">
        <f t="shared" si="1"/>
        <v>84263</v>
      </c>
      <c r="AM12" s="24">
        <f t="shared" si="1"/>
        <v>30176</v>
      </c>
      <c r="AN12" s="24">
        <f t="shared" si="1"/>
        <v>20591</v>
      </c>
      <c r="AO12" s="24">
        <f t="shared" si="1"/>
        <v>17488</v>
      </c>
      <c r="AP12" s="24">
        <f t="shared" si="1"/>
        <v>19931</v>
      </c>
      <c r="AQ12" s="24">
        <f t="shared" si="1"/>
        <v>88186</v>
      </c>
      <c r="AR12" s="24">
        <f t="shared" si="1"/>
        <v>33912</v>
      </c>
      <c r="AS12" s="24">
        <f t="shared" si="1"/>
        <v>23422</v>
      </c>
      <c r="AT12" s="24">
        <f t="shared" si="1"/>
        <v>20421</v>
      </c>
      <c r="AU12" s="24">
        <f t="shared" si="1"/>
        <v>24084</v>
      </c>
      <c r="AV12" s="24">
        <f t="shared" si="1"/>
        <v>101839</v>
      </c>
      <c r="AW12" s="24">
        <f t="shared" si="1"/>
        <v>32031</v>
      </c>
      <c r="AX12" s="24">
        <f t="shared" si="1"/>
        <v>21821</v>
      </c>
      <c r="AY12" s="24">
        <f t="shared" si="1"/>
        <v>20227</v>
      </c>
      <c r="AZ12" s="24">
        <f t="shared" ref="AZ12:BA12" si="2">AZ10-AZ11</f>
        <v>25916.479180196387</v>
      </c>
      <c r="BA12" s="24">
        <f t="shared" si="2"/>
        <v>99995.479180196358</v>
      </c>
      <c r="BB12" s="24">
        <f t="shared" si="1"/>
        <v>33253.01272846893</v>
      </c>
      <c r="BC12" s="24">
        <f t="shared" si="1"/>
        <v>22919.289133088409</v>
      </c>
      <c r="BD12" s="24">
        <f t="shared" si="1"/>
        <v>21947.977601235703</v>
      </c>
      <c r="BE12" s="24">
        <f t="shared" si="1"/>
        <v>29325.516183950902</v>
      </c>
      <c r="BF12" s="110">
        <f t="shared" si="1"/>
        <v>107445.79564674391</v>
      </c>
      <c r="BG12" s="24">
        <f t="shared" si="1"/>
        <v>34582.360727433334</v>
      </c>
      <c r="BH12" s="24">
        <f t="shared" si="1"/>
        <v>24103.929055702691</v>
      </c>
      <c r="BI12" s="24">
        <f t="shared" si="1"/>
        <v>23911.059261174902</v>
      </c>
      <c r="BJ12" s="24">
        <f t="shared" si="1"/>
        <v>33273.917860567679</v>
      </c>
      <c r="BK12" s="110">
        <f t="shared" si="1"/>
        <v>115871.2669048786</v>
      </c>
      <c r="BL12" s="24">
        <f t="shared" si="1"/>
        <v>34962.957403243992</v>
      </c>
      <c r="BM12" s="24">
        <f t="shared" si="1"/>
        <v>24513.322840343091</v>
      </c>
      <c r="BN12" s="24">
        <f t="shared" si="1"/>
        <v>25383.492379617142</v>
      </c>
      <c r="BO12" s="24">
        <f t="shared" si="1"/>
        <v>37070.104045541077</v>
      </c>
      <c r="BP12" s="110">
        <f t="shared" si="1"/>
        <v>121929.8766687453</v>
      </c>
      <c r="BQ12" s="24">
        <f t="shared" si="1"/>
        <v>36001.744422064927</v>
      </c>
      <c r="BR12" s="24">
        <f t="shared" si="1"/>
        <v>25485.715200556122</v>
      </c>
      <c r="BS12" s="24">
        <f t="shared" si="1"/>
        <v>27381.217706255047</v>
      </c>
      <c r="BT12" s="24">
        <f t="shared" si="1"/>
        <v>41768.971858099831</v>
      </c>
      <c r="BU12" s="110">
        <f t="shared" si="1"/>
        <v>130637.64918697593</v>
      </c>
    </row>
    <row r="13" spans="2:73" x14ac:dyDescent="0.3">
      <c r="B13" s="360" t="s">
        <v>8</v>
      </c>
      <c r="C13" s="361"/>
      <c r="D13" s="94">
        <v>398</v>
      </c>
      <c r="E13" s="95">
        <v>426</v>
      </c>
      <c r="F13" s="95">
        <v>464</v>
      </c>
      <c r="G13" s="96">
        <v>494</v>
      </c>
      <c r="H13" s="122">
        <v>1782</v>
      </c>
      <c r="I13" s="94">
        <v>575</v>
      </c>
      <c r="J13" s="95">
        <v>581</v>
      </c>
      <c r="K13" s="95">
        <v>628</v>
      </c>
      <c r="L13" s="96">
        <v>645</v>
      </c>
      <c r="M13" s="122">
        <v>2429</v>
      </c>
      <c r="N13" s="94">
        <v>758</v>
      </c>
      <c r="O13" s="95">
        <v>841</v>
      </c>
      <c r="P13" s="95">
        <v>876</v>
      </c>
      <c r="Q13" s="96">
        <v>906</v>
      </c>
      <c r="R13" s="122">
        <v>3381</v>
      </c>
      <c r="S13" s="94">
        <v>1010</v>
      </c>
      <c r="T13" s="95">
        <v>1119</v>
      </c>
      <c r="U13" s="95">
        <v>1178</v>
      </c>
      <c r="V13" s="96">
        <v>1168</v>
      </c>
      <c r="W13" s="122">
        <v>4475</v>
      </c>
      <c r="X13" s="94">
        <v>1330</v>
      </c>
      <c r="Y13" s="95">
        <v>1422</v>
      </c>
      <c r="Z13" s="95">
        <v>1603</v>
      </c>
      <c r="AA13" s="96">
        <v>1686</v>
      </c>
      <c r="AB13" s="122">
        <v>6041</v>
      </c>
      <c r="AC13" s="42">
        <v>1895</v>
      </c>
      <c r="AD13" s="125">
        <v>1918</v>
      </c>
      <c r="AE13" s="125">
        <v>2034</v>
      </c>
      <c r="AF13" s="43">
        <v>2220</v>
      </c>
      <c r="AG13" s="25">
        <f>SUM(AC13:AF13)</f>
        <v>8067</v>
      </c>
      <c r="AH13" s="42">
        <v>2404</v>
      </c>
      <c r="AI13" s="125">
        <v>2511</v>
      </c>
      <c r="AJ13" s="125">
        <v>2560</v>
      </c>
      <c r="AK13" s="43">
        <v>2570</v>
      </c>
      <c r="AL13" s="25">
        <f>SUM(AH13:AK13)</f>
        <v>10045</v>
      </c>
      <c r="AM13" s="42">
        <v>2871</v>
      </c>
      <c r="AN13" s="125">
        <v>2776</v>
      </c>
      <c r="AO13" s="299">
        <v>2937</v>
      </c>
      <c r="AP13" s="43">
        <v>2997</v>
      </c>
      <c r="AQ13" s="25">
        <f>SUM(AM13:AP13)</f>
        <v>11581</v>
      </c>
      <c r="AR13" s="42">
        <v>3407</v>
      </c>
      <c r="AS13" s="299">
        <v>3378</v>
      </c>
      <c r="AT13" s="299">
        <v>3701</v>
      </c>
      <c r="AU13" s="43">
        <v>3750</v>
      </c>
      <c r="AV13" s="25">
        <f>SUM(AR13:AU13)</f>
        <v>14236</v>
      </c>
      <c r="AW13" s="42">
        <v>3902</v>
      </c>
      <c r="AX13" s="125">
        <v>3948</v>
      </c>
      <c r="AY13" s="125">
        <v>4257</v>
      </c>
      <c r="AZ13" s="43">
        <f>AZ10*AZ40</f>
        <v>3722.7229581418951</v>
      </c>
      <c r="BA13" s="25">
        <f>SUM(AW13:AZ13)</f>
        <v>15829.722958141894</v>
      </c>
      <c r="BB13" s="42">
        <f>BB10*BB40</f>
        <v>4813.9578118868239</v>
      </c>
      <c r="BC13" s="125">
        <f>BC10*BC40</f>
        <v>3351.4248085828708</v>
      </c>
      <c r="BD13" s="125">
        <f>BD10*BD40</f>
        <v>3211.2982632604476</v>
      </c>
      <c r="BE13" s="43">
        <f>BE10*BE40</f>
        <v>4212.4075418692137</v>
      </c>
      <c r="BF13" s="25">
        <f>SUM(BB13:BE13)</f>
        <v>15589.088425599355</v>
      </c>
      <c r="BG13" s="42">
        <f>BG10*BG40</f>
        <v>5006.4042899423921</v>
      </c>
      <c r="BH13" s="125">
        <f>BH10*BH40</f>
        <v>3524.6514563568376</v>
      </c>
      <c r="BI13" s="78">
        <f>BI10*BI40</f>
        <v>3498.5247603772586</v>
      </c>
      <c r="BJ13" s="43">
        <f>BJ10*BJ40</f>
        <v>4779.5681298220352</v>
      </c>
      <c r="BK13" s="25">
        <f>SUM(BG13:BJ13)</f>
        <v>16809.148636498525</v>
      </c>
      <c r="BL13" s="42">
        <f>BL10*BL40</f>
        <v>5061.5023454376251</v>
      </c>
      <c r="BM13" s="125">
        <f>BM10*BM40</f>
        <v>3584.5159869867443</v>
      </c>
      <c r="BN13" s="78">
        <f>BN10*BN40</f>
        <v>3713.9624650227438</v>
      </c>
      <c r="BO13" s="43">
        <f>BO10*BO40</f>
        <v>5324.8640153441856</v>
      </c>
      <c r="BP13" s="25">
        <f>SUM(BL13:BO13)</f>
        <v>17684.8448127913</v>
      </c>
      <c r="BQ13" s="42">
        <f>BQ10*BQ40</f>
        <v>5211.8850167755036</v>
      </c>
      <c r="BR13" s="125">
        <f>BR10*BR40</f>
        <v>3726.7062556626415</v>
      </c>
      <c r="BS13" s="78">
        <f>BS10*BS40</f>
        <v>4006.2578185382549</v>
      </c>
      <c r="BT13" s="43">
        <f>BT10*BT40</f>
        <v>5999.8238724089169</v>
      </c>
      <c r="BU13" s="25">
        <f>SUM(BQ13:BT13)</f>
        <v>18944.672963385317</v>
      </c>
    </row>
    <row r="14" spans="2:73" ht="16.2" x14ac:dyDescent="0.45">
      <c r="B14" s="360" t="s">
        <v>7</v>
      </c>
      <c r="C14" s="361"/>
      <c r="D14" s="164">
        <v>1288</v>
      </c>
      <c r="E14" s="165">
        <v>1220</v>
      </c>
      <c r="F14" s="165">
        <v>1438</v>
      </c>
      <c r="G14" s="166">
        <v>1571</v>
      </c>
      <c r="H14" s="167">
        <v>5517</v>
      </c>
      <c r="I14" s="164">
        <v>1896</v>
      </c>
      <c r="J14" s="165">
        <v>1763</v>
      </c>
      <c r="K14" s="165">
        <v>1915</v>
      </c>
      <c r="L14" s="166">
        <v>2025</v>
      </c>
      <c r="M14" s="167">
        <v>7599</v>
      </c>
      <c r="N14" s="164">
        <v>2605</v>
      </c>
      <c r="O14" s="165">
        <v>2339</v>
      </c>
      <c r="P14" s="165">
        <v>2545</v>
      </c>
      <c r="Q14" s="166">
        <v>2551</v>
      </c>
      <c r="R14" s="167">
        <v>10040</v>
      </c>
      <c r="S14" s="164">
        <v>2840</v>
      </c>
      <c r="T14" s="165">
        <v>2672</v>
      </c>
      <c r="U14" s="165">
        <v>2645</v>
      </c>
      <c r="V14" s="166">
        <v>2673</v>
      </c>
      <c r="W14" s="167">
        <v>10830</v>
      </c>
      <c r="X14" s="164">
        <v>3053</v>
      </c>
      <c r="Y14" s="165">
        <v>2932</v>
      </c>
      <c r="Z14" s="165">
        <v>2850</v>
      </c>
      <c r="AA14" s="166">
        <v>3158</v>
      </c>
      <c r="AB14" s="167">
        <v>11993</v>
      </c>
      <c r="AC14" s="44">
        <v>3600</v>
      </c>
      <c r="AD14" s="41">
        <v>3460</v>
      </c>
      <c r="AE14" s="41">
        <v>3564</v>
      </c>
      <c r="AF14" s="45">
        <v>3705</v>
      </c>
      <c r="AG14" s="109">
        <f>SUM(AC14:AF14)</f>
        <v>14329</v>
      </c>
      <c r="AH14" s="44">
        <v>3848</v>
      </c>
      <c r="AI14" s="41">
        <v>3423</v>
      </c>
      <c r="AJ14" s="41">
        <v>3441</v>
      </c>
      <c r="AK14" s="45">
        <v>3482</v>
      </c>
      <c r="AL14" s="109">
        <f>SUM(AH14:AK14)</f>
        <v>14194</v>
      </c>
      <c r="AM14" s="44">
        <v>3946</v>
      </c>
      <c r="AN14" s="41">
        <v>3718</v>
      </c>
      <c r="AO14" s="300">
        <v>3783</v>
      </c>
      <c r="AP14" s="45">
        <v>3814</v>
      </c>
      <c r="AQ14" s="109">
        <f>SUM(AM14:AP14)</f>
        <v>15261</v>
      </c>
      <c r="AR14" s="44">
        <v>4231</v>
      </c>
      <c r="AS14" s="300">
        <v>4150</v>
      </c>
      <c r="AT14" s="300">
        <v>4108</v>
      </c>
      <c r="AU14" s="45">
        <v>4216</v>
      </c>
      <c r="AV14" s="109">
        <f>SUM(AR14:AU14)</f>
        <v>16705</v>
      </c>
      <c r="AW14" s="44">
        <v>4783</v>
      </c>
      <c r="AX14" s="41">
        <v>4458</v>
      </c>
      <c r="AY14" s="41">
        <v>4426</v>
      </c>
      <c r="AZ14" s="45">
        <f>AZ10*AZ39</f>
        <v>5642.2610715427181</v>
      </c>
      <c r="BA14" s="109">
        <f>SUM(AW14:AZ14)</f>
        <v>19309.261071542718</v>
      </c>
      <c r="BB14" s="44">
        <f>BB10*BB39</f>
        <v>7296.1665607303303</v>
      </c>
      <c r="BC14" s="41">
        <f>BC10*BC39</f>
        <v>5079.5114071845683</v>
      </c>
      <c r="BD14" s="41">
        <f>BD10*BD39</f>
        <v>4867.1317698459097</v>
      </c>
      <c r="BE14" s="45">
        <f>BE10*BE39</f>
        <v>6384.4404641984365</v>
      </c>
      <c r="BF14" s="109">
        <f>SUM(BB14:BE14)</f>
        <v>23627.250201959243</v>
      </c>
      <c r="BG14" s="44">
        <f>BG10*BG39</f>
        <v>7587.8437238438573</v>
      </c>
      <c r="BH14" s="41">
        <f>BH10*BH39</f>
        <v>5342.058468107075</v>
      </c>
      <c r="BI14" s="41">
        <f>BI10*BI39</f>
        <v>5302.4601307311486</v>
      </c>
      <c r="BJ14" s="45">
        <f>BJ10*BJ39</f>
        <v>7244.0446148969659</v>
      </c>
      <c r="BK14" s="109">
        <f>SUM(BG14:BJ14)</f>
        <v>25476.40693757905</v>
      </c>
      <c r="BL14" s="44">
        <f>BL10*BL39</f>
        <v>7671.3518487121191</v>
      </c>
      <c r="BM14" s="41">
        <f>BM10*BM39</f>
        <v>5432.7907934874975</v>
      </c>
      <c r="BN14" s="41">
        <f>BN10*BN39</f>
        <v>5628.983427772424</v>
      </c>
      <c r="BO14" s="45">
        <f>BO10*BO39</f>
        <v>8070.5100225967381</v>
      </c>
      <c r="BP14" s="109">
        <f>SUM(BL14:BO14)</f>
        <v>26803.636092568777</v>
      </c>
      <c r="BQ14" s="44">
        <f>BQ10*BQ39</f>
        <v>7899.2759520807522</v>
      </c>
      <c r="BR14" s="41">
        <f>BR10*BR39</f>
        <v>5648.2982665718364</v>
      </c>
      <c r="BS14" s="41">
        <f>BS10*BS39</f>
        <v>6071.9942865113035</v>
      </c>
      <c r="BT14" s="45">
        <f>BT10*BT39</f>
        <v>9093.4977037083063</v>
      </c>
      <c r="BU14" s="109">
        <f>SUM(BQ14:BT14)</f>
        <v>28713.066208872202</v>
      </c>
    </row>
    <row r="15" spans="2:73" s="132" customFormat="1" ht="16.2" x14ac:dyDescent="0.45">
      <c r="B15" s="146" t="s">
        <v>202</v>
      </c>
      <c r="C15" s="147"/>
      <c r="D15" s="164">
        <f>SUM(D13:D14)</f>
        <v>1686</v>
      </c>
      <c r="E15" s="165">
        <f t="shared" ref="E15:BK15" si="3">SUM(E13:E14)</f>
        <v>1646</v>
      </c>
      <c r="F15" s="165">
        <f t="shared" si="3"/>
        <v>1902</v>
      </c>
      <c r="G15" s="166">
        <f t="shared" si="3"/>
        <v>2065</v>
      </c>
      <c r="H15" s="167">
        <f t="shared" si="3"/>
        <v>7299</v>
      </c>
      <c r="I15" s="164">
        <f t="shared" si="3"/>
        <v>2471</v>
      </c>
      <c r="J15" s="165">
        <f t="shared" si="3"/>
        <v>2344</v>
      </c>
      <c r="K15" s="165">
        <f t="shared" si="3"/>
        <v>2543</v>
      </c>
      <c r="L15" s="166">
        <f t="shared" si="3"/>
        <v>2670</v>
      </c>
      <c r="M15" s="167">
        <f t="shared" si="3"/>
        <v>10028</v>
      </c>
      <c r="N15" s="164">
        <f t="shared" si="3"/>
        <v>3363</v>
      </c>
      <c r="O15" s="165">
        <f t="shared" si="3"/>
        <v>3180</v>
      </c>
      <c r="P15" s="165">
        <f t="shared" si="3"/>
        <v>3421</v>
      </c>
      <c r="Q15" s="166">
        <f t="shared" si="3"/>
        <v>3457</v>
      </c>
      <c r="R15" s="167">
        <f t="shared" si="3"/>
        <v>13421</v>
      </c>
      <c r="S15" s="164">
        <f t="shared" si="3"/>
        <v>3850</v>
      </c>
      <c r="T15" s="165">
        <f t="shared" si="3"/>
        <v>3791</v>
      </c>
      <c r="U15" s="165">
        <f t="shared" si="3"/>
        <v>3823</v>
      </c>
      <c r="V15" s="166">
        <f t="shared" si="3"/>
        <v>3841</v>
      </c>
      <c r="W15" s="167">
        <f t="shared" si="3"/>
        <v>15305</v>
      </c>
      <c r="X15" s="164">
        <f t="shared" si="3"/>
        <v>4383</v>
      </c>
      <c r="Y15" s="165">
        <f t="shared" si="3"/>
        <v>4354</v>
      </c>
      <c r="Z15" s="165">
        <f t="shared" si="3"/>
        <v>4453</v>
      </c>
      <c r="AA15" s="166">
        <f t="shared" si="3"/>
        <v>4844</v>
      </c>
      <c r="AB15" s="167">
        <f t="shared" si="3"/>
        <v>18034</v>
      </c>
      <c r="AC15" s="44">
        <f t="shared" si="3"/>
        <v>5495</v>
      </c>
      <c r="AD15" s="41">
        <f t="shared" si="3"/>
        <v>5378</v>
      </c>
      <c r="AE15" s="41">
        <f t="shared" si="3"/>
        <v>5598</v>
      </c>
      <c r="AF15" s="45">
        <f t="shared" si="3"/>
        <v>5925</v>
      </c>
      <c r="AG15" s="109">
        <f t="shared" si="3"/>
        <v>22396</v>
      </c>
      <c r="AH15" s="44">
        <f t="shared" si="3"/>
        <v>6252</v>
      </c>
      <c r="AI15" s="41">
        <f t="shared" si="3"/>
        <v>5934</v>
      </c>
      <c r="AJ15" s="41">
        <f t="shared" si="3"/>
        <v>6001</v>
      </c>
      <c r="AK15" s="45">
        <f t="shared" si="3"/>
        <v>6052</v>
      </c>
      <c r="AL15" s="109">
        <f t="shared" si="3"/>
        <v>24239</v>
      </c>
      <c r="AM15" s="44">
        <f t="shared" si="3"/>
        <v>6817</v>
      </c>
      <c r="AN15" s="41">
        <f t="shared" si="3"/>
        <v>6494</v>
      </c>
      <c r="AO15" s="41">
        <f t="shared" si="3"/>
        <v>6720</v>
      </c>
      <c r="AP15" s="41">
        <f t="shared" si="3"/>
        <v>6811</v>
      </c>
      <c r="AQ15" s="41">
        <f t="shared" si="3"/>
        <v>26842</v>
      </c>
      <c r="AR15" s="41">
        <f t="shared" si="3"/>
        <v>7638</v>
      </c>
      <c r="AS15" s="41">
        <f t="shared" si="3"/>
        <v>7528</v>
      </c>
      <c r="AT15" s="41">
        <f t="shared" si="3"/>
        <v>7809</v>
      </c>
      <c r="AU15" s="41">
        <f t="shared" si="3"/>
        <v>7966</v>
      </c>
      <c r="AV15" s="41">
        <f t="shared" si="3"/>
        <v>30941</v>
      </c>
      <c r="AW15" s="41">
        <f t="shared" si="3"/>
        <v>8685</v>
      </c>
      <c r="AX15" s="41">
        <f t="shared" si="3"/>
        <v>8406</v>
      </c>
      <c r="AY15" s="41">
        <f t="shared" si="3"/>
        <v>8683</v>
      </c>
      <c r="AZ15" s="45">
        <f t="shared" ref="AZ15:BA15" si="4">SUM(AZ13:AZ14)</f>
        <v>9364.9840296846123</v>
      </c>
      <c r="BA15" s="41">
        <f t="shared" si="4"/>
        <v>35138.984029684609</v>
      </c>
      <c r="BB15" s="44">
        <f t="shared" si="3"/>
        <v>12110.124372617154</v>
      </c>
      <c r="BC15" s="41">
        <f t="shared" si="3"/>
        <v>8430.9362157674386</v>
      </c>
      <c r="BD15" s="41">
        <f t="shared" si="3"/>
        <v>8078.4300331063569</v>
      </c>
      <c r="BE15" s="45">
        <f t="shared" si="3"/>
        <v>10596.84800606765</v>
      </c>
      <c r="BF15" s="109">
        <f t="shared" si="3"/>
        <v>39216.338627558594</v>
      </c>
      <c r="BG15" s="44">
        <f t="shared" si="3"/>
        <v>12594.248013786249</v>
      </c>
      <c r="BH15" s="41">
        <f t="shared" si="3"/>
        <v>8866.7099244639121</v>
      </c>
      <c r="BI15" s="41">
        <f t="shared" si="3"/>
        <v>8800.9848911084082</v>
      </c>
      <c r="BJ15" s="45">
        <f t="shared" si="3"/>
        <v>12023.612744719001</v>
      </c>
      <c r="BK15" s="109">
        <f t="shared" si="3"/>
        <v>42285.555574077574</v>
      </c>
      <c r="BL15" s="44">
        <f t="shared" ref="BL15:BU15" si="5">SUM(BL13:BL14)</f>
        <v>12732.854194149744</v>
      </c>
      <c r="BM15" s="41">
        <f t="shared" si="5"/>
        <v>9017.3067804742423</v>
      </c>
      <c r="BN15" s="41">
        <f t="shared" si="5"/>
        <v>9342.9458927951673</v>
      </c>
      <c r="BO15" s="45">
        <f t="shared" si="5"/>
        <v>13395.374037940925</v>
      </c>
      <c r="BP15" s="109">
        <f t="shared" si="5"/>
        <v>44488.480905360077</v>
      </c>
      <c r="BQ15" s="44">
        <f t="shared" si="5"/>
        <v>13111.160968856257</v>
      </c>
      <c r="BR15" s="41">
        <f t="shared" si="5"/>
        <v>9375.0045222344779</v>
      </c>
      <c r="BS15" s="41">
        <f t="shared" si="5"/>
        <v>10078.252105049558</v>
      </c>
      <c r="BT15" s="45">
        <f t="shared" si="5"/>
        <v>15093.321576117223</v>
      </c>
      <c r="BU15" s="109">
        <f t="shared" si="5"/>
        <v>47657.739172257519</v>
      </c>
    </row>
    <row r="16" spans="2:73" x14ac:dyDescent="0.3">
      <c r="B16" s="375" t="s">
        <v>2</v>
      </c>
      <c r="C16" s="376"/>
      <c r="D16" s="75">
        <f t="shared" ref="D16:AB16" si="6">D12-D14-D13</f>
        <v>4725</v>
      </c>
      <c r="E16" s="73">
        <f t="shared" si="6"/>
        <v>3979</v>
      </c>
      <c r="F16" s="73">
        <f t="shared" si="6"/>
        <v>4234</v>
      </c>
      <c r="G16" s="86">
        <f t="shared" si="6"/>
        <v>5447</v>
      </c>
      <c r="H16" s="87">
        <f t="shared" si="6"/>
        <v>18385</v>
      </c>
      <c r="I16" s="75">
        <f t="shared" si="6"/>
        <v>7827</v>
      </c>
      <c r="J16" s="73">
        <f t="shared" si="6"/>
        <v>7874</v>
      </c>
      <c r="K16" s="73">
        <f t="shared" si="6"/>
        <v>9379</v>
      </c>
      <c r="L16" s="86">
        <f t="shared" si="6"/>
        <v>8710</v>
      </c>
      <c r="M16" s="87">
        <f t="shared" si="6"/>
        <v>33790</v>
      </c>
      <c r="N16" s="75">
        <f t="shared" si="6"/>
        <v>17340</v>
      </c>
      <c r="O16" s="73">
        <f t="shared" si="6"/>
        <v>15384</v>
      </c>
      <c r="P16" s="73">
        <f t="shared" si="6"/>
        <v>11573</v>
      </c>
      <c r="Q16" s="86">
        <f t="shared" si="6"/>
        <v>10944</v>
      </c>
      <c r="R16" s="87">
        <f t="shared" si="6"/>
        <v>55241</v>
      </c>
      <c r="S16" s="75">
        <f t="shared" si="6"/>
        <v>17210</v>
      </c>
      <c r="T16" s="73">
        <f t="shared" si="6"/>
        <v>12558</v>
      </c>
      <c r="U16" s="73">
        <f t="shared" si="6"/>
        <v>9201</v>
      </c>
      <c r="V16" s="86">
        <f t="shared" si="6"/>
        <v>10030</v>
      </c>
      <c r="W16" s="87">
        <f t="shared" si="6"/>
        <v>48999</v>
      </c>
      <c r="X16" s="75">
        <f t="shared" si="6"/>
        <v>17463</v>
      </c>
      <c r="Y16" s="73">
        <f t="shared" si="6"/>
        <v>13593</v>
      </c>
      <c r="Z16" s="73">
        <f t="shared" si="6"/>
        <v>10282</v>
      </c>
      <c r="AA16" s="86">
        <f t="shared" si="6"/>
        <v>11165</v>
      </c>
      <c r="AB16" s="87">
        <f t="shared" si="6"/>
        <v>52503</v>
      </c>
      <c r="AC16" s="46">
        <f t="shared" ref="AC16:BK16" si="7">AC12-AC14-AC13</f>
        <v>24246</v>
      </c>
      <c r="AD16" s="24">
        <f t="shared" si="7"/>
        <v>18278</v>
      </c>
      <c r="AE16" s="24">
        <f>AE12-AE14-AE13</f>
        <v>14083</v>
      </c>
      <c r="AF16" s="47">
        <f t="shared" si="7"/>
        <v>14623</v>
      </c>
      <c r="AG16" s="110">
        <f t="shared" si="7"/>
        <v>71230</v>
      </c>
      <c r="AH16" s="46">
        <f t="shared" si="7"/>
        <v>24171</v>
      </c>
      <c r="AI16" s="24">
        <f t="shared" si="7"/>
        <v>13987</v>
      </c>
      <c r="AJ16" s="24">
        <f t="shared" si="7"/>
        <v>10105</v>
      </c>
      <c r="AK16" s="47">
        <f t="shared" si="7"/>
        <v>11761</v>
      </c>
      <c r="AL16" s="110">
        <f t="shared" si="7"/>
        <v>60024</v>
      </c>
      <c r="AM16" s="46">
        <f t="shared" si="7"/>
        <v>23359</v>
      </c>
      <c r="AN16" s="24">
        <f t="shared" si="7"/>
        <v>14097</v>
      </c>
      <c r="AO16" s="301">
        <f t="shared" si="7"/>
        <v>10768</v>
      </c>
      <c r="AP16" s="47">
        <f t="shared" si="7"/>
        <v>13120</v>
      </c>
      <c r="AQ16" s="110">
        <f t="shared" si="7"/>
        <v>61344</v>
      </c>
      <c r="AR16" s="110">
        <f t="shared" si="7"/>
        <v>26274</v>
      </c>
      <c r="AS16" s="110">
        <f t="shared" si="7"/>
        <v>15894</v>
      </c>
      <c r="AT16" s="110">
        <f t="shared" si="7"/>
        <v>12612</v>
      </c>
      <c r="AU16" s="110">
        <f t="shared" si="7"/>
        <v>16118</v>
      </c>
      <c r="AV16" s="110">
        <f t="shared" si="7"/>
        <v>70898</v>
      </c>
      <c r="AW16" s="110">
        <f t="shared" si="7"/>
        <v>23346</v>
      </c>
      <c r="AX16" s="110">
        <f t="shared" si="7"/>
        <v>13415</v>
      </c>
      <c r="AY16" s="110">
        <f t="shared" si="7"/>
        <v>11544</v>
      </c>
      <c r="AZ16" s="47">
        <f t="shared" ref="AZ16:BA16" si="8">AZ12-AZ14-AZ13</f>
        <v>16551.495150511775</v>
      </c>
      <c r="BA16" s="110">
        <f t="shared" si="8"/>
        <v>64856.49515051175</v>
      </c>
      <c r="BB16" s="46">
        <f t="shared" si="7"/>
        <v>21142.888355851777</v>
      </c>
      <c r="BC16" s="24">
        <f t="shared" si="7"/>
        <v>14488.35291732097</v>
      </c>
      <c r="BD16" s="24">
        <f t="shared" si="7"/>
        <v>13869.547568129346</v>
      </c>
      <c r="BE16" s="47">
        <f t="shared" si="7"/>
        <v>18728.66817788325</v>
      </c>
      <c r="BF16" s="110">
        <f t="shared" si="7"/>
        <v>68229.457019185298</v>
      </c>
      <c r="BG16" s="46">
        <f t="shared" si="7"/>
        <v>21988.112713647086</v>
      </c>
      <c r="BH16" s="24">
        <f t="shared" si="7"/>
        <v>15237.219131238777</v>
      </c>
      <c r="BI16" s="24">
        <f t="shared" si="7"/>
        <v>15110.074370066493</v>
      </c>
      <c r="BJ16" s="47">
        <f t="shared" si="7"/>
        <v>21250.305115848678</v>
      </c>
      <c r="BK16" s="110">
        <f t="shared" si="7"/>
        <v>73585.711330801045</v>
      </c>
      <c r="BL16" s="46">
        <f t="shared" ref="BL16:BU16" si="9">BL12-BL14-BL13</f>
        <v>22230.10320909425</v>
      </c>
      <c r="BM16" s="24">
        <f t="shared" si="9"/>
        <v>15496.016059868851</v>
      </c>
      <c r="BN16" s="24">
        <f t="shared" si="9"/>
        <v>16040.546486821977</v>
      </c>
      <c r="BO16" s="47">
        <f t="shared" si="9"/>
        <v>23674.730007600152</v>
      </c>
      <c r="BP16" s="110">
        <f t="shared" si="9"/>
        <v>77441.395763385226</v>
      </c>
      <c r="BQ16" s="46">
        <f t="shared" si="9"/>
        <v>22890.58345320867</v>
      </c>
      <c r="BR16" s="24">
        <f t="shared" si="9"/>
        <v>16110.710678321644</v>
      </c>
      <c r="BS16" s="24">
        <f t="shared" si="9"/>
        <v>17302.965601205487</v>
      </c>
      <c r="BT16" s="47">
        <f t="shared" si="9"/>
        <v>26675.650281982606</v>
      </c>
      <c r="BU16" s="110">
        <f t="shared" si="9"/>
        <v>82979.910014718422</v>
      </c>
    </row>
    <row r="17" spans="2:73" s="274" customFormat="1" x14ac:dyDescent="0.3">
      <c r="B17" s="268" t="s">
        <v>280</v>
      </c>
      <c r="C17" s="269"/>
      <c r="D17" s="270">
        <f t="shared" ref="D17:AI17" si="10">+D16+D114</f>
        <v>4934</v>
      </c>
      <c r="E17" s="271">
        <f t="shared" si="10"/>
        <v>4195</v>
      </c>
      <c r="F17" s="271">
        <f t="shared" si="10"/>
        <v>4507</v>
      </c>
      <c r="G17" s="272">
        <f t="shared" si="10"/>
        <v>5776</v>
      </c>
      <c r="H17" s="273">
        <f t="shared" si="10"/>
        <v>19412</v>
      </c>
      <c r="I17" s="270">
        <f t="shared" si="10"/>
        <v>8183</v>
      </c>
      <c r="J17" s="271">
        <f t="shared" si="10"/>
        <v>8308</v>
      </c>
      <c r="K17" s="271">
        <f t="shared" si="10"/>
        <v>9860</v>
      </c>
      <c r="L17" s="272">
        <f t="shared" si="10"/>
        <v>9253</v>
      </c>
      <c r="M17" s="273">
        <f t="shared" si="10"/>
        <v>35604</v>
      </c>
      <c r="N17" s="270">
        <f t="shared" si="10"/>
        <v>18061</v>
      </c>
      <c r="O17" s="271">
        <f t="shared" si="10"/>
        <v>16124</v>
      </c>
      <c r="P17" s="271">
        <f t="shared" si="10"/>
        <v>12408</v>
      </c>
      <c r="Q17" s="272">
        <f t="shared" si="10"/>
        <v>11925</v>
      </c>
      <c r="R17" s="273">
        <f t="shared" si="10"/>
        <v>58518</v>
      </c>
      <c r="S17" s="270">
        <f t="shared" si="10"/>
        <v>18798</v>
      </c>
      <c r="T17" s="271">
        <f t="shared" si="10"/>
        <v>14250</v>
      </c>
      <c r="U17" s="271">
        <f t="shared" si="10"/>
        <v>10895</v>
      </c>
      <c r="V17" s="272">
        <f t="shared" si="10"/>
        <v>11813</v>
      </c>
      <c r="W17" s="273">
        <f t="shared" si="10"/>
        <v>55756</v>
      </c>
      <c r="X17" s="270">
        <f t="shared" si="10"/>
        <v>19607</v>
      </c>
      <c r="Y17" s="271">
        <f t="shared" si="10"/>
        <v>15480</v>
      </c>
      <c r="Z17" s="271">
        <f t="shared" si="10"/>
        <v>12228</v>
      </c>
      <c r="AA17" s="272">
        <f t="shared" si="10"/>
        <v>13134</v>
      </c>
      <c r="AB17" s="273">
        <f t="shared" si="10"/>
        <v>60449</v>
      </c>
      <c r="AC17" s="266">
        <f t="shared" si="10"/>
        <v>26821</v>
      </c>
      <c r="AD17" s="266">
        <f t="shared" si="10"/>
        <v>20757</v>
      </c>
      <c r="AE17" s="266">
        <f t="shared" si="10"/>
        <v>17167</v>
      </c>
      <c r="AF17" s="266">
        <f t="shared" si="10"/>
        <v>17742</v>
      </c>
      <c r="AG17" s="267">
        <f t="shared" si="10"/>
        <v>82487</v>
      </c>
      <c r="AH17" s="266">
        <f t="shared" si="10"/>
        <v>27125</v>
      </c>
      <c r="AI17" s="266">
        <f t="shared" si="10"/>
        <v>16464</v>
      </c>
      <c r="AJ17" s="266">
        <f t="shared" ref="AJ17:BO17" si="11">+AJ16+AJ114</f>
        <v>12631</v>
      </c>
      <c r="AK17" s="266">
        <f t="shared" si="11"/>
        <v>14309</v>
      </c>
      <c r="AL17" s="267">
        <f t="shared" si="11"/>
        <v>70529</v>
      </c>
      <c r="AM17" s="266">
        <f t="shared" si="11"/>
        <v>26346</v>
      </c>
      <c r="AN17" s="266">
        <f t="shared" si="11"/>
        <v>16429</v>
      </c>
      <c r="AO17" s="266">
        <f t="shared" si="11"/>
        <v>13122</v>
      </c>
      <c r="AP17" s="266">
        <f t="shared" si="11"/>
        <v>15604</v>
      </c>
      <c r="AQ17" s="266">
        <f t="shared" si="11"/>
        <v>71501</v>
      </c>
      <c r="AR17" s="266">
        <f t="shared" si="11"/>
        <v>29019</v>
      </c>
      <c r="AS17" s="266">
        <f t="shared" si="11"/>
        <v>18633</v>
      </c>
      <c r="AT17" s="266">
        <f t="shared" si="11"/>
        <v>15277</v>
      </c>
      <c r="AU17" s="266">
        <f t="shared" si="11"/>
        <v>18872</v>
      </c>
      <c r="AV17" s="266">
        <f t="shared" si="11"/>
        <v>81801</v>
      </c>
      <c r="AW17" s="266">
        <f t="shared" si="11"/>
        <v>26741</v>
      </c>
      <c r="AX17" s="266">
        <f t="shared" si="11"/>
        <v>16455</v>
      </c>
      <c r="AY17" s="266">
        <f t="shared" si="11"/>
        <v>14477</v>
      </c>
      <c r="AZ17" s="266">
        <f t="shared" si="11"/>
        <v>19446.525131518243</v>
      </c>
      <c r="BA17" s="266">
        <f t="shared" si="11"/>
        <v>77119.52513151821</v>
      </c>
      <c r="BB17" s="266">
        <f t="shared" si="11"/>
        <v>24042.582437039004</v>
      </c>
      <c r="BC17" s="266">
        <f t="shared" si="11"/>
        <v>17283.660815228126</v>
      </c>
      <c r="BD17" s="266">
        <f t="shared" si="11"/>
        <v>16611.736470211414</v>
      </c>
      <c r="BE17" s="266">
        <f t="shared" si="11"/>
        <v>21431.395203851363</v>
      </c>
      <c r="BF17" s="267">
        <f t="shared" si="11"/>
        <v>79369.374926329867</v>
      </c>
      <c r="BG17" s="266">
        <f t="shared" si="11"/>
        <v>24656.118211818994</v>
      </c>
      <c r="BH17" s="266">
        <f t="shared" si="11"/>
        <v>17861.03991213398</v>
      </c>
      <c r="BI17" s="266">
        <f t="shared" si="11"/>
        <v>17702.917204175919</v>
      </c>
      <c r="BJ17" s="266">
        <f t="shared" si="11"/>
        <v>23816.806588027215</v>
      </c>
      <c r="BK17" s="267">
        <f t="shared" si="11"/>
        <v>84036.881916156126</v>
      </c>
      <c r="BL17" s="266">
        <f t="shared" si="11"/>
        <v>24772.818015183006</v>
      </c>
      <c r="BM17" s="266">
        <f t="shared" si="11"/>
        <v>18017.00722158785</v>
      </c>
      <c r="BN17" s="266">
        <f t="shared" si="11"/>
        <v>18544.634687516125</v>
      </c>
      <c r="BO17" s="266">
        <f t="shared" si="11"/>
        <v>26164.801490036458</v>
      </c>
      <c r="BP17" s="267">
        <f t="shared" ref="BP17:BU17" si="12">+BP16+BP114</f>
        <v>87499.261414323439</v>
      </c>
      <c r="BQ17" s="266">
        <f t="shared" si="12"/>
        <v>25369.138357280361</v>
      </c>
      <c r="BR17" s="266">
        <f t="shared" si="12"/>
        <v>18580.270668198395</v>
      </c>
      <c r="BS17" s="266">
        <f t="shared" si="12"/>
        <v>19766.200523149295</v>
      </c>
      <c r="BT17" s="266">
        <f t="shared" si="12"/>
        <v>29134.741830114868</v>
      </c>
      <c r="BU17" s="267">
        <f t="shared" si="12"/>
        <v>92850.35137874294</v>
      </c>
    </row>
    <row r="18" spans="2:73" s="33" customFormat="1" x14ac:dyDescent="0.3">
      <c r="B18" s="258" t="s">
        <v>269</v>
      </c>
      <c r="C18" s="259"/>
      <c r="D18" s="302"/>
      <c r="E18" s="233"/>
      <c r="F18" s="233"/>
      <c r="G18" s="303"/>
      <c r="H18" s="304"/>
      <c r="I18" s="302"/>
      <c r="J18" s="233"/>
      <c r="K18" s="233"/>
      <c r="L18" s="303"/>
      <c r="M18" s="304"/>
      <c r="N18" s="302">
        <v>228</v>
      </c>
      <c r="O18" s="233">
        <v>254</v>
      </c>
      <c r="P18" s="233">
        <v>292</v>
      </c>
      <c r="Q18" s="303">
        <v>313.99999999999989</v>
      </c>
      <c r="R18" s="235">
        <f>SUM(N18:Q18)</f>
        <v>1088</v>
      </c>
      <c r="S18" s="302">
        <v>421</v>
      </c>
      <c r="T18" s="233">
        <v>420</v>
      </c>
      <c r="U18" s="233">
        <v>385</v>
      </c>
      <c r="V18" s="303">
        <v>389.99999999999977</v>
      </c>
      <c r="W18" s="235">
        <f>SUM(S18:V18)</f>
        <v>1615.9999999999998</v>
      </c>
      <c r="X18" s="302">
        <v>427</v>
      </c>
      <c r="Y18" s="233">
        <v>410</v>
      </c>
      <c r="Z18" s="233">
        <v>439</v>
      </c>
      <c r="AA18" s="303">
        <v>519.00000000000011</v>
      </c>
      <c r="AB18" s="235">
        <f>SUM(X18:AA18)</f>
        <v>1795</v>
      </c>
      <c r="AC18" s="234">
        <v>654</v>
      </c>
      <c r="AD18" s="234">
        <v>675</v>
      </c>
      <c r="AE18" s="234">
        <v>766</v>
      </c>
      <c r="AF18" s="234">
        <v>825.99999999999989</v>
      </c>
      <c r="AG18" s="235">
        <f>SUM(AC18:AF18)</f>
        <v>2921</v>
      </c>
      <c r="AH18" s="234">
        <v>941</v>
      </c>
      <c r="AI18" s="234">
        <v>986</v>
      </c>
      <c r="AJ18" s="234">
        <v>1036</v>
      </c>
      <c r="AK18" s="234">
        <v>1036</v>
      </c>
      <c r="AL18" s="235">
        <f>SUM(AH18:AK18)</f>
        <v>3999</v>
      </c>
      <c r="AM18" s="234">
        <v>1224</v>
      </c>
      <c r="AN18" s="234">
        <v>1282</v>
      </c>
      <c r="AO18" s="234">
        <v>1327</v>
      </c>
      <c r="AP18" s="234">
        <v>1368</v>
      </c>
      <c r="AQ18" s="235">
        <f>SUM(AM18:AP18)</f>
        <v>5201</v>
      </c>
      <c r="AR18" s="234">
        <v>1452</v>
      </c>
      <c r="AS18" s="234">
        <v>1505</v>
      </c>
      <c r="AT18" s="234">
        <v>1418</v>
      </c>
      <c r="AU18" s="234">
        <v>1311</v>
      </c>
      <c r="AV18" s="235">
        <f>SUM(AR18:AU18)</f>
        <v>5686</v>
      </c>
      <c r="AW18" s="234">
        <v>1307</v>
      </c>
      <c r="AX18" s="234">
        <v>1358</v>
      </c>
      <c r="AY18" s="234">
        <v>1190</v>
      </c>
      <c r="AZ18" s="234">
        <f>+(((AY62+AY55)+((AY62+AY55)*(1+AZ90)))/2)*AZ41</f>
        <v>997.32694847491121</v>
      </c>
      <c r="BA18" s="235">
        <f>SUM(AW18:AZ18)</f>
        <v>4852.3269484749108</v>
      </c>
      <c r="BB18" s="234">
        <f>+(((AZ62+AZ55)+((AZ62+AZ55)*(1+BB90)))/2)*BB41</f>
        <v>1057.9938304585478</v>
      </c>
      <c r="BC18" s="234">
        <f>+(((BB62+BB55)+((BB62+BB55)*(1+BC90)))/2)*BC41</f>
        <v>1218.6496950053006</v>
      </c>
      <c r="BD18" s="234">
        <f>+(((BC62+BC55)+((BC62+BC55)*(1+BD90)))/2)*BD41</f>
        <v>1215.0271990939243</v>
      </c>
      <c r="BE18" s="234">
        <f>+(((BD62+BD55)+((BD62+BD55)*(1+BE90)))/2)*BE41</f>
        <v>1110.7680817480407</v>
      </c>
      <c r="BF18" s="235">
        <f t="shared" ref="BF18:BF19" si="13">SUM(BB18:BE18)</f>
        <v>4602.4388063058132</v>
      </c>
      <c r="BG18" s="234">
        <f>+(((BE62+BE55)+((BE62+BE55)*(1+BG90)))/2)*BG41</f>
        <v>1178.335529142945</v>
      </c>
      <c r="BH18" s="234">
        <f>+(((BG62+BG55)+((BG62+BG55)*(1+BH90)))/2)*BH41</f>
        <v>1357.2652239206236</v>
      </c>
      <c r="BI18" s="234">
        <f>+(((BH62+BH55)+((BH62+BH55)*(1+BI90)))/2)*BI41</f>
        <v>1353.2306865597584</v>
      </c>
      <c r="BJ18" s="234">
        <f>+(((BI62+BI55)+((BI62+BI55)*(1+BJ90)))/2)*BJ41</f>
        <v>1237.1125971447264</v>
      </c>
      <c r="BK18" s="235">
        <f t="shared" ref="BK18:BK19" si="14">SUM(BG18:BJ18)</f>
        <v>5125.9440367680536</v>
      </c>
      <c r="BL18" s="234">
        <f>+(((BJ62+BJ55)+((BJ62+BJ55)*(1+BL90)))/2)*BL41</f>
        <v>1312.3655160057044</v>
      </c>
      <c r="BM18" s="234">
        <f>+(((BL62+BL55)+((BL62+BL55)*(1+BM90)))/2)*BM41</f>
        <v>1511.6476011232153</v>
      </c>
      <c r="BN18" s="234">
        <f>+(((BM62+BM55)+((BM62+BM55)*(1+BN90)))/2)*BN41</f>
        <v>1507.1541545840221</v>
      </c>
      <c r="BO18" s="234">
        <f>+(((BN62+BN55)+((BN62+BN55)*(1+BO90)))/2)*BO41</f>
        <v>1377.8281921872208</v>
      </c>
      <c r="BP18" s="235">
        <f t="shared" ref="BP18:BP19" si="15">SUM(BL18:BO18)</f>
        <v>5708.9954639001626</v>
      </c>
      <c r="BQ18" s="234">
        <f>+(((BO62+BO55)+((BO62+BO55)*(1+BQ90)))/2)*BQ41</f>
        <v>1461.6407678495664</v>
      </c>
      <c r="BR18" s="234">
        <f>+(((BQ62+BQ55)+((BQ62+BQ55)*(1+BR90)))/2)*BR41</f>
        <v>1683.5902296095439</v>
      </c>
      <c r="BS18" s="234">
        <f>+(((BR62+BR55)+((BR62+BR55)*(1+BS90)))/2)*BS41</f>
        <v>1678.5856751849296</v>
      </c>
      <c r="BT18" s="234">
        <f>+(((BS62+BS55)+((BS62+BS55)*(1+BT90)))/2)*BT41</f>
        <v>1534.5495079166312</v>
      </c>
      <c r="BU18" s="235">
        <f t="shared" ref="BU18:BU19" si="16">SUM(BQ18:BT18)</f>
        <v>6358.3661805606707</v>
      </c>
    </row>
    <row r="19" spans="2:73" s="33" customFormat="1" x14ac:dyDescent="0.3">
      <c r="B19" s="206" t="s">
        <v>270</v>
      </c>
      <c r="C19" s="207"/>
      <c r="D19" s="94"/>
      <c r="E19" s="95"/>
      <c r="F19" s="95"/>
      <c r="G19" s="96"/>
      <c r="H19" s="122"/>
      <c r="I19" s="94"/>
      <c r="J19" s="95"/>
      <c r="K19" s="95"/>
      <c r="L19" s="96"/>
      <c r="M19" s="122"/>
      <c r="N19" s="94">
        <v>0</v>
      </c>
      <c r="O19" s="95">
        <v>0</v>
      </c>
      <c r="P19" s="95">
        <v>0</v>
      </c>
      <c r="Q19" s="96">
        <v>0</v>
      </c>
      <c r="R19" s="25">
        <f t="shared" ref="R19:R20" si="17">SUM(N19:Q19)</f>
        <v>0</v>
      </c>
      <c r="S19" s="94">
        <v>0</v>
      </c>
      <c r="T19" s="95">
        <v>0</v>
      </c>
      <c r="U19" s="95">
        <v>-53</v>
      </c>
      <c r="V19" s="96">
        <v>-83</v>
      </c>
      <c r="W19" s="25">
        <f t="shared" ref="W19:W20" si="18">SUM(S19:V19)</f>
        <v>-136</v>
      </c>
      <c r="X19" s="94">
        <v>-84</v>
      </c>
      <c r="Y19" s="95">
        <v>-85</v>
      </c>
      <c r="Z19" s="95">
        <v>-100</v>
      </c>
      <c r="AA19" s="96">
        <v>-114.99999999999997</v>
      </c>
      <c r="AB19" s="25">
        <f t="shared" ref="AB19:AB20" si="19">SUM(X19:AA19)</f>
        <v>-384</v>
      </c>
      <c r="AC19" s="125">
        <v>-131</v>
      </c>
      <c r="AD19" s="125">
        <v>-163</v>
      </c>
      <c r="AE19" s="125">
        <v>-201</v>
      </c>
      <c r="AF19" s="125">
        <v>-238.00000000000003</v>
      </c>
      <c r="AG19" s="25">
        <f t="shared" ref="AG19:AG20" si="20">SUM(AC19:AF19)</f>
        <v>-733</v>
      </c>
      <c r="AH19" s="125">
        <v>-276</v>
      </c>
      <c r="AI19" s="125">
        <v>-321</v>
      </c>
      <c r="AJ19" s="125">
        <v>-409</v>
      </c>
      <c r="AK19" s="125">
        <v>-450.00000000000017</v>
      </c>
      <c r="AL19" s="25">
        <f t="shared" ref="AL19:AL20" si="21">SUM(AH19:AK19)</f>
        <v>-1456.0000000000002</v>
      </c>
      <c r="AM19" s="125">
        <v>-525</v>
      </c>
      <c r="AN19" s="125">
        <v>-530</v>
      </c>
      <c r="AO19" s="299">
        <v>-602</v>
      </c>
      <c r="AP19" s="299">
        <v>-666</v>
      </c>
      <c r="AQ19" s="25">
        <f t="shared" ref="AQ19:AQ20" si="22">SUM(AM19:AP19)</f>
        <v>-2323</v>
      </c>
      <c r="AR19" s="299">
        <v>-734</v>
      </c>
      <c r="AS19" s="299">
        <v>-792</v>
      </c>
      <c r="AT19" s="299">
        <v>-846</v>
      </c>
      <c r="AU19" s="299">
        <v>-868</v>
      </c>
      <c r="AV19" s="25">
        <f t="shared" ref="AV19:AV20" si="23">SUM(AR19:AU19)</f>
        <v>-3240</v>
      </c>
      <c r="AW19" s="299">
        <v>-890</v>
      </c>
      <c r="AX19" s="125">
        <v>-1010</v>
      </c>
      <c r="AY19" s="125">
        <v>-866</v>
      </c>
      <c r="AZ19" s="125">
        <f>+AZ42*((AY73+AY76))</f>
        <v>-692.59929027826115</v>
      </c>
      <c r="BA19" s="25">
        <f t="shared" ref="BA19:BA20" si="24">SUM(AW19:AZ19)</f>
        <v>-3458.5992902782609</v>
      </c>
      <c r="BB19" s="125">
        <f>+BB42*((AZ73+AZ76))</f>
        <v>-688.0454749614164</v>
      </c>
      <c r="BC19" s="125">
        <f>+BC42*((BB73+BB76))</f>
        <v>-725.73754313266886</v>
      </c>
      <c r="BD19" s="125">
        <f>+BD42*((BC73+BC76))</f>
        <v>-754.88748252735422</v>
      </c>
      <c r="BE19" s="125">
        <f>+BE42*((BD73+BD76))</f>
        <v>-761.35494950258669</v>
      </c>
      <c r="BF19" s="25">
        <f t="shared" si="13"/>
        <v>-2930.0254501240265</v>
      </c>
      <c r="BG19" s="125">
        <f>+BG42*((BE73+BE76))</f>
        <v>-789.04955376245073</v>
      </c>
      <c r="BH19" s="125">
        <f>+BH42*((BG73+BG76))</f>
        <v>-835.61216200155695</v>
      </c>
      <c r="BI19" s="125">
        <f>+BI42*((BH73+BH76))</f>
        <v>-858.15827144940124</v>
      </c>
      <c r="BJ19" s="125">
        <f>+BJ42*((BI73+BI76))</f>
        <v>-869.16037107379168</v>
      </c>
      <c r="BK19" s="25">
        <f t="shared" si="14"/>
        <v>-3351.9803582872005</v>
      </c>
      <c r="BL19" s="125">
        <f>+BL42*((BJ73+BJ76))</f>
        <v>-918.58494934305111</v>
      </c>
      <c r="BM19" s="125">
        <f>+BM42*((BL73+BL76))</f>
        <v>-966.11417124465163</v>
      </c>
      <c r="BN19" s="125">
        <f>+BN42*((BM73+BM76))</f>
        <v>-988.5118273665023</v>
      </c>
      <c r="BO19" s="125">
        <f>+BO42*((BN73+BN76))</f>
        <v>-1005.4755858492177</v>
      </c>
      <c r="BP19" s="25">
        <f t="shared" si="15"/>
        <v>-3878.6865338034227</v>
      </c>
      <c r="BQ19" s="125">
        <f>+BQ42*((BO73+BO76))</f>
        <v>-1070.4116042645876</v>
      </c>
      <c r="BR19" s="125">
        <f>+BR42*((BQ73+BQ76))</f>
        <v>-1121.5400827389387</v>
      </c>
      <c r="BS19" s="125">
        <f>+BS42*((BR73+BR76))</f>
        <v>-1147.8650773553793</v>
      </c>
      <c r="BT19" s="125">
        <f>+BT42*((BS73+BS76))</f>
        <v>-1172.4762316748511</v>
      </c>
      <c r="BU19" s="25">
        <f t="shared" si="16"/>
        <v>-4512.2929960337569</v>
      </c>
    </row>
    <row r="20" spans="2:73" s="33" customFormat="1" ht="16.2" x14ac:dyDescent="0.45">
      <c r="B20" s="212" t="s">
        <v>271</v>
      </c>
      <c r="C20" s="213"/>
      <c r="D20" s="305"/>
      <c r="E20" s="306"/>
      <c r="F20" s="306"/>
      <c r="G20" s="307"/>
      <c r="H20" s="308"/>
      <c r="I20" s="305"/>
      <c r="J20" s="306"/>
      <c r="K20" s="306"/>
      <c r="L20" s="307"/>
      <c r="M20" s="308"/>
      <c r="N20" s="305">
        <v>-91</v>
      </c>
      <c r="O20" s="306">
        <v>-106</v>
      </c>
      <c r="P20" s="306">
        <v>-4</v>
      </c>
      <c r="Q20" s="307">
        <v>-364.99999999999994</v>
      </c>
      <c r="R20" s="261">
        <f t="shared" si="17"/>
        <v>-566</v>
      </c>
      <c r="S20" s="305">
        <v>41</v>
      </c>
      <c r="T20" s="306">
        <v>-73</v>
      </c>
      <c r="U20" s="306">
        <v>-98</v>
      </c>
      <c r="V20" s="307">
        <v>-194</v>
      </c>
      <c r="W20" s="261">
        <f t="shared" si="18"/>
        <v>-324</v>
      </c>
      <c r="X20" s="305">
        <v>-97</v>
      </c>
      <c r="Y20" s="306">
        <v>-100</v>
      </c>
      <c r="Z20" s="306">
        <v>-137</v>
      </c>
      <c r="AA20" s="307">
        <v>-96.999999999999943</v>
      </c>
      <c r="AB20" s="261">
        <f t="shared" si="19"/>
        <v>-430.99999999999994</v>
      </c>
      <c r="AC20" s="260">
        <v>-353</v>
      </c>
      <c r="AD20" s="260">
        <v>-226</v>
      </c>
      <c r="AE20" s="260">
        <v>-175</v>
      </c>
      <c r="AF20" s="260">
        <v>-149.00000000000011</v>
      </c>
      <c r="AG20" s="261">
        <f t="shared" si="20"/>
        <v>-903.00000000000011</v>
      </c>
      <c r="AH20" s="260">
        <v>-263</v>
      </c>
      <c r="AI20" s="260">
        <v>-510</v>
      </c>
      <c r="AJ20" s="260">
        <v>-263</v>
      </c>
      <c r="AK20" s="260">
        <v>-159.4</v>
      </c>
      <c r="AL20" s="261">
        <f t="shared" si="21"/>
        <v>-1195.4000000000001</v>
      </c>
      <c r="AM20" s="260">
        <v>122</v>
      </c>
      <c r="AN20" s="260">
        <v>-165</v>
      </c>
      <c r="AO20" s="260">
        <v>-185</v>
      </c>
      <c r="AP20" s="260">
        <v>95</v>
      </c>
      <c r="AQ20" s="261">
        <f t="shared" si="22"/>
        <v>-133</v>
      </c>
      <c r="AR20" s="260">
        <v>38</v>
      </c>
      <c r="AS20" s="260">
        <v>-439</v>
      </c>
      <c r="AT20" s="260">
        <v>100</v>
      </c>
      <c r="AU20" s="260">
        <v>-140</v>
      </c>
      <c r="AV20" s="261">
        <f t="shared" si="23"/>
        <v>-441</v>
      </c>
      <c r="AW20" s="260">
        <v>143</v>
      </c>
      <c r="AX20" s="260">
        <v>378</v>
      </c>
      <c r="AY20" s="260">
        <v>367</v>
      </c>
      <c r="AZ20" s="260">
        <f>AVERAGE(AY20,AW20,AX20,AU20)</f>
        <v>187</v>
      </c>
      <c r="BA20" s="261">
        <f t="shared" si="24"/>
        <v>1075</v>
      </c>
      <c r="BB20" s="260">
        <f>AVERAGE(AZ20,AX20,AY20,AW20)</f>
        <v>268.75</v>
      </c>
      <c r="BC20" s="260">
        <f>AVERAGE(BB20,AZ20,AY20,AX20)</f>
        <v>300.1875</v>
      </c>
      <c r="BD20" s="260">
        <f>AVERAGE(BC20,BB20,AZ20,AY20)</f>
        <v>280.734375</v>
      </c>
      <c r="BE20" s="260">
        <f>AVERAGE(BD20,BB20,BC20,AZ20)</f>
        <v>259.16796875</v>
      </c>
      <c r="BF20" s="261">
        <f>SUM(BB20:BE20)</f>
        <v>1108.83984375</v>
      </c>
      <c r="BG20" s="260">
        <f>AVERAGE(BE20,BD20,BC20,BB20)</f>
        <v>277.2099609375</v>
      </c>
      <c r="BH20" s="260">
        <f>AVERAGE(BG20,BE20,BD20,BC20)</f>
        <v>279.324951171875</v>
      </c>
      <c r="BI20" s="260">
        <f>AVERAGE(BH20,BG20,BE20,BD20)</f>
        <v>274.10931396484375</v>
      </c>
      <c r="BJ20" s="260">
        <f>AVERAGE(BI20,BG20,BH20,BE20)</f>
        <v>272.45304870605469</v>
      </c>
      <c r="BK20" s="261">
        <f>SUM(BG20:BJ20)</f>
        <v>1103.0972747802734</v>
      </c>
      <c r="BL20" s="260">
        <f>AVERAGE(BJ20,BI20,BH20,BG20)</f>
        <v>275.77431869506836</v>
      </c>
      <c r="BM20" s="260">
        <f>AVERAGE(BL20,BJ20,BI20,BH20)</f>
        <v>275.41540813446045</v>
      </c>
      <c r="BN20" s="260">
        <f>AVERAGE(BM20,BL20,BJ20,BI20)</f>
        <v>274.43802237510681</v>
      </c>
      <c r="BO20" s="260">
        <f>AVERAGE(BN20,BL20,BM20,BJ20)</f>
        <v>274.52019947767258</v>
      </c>
      <c r="BP20" s="261">
        <f>SUM(BL20:BO20)</f>
        <v>1100.1479486823082</v>
      </c>
      <c r="BQ20" s="260">
        <f>AVERAGE(BO20,BN20,BM20,BL20)</f>
        <v>275.03698717057705</v>
      </c>
      <c r="BR20" s="260">
        <f>AVERAGE(BQ20,BO20,BN20,BM20)</f>
        <v>274.85265428945422</v>
      </c>
      <c r="BS20" s="260">
        <f>AVERAGE(BR20,BQ20,BO20,BN20)</f>
        <v>274.71196582820266</v>
      </c>
      <c r="BT20" s="260">
        <f>AVERAGE(BS20,BQ20,BR20,BO20)</f>
        <v>274.78045169147663</v>
      </c>
      <c r="BU20" s="261">
        <f>SUM(BQ20:BT20)</f>
        <v>1099.3820589797106</v>
      </c>
    </row>
    <row r="21" spans="2:73" s="133" customFormat="1" ht="16.2" x14ac:dyDescent="0.45">
      <c r="B21" s="375" t="s">
        <v>272</v>
      </c>
      <c r="C21" s="376"/>
      <c r="D21" s="309">
        <v>33</v>
      </c>
      <c r="E21" s="310">
        <v>50</v>
      </c>
      <c r="F21" s="310">
        <v>58</v>
      </c>
      <c r="G21" s="311">
        <v>14</v>
      </c>
      <c r="H21" s="312">
        <v>155</v>
      </c>
      <c r="I21" s="309">
        <v>136</v>
      </c>
      <c r="J21" s="310">
        <v>26</v>
      </c>
      <c r="K21" s="310">
        <v>172</v>
      </c>
      <c r="L21" s="311">
        <v>81</v>
      </c>
      <c r="M21" s="312">
        <v>415</v>
      </c>
      <c r="N21" s="309">
        <v>137</v>
      </c>
      <c r="O21" s="310">
        <v>148</v>
      </c>
      <c r="P21" s="310">
        <v>288</v>
      </c>
      <c r="Q21" s="311">
        <v>-51</v>
      </c>
      <c r="R21" s="312">
        <v>522</v>
      </c>
      <c r="S21" s="309">
        <v>462</v>
      </c>
      <c r="T21" s="310">
        <v>347</v>
      </c>
      <c r="U21" s="310">
        <v>234</v>
      </c>
      <c r="V21" s="311">
        <v>113</v>
      </c>
      <c r="W21" s="312">
        <v>1156</v>
      </c>
      <c r="X21" s="309">
        <v>246</v>
      </c>
      <c r="Y21" s="310">
        <v>225</v>
      </c>
      <c r="Z21" s="310">
        <v>202</v>
      </c>
      <c r="AA21" s="311">
        <v>307</v>
      </c>
      <c r="AB21" s="312">
        <v>980</v>
      </c>
      <c r="AC21" s="256">
        <v>170</v>
      </c>
      <c r="AD21" s="256">
        <v>286</v>
      </c>
      <c r="AE21" s="256">
        <v>390</v>
      </c>
      <c r="AF21" s="256">
        <v>439</v>
      </c>
      <c r="AG21" s="257">
        <f>SUM(AC21:AF21)</f>
        <v>1285</v>
      </c>
      <c r="AH21" s="256">
        <v>402</v>
      </c>
      <c r="AI21" s="256">
        <v>155</v>
      </c>
      <c r="AJ21" s="256">
        <v>364</v>
      </c>
      <c r="AK21" s="256">
        <v>427</v>
      </c>
      <c r="AL21" s="257">
        <f>SUM(AH21:AK21)</f>
        <v>1348</v>
      </c>
      <c r="AM21" s="256">
        <f>SUM(AM18:AM20)</f>
        <v>821</v>
      </c>
      <c r="AN21" s="256">
        <f>SUM(AN18:AN20)</f>
        <v>587</v>
      </c>
      <c r="AO21" s="256">
        <f t="shared" ref="AO21:AQ21" si="25">SUM(AO18:AO20)</f>
        <v>540</v>
      </c>
      <c r="AP21" s="256">
        <f t="shared" si="25"/>
        <v>797</v>
      </c>
      <c r="AQ21" s="256">
        <f t="shared" si="25"/>
        <v>2745</v>
      </c>
      <c r="AR21" s="256">
        <f t="shared" ref="AR21" si="26">SUM(AR18:AR20)</f>
        <v>756</v>
      </c>
      <c r="AS21" s="256">
        <f t="shared" ref="AS21" si="27">SUM(AS18:AS20)</f>
        <v>274</v>
      </c>
      <c r="AT21" s="256">
        <f t="shared" ref="AT21" si="28">SUM(AT18:AT20)</f>
        <v>672</v>
      </c>
      <c r="AU21" s="256">
        <f t="shared" ref="AU21" si="29">SUM(AU18:AU20)</f>
        <v>303</v>
      </c>
      <c r="AV21" s="256">
        <f t="shared" ref="AV21" si="30">SUM(AV18:AV20)</f>
        <v>2005</v>
      </c>
      <c r="AW21" s="256">
        <f t="shared" ref="AW21" si="31">SUM(AW18:AW20)</f>
        <v>560</v>
      </c>
      <c r="AX21" s="256">
        <f t="shared" ref="AX21" si="32">SUM(AX18:AX20)</f>
        <v>726</v>
      </c>
      <c r="AY21" s="256">
        <f t="shared" ref="AY21:BA21" si="33">SUM(AY18:AY20)</f>
        <v>691</v>
      </c>
      <c r="AZ21" s="256">
        <f t="shared" si="33"/>
        <v>491.72765819665005</v>
      </c>
      <c r="BA21" s="256">
        <f t="shared" si="33"/>
        <v>2468.7276581966498</v>
      </c>
      <c r="BB21" s="256">
        <f t="shared" ref="BB21:BU21" si="34">SUM(BB18:BB20)</f>
        <v>638.69835549713139</v>
      </c>
      <c r="BC21" s="256">
        <f t="shared" si="34"/>
        <v>793.09965187263174</v>
      </c>
      <c r="BD21" s="256">
        <f t="shared" si="34"/>
        <v>740.87409156657009</v>
      </c>
      <c r="BE21" s="256">
        <f t="shared" si="34"/>
        <v>608.58110099545399</v>
      </c>
      <c r="BF21" s="257">
        <f t="shared" si="34"/>
        <v>2781.2531999317866</v>
      </c>
      <c r="BG21" s="256">
        <f t="shared" si="34"/>
        <v>666.49593631799428</v>
      </c>
      <c r="BH21" s="256">
        <f t="shared" si="34"/>
        <v>800.97801309094166</v>
      </c>
      <c r="BI21" s="256">
        <f t="shared" si="34"/>
        <v>769.18172907520091</v>
      </c>
      <c r="BJ21" s="256">
        <f t="shared" si="34"/>
        <v>640.40527477698936</v>
      </c>
      <c r="BK21" s="257">
        <f t="shared" si="34"/>
        <v>2877.0609532611265</v>
      </c>
      <c r="BL21" s="256">
        <f t="shared" si="34"/>
        <v>669.55488535772167</v>
      </c>
      <c r="BM21" s="256">
        <f t="shared" si="34"/>
        <v>820.9488380130241</v>
      </c>
      <c r="BN21" s="256">
        <f t="shared" si="34"/>
        <v>793.08034959262659</v>
      </c>
      <c r="BO21" s="256">
        <f t="shared" si="34"/>
        <v>646.87280581567563</v>
      </c>
      <c r="BP21" s="257">
        <f t="shared" si="34"/>
        <v>2930.4568787790481</v>
      </c>
      <c r="BQ21" s="256">
        <f t="shared" si="34"/>
        <v>666.26615075555583</v>
      </c>
      <c r="BR21" s="256">
        <f t="shared" si="34"/>
        <v>836.90280116005943</v>
      </c>
      <c r="BS21" s="256">
        <f t="shared" si="34"/>
        <v>805.43256365775301</v>
      </c>
      <c r="BT21" s="256">
        <f t="shared" si="34"/>
        <v>636.85372793325678</v>
      </c>
      <c r="BU21" s="257">
        <f t="shared" si="34"/>
        <v>2945.4552435066244</v>
      </c>
    </row>
    <row r="22" spans="2:73" x14ac:dyDescent="0.3">
      <c r="B22" s="375" t="s">
        <v>3</v>
      </c>
      <c r="C22" s="376"/>
      <c r="D22" s="75">
        <f t="shared" ref="D22:AB22" si="35">D16+D21</f>
        <v>4758</v>
      </c>
      <c r="E22" s="73">
        <f t="shared" si="35"/>
        <v>4029</v>
      </c>
      <c r="F22" s="73">
        <f t="shared" si="35"/>
        <v>4292</v>
      </c>
      <c r="G22" s="86">
        <f t="shared" si="35"/>
        <v>5461</v>
      </c>
      <c r="H22" s="87">
        <f t="shared" si="35"/>
        <v>18540</v>
      </c>
      <c r="I22" s="75">
        <f t="shared" si="35"/>
        <v>7963</v>
      </c>
      <c r="J22" s="73">
        <f t="shared" si="35"/>
        <v>7900</v>
      </c>
      <c r="K22" s="73">
        <f t="shared" si="35"/>
        <v>9551</v>
      </c>
      <c r="L22" s="86">
        <f t="shared" si="35"/>
        <v>8791</v>
      </c>
      <c r="M22" s="87">
        <f t="shared" si="35"/>
        <v>34205</v>
      </c>
      <c r="N22" s="75">
        <f t="shared" si="35"/>
        <v>17477</v>
      </c>
      <c r="O22" s="73">
        <f t="shared" si="35"/>
        <v>15532</v>
      </c>
      <c r="P22" s="73">
        <f t="shared" si="35"/>
        <v>11861</v>
      </c>
      <c r="Q22" s="86">
        <f t="shared" si="35"/>
        <v>10893</v>
      </c>
      <c r="R22" s="87">
        <f t="shared" si="35"/>
        <v>55763</v>
      </c>
      <c r="S22" s="75">
        <f t="shared" si="35"/>
        <v>17672</v>
      </c>
      <c r="T22" s="73">
        <f t="shared" si="35"/>
        <v>12905</v>
      </c>
      <c r="U22" s="73">
        <f t="shared" si="35"/>
        <v>9435</v>
      </c>
      <c r="V22" s="86">
        <f t="shared" si="35"/>
        <v>10143</v>
      </c>
      <c r="W22" s="87">
        <f t="shared" si="35"/>
        <v>50155</v>
      </c>
      <c r="X22" s="75">
        <f t="shared" si="35"/>
        <v>17709</v>
      </c>
      <c r="Y22" s="73">
        <f t="shared" si="35"/>
        <v>13818</v>
      </c>
      <c r="Z22" s="73">
        <f t="shared" si="35"/>
        <v>10484</v>
      </c>
      <c r="AA22" s="86">
        <f t="shared" si="35"/>
        <v>11472</v>
      </c>
      <c r="AB22" s="87">
        <f t="shared" si="35"/>
        <v>53483</v>
      </c>
      <c r="AC22" s="24">
        <f t="shared" ref="AC22:BK22" si="36">AC16+AC21</f>
        <v>24416</v>
      </c>
      <c r="AD22" s="24">
        <f t="shared" si="36"/>
        <v>18564</v>
      </c>
      <c r="AE22" s="24">
        <f t="shared" si="36"/>
        <v>14473</v>
      </c>
      <c r="AF22" s="24">
        <f t="shared" si="36"/>
        <v>15062</v>
      </c>
      <c r="AG22" s="110">
        <f t="shared" si="36"/>
        <v>72515</v>
      </c>
      <c r="AH22" s="24">
        <f t="shared" si="36"/>
        <v>24573</v>
      </c>
      <c r="AI22" s="24">
        <f t="shared" si="36"/>
        <v>14142</v>
      </c>
      <c r="AJ22" s="24">
        <f t="shared" si="36"/>
        <v>10469</v>
      </c>
      <c r="AK22" s="24">
        <f t="shared" si="36"/>
        <v>12188</v>
      </c>
      <c r="AL22" s="110">
        <f t="shared" si="36"/>
        <v>61372</v>
      </c>
      <c r="AM22" s="24">
        <f t="shared" si="36"/>
        <v>24180</v>
      </c>
      <c r="AN22" s="24">
        <f t="shared" si="36"/>
        <v>14684</v>
      </c>
      <c r="AO22" s="24">
        <f t="shared" si="36"/>
        <v>11308</v>
      </c>
      <c r="AP22" s="24">
        <f t="shared" si="36"/>
        <v>13917</v>
      </c>
      <c r="AQ22" s="24">
        <f t="shared" si="36"/>
        <v>64089</v>
      </c>
      <c r="AR22" s="24">
        <f t="shared" ref="AR22:AZ22" si="37">AR16+AR21</f>
        <v>27030</v>
      </c>
      <c r="AS22" s="24">
        <f t="shared" si="37"/>
        <v>16168</v>
      </c>
      <c r="AT22" s="24">
        <f t="shared" si="37"/>
        <v>13284</v>
      </c>
      <c r="AU22" s="24">
        <f t="shared" si="37"/>
        <v>16421</v>
      </c>
      <c r="AV22" s="24">
        <f t="shared" si="37"/>
        <v>72903</v>
      </c>
      <c r="AW22" s="24">
        <f t="shared" si="37"/>
        <v>23906</v>
      </c>
      <c r="AX22" s="24">
        <f t="shared" si="37"/>
        <v>14141</v>
      </c>
      <c r="AY22" s="24">
        <f t="shared" si="37"/>
        <v>12235</v>
      </c>
      <c r="AZ22" s="24">
        <f t="shared" si="37"/>
        <v>17043.222808708426</v>
      </c>
      <c r="BA22" s="24">
        <f t="shared" ref="BA22" si="38">BA16+BA21</f>
        <v>67325.222808708393</v>
      </c>
      <c r="BB22" s="24">
        <f t="shared" si="36"/>
        <v>21781.586711348908</v>
      </c>
      <c r="BC22" s="24">
        <f t="shared" si="36"/>
        <v>15281.452569193601</v>
      </c>
      <c r="BD22" s="24">
        <f t="shared" si="36"/>
        <v>14610.421659695916</v>
      </c>
      <c r="BE22" s="24">
        <f t="shared" si="36"/>
        <v>19337.249278878702</v>
      </c>
      <c r="BF22" s="110">
        <f t="shared" si="36"/>
        <v>71010.710219117085</v>
      </c>
      <c r="BG22" s="24">
        <f t="shared" si="36"/>
        <v>22654.608649965081</v>
      </c>
      <c r="BH22" s="24">
        <f t="shared" si="36"/>
        <v>16038.197144329719</v>
      </c>
      <c r="BI22" s="24">
        <f t="shared" si="36"/>
        <v>15879.256099141694</v>
      </c>
      <c r="BJ22" s="24">
        <f t="shared" si="36"/>
        <v>21890.710390625667</v>
      </c>
      <c r="BK22" s="110">
        <f t="shared" si="36"/>
        <v>76462.772284062172</v>
      </c>
      <c r="BL22" s="24">
        <f t="shared" ref="BL22:BU22" si="39">BL16+BL21</f>
        <v>22899.65809445197</v>
      </c>
      <c r="BM22" s="24">
        <f t="shared" si="39"/>
        <v>16316.964897881875</v>
      </c>
      <c r="BN22" s="24">
        <f t="shared" si="39"/>
        <v>16833.626836414602</v>
      </c>
      <c r="BO22" s="24">
        <f t="shared" si="39"/>
        <v>24321.602813415826</v>
      </c>
      <c r="BP22" s="110">
        <f t="shared" si="39"/>
        <v>80371.852642164275</v>
      </c>
      <c r="BQ22" s="24">
        <f t="shared" si="39"/>
        <v>23556.849603964227</v>
      </c>
      <c r="BR22" s="24">
        <f t="shared" si="39"/>
        <v>16947.613479481704</v>
      </c>
      <c r="BS22" s="24">
        <f t="shared" si="39"/>
        <v>18108.39816486324</v>
      </c>
      <c r="BT22" s="24">
        <f t="shared" si="39"/>
        <v>27312.504009915861</v>
      </c>
      <c r="BU22" s="110">
        <f t="shared" si="39"/>
        <v>85925.365258225051</v>
      </c>
    </row>
    <row r="23" spans="2:73" ht="16.2" x14ac:dyDescent="0.45">
      <c r="B23" s="360" t="s">
        <v>81</v>
      </c>
      <c r="C23" s="361"/>
      <c r="D23" s="164">
        <v>1380</v>
      </c>
      <c r="E23" s="165">
        <v>955</v>
      </c>
      <c r="F23" s="165">
        <v>1039</v>
      </c>
      <c r="G23" s="166">
        <v>1153</v>
      </c>
      <c r="H23" s="167">
        <v>4527</v>
      </c>
      <c r="I23" s="164">
        <v>1959</v>
      </c>
      <c r="J23" s="165">
        <v>1913</v>
      </c>
      <c r="K23" s="165">
        <v>2243</v>
      </c>
      <c r="L23" s="166">
        <v>2168</v>
      </c>
      <c r="M23" s="167">
        <v>8283</v>
      </c>
      <c r="N23" s="164">
        <v>4413</v>
      </c>
      <c r="O23" s="165">
        <v>3910</v>
      </c>
      <c r="P23" s="165">
        <v>3037</v>
      </c>
      <c r="Q23" s="166">
        <v>2670</v>
      </c>
      <c r="R23" s="167">
        <v>14030</v>
      </c>
      <c r="S23" s="164">
        <v>4594</v>
      </c>
      <c r="T23" s="165">
        <v>3358</v>
      </c>
      <c r="U23" s="165">
        <v>2535</v>
      </c>
      <c r="V23" s="166">
        <v>2631</v>
      </c>
      <c r="W23" s="167">
        <v>13118</v>
      </c>
      <c r="X23" s="164">
        <v>4637</v>
      </c>
      <c r="Y23" s="165">
        <v>3595</v>
      </c>
      <c r="Z23" s="165">
        <v>2736</v>
      </c>
      <c r="AA23" s="166">
        <v>3005</v>
      </c>
      <c r="AB23" s="167">
        <v>13973</v>
      </c>
      <c r="AC23" s="41">
        <v>6392</v>
      </c>
      <c r="AD23" s="41">
        <v>4995</v>
      </c>
      <c r="AE23" s="41">
        <v>3796</v>
      </c>
      <c r="AF23" s="41">
        <v>3938</v>
      </c>
      <c r="AG23" s="109">
        <f>SUM(AC23:AF23)</f>
        <v>19121</v>
      </c>
      <c r="AH23" s="41">
        <v>6212</v>
      </c>
      <c r="AI23" s="41">
        <v>3626</v>
      </c>
      <c r="AJ23" s="41">
        <v>2673</v>
      </c>
      <c r="AK23" s="41">
        <v>3174</v>
      </c>
      <c r="AL23" s="109">
        <f>SUM(AH23:AK23)</f>
        <v>15685</v>
      </c>
      <c r="AM23" s="41">
        <v>6289</v>
      </c>
      <c r="AN23" s="41">
        <v>3655</v>
      </c>
      <c r="AO23" s="300">
        <v>2591</v>
      </c>
      <c r="AP23" s="300">
        <v>3203</v>
      </c>
      <c r="AQ23" s="109">
        <f>SUM(AM23:AP23)</f>
        <v>15738</v>
      </c>
      <c r="AR23" s="300">
        <v>6965</v>
      </c>
      <c r="AS23" s="300">
        <v>2346</v>
      </c>
      <c r="AT23" s="300">
        <v>1765</v>
      </c>
      <c r="AU23" s="300">
        <v>2296</v>
      </c>
      <c r="AV23" s="109">
        <f>SUM(AR23:AU23)</f>
        <v>13372</v>
      </c>
      <c r="AW23" s="300">
        <v>3941</v>
      </c>
      <c r="AX23" s="41">
        <v>2232</v>
      </c>
      <c r="AY23" s="41">
        <v>1867</v>
      </c>
      <c r="AZ23" s="41">
        <f>AZ22*AZ38</f>
        <v>4431.2379302641912</v>
      </c>
      <c r="BA23" s="109">
        <f>SUM(AW23:AZ23)</f>
        <v>12471.237930264191</v>
      </c>
      <c r="BB23" s="41">
        <f>BB22*BB38</f>
        <v>5663.2125449507157</v>
      </c>
      <c r="BC23" s="41">
        <f>BC22*BC38</f>
        <v>3973.1776679903364</v>
      </c>
      <c r="BD23" s="41">
        <f>BD22*BD38</f>
        <v>3798.7096315209383</v>
      </c>
      <c r="BE23" s="41">
        <f>BE22*BE38</f>
        <v>5027.6848125084625</v>
      </c>
      <c r="BF23" s="109">
        <f>SUM(BB23:BE23)</f>
        <v>18462.784656970452</v>
      </c>
      <c r="BG23" s="41">
        <f>BG22*BG38</f>
        <v>5890.1982489909215</v>
      </c>
      <c r="BH23" s="41">
        <f>BH22*BH38</f>
        <v>4169.9312575257272</v>
      </c>
      <c r="BI23" s="41">
        <f>BI22*BI38</f>
        <v>4128.6065857768408</v>
      </c>
      <c r="BJ23" s="41">
        <f>BJ22*BJ38</f>
        <v>5691.5847015626732</v>
      </c>
      <c r="BK23" s="109">
        <f>SUM(BG23:BJ23)</f>
        <v>19880.320793856161</v>
      </c>
      <c r="BL23" s="41">
        <f>BL22*BL38</f>
        <v>5953.9111045575128</v>
      </c>
      <c r="BM23" s="41">
        <f>BM22*BM38</f>
        <v>4242.4108734492875</v>
      </c>
      <c r="BN23" s="41">
        <f>BN22*BN38</f>
        <v>4376.7429774677967</v>
      </c>
      <c r="BO23" s="41">
        <f>BO22*BO38</f>
        <v>6323.616731488115</v>
      </c>
      <c r="BP23" s="109">
        <f>SUM(BL23:BO23)</f>
        <v>20896.681686962711</v>
      </c>
      <c r="BQ23" s="41">
        <f>BQ22*BQ38</f>
        <v>6124.7808970306996</v>
      </c>
      <c r="BR23" s="41">
        <f>BR22*BR38</f>
        <v>4406.3795046652431</v>
      </c>
      <c r="BS23" s="41">
        <f>BS22*BS38</f>
        <v>4708.1835228644422</v>
      </c>
      <c r="BT23" s="41">
        <f>BT22*BT38</f>
        <v>7101.2510425781238</v>
      </c>
      <c r="BU23" s="109">
        <f>SUM(BQ23:BT23)</f>
        <v>22340.59496713851</v>
      </c>
    </row>
    <row r="24" spans="2:73" x14ac:dyDescent="0.3">
      <c r="B24" s="375" t="s">
        <v>183</v>
      </c>
      <c r="C24" s="376"/>
      <c r="D24" s="75">
        <f t="shared" ref="D24:BK24" si="40">D22-D23</f>
        <v>3378</v>
      </c>
      <c r="E24" s="73">
        <f t="shared" si="40"/>
        <v>3074</v>
      </c>
      <c r="F24" s="73">
        <f t="shared" si="40"/>
        <v>3253</v>
      </c>
      <c r="G24" s="86">
        <f t="shared" si="40"/>
        <v>4308</v>
      </c>
      <c r="H24" s="87">
        <f t="shared" si="40"/>
        <v>14013</v>
      </c>
      <c r="I24" s="75">
        <f t="shared" si="40"/>
        <v>6004</v>
      </c>
      <c r="J24" s="73">
        <f t="shared" si="40"/>
        <v>5987</v>
      </c>
      <c r="K24" s="73">
        <f t="shared" si="40"/>
        <v>7308</v>
      </c>
      <c r="L24" s="86">
        <f t="shared" si="40"/>
        <v>6623</v>
      </c>
      <c r="M24" s="87">
        <f t="shared" si="40"/>
        <v>25922</v>
      </c>
      <c r="N24" s="75">
        <f t="shared" si="40"/>
        <v>13064</v>
      </c>
      <c r="O24" s="73">
        <f t="shared" si="40"/>
        <v>11622</v>
      </c>
      <c r="P24" s="73">
        <f t="shared" si="40"/>
        <v>8824</v>
      </c>
      <c r="Q24" s="86">
        <f t="shared" si="40"/>
        <v>8223</v>
      </c>
      <c r="R24" s="87">
        <f t="shared" si="40"/>
        <v>41733</v>
      </c>
      <c r="S24" s="75">
        <f t="shared" si="40"/>
        <v>13078</v>
      </c>
      <c r="T24" s="73">
        <f t="shared" si="40"/>
        <v>9547</v>
      </c>
      <c r="U24" s="73">
        <f t="shared" si="40"/>
        <v>6900</v>
      </c>
      <c r="V24" s="86">
        <f t="shared" si="40"/>
        <v>7512</v>
      </c>
      <c r="W24" s="87">
        <f t="shared" si="40"/>
        <v>37037</v>
      </c>
      <c r="X24" s="75">
        <f t="shared" si="40"/>
        <v>13072</v>
      </c>
      <c r="Y24" s="73">
        <f t="shared" si="40"/>
        <v>10223</v>
      </c>
      <c r="Z24" s="73">
        <f t="shared" si="40"/>
        <v>7748</v>
      </c>
      <c r="AA24" s="86">
        <f t="shared" si="40"/>
        <v>8467</v>
      </c>
      <c r="AB24" s="87">
        <f t="shared" si="40"/>
        <v>39510</v>
      </c>
      <c r="AC24" s="24">
        <f t="shared" si="40"/>
        <v>18024</v>
      </c>
      <c r="AD24" s="24">
        <f t="shared" si="40"/>
        <v>13569</v>
      </c>
      <c r="AE24" s="24">
        <f t="shared" si="40"/>
        <v>10677</v>
      </c>
      <c r="AF24" s="24">
        <f t="shared" si="40"/>
        <v>11124</v>
      </c>
      <c r="AG24" s="110">
        <f t="shared" si="40"/>
        <v>53394</v>
      </c>
      <c r="AH24" s="24">
        <f t="shared" si="40"/>
        <v>18361</v>
      </c>
      <c r="AI24" s="24">
        <f t="shared" si="40"/>
        <v>10516</v>
      </c>
      <c r="AJ24" s="24">
        <f t="shared" si="40"/>
        <v>7796</v>
      </c>
      <c r="AK24" s="24">
        <f t="shared" si="40"/>
        <v>9014</v>
      </c>
      <c r="AL24" s="110">
        <f t="shared" si="40"/>
        <v>45687</v>
      </c>
      <c r="AM24" s="24">
        <f t="shared" si="40"/>
        <v>17891</v>
      </c>
      <c r="AN24" s="24">
        <f t="shared" si="40"/>
        <v>11029</v>
      </c>
      <c r="AO24" s="24">
        <f t="shared" si="40"/>
        <v>8717</v>
      </c>
      <c r="AP24" s="24">
        <f t="shared" si="40"/>
        <v>10714</v>
      </c>
      <c r="AQ24" s="24">
        <f t="shared" si="40"/>
        <v>48351</v>
      </c>
      <c r="AR24" s="24">
        <f t="shared" si="40"/>
        <v>20065</v>
      </c>
      <c r="AS24" s="24">
        <f t="shared" si="40"/>
        <v>13822</v>
      </c>
      <c r="AT24" s="24">
        <f t="shared" si="40"/>
        <v>11519</v>
      </c>
      <c r="AU24" s="24">
        <f t="shared" si="40"/>
        <v>14125</v>
      </c>
      <c r="AV24" s="24">
        <f t="shared" si="40"/>
        <v>59531</v>
      </c>
      <c r="AW24" s="24">
        <f t="shared" si="40"/>
        <v>19965</v>
      </c>
      <c r="AX24" s="24">
        <f t="shared" si="40"/>
        <v>11909</v>
      </c>
      <c r="AY24" s="24">
        <f t="shared" si="40"/>
        <v>10368</v>
      </c>
      <c r="AZ24" s="24">
        <f t="shared" ref="AZ24:BA24" si="41">AZ22-AZ23</f>
        <v>12611.984878444235</v>
      </c>
      <c r="BA24" s="24">
        <f t="shared" si="41"/>
        <v>54853.9848784442</v>
      </c>
      <c r="BB24" s="24">
        <f t="shared" si="40"/>
        <v>16118.374166398193</v>
      </c>
      <c r="BC24" s="24">
        <f t="shared" si="40"/>
        <v>11308.274901203265</v>
      </c>
      <c r="BD24" s="24">
        <f t="shared" si="40"/>
        <v>10811.712028174978</v>
      </c>
      <c r="BE24" s="24">
        <f t="shared" si="40"/>
        <v>14309.564466370241</v>
      </c>
      <c r="BF24" s="110">
        <f t="shared" si="40"/>
        <v>52547.925562146629</v>
      </c>
      <c r="BG24" s="24">
        <f t="shared" si="40"/>
        <v>16764.41040097416</v>
      </c>
      <c r="BH24" s="24">
        <f t="shared" si="40"/>
        <v>11868.265886803991</v>
      </c>
      <c r="BI24" s="24">
        <f t="shared" si="40"/>
        <v>11750.649513364853</v>
      </c>
      <c r="BJ24" s="24">
        <f t="shared" si="40"/>
        <v>16199.125689062994</v>
      </c>
      <c r="BK24" s="110">
        <f t="shared" si="40"/>
        <v>56582.451490206011</v>
      </c>
      <c r="BL24" s="24">
        <f t="shared" ref="BL24:BU24" si="42">BL22-BL23</f>
        <v>16945.746989894458</v>
      </c>
      <c r="BM24" s="24">
        <f t="shared" si="42"/>
        <v>12074.554024432588</v>
      </c>
      <c r="BN24" s="24">
        <f t="shared" si="42"/>
        <v>12456.883858946805</v>
      </c>
      <c r="BO24" s="24">
        <f t="shared" si="42"/>
        <v>17997.986081927709</v>
      </c>
      <c r="BP24" s="110">
        <f t="shared" si="42"/>
        <v>59475.170955201567</v>
      </c>
      <c r="BQ24" s="24">
        <f t="shared" si="42"/>
        <v>17432.068706933525</v>
      </c>
      <c r="BR24" s="24">
        <f t="shared" si="42"/>
        <v>12541.233974816461</v>
      </c>
      <c r="BS24" s="24">
        <f t="shared" si="42"/>
        <v>13400.214641998798</v>
      </c>
      <c r="BT24" s="24">
        <f t="shared" si="42"/>
        <v>20211.252967337736</v>
      </c>
      <c r="BU24" s="110">
        <f t="shared" si="42"/>
        <v>63584.770291086541</v>
      </c>
    </row>
    <row r="25" spans="2:73" x14ac:dyDescent="0.3">
      <c r="B25" s="370" t="s">
        <v>4</v>
      </c>
      <c r="C25" s="374"/>
      <c r="D25" s="94">
        <v>903.54200000000003</v>
      </c>
      <c r="E25" s="95">
        <v>907.548</v>
      </c>
      <c r="F25" s="95">
        <v>912.197</v>
      </c>
      <c r="G25" s="96">
        <v>914.64103847373724</v>
      </c>
      <c r="H25" s="122">
        <v>909.46100000000001</v>
      </c>
      <c r="I25" s="94">
        <v>919.29399999999998</v>
      </c>
      <c r="J25" s="95">
        <v>923.19600000000003</v>
      </c>
      <c r="K25" s="95">
        <v>926.10799999999995</v>
      </c>
      <c r="L25" s="96">
        <v>928.92140241743732</v>
      </c>
      <c r="M25" s="122">
        <v>924.25800000000004</v>
      </c>
      <c r="N25" s="94">
        <v>931.04100000000005</v>
      </c>
      <c r="O25" s="95">
        <v>933.58199999999999</v>
      </c>
      <c r="P25" s="95">
        <v>936.596</v>
      </c>
      <c r="Q25" s="96">
        <v>938.70140696808801</v>
      </c>
      <c r="R25" s="122">
        <v>934.81799999999998</v>
      </c>
      <c r="S25" s="94">
        <v>938.91600000000005</v>
      </c>
      <c r="T25" s="95">
        <v>939.62900000000002</v>
      </c>
      <c r="U25" s="95">
        <v>918.61800000000005</v>
      </c>
      <c r="V25" s="96">
        <v>903.9730605846612</v>
      </c>
      <c r="W25" s="122">
        <v>925.33100000000002</v>
      </c>
      <c r="X25" s="94">
        <v>896.072</v>
      </c>
      <c r="Y25" s="95">
        <v>874.75699999999995</v>
      </c>
      <c r="Z25" s="95">
        <v>6012.6350000000002</v>
      </c>
      <c r="AA25" s="96">
        <v>5920.483386878469</v>
      </c>
      <c r="AB25" s="122">
        <v>6085.5720000000001</v>
      </c>
      <c r="AC25" s="125">
        <v>5843.0820000000003</v>
      </c>
      <c r="AD25" s="125">
        <v>5793.799</v>
      </c>
      <c r="AE25" s="125">
        <v>5729.8860000000004</v>
      </c>
      <c r="AF25" s="125">
        <v>5646.9160000000002</v>
      </c>
      <c r="AG25" s="25">
        <f>AVERAGE(AC25:AF25)</f>
        <v>5753.4207500000002</v>
      </c>
      <c r="AH25" s="125">
        <v>5558.93</v>
      </c>
      <c r="AI25" s="125">
        <v>5514.3810000000003</v>
      </c>
      <c r="AJ25" s="125">
        <v>5443.058</v>
      </c>
      <c r="AK25" s="125">
        <v>5366.9120000000003</v>
      </c>
      <c r="AL25" s="25">
        <f>AVERAGE(AH25:AK25)</f>
        <v>5470.8202500000007</v>
      </c>
      <c r="AM25" s="125">
        <v>5298.6610000000001</v>
      </c>
      <c r="AN25" s="125">
        <v>5225.7910000000002</v>
      </c>
      <c r="AO25" s="299">
        <v>5195</v>
      </c>
      <c r="AP25" s="299">
        <v>5060</v>
      </c>
      <c r="AQ25" s="25">
        <f>(AM25*AM24/AQ24)+(AN25*AN24/AQ24)+(AO25*AO24/AQ24)+(AP25*AP24/AQ24)</f>
        <v>5210.4661307935721</v>
      </c>
      <c r="AR25" s="299">
        <v>5113</v>
      </c>
      <c r="AS25" s="299">
        <v>5025</v>
      </c>
      <c r="AT25" s="299">
        <v>4882</v>
      </c>
      <c r="AU25" s="299">
        <v>4720</v>
      </c>
      <c r="AV25" s="25">
        <f>(AR25*AR24/AV24)+(AS25*AS24/AV24)+(AT25*AT24/AV24)+(AU25*AU24/AV24)</f>
        <v>4954.6228519594833</v>
      </c>
      <c r="AW25" s="299">
        <v>4736</v>
      </c>
      <c r="AX25" s="125">
        <v>4674</v>
      </c>
      <c r="AY25" s="125">
        <v>4571</v>
      </c>
      <c r="AZ25" s="125">
        <f>AY25*(1+AZ44)-AZ48</f>
        <v>4446.436076898206</v>
      </c>
      <c r="BA25" s="25">
        <f>(AW25*AW24/BA24)+(AX25*AX24/BA24)+(AY25*AY24/BA24)+(AZ25*AZ24/BA24)</f>
        <v>4624.7764702414506</v>
      </c>
      <c r="BB25" s="125">
        <f>AZ25*(1+BB44)-BB48</f>
        <v>4323.9947434779415</v>
      </c>
      <c r="BC25" s="125">
        <f>BB25*(1+BC44)-BC48</f>
        <v>4203.639830462871</v>
      </c>
      <c r="BD25" s="125">
        <f>BC25*(1+BD44)-BD48</f>
        <v>4085.3357849070599</v>
      </c>
      <c r="BE25" s="125">
        <f>BD25*(1+BE44)-BE48</f>
        <v>3969.0476596926046</v>
      </c>
      <c r="BF25" s="25">
        <f>(BB25*BB24/BF24)+(BC25*BC24/BF24)+(BD25*BD24/BF24)+(BE25*BE24/BF24)</f>
        <v>4152.333227705918</v>
      </c>
      <c r="BG25" s="125">
        <f>BE25*(1+BG44)-BG48</f>
        <v>3854.7411032062223</v>
      </c>
      <c r="BH25" s="125">
        <f>BG25*(1+BH44)-BH48</f>
        <v>3742.3823491917556</v>
      </c>
      <c r="BI25" s="125">
        <f>BH25*(1+BI44)-BI48</f>
        <v>3631.9382067755905</v>
      </c>
      <c r="BJ25" s="125">
        <f>BI25*(1+BJ44)-BJ48</f>
        <v>3523.3760506620433</v>
      </c>
      <c r="BK25" s="25">
        <f>(BG25*BG24/BK24)+(BH25*BH24/BK24)+(BI25*BI24/BK24)+(BJ25*BJ24/BK24)</f>
        <v>3690.0362131996117</v>
      </c>
      <c r="BL25" s="125">
        <f>BJ25*(1+BL44)-BL48</f>
        <v>3416.6638114958205</v>
      </c>
      <c r="BM25" s="125">
        <f>BL25*(1+BM44)-BM48</f>
        <v>3311.7699663887033</v>
      </c>
      <c r="BN25" s="125">
        <f>BM25*(1+BN44)-BN48</f>
        <v>3208.6635296076579</v>
      </c>
      <c r="BO25" s="125">
        <f>BN25*(1+BO44)-BO48</f>
        <v>3107.3140434216248</v>
      </c>
      <c r="BP25" s="25">
        <f>(BL25*BL24/BP24)+(BM25*BM24/BP24)+(BN25*BN24/BP24)+(BO25*BO24/BP24)</f>
        <v>3258.1900413063795</v>
      </c>
      <c r="BQ25" s="125">
        <f>BO25*(1+BQ44)-BQ48</f>
        <v>3007.6915691042768</v>
      </c>
      <c r="BR25" s="125">
        <f>BQ25*(1+BR44)-BR48</f>
        <v>2909.766678090095</v>
      </c>
      <c r="BS25" s="125">
        <f>BR25*(1+BS44)-BS48</f>
        <v>2813.5104432811431</v>
      </c>
      <c r="BT25" s="125">
        <f>BS25*(1+BT44)-BT48</f>
        <v>2718.8944305019791</v>
      </c>
      <c r="BU25" s="25">
        <f>(BQ25*BQ24/BU24)+(BR25*BR24/BU24)+(BS25*BS24/BU24)+(BT25*BT24/BU24)</f>
        <v>2855.6564242747645</v>
      </c>
    </row>
    <row r="26" spans="2:73" ht="15.75" customHeight="1" x14ac:dyDescent="0.3">
      <c r="B26" s="370" t="s">
        <v>5</v>
      </c>
      <c r="C26" s="374"/>
      <c r="D26" s="94">
        <v>919.78300000000002</v>
      </c>
      <c r="E26" s="95">
        <v>922.87800000000004</v>
      </c>
      <c r="F26" s="95">
        <v>927.36099999999999</v>
      </c>
      <c r="G26" s="96">
        <v>928.43823136370997</v>
      </c>
      <c r="H26" s="122">
        <v>924.71199999999999</v>
      </c>
      <c r="I26" s="94">
        <v>933.154</v>
      </c>
      <c r="J26" s="95">
        <v>935.94399999999996</v>
      </c>
      <c r="K26" s="95">
        <v>937.81</v>
      </c>
      <c r="L26" s="96">
        <v>939.37166293745895</v>
      </c>
      <c r="M26" s="122">
        <v>936.64499999999998</v>
      </c>
      <c r="N26" s="94">
        <v>941.572</v>
      </c>
      <c r="O26" s="95">
        <v>944.89300000000003</v>
      </c>
      <c r="P26" s="95">
        <v>947.05899999999997</v>
      </c>
      <c r="Q26" s="96">
        <v>948.37544434177028</v>
      </c>
      <c r="R26" s="122">
        <v>945.35500000000002</v>
      </c>
      <c r="S26" s="94">
        <v>947.21699999999998</v>
      </c>
      <c r="T26" s="95">
        <v>946.03499999999997</v>
      </c>
      <c r="U26" s="95">
        <v>924.26499999999999</v>
      </c>
      <c r="V26" s="96">
        <v>909.40018641668541</v>
      </c>
      <c r="W26" s="122">
        <v>931.66200000000003</v>
      </c>
      <c r="X26" s="94">
        <v>901.452</v>
      </c>
      <c r="Y26" s="95">
        <v>879.52800000000002</v>
      </c>
      <c r="Z26" s="95">
        <v>6051.7110000000002</v>
      </c>
      <c r="AA26" s="96">
        <v>5962.2445584976967</v>
      </c>
      <c r="AB26" s="122">
        <v>6122.6629999999996</v>
      </c>
      <c r="AC26" s="125">
        <v>5881.8029999999999</v>
      </c>
      <c r="AD26" s="125">
        <v>5834.8580000000002</v>
      </c>
      <c r="AE26" s="125">
        <v>5773.0990000000002</v>
      </c>
      <c r="AF26" s="125">
        <v>5682.5190000000002</v>
      </c>
      <c r="AG26" s="25">
        <f>AVERAGE(AC26:AF26)</f>
        <v>5793.0697500000006</v>
      </c>
      <c r="AH26" s="125">
        <v>5594.1270000000004</v>
      </c>
      <c r="AI26" s="125">
        <v>5540.8860000000004</v>
      </c>
      <c r="AJ26" s="125">
        <v>5472.7809999999999</v>
      </c>
      <c r="AK26" s="125">
        <v>5393.3329999999996</v>
      </c>
      <c r="AL26" s="25">
        <f>AVERAGE(AH26:AK26)</f>
        <v>5500.2817500000001</v>
      </c>
      <c r="AM26" s="125">
        <v>5327.9949999999999</v>
      </c>
      <c r="AN26" s="125">
        <v>5261.6880000000001</v>
      </c>
      <c r="AO26" s="299">
        <v>5233</v>
      </c>
      <c r="AP26" s="299">
        <v>5105</v>
      </c>
      <c r="AQ26" s="25">
        <f>(AM26*AM24/AQ24)+(AN26*AN24/AQ24)+(AO26*AO24/AQ24)+(AP26*AP24/AQ24)</f>
        <v>5246.3309238071597</v>
      </c>
      <c r="AR26" s="299">
        <v>5158</v>
      </c>
      <c r="AS26" s="299">
        <v>5068</v>
      </c>
      <c r="AT26" s="299">
        <v>4927</v>
      </c>
      <c r="AU26" s="299">
        <v>4770</v>
      </c>
      <c r="AV26" s="25">
        <f>(AR26*AR24/AV24)+(AS26*AS24/AV24)+(AT26*AT24/AV24)+(AU26*AU24/AV24)</f>
        <v>5000.3448455426587</v>
      </c>
      <c r="AW26" s="299">
        <v>4773</v>
      </c>
      <c r="AX26" s="125">
        <v>4700</v>
      </c>
      <c r="AY26" s="125">
        <v>4601</v>
      </c>
      <c r="AZ26" s="125">
        <f>AY26*(1+AZ45)-AZ48-AZ49</f>
        <v>4478.4865809463417</v>
      </c>
      <c r="BA26" s="25">
        <f>(AW26*AW24/BA24)+(AX26*AX24/BA24)+(AY26*AY24/BA24)+(AZ26*AZ24/BA24)</f>
        <v>4656.9272697924716</v>
      </c>
      <c r="BB26" s="125">
        <f>AZ26*(1+BB45)-BB48-BB49</f>
        <v>4357.9925985809941</v>
      </c>
      <c r="BC26" s="125">
        <f>BB26*(1+BC45)-BC48-BC49</f>
        <v>4239.4847657377877</v>
      </c>
      <c r="BD26" s="125">
        <f>BC26*(1+BD45)-BD48-BD49</f>
        <v>4122.9303439359546</v>
      </c>
      <c r="BE26" s="125">
        <f>BD26*(1+BE45)-BE48-BE49</f>
        <v>4008.2971343359332</v>
      </c>
      <c r="BF26" s="25">
        <f>(BB26*BB24/BF24)+(BC26*BC24/BF24)+(BD26*BD24/BF24)+(BE26*BE24/BF24)</f>
        <v>4188.8986857041536</v>
      </c>
      <c r="BG26" s="125">
        <f>BE26*(1+BG45)-BG48-BG49</f>
        <v>3895.5534688442494</v>
      </c>
      <c r="BH26" s="125">
        <f>BG26*(1+BH45)-BH48-BH49</f>
        <v>3784.668201365022</v>
      </c>
      <c r="BI26" s="125">
        <f>BH26*(1+BI45)-BI48-BI49</f>
        <v>3675.6106991956722</v>
      </c>
      <c r="BJ26" s="125">
        <f>BI26*(1+BJ45)-BJ48-BJ49</f>
        <v>3568.3508345644591</v>
      </c>
      <c r="BK26" s="25">
        <f>(BG26*BG24/BK24)+(BH26*BH24/BK24)+(BI26*BI24/BK24)+(BJ26*BJ24/BK24)</f>
        <v>3732.9432850738358</v>
      </c>
      <c r="BL26" s="125">
        <f>BJ26*(1+BL45)-BL48-BL49</f>
        <v>3462.8589763075088</v>
      </c>
      <c r="BM26" s="125">
        <f>BL26*(1+BM45)-BM48-BM49</f>
        <v>3359.1059816830302</v>
      </c>
      <c r="BN26" s="125">
        <f>BM26*(1+BN45)-BN48-BN49</f>
        <v>3257.0631883204646</v>
      </c>
      <c r="BO26" s="125">
        <f>BN26*(1+BO45)-BO48-BO49</f>
        <v>3156.7024063023368</v>
      </c>
      <c r="BP26" s="25">
        <f>(BL26*BL24/BP24)+(BM26*BM24/BP24)+(BN26*BN24/BP24)+(BO26*BO24/BP24)</f>
        <v>3306.0448485890051</v>
      </c>
      <c r="BQ26" s="125">
        <f>BO26*(1+BQ45)-BQ48-BQ49</f>
        <v>3057.9959103766269</v>
      </c>
      <c r="BR26" s="125">
        <f>BQ26*(1+BR45)-BR48-BR49</f>
        <v>2960.9164322975062</v>
      </c>
      <c r="BS26" s="125">
        <f>BR26*(1+BS45)-BS48-BS49</f>
        <v>2865.4371532923269</v>
      </c>
      <c r="BT26" s="125">
        <f>BS26*(1+BT45)-BT48-BT49</f>
        <v>2771.5316966527789</v>
      </c>
      <c r="BU26" s="25">
        <f>(BQ26*BQ24/BU24)+(BR26*BR24/BU24)+(BS26*BS24/BU24)+(BT26*BT24/BU24)</f>
        <v>2907.2109697274709</v>
      </c>
    </row>
    <row r="27" spans="2:73" ht="15.75" customHeight="1" x14ac:dyDescent="0.3">
      <c r="B27" s="372" t="s">
        <v>184</v>
      </c>
      <c r="C27" s="373"/>
      <c r="D27" s="313">
        <f t="shared" ref="D27:AC27" si="43">D24/D25</f>
        <v>3.7386197874586902</v>
      </c>
      <c r="E27" s="9">
        <f t="shared" si="43"/>
        <v>3.3871486687205525</v>
      </c>
      <c r="F27" s="9">
        <f t="shared" si="43"/>
        <v>3.5661156526495921</v>
      </c>
      <c r="G27" s="97">
        <f t="shared" si="43"/>
        <v>4.7100445079402578</v>
      </c>
      <c r="H27" s="98">
        <f t="shared" si="43"/>
        <v>15.408027392048696</v>
      </c>
      <c r="I27" s="313">
        <f t="shared" si="43"/>
        <v>6.5310988649985751</v>
      </c>
      <c r="J27" s="9">
        <f t="shared" si="43"/>
        <v>6.4850800913348845</v>
      </c>
      <c r="K27" s="9">
        <f t="shared" si="43"/>
        <v>7.8910882963973972</v>
      </c>
      <c r="L27" s="97">
        <f t="shared" si="43"/>
        <v>7.1297743627870105</v>
      </c>
      <c r="M27" s="98">
        <f t="shared" si="43"/>
        <v>28.046281449551962</v>
      </c>
      <c r="N27" s="313">
        <f t="shared" si="43"/>
        <v>14.031605482465325</v>
      </c>
      <c r="O27" s="9">
        <f t="shared" si="43"/>
        <v>12.448826134179965</v>
      </c>
      <c r="P27" s="9">
        <f t="shared" si="43"/>
        <v>9.4213513617397471</v>
      </c>
      <c r="Q27" s="97">
        <f t="shared" si="43"/>
        <v>8.7599740864983584</v>
      </c>
      <c r="R27" s="98">
        <f t="shared" si="43"/>
        <v>44.642914449657582</v>
      </c>
      <c r="S27" s="313">
        <f t="shared" si="43"/>
        <v>13.928828564003595</v>
      </c>
      <c r="T27" s="9">
        <f t="shared" si="43"/>
        <v>10.160393091315827</v>
      </c>
      <c r="U27" s="9">
        <f t="shared" si="43"/>
        <v>7.5112832537572745</v>
      </c>
      <c r="V27" s="97">
        <f t="shared" si="43"/>
        <v>8.3099821527219806</v>
      </c>
      <c r="W27" s="98">
        <f t="shared" si="43"/>
        <v>40.025677298177627</v>
      </c>
      <c r="X27" s="313">
        <f t="shared" si="43"/>
        <v>14.588113455168781</v>
      </c>
      <c r="Y27" s="9">
        <f t="shared" si="43"/>
        <v>11.686674127786345</v>
      </c>
      <c r="Z27" s="9">
        <f t="shared" si="43"/>
        <v>1.2886197149835306</v>
      </c>
      <c r="AA27" s="97">
        <f t="shared" si="43"/>
        <v>1.430119712651396</v>
      </c>
      <c r="AB27" s="98">
        <f t="shared" si="43"/>
        <v>6.4924053153918813</v>
      </c>
      <c r="AC27" s="26">
        <f t="shared" si="43"/>
        <v>3.08467346513364</v>
      </c>
      <c r="AD27" s="26">
        <f t="shared" ref="AD27:BK27" si="44">AD24/AD25</f>
        <v>2.3419866653986445</v>
      </c>
      <c r="AE27" s="26">
        <f t="shared" si="44"/>
        <v>1.8633878579783261</v>
      </c>
      <c r="AF27" s="26">
        <f t="shared" si="44"/>
        <v>1.9699248226819737</v>
      </c>
      <c r="AG27" s="27">
        <f t="shared" si="44"/>
        <v>9.2803920172186256</v>
      </c>
      <c r="AH27" s="26">
        <f t="shared" si="44"/>
        <v>3.3029737737298364</v>
      </c>
      <c r="AI27" s="26">
        <f t="shared" si="44"/>
        <v>1.9070136793232095</v>
      </c>
      <c r="AJ27" s="26">
        <f t="shared" si="44"/>
        <v>1.4322831026235621</v>
      </c>
      <c r="AK27" s="26">
        <f t="shared" si="44"/>
        <v>1.6795505497388441</v>
      </c>
      <c r="AL27" s="27">
        <f t="shared" si="44"/>
        <v>8.3510329186925851</v>
      </c>
      <c r="AM27" s="26">
        <f t="shared" si="44"/>
        <v>3.3765134248067579</v>
      </c>
      <c r="AN27" s="26">
        <f t="shared" si="44"/>
        <v>2.1104938946084908</v>
      </c>
      <c r="AO27" s="26">
        <f t="shared" ref="AO27:AQ27" si="45">AO24/AO25</f>
        <v>1.6779595765158806</v>
      </c>
      <c r="AP27" s="26">
        <f t="shared" si="45"/>
        <v>2.1173913043478261</v>
      </c>
      <c r="AQ27" s="26">
        <f t="shared" si="45"/>
        <v>9.2795920338582025</v>
      </c>
      <c r="AR27" s="26">
        <f t="shared" ref="AR27:AZ27" si="46">AR24/AR25</f>
        <v>3.9243105808722865</v>
      </c>
      <c r="AS27" s="26">
        <f t="shared" si="46"/>
        <v>2.750646766169154</v>
      </c>
      <c r="AT27" s="26">
        <f t="shared" si="46"/>
        <v>2.359483818107333</v>
      </c>
      <c r="AU27" s="26">
        <f t="shared" si="46"/>
        <v>2.9925847457627119</v>
      </c>
      <c r="AV27" s="26">
        <f t="shared" si="46"/>
        <v>12.01524349657741</v>
      </c>
      <c r="AW27" s="26">
        <f t="shared" si="46"/>
        <v>4.2155827702702702</v>
      </c>
      <c r="AX27" s="26">
        <f t="shared" si="46"/>
        <v>2.5479246897732137</v>
      </c>
      <c r="AY27" s="26">
        <f t="shared" si="46"/>
        <v>2.2682126449354625</v>
      </c>
      <c r="AZ27" s="26">
        <f t="shared" si="46"/>
        <v>2.8364255462865535</v>
      </c>
      <c r="BA27" s="26">
        <f t="shared" ref="BA27" si="47">BA24/BA25</f>
        <v>11.860894300818041</v>
      </c>
      <c r="BB27" s="26">
        <f t="shared" si="44"/>
        <v>3.7276581315715513</v>
      </c>
      <c r="BC27" s="26">
        <f t="shared" si="44"/>
        <v>2.6901150805677112</v>
      </c>
      <c r="BD27" s="26">
        <f t="shared" si="44"/>
        <v>2.6464683926638215</v>
      </c>
      <c r="BE27" s="26">
        <f t="shared" si="44"/>
        <v>3.6052891507678417</v>
      </c>
      <c r="BF27" s="27">
        <f t="shared" si="44"/>
        <v>12.655035778806779</v>
      </c>
      <c r="BG27" s="26">
        <f t="shared" si="44"/>
        <v>4.3490366673471748</v>
      </c>
      <c r="BH27" s="26">
        <f t="shared" si="44"/>
        <v>3.1713130245409551</v>
      </c>
      <c r="BI27" s="26">
        <f t="shared" si="44"/>
        <v>3.2353660344339938</v>
      </c>
      <c r="BJ27" s="26">
        <f t="shared" si="44"/>
        <v>4.5976147468048927</v>
      </c>
      <c r="BK27" s="27">
        <f t="shared" si="44"/>
        <v>15.333847209359405</v>
      </c>
      <c r="BL27" s="26">
        <f t="shared" ref="BL27:BU27" si="48">BL24/BL25</f>
        <v>4.9597349709615077</v>
      </c>
      <c r="BM27" s="26">
        <f t="shared" si="48"/>
        <v>3.6459519069795787</v>
      </c>
      <c r="BN27" s="26">
        <f t="shared" si="48"/>
        <v>3.8822655426479016</v>
      </c>
      <c r="BO27" s="26">
        <f t="shared" si="48"/>
        <v>5.7921361762679107</v>
      </c>
      <c r="BP27" s="27">
        <f t="shared" si="48"/>
        <v>18.254052158159212</v>
      </c>
      <c r="BQ27" s="26">
        <f t="shared" si="48"/>
        <v>5.795829893596764</v>
      </c>
      <c r="BR27" s="26">
        <f t="shared" si="48"/>
        <v>4.3100479736912254</v>
      </c>
      <c r="BS27" s="26">
        <f t="shared" si="48"/>
        <v>4.7628096330686933</v>
      </c>
      <c r="BT27" s="26">
        <f t="shared" si="48"/>
        <v>7.4336291768438434</v>
      </c>
      <c r="BU27" s="27">
        <f t="shared" si="48"/>
        <v>22.266253653828407</v>
      </c>
    </row>
    <row r="28" spans="2:73" x14ac:dyDescent="0.3">
      <c r="B28" s="372" t="s">
        <v>185</v>
      </c>
      <c r="C28" s="373"/>
      <c r="D28" s="313">
        <f t="shared" ref="D28:AC28" si="49">D24/D26</f>
        <v>3.6726053862704573</v>
      </c>
      <c r="E28" s="9">
        <f t="shared" si="49"/>
        <v>3.3308844722704407</v>
      </c>
      <c r="F28" s="9">
        <f t="shared" si="49"/>
        <v>3.5078033257814378</v>
      </c>
      <c r="G28" s="97">
        <f t="shared" si="49"/>
        <v>4.6400501987863176</v>
      </c>
      <c r="H28" s="98">
        <f t="shared" si="49"/>
        <v>15.15390737872981</v>
      </c>
      <c r="I28" s="313">
        <f t="shared" si="49"/>
        <v>6.4340934079476702</v>
      </c>
      <c r="J28" s="9">
        <f t="shared" si="49"/>
        <v>6.3967502329199188</v>
      </c>
      <c r="K28" s="9">
        <f t="shared" si="49"/>
        <v>7.792623239248889</v>
      </c>
      <c r="L28" s="97">
        <f t="shared" si="49"/>
        <v>7.0504575146428952</v>
      </c>
      <c r="M28" s="98">
        <f t="shared" si="49"/>
        <v>27.675373273759003</v>
      </c>
      <c r="N28" s="313">
        <f t="shared" si="49"/>
        <v>13.874669170281189</v>
      </c>
      <c r="O28" s="9">
        <f t="shared" si="49"/>
        <v>12.299805374788468</v>
      </c>
      <c r="P28" s="9">
        <f t="shared" si="49"/>
        <v>9.3172653446089431</v>
      </c>
      <c r="Q28" s="97">
        <f t="shared" si="49"/>
        <v>8.6706167362939865</v>
      </c>
      <c r="R28" s="98">
        <f t="shared" si="49"/>
        <v>44.145321069862646</v>
      </c>
      <c r="S28" s="313">
        <f t="shared" si="49"/>
        <v>13.806762336402324</v>
      </c>
      <c r="T28" s="9">
        <f t="shared" si="49"/>
        <v>10.091592805763</v>
      </c>
      <c r="U28" s="9">
        <f t="shared" si="49"/>
        <v>7.4653914191276316</v>
      </c>
      <c r="V28" s="97">
        <f t="shared" si="49"/>
        <v>8.2603897736150405</v>
      </c>
      <c r="W28" s="98">
        <f t="shared" si="49"/>
        <v>39.753687496109102</v>
      </c>
      <c r="X28" s="313">
        <f t="shared" si="49"/>
        <v>14.501049418049991</v>
      </c>
      <c r="Y28" s="9">
        <f t="shared" si="49"/>
        <v>11.623279759143541</v>
      </c>
      <c r="Z28" s="9">
        <f t="shared" si="49"/>
        <v>1.2802990757489907</v>
      </c>
      <c r="AA28" s="97">
        <f t="shared" si="49"/>
        <v>1.4201027678296754</v>
      </c>
      <c r="AB28" s="98">
        <f t="shared" si="49"/>
        <v>6.4530744220284548</v>
      </c>
      <c r="AC28" s="26">
        <f t="shared" si="49"/>
        <v>3.064366487622928</v>
      </c>
      <c r="AD28" s="26">
        <f t="shared" ref="AD28:BK28" si="50">AD24/AD26</f>
        <v>2.3255064647674373</v>
      </c>
      <c r="AE28" s="26">
        <f t="shared" si="50"/>
        <v>1.8494399628345191</v>
      </c>
      <c r="AF28" s="26">
        <f t="shared" si="50"/>
        <v>1.9575825439387002</v>
      </c>
      <c r="AG28" s="27">
        <f t="shared" si="50"/>
        <v>9.2168750428043769</v>
      </c>
      <c r="AH28" s="26">
        <f t="shared" si="50"/>
        <v>3.2821921990687732</v>
      </c>
      <c r="AI28" s="26">
        <f t="shared" si="50"/>
        <v>1.8978914202530064</v>
      </c>
      <c r="AJ28" s="26">
        <f t="shared" si="50"/>
        <v>1.4245042876738536</v>
      </c>
      <c r="AK28" s="26">
        <f t="shared" si="50"/>
        <v>1.6713227238147543</v>
      </c>
      <c r="AL28" s="27">
        <f t="shared" si="50"/>
        <v>8.3063017635414766</v>
      </c>
      <c r="AM28" s="26">
        <f t="shared" si="50"/>
        <v>3.3579235716249736</v>
      </c>
      <c r="AN28" s="26">
        <f t="shared" si="50"/>
        <v>2.0960953975226202</v>
      </c>
      <c r="AO28" s="26">
        <f t="shared" ref="AO28:AQ28" si="51">AO24/AO26</f>
        <v>1.6657748901203899</v>
      </c>
      <c r="AP28" s="26">
        <f t="shared" si="51"/>
        <v>2.098726738491675</v>
      </c>
      <c r="AQ28" s="26">
        <f t="shared" si="51"/>
        <v>9.2161551953555811</v>
      </c>
      <c r="AR28" s="26">
        <f t="shared" ref="AR28:AZ28" si="52">AR24/AR26</f>
        <v>3.8900736719658782</v>
      </c>
      <c r="AS28" s="26">
        <f t="shared" si="52"/>
        <v>2.7273086029992109</v>
      </c>
      <c r="AT28" s="26">
        <f t="shared" si="52"/>
        <v>2.3379338339760505</v>
      </c>
      <c r="AU28" s="26">
        <f t="shared" si="52"/>
        <v>2.9612159329140462</v>
      </c>
      <c r="AV28" s="26">
        <f t="shared" si="52"/>
        <v>11.905378896630767</v>
      </c>
      <c r="AW28" s="26">
        <f t="shared" si="52"/>
        <v>4.1829038340666251</v>
      </c>
      <c r="AX28" s="26">
        <f t="shared" si="52"/>
        <v>2.5338297872340427</v>
      </c>
      <c r="AY28" s="26">
        <f t="shared" si="52"/>
        <v>2.2534231688763313</v>
      </c>
      <c r="AZ28" s="26">
        <f t="shared" si="52"/>
        <v>2.8161265308021122</v>
      </c>
      <c r="BA28" s="26">
        <f t="shared" ref="BA28" si="53">BA24/BA26</f>
        <v>11.779008281761007</v>
      </c>
      <c r="BB28" s="26">
        <f t="shared" si="50"/>
        <v>3.6985776826804377</v>
      </c>
      <c r="BC28" s="26">
        <f t="shared" si="50"/>
        <v>2.6673700994501184</v>
      </c>
      <c r="BD28" s="26">
        <f t="shared" si="50"/>
        <v>2.6223368153859177</v>
      </c>
      <c r="BE28" s="26">
        <f t="shared" si="50"/>
        <v>3.5699859533345073</v>
      </c>
      <c r="BF28" s="27">
        <f t="shared" si="50"/>
        <v>12.54456827554265</v>
      </c>
      <c r="BG28" s="26">
        <f t="shared" si="50"/>
        <v>4.3034733151661504</v>
      </c>
      <c r="BH28" s="26">
        <f t="shared" si="50"/>
        <v>3.1358801499490618</v>
      </c>
      <c r="BI28" s="26">
        <f t="shared" si="50"/>
        <v>3.1969243957027955</v>
      </c>
      <c r="BJ28" s="26">
        <f t="shared" si="50"/>
        <v>4.5396673253514894</v>
      </c>
      <c r="BK28" s="27">
        <f t="shared" si="50"/>
        <v>15.1575974155436</v>
      </c>
      <c r="BL28" s="26">
        <f t="shared" ref="BL28:BU28" si="54">BL24/BL26</f>
        <v>4.8935712097533717</v>
      </c>
      <c r="BM28" s="26">
        <f t="shared" si="54"/>
        <v>3.5945737021321404</v>
      </c>
      <c r="BN28" s="26">
        <f t="shared" si="54"/>
        <v>3.8245754345866145</v>
      </c>
      <c r="BO28" s="26">
        <f t="shared" si="54"/>
        <v>5.7015149879174043</v>
      </c>
      <c r="BP28" s="27">
        <f t="shared" si="54"/>
        <v>17.989825812733642</v>
      </c>
      <c r="BQ28" s="26">
        <f t="shared" si="54"/>
        <v>5.7004879070575898</v>
      </c>
      <c r="BR28" s="26">
        <f t="shared" si="54"/>
        <v>4.2355920072641711</v>
      </c>
      <c r="BS28" s="26">
        <f t="shared" si="54"/>
        <v>4.6764992303538166</v>
      </c>
      <c r="BT28" s="26">
        <f t="shared" si="54"/>
        <v>7.2924487898684953</v>
      </c>
      <c r="BU28" s="27">
        <f t="shared" si="54"/>
        <v>21.871398723102345</v>
      </c>
    </row>
    <row r="29" spans="2:73" x14ac:dyDescent="0.3">
      <c r="B29" s="370" t="s">
        <v>141</v>
      </c>
      <c r="C29" s="371"/>
      <c r="D29" s="313" t="s">
        <v>26</v>
      </c>
      <c r="E29" s="9" t="s">
        <v>26</v>
      </c>
      <c r="F29" s="9" t="s">
        <v>26</v>
      </c>
      <c r="G29" s="9" t="s">
        <v>26</v>
      </c>
      <c r="H29" s="98" t="s">
        <v>26</v>
      </c>
      <c r="I29" s="9" t="s">
        <v>26</v>
      </c>
      <c r="J29" s="9" t="s">
        <v>26</v>
      </c>
      <c r="K29" s="9" t="s">
        <v>26</v>
      </c>
      <c r="L29" s="9" t="s">
        <v>26</v>
      </c>
      <c r="M29" s="98" t="s">
        <v>26</v>
      </c>
      <c r="N29" s="9" t="s">
        <v>26</v>
      </c>
      <c r="O29" s="9">
        <v>0</v>
      </c>
      <c r="P29" s="9" t="s">
        <v>26</v>
      </c>
      <c r="Q29" s="100">
        <v>2.65</v>
      </c>
      <c r="R29" s="217">
        <v>2.65</v>
      </c>
      <c r="S29" s="100">
        <v>2.65</v>
      </c>
      <c r="T29" s="100">
        <v>2.65</v>
      </c>
      <c r="U29" s="100">
        <v>3.05</v>
      </c>
      <c r="V29" s="100">
        <v>3.05</v>
      </c>
      <c r="W29" s="217">
        <v>11.4</v>
      </c>
      <c r="X29" s="100">
        <v>3.05</v>
      </c>
      <c r="Y29" s="100">
        <v>3.05</v>
      </c>
      <c r="Z29" s="100">
        <v>0.47</v>
      </c>
      <c r="AA29" s="100">
        <v>0.47</v>
      </c>
      <c r="AB29" s="217">
        <v>1.82</v>
      </c>
      <c r="AC29" s="78">
        <v>0.47</v>
      </c>
      <c r="AD29" s="78">
        <v>0.47</v>
      </c>
      <c r="AE29" s="78">
        <v>0.52</v>
      </c>
      <c r="AF29" s="78">
        <v>0.52</v>
      </c>
      <c r="AG29" s="218">
        <f>SUM(AC29:AF29)</f>
        <v>1.98</v>
      </c>
      <c r="AH29" s="219">
        <v>0.52</v>
      </c>
      <c r="AI29" s="78">
        <v>0.52</v>
      </c>
      <c r="AJ29" s="78">
        <v>0.56999999999999995</v>
      </c>
      <c r="AK29" s="78">
        <f>AJ29</f>
        <v>0.56999999999999995</v>
      </c>
      <c r="AL29" s="218">
        <f>SUM(AH29:AK29)</f>
        <v>2.1799999999999997</v>
      </c>
      <c r="AM29" s="78">
        <v>0.56999999999999995</v>
      </c>
      <c r="AN29" s="78">
        <v>0.56999999999999995</v>
      </c>
      <c r="AO29" s="314">
        <v>0.63</v>
      </c>
      <c r="AP29" s="314">
        <v>0.63</v>
      </c>
      <c r="AQ29" s="315">
        <f>SUM(AM29:AP29)</f>
        <v>2.4</v>
      </c>
      <c r="AR29" s="316">
        <v>0.63</v>
      </c>
      <c r="AS29" s="314">
        <v>0.63</v>
      </c>
      <c r="AT29" s="314">
        <v>0.73</v>
      </c>
      <c r="AU29" s="314">
        <v>0.73</v>
      </c>
      <c r="AV29" s="315">
        <f>SUM(AR29:AU29)</f>
        <v>2.7199999999999998</v>
      </c>
      <c r="AW29" s="316">
        <v>0.73</v>
      </c>
      <c r="AX29" s="317">
        <v>0.73</v>
      </c>
      <c r="AY29" s="317">
        <v>0.77</v>
      </c>
      <c r="AZ29" s="78">
        <f t="shared" ref="AZ29" si="55">AU29*(1+AZ30)</f>
        <v>0.80300000000000005</v>
      </c>
      <c r="BA29" s="315">
        <f>SUM(AW29:AZ29)</f>
        <v>3.0329999999999999</v>
      </c>
      <c r="BB29" s="78">
        <f>AW29*(1+BB30)</f>
        <v>0.80300000000000005</v>
      </c>
      <c r="BC29" s="78">
        <f>AX29*(1+BC30)</f>
        <v>0.80300000000000005</v>
      </c>
      <c r="BD29" s="78">
        <f t="shared" ref="BD29" si="56">AY29*(1+BD30)</f>
        <v>0.84700000000000009</v>
      </c>
      <c r="BE29" s="78">
        <f t="shared" ref="BE29" si="57">AZ29*(1+BE30)</f>
        <v>0.88330000000000009</v>
      </c>
      <c r="BF29" s="218">
        <f>SUM(BB29:BE29)</f>
        <v>3.3363000000000005</v>
      </c>
      <c r="BG29" s="78">
        <f>BB29*(1+BG30)</f>
        <v>0.88330000000000009</v>
      </c>
      <c r="BH29" s="78">
        <f>BC29*(1+BH30)</f>
        <v>0.88330000000000009</v>
      </c>
      <c r="BI29" s="78">
        <f t="shared" ref="BI29" si="58">BD29*(1+BI30)</f>
        <v>0.93170000000000019</v>
      </c>
      <c r="BJ29" s="78">
        <f t="shared" ref="BJ29" si="59">BE29*(1+BJ30)</f>
        <v>0.97163000000000022</v>
      </c>
      <c r="BK29" s="218">
        <f>SUM(BG29:BJ29)</f>
        <v>3.6699300000000008</v>
      </c>
      <c r="BL29" s="78">
        <f>BG29*(1+BL30)</f>
        <v>0.97163000000000022</v>
      </c>
      <c r="BM29" s="78">
        <f>BH29*(1+BM30)</f>
        <v>0.97163000000000022</v>
      </c>
      <c r="BN29" s="78">
        <f t="shared" ref="BN29" si="60">BI29*(1+BN30)</f>
        <v>1.0248700000000004</v>
      </c>
      <c r="BO29" s="78">
        <f t="shared" ref="BO29" si="61">BJ29*(1+BO30)</f>
        <v>1.0687930000000003</v>
      </c>
      <c r="BP29" s="218">
        <f>SUM(BL29:BO29)</f>
        <v>4.0369230000000016</v>
      </c>
      <c r="BQ29" s="78">
        <f>BL29*(1+BQ30)</f>
        <v>1.0687930000000003</v>
      </c>
      <c r="BR29" s="78">
        <f>BM29*(1+BR30)</f>
        <v>1.0687930000000003</v>
      </c>
      <c r="BS29" s="78">
        <f t="shared" ref="BS29" si="62">BN29*(1+BS30)</f>
        <v>1.1273570000000006</v>
      </c>
      <c r="BT29" s="78">
        <f t="shared" ref="BT29" si="63">BO29*(1+BT30)</f>
        <v>1.1756723000000004</v>
      </c>
      <c r="BU29" s="218">
        <f>SUM(BQ29:BT29)</f>
        <v>4.4406153000000019</v>
      </c>
    </row>
    <row r="30" spans="2:73" s="132" customFormat="1" x14ac:dyDescent="0.3">
      <c r="B30" s="204" t="s">
        <v>254</v>
      </c>
      <c r="C30" s="205"/>
      <c r="D30" s="99"/>
      <c r="E30" s="215"/>
      <c r="F30" s="215"/>
      <c r="G30" s="221"/>
      <c r="H30" s="215"/>
      <c r="I30" s="99"/>
      <c r="J30" s="215"/>
      <c r="K30" s="215"/>
      <c r="L30" s="221"/>
      <c r="M30" s="215"/>
      <c r="N30" s="99"/>
      <c r="O30" s="215"/>
      <c r="P30" s="215"/>
      <c r="Q30" s="222"/>
      <c r="R30" s="216"/>
      <c r="S30" s="223"/>
      <c r="T30" s="216"/>
      <c r="U30" s="216"/>
      <c r="V30" s="222"/>
      <c r="W30" s="216"/>
      <c r="X30" s="223"/>
      <c r="Y30" s="216"/>
      <c r="Z30" s="216"/>
      <c r="AA30" s="222"/>
      <c r="AB30" s="216"/>
      <c r="AC30" s="224"/>
      <c r="AD30" s="225"/>
      <c r="AE30" s="225">
        <f t="shared" ref="AE30" si="64">AE29/Z29-1</f>
        <v>0.1063829787234043</v>
      </c>
      <c r="AF30" s="226">
        <f t="shared" ref="AF30" si="65">AF29/AA29-1</f>
        <v>0.1063829787234043</v>
      </c>
      <c r="AG30" s="228">
        <f>AG29/AB29-1</f>
        <v>8.7912087912087822E-2</v>
      </c>
      <c r="AH30" s="224">
        <f>AH29/AC29-1</f>
        <v>0.1063829787234043</v>
      </c>
      <c r="AI30" s="225">
        <f t="shared" ref="AI30" si="66">AI29/AD29-1</f>
        <v>0.1063829787234043</v>
      </c>
      <c r="AJ30" s="225">
        <f t="shared" ref="AJ30" si="67">AJ29/AE29-1</f>
        <v>9.6153846153846034E-2</v>
      </c>
      <c r="AK30" s="226">
        <f t="shared" ref="AK30" si="68">AK29/AF29-1</f>
        <v>9.6153846153846034E-2</v>
      </c>
      <c r="AL30" s="228">
        <f>AL29/AG29-1</f>
        <v>0.10101010101010077</v>
      </c>
      <c r="AM30" s="224">
        <f>AM29/AH29-1</f>
        <v>9.6153846153846034E-2</v>
      </c>
      <c r="AN30" s="225">
        <f>AN29/AI29-1</f>
        <v>9.6153846153846034E-2</v>
      </c>
      <c r="AO30" s="225">
        <f t="shared" ref="AO30:AQ30" si="69">AO29/AJ29-1</f>
        <v>0.10526315789473695</v>
      </c>
      <c r="AP30" s="225">
        <f t="shared" si="69"/>
        <v>0.10526315789473695</v>
      </c>
      <c r="AQ30" s="225">
        <f t="shared" si="69"/>
        <v>0.10091743119266061</v>
      </c>
      <c r="AR30" s="225">
        <f t="shared" ref="AR30" si="70">AR29/AM29-1</f>
        <v>0.10526315789473695</v>
      </c>
      <c r="AS30" s="225">
        <f t="shared" ref="AS30" si="71">AS29/AN29-1</f>
        <v>0.10526315789473695</v>
      </c>
      <c r="AT30" s="225">
        <f t="shared" ref="AT30" si="72">AT29/AO29-1</f>
        <v>0.15873015873015861</v>
      </c>
      <c r="AU30" s="225">
        <f t="shared" ref="AU30" si="73">AU29/AP29-1</f>
        <v>0.15873015873015861</v>
      </c>
      <c r="AV30" s="225">
        <f t="shared" ref="AV30" si="74">AV29/AQ29-1</f>
        <v>0.1333333333333333</v>
      </c>
      <c r="AW30" s="225">
        <f t="shared" ref="AW30" si="75">AW29/AR29-1</f>
        <v>0.15873015873015861</v>
      </c>
      <c r="AX30" s="225">
        <f t="shared" ref="AX30" si="76">AX29/AS29-1</f>
        <v>0.15873015873015861</v>
      </c>
      <c r="AY30" s="225">
        <f t="shared" ref="AY30" si="77">AY29/AT29-1</f>
        <v>5.4794520547945202E-2</v>
      </c>
      <c r="AZ30" s="226">
        <v>0.1</v>
      </c>
      <c r="BA30" s="225">
        <f t="shared" ref="BA30" si="78">BA29/AV29-1</f>
        <v>0.11507352941176485</v>
      </c>
      <c r="BB30" s="224">
        <v>0.1</v>
      </c>
      <c r="BC30" s="225">
        <v>0.1</v>
      </c>
      <c r="BD30" s="225">
        <v>0.1</v>
      </c>
      <c r="BE30" s="226">
        <v>0.1</v>
      </c>
      <c r="BF30" s="225">
        <f>BF29/BA29-1</f>
        <v>0.10000000000000009</v>
      </c>
      <c r="BG30" s="224">
        <v>0.1</v>
      </c>
      <c r="BH30" s="225">
        <v>0.1</v>
      </c>
      <c r="BI30" s="225">
        <v>0.1</v>
      </c>
      <c r="BJ30" s="226">
        <v>0.1</v>
      </c>
      <c r="BK30" s="225">
        <f>BK29/BF29-1</f>
        <v>0.10000000000000009</v>
      </c>
      <c r="BL30" s="224">
        <v>0.1</v>
      </c>
      <c r="BM30" s="225">
        <v>0.1</v>
      </c>
      <c r="BN30" s="225">
        <v>0.1</v>
      </c>
      <c r="BO30" s="226">
        <v>0.1</v>
      </c>
      <c r="BP30" s="225">
        <f>BP29/BK29-1</f>
        <v>0.10000000000000009</v>
      </c>
      <c r="BQ30" s="224">
        <v>0.1</v>
      </c>
      <c r="BR30" s="225">
        <v>0.1</v>
      </c>
      <c r="BS30" s="225">
        <v>0.1</v>
      </c>
      <c r="BT30" s="226">
        <v>0.1</v>
      </c>
      <c r="BU30" s="227">
        <f>BU29/BP29-1</f>
        <v>0.10000000000000009</v>
      </c>
    </row>
    <row r="31" spans="2:73" x14ac:dyDescent="0.3">
      <c r="B31" s="264"/>
      <c r="C31" s="92"/>
      <c r="D31" s="215"/>
      <c r="E31" s="215"/>
      <c r="F31" s="215"/>
      <c r="G31" s="215"/>
      <c r="H31" s="215"/>
      <c r="I31" s="215"/>
      <c r="J31" s="215"/>
      <c r="K31" s="215"/>
      <c r="L31" s="215"/>
      <c r="M31" s="215"/>
      <c r="N31" s="215"/>
      <c r="O31" s="215"/>
      <c r="P31" s="215"/>
      <c r="Q31" s="215"/>
      <c r="R31" s="215"/>
      <c r="S31" s="215"/>
      <c r="T31" s="215"/>
      <c r="U31" s="215"/>
      <c r="V31" s="215"/>
      <c r="W31" s="215"/>
      <c r="X31" s="215"/>
      <c r="Y31" s="215"/>
      <c r="Z31" s="215"/>
      <c r="AA31" s="215"/>
      <c r="AB31" s="215"/>
      <c r="AC31" s="220"/>
      <c r="AD31" s="220"/>
      <c r="AE31" s="215"/>
      <c r="AF31" s="215"/>
      <c r="AG31" s="220"/>
      <c r="AH31" s="220"/>
      <c r="AI31" s="220"/>
      <c r="AJ31" s="215"/>
      <c r="AK31" s="215"/>
      <c r="AL31" s="220"/>
      <c r="AM31" s="220"/>
      <c r="AN31" s="220"/>
      <c r="AO31" s="220"/>
      <c r="AP31" s="220"/>
      <c r="AQ31" s="220"/>
      <c r="AR31" s="220"/>
      <c r="AS31" s="220"/>
      <c r="AT31" s="220"/>
      <c r="AU31" s="220"/>
      <c r="AV31" s="220"/>
      <c r="AW31" s="220"/>
      <c r="AX31" s="220"/>
      <c r="AY31" s="220"/>
      <c r="AZ31" s="215"/>
      <c r="BA31" s="220"/>
      <c r="BB31" s="220"/>
      <c r="BC31" s="220"/>
      <c r="BD31" s="215"/>
      <c r="BE31" s="215"/>
      <c r="BF31" s="220"/>
      <c r="BG31" s="220"/>
      <c r="BH31" s="220"/>
      <c r="BI31" s="215"/>
      <c r="BJ31" s="215"/>
      <c r="BK31" s="220"/>
      <c r="BL31" s="220"/>
      <c r="BM31" s="220"/>
      <c r="BN31" s="215"/>
      <c r="BO31" s="215"/>
      <c r="BP31" s="220"/>
      <c r="BQ31" s="220"/>
      <c r="BR31" s="220"/>
      <c r="BS31" s="215"/>
      <c r="BT31" s="215"/>
      <c r="BU31" s="220"/>
    </row>
    <row r="32" spans="2:73" ht="15" customHeight="1" x14ac:dyDescent="0.45">
      <c r="B32" s="362" t="s">
        <v>218</v>
      </c>
      <c r="C32" s="363"/>
      <c r="D32" s="168"/>
      <c r="E32" s="168"/>
      <c r="F32" s="168"/>
      <c r="G32" s="168"/>
      <c r="H32" s="169"/>
      <c r="I32" s="168"/>
      <c r="J32" s="168"/>
      <c r="K32" s="168"/>
      <c r="L32" s="168"/>
      <c r="M32" s="169"/>
      <c r="N32" s="168"/>
      <c r="O32" s="168"/>
      <c r="P32" s="168"/>
      <c r="Q32" s="168"/>
      <c r="R32" s="169"/>
      <c r="S32" s="168"/>
      <c r="T32" s="168"/>
      <c r="U32" s="168"/>
      <c r="V32" s="168"/>
      <c r="W32" s="169"/>
      <c r="X32" s="168"/>
      <c r="Y32" s="168"/>
      <c r="Z32" s="168"/>
      <c r="AA32" s="168"/>
      <c r="AB32" s="169"/>
      <c r="AC32" s="170"/>
      <c r="AD32" s="168"/>
      <c r="AE32" s="168"/>
      <c r="AF32" s="168"/>
      <c r="AG32" s="171"/>
      <c r="AH32" s="168"/>
      <c r="AI32" s="168"/>
      <c r="AJ32" s="168"/>
      <c r="AK32" s="168"/>
      <c r="AL32" s="171"/>
      <c r="AM32" s="168"/>
      <c r="AN32" s="168"/>
      <c r="AO32" s="168"/>
      <c r="AP32" s="168"/>
      <c r="AQ32" s="171"/>
      <c r="AR32" s="168"/>
      <c r="AS32" s="168"/>
      <c r="AT32" s="168"/>
      <c r="AU32" s="168"/>
      <c r="AV32" s="171"/>
      <c r="AW32" s="168"/>
      <c r="AX32" s="168"/>
      <c r="AY32" s="168"/>
      <c r="AZ32" s="168"/>
      <c r="BA32" s="171"/>
      <c r="BB32" s="168"/>
      <c r="BC32" s="168"/>
      <c r="BD32" s="168"/>
      <c r="BE32" s="168"/>
      <c r="BF32" s="171"/>
      <c r="BG32" s="168"/>
      <c r="BH32" s="168"/>
      <c r="BI32" s="168"/>
      <c r="BJ32" s="168"/>
      <c r="BK32" s="171"/>
      <c r="BL32" s="168"/>
      <c r="BM32" s="168"/>
      <c r="BN32" s="168"/>
      <c r="BO32" s="168"/>
      <c r="BP32" s="171"/>
      <c r="BQ32" s="168"/>
      <c r="BR32" s="168"/>
      <c r="BS32" s="168"/>
      <c r="BT32" s="168"/>
      <c r="BU32" s="171"/>
    </row>
    <row r="33" spans="2:73" hidden="1" outlineLevel="1" x14ac:dyDescent="0.3">
      <c r="B33" s="360" t="s">
        <v>44</v>
      </c>
      <c r="C33" s="361"/>
      <c r="D33" s="118"/>
      <c r="E33" s="118"/>
      <c r="F33" s="118"/>
      <c r="G33" s="318"/>
      <c r="H33" s="114"/>
      <c r="I33" s="118">
        <f t="shared" ref="I33:AN33" si="79">I10/D10-1</f>
        <v>0.7050946885162277</v>
      </c>
      <c r="J33" s="118">
        <f t="shared" si="79"/>
        <v>0.82732054226238971</v>
      </c>
      <c r="K33" s="118">
        <f t="shared" si="79"/>
        <v>0.8198089171974523</v>
      </c>
      <c r="L33" s="318">
        <f t="shared" si="79"/>
        <v>0.38966720739320659</v>
      </c>
      <c r="M33" s="114">
        <f t="shared" si="79"/>
        <v>0.65962437715599842</v>
      </c>
      <c r="N33" s="118">
        <f t="shared" si="79"/>
        <v>0.73265771661493595</v>
      </c>
      <c r="O33" s="118">
        <f t="shared" si="79"/>
        <v>0.5886001540519723</v>
      </c>
      <c r="P33" s="118">
        <f t="shared" si="79"/>
        <v>0.2258233873508102</v>
      </c>
      <c r="Q33" s="318">
        <f t="shared" si="79"/>
        <v>0.27223204810753443</v>
      </c>
      <c r="R33" s="114">
        <f t="shared" si="79"/>
        <v>0.44581474193756976</v>
      </c>
      <c r="S33" s="118">
        <f t="shared" si="79"/>
        <v>0.17652644983057431</v>
      </c>
      <c r="T33" s="118">
        <f t="shared" si="79"/>
        <v>0.11271882815291168</v>
      </c>
      <c r="U33" s="118">
        <f t="shared" si="79"/>
        <v>8.5657996173942319E-3</v>
      </c>
      <c r="V33" s="318">
        <f t="shared" si="79"/>
        <v>4.1872879942167707E-2</v>
      </c>
      <c r="W33" s="114">
        <f t="shared" si="79"/>
        <v>9.2020855163953197E-2</v>
      </c>
      <c r="X33" s="118">
        <f t="shared" si="79"/>
        <v>5.6538009979454129E-2</v>
      </c>
      <c r="Y33" s="118">
        <f t="shared" si="79"/>
        <v>4.6854574226544043E-2</v>
      </c>
      <c r="Z33" s="118">
        <f t="shared" si="79"/>
        <v>5.9706140475044522E-2</v>
      </c>
      <c r="AA33" s="318">
        <f t="shared" si="79"/>
        <v>0.12411934244235701</v>
      </c>
      <c r="AB33" s="114">
        <f t="shared" si="79"/>
        <v>6.9539523725937524E-2</v>
      </c>
      <c r="AC33" s="118">
        <f t="shared" si="79"/>
        <v>0.29525645032468661</v>
      </c>
      <c r="AD33" s="118">
        <f t="shared" si="79"/>
        <v>0.27086710774218981</v>
      </c>
      <c r="AE33" s="118">
        <f t="shared" si="79"/>
        <v>0.32520303483650359</v>
      </c>
      <c r="AF33" s="318">
        <f t="shared" si="79"/>
        <v>0.22263371554732569</v>
      </c>
      <c r="AG33" s="114">
        <f t="shared" si="79"/>
        <v>0.27856341803659834</v>
      </c>
      <c r="AH33" s="118">
        <f t="shared" si="79"/>
        <v>1.7064571911151516E-2</v>
      </c>
      <c r="AI33" s="118">
        <f t="shared" si="79"/>
        <v>-0.12847784864678502</v>
      </c>
      <c r="AJ33" s="118">
        <f t="shared" si="79"/>
        <v>-0.14609414373551055</v>
      </c>
      <c r="AK33" s="318">
        <f t="shared" si="79"/>
        <v>-9.0270091842876821E-2</v>
      </c>
      <c r="AL33" s="114">
        <f t="shared" si="79"/>
        <v>-7.7342061913013738E-2</v>
      </c>
      <c r="AM33" s="118">
        <f t="shared" si="79"/>
        <v>3.2673450021088124E-2</v>
      </c>
      <c r="AN33" s="118">
        <f t="shared" si="79"/>
        <v>4.626461221987066E-2</v>
      </c>
      <c r="AO33" s="118">
        <f t="shared" ref="AO33:AY33" si="80">AO10/AJ10-1</f>
        <v>7.2005288257235955E-2</v>
      </c>
      <c r="AP33" s="118">
        <f t="shared" si="80"/>
        <v>0.1222359771194399</v>
      </c>
      <c r="AQ33" s="114">
        <f>AQ10/AL10-1</f>
        <v>6.304518199398057E-2</v>
      </c>
      <c r="AR33" s="118">
        <f t="shared" si="80"/>
        <v>0.12689053107171566</v>
      </c>
      <c r="AS33" s="118">
        <f t="shared" si="80"/>
        <v>0.15579627949183306</v>
      </c>
      <c r="AT33" s="118">
        <f t="shared" si="80"/>
        <v>0.17303118393234662</v>
      </c>
      <c r="AU33" s="118">
        <f t="shared" si="80"/>
        <v>0.19629509880370488</v>
      </c>
      <c r="AV33" s="114">
        <f>AV10/AQ10-1</f>
        <v>0.15861957650261305</v>
      </c>
      <c r="AW33" s="118">
        <f t="shared" si="80"/>
        <v>-4.5111163965433243E-2</v>
      </c>
      <c r="AX33" s="118">
        <f t="shared" si="80"/>
        <v>-5.1065639465462831E-2</v>
      </c>
      <c r="AY33" s="118">
        <f t="shared" si="80"/>
        <v>1.0213085515817122E-2</v>
      </c>
      <c r="AZ33" s="318">
        <f>AVERAGE(AU33,AP33,AK33)</f>
        <v>7.6086994693422658E-2</v>
      </c>
      <c r="BA33" s="318">
        <f>AVERAGE(AV33,AQ33,AL33)</f>
        <v>4.8107565527859962E-2</v>
      </c>
      <c r="BB33" s="318">
        <f t="shared" ref="BB33:BE33" si="81">AVERAGE(AW33,AR33,AM33)</f>
        <v>3.8150939042456845E-2</v>
      </c>
      <c r="BC33" s="318">
        <f t="shared" si="81"/>
        <v>5.0331750748746962E-2</v>
      </c>
      <c r="BD33" s="318">
        <f t="shared" si="81"/>
        <v>8.5083185901799904E-2</v>
      </c>
      <c r="BE33" s="318">
        <f t="shared" si="81"/>
        <v>0.13153935687218915</v>
      </c>
      <c r="BF33" s="318">
        <f>AVERAGE(BA33,AV33,AQ33)</f>
        <v>8.9924108008151205E-2</v>
      </c>
      <c r="BG33" s="318">
        <f t="shared" ref="BG33" si="82">AVERAGE(BB33,AW33,AR33)</f>
        <v>3.9976768716246419E-2</v>
      </c>
      <c r="BH33" s="318">
        <f t="shared" ref="BH33" si="83">AVERAGE(BC33,AX33,AS33)</f>
        <v>5.1687463591705729E-2</v>
      </c>
      <c r="BI33" s="318">
        <f t="shared" ref="BI33" si="84">AVERAGE(BD33,AY33,AT33)</f>
        <v>8.9442485116654549E-2</v>
      </c>
      <c r="BJ33" s="318">
        <f t="shared" ref="BJ33" si="85">AVERAGE(BE33,AZ33,AU33)</f>
        <v>0.13464048345643889</v>
      </c>
      <c r="BK33" s="318">
        <f>AVERAGE(BF33,BA33,AV33)</f>
        <v>9.8883750012874749E-2</v>
      </c>
      <c r="BL33" s="318">
        <f t="shared" ref="BL33" si="86">AVERAGE(BG33,BB33,AW33)</f>
        <v>1.1005514597756672E-2</v>
      </c>
      <c r="BM33" s="318">
        <f t="shared" ref="BM33" si="87">AVERAGE(BH33,BC33,AX33)</f>
        <v>1.6984524958329954E-2</v>
      </c>
      <c r="BN33" s="318">
        <f t="shared" ref="BN33" si="88">AVERAGE(BI33,BD33,AY33)</f>
        <v>6.1579585511423861E-2</v>
      </c>
      <c r="BO33" s="318">
        <f t="shared" ref="BO33" si="89">AVERAGE(BJ33,BE33,AZ33)</f>
        <v>0.11408894500735024</v>
      </c>
      <c r="BP33" s="318">
        <f>AVERAGE(BK33,BF33,BA33)</f>
        <v>7.8971807849628636E-2</v>
      </c>
      <c r="BQ33" s="318">
        <f t="shared" ref="BQ33" si="90">AVERAGE(BL33,BG33,BB33)</f>
        <v>2.9711074118819975E-2</v>
      </c>
      <c r="BR33" s="318">
        <f t="shared" ref="BR33" si="91">AVERAGE(BM33,BH33,BC33)</f>
        <v>3.9667913099594214E-2</v>
      </c>
      <c r="BS33" s="318">
        <f t="shared" ref="BS33" si="92">AVERAGE(BN33,BI33,BD33)</f>
        <v>7.8701752176626102E-2</v>
      </c>
      <c r="BT33" s="318">
        <f t="shared" ref="BT33" si="93">AVERAGE(BO33,BJ33,BE33)</f>
        <v>0.12675626177865942</v>
      </c>
      <c r="BU33" s="318">
        <f>AVERAGE(BP33,BK33,BF33)</f>
        <v>8.9259888623551539E-2</v>
      </c>
    </row>
    <row r="34" spans="2:73" hidden="1" outlineLevel="1" x14ac:dyDescent="0.3">
      <c r="B34" s="360" t="s">
        <v>45</v>
      </c>
      <c r="C34" s="361"/>
      <c r="D34" s="118"/>
      <c r="E34" s="118">
        <f>E10/D10-1</f>
        <v>-0.13925907033093154</v>
      </c>
      <c r="F34" s="118">
        <f>F10/E10-1</f>
        <v>0.16304911474924078</v>
      </c>
      <c r="G34" s="118">
        <f>G10/F10-1</f>
        <v>0.29573248407643304</v>
      </c>
      <c r="H34" s="114"/>
      <c r="I34" s="118">
        <f>I10/G10-1</f>
        <v>0.31450621835520809</v>
      </c>
      <c r="J34" s="118">
        <f>J10/I10-1</f>
        <v>-7.7558804831532102E-2</v>
      </c>
      <c r="K34" s="118">
        <f>K10/J10-1</f>
        <v>0.15826813151173624</v>
      </c>
      <c r="L34" s="118">
        <f>L10/K10-1</f>
        <v>-1.0535158027370373E-2</v>
      </c>
      <c r="M34" s="114"/>
      <c r="N34" s="118">
        <f>N10/L10-1</f>
        <v>0.63894587902369993</v>
      </c>
      <c r="O34" s="118">
        <f>O10/N10-1</f>
        <v>-0.15425290829430427</v>
      </c>
      <c r="P34" s="118">
        <f>P10/O10-1</f>
        <v>-0.1062369213494615</v>
      </c>
      <c r="Q34" s="118">
        <f>Q10/P10-1</f>
        <v>2.6925163464009305E-2</v>
      </c>
      <c r="R34" s="114"/>
      <c r="S34" s="118">
        <f>S10/Q10-1</f>
        <v>0.51565367291330699</v>
      </c>
      <c r="T34" s="118">
        <f>T10/S10-1</f>
        <v>-0.20012107425887882</v>
      </c>
      <c r="U34" s="118">
        <f>U10/T10-1</f>
        <v>-0.18989519069788774</v>
      </c>
      <c r="V34" s="118">
        <f>V10/U10-1</f>
        <v>6.0838547122271658E-2</v>
      </c>
      <c r="W34" s="114"/>
      <c r="X34" s="118">
        <f>X10/V10-1</f>
        <v>0.53698761742100776</v>
      </c>
      <c r="Y34" s="118">
        <f>Y10/X10-1</f>
        <v>-0.20745216515609266</v>
      </c>
      <c r="Z34" s="118">
        <f>Z10/Y10-1</f>
        <v>-0.17995005038776668</v>
      </c>
      <c r="AA34" s="118">
        <f>AA10/Z10-1</f>
        <v>0.12532058132079493</v>
      </c>
      <c r="AB34" s="114"/>
      <c r="AC34" s="118">
        <f>AC10/AA10-1</f>
        <v>0.77098022458039561</v>
      </c>
      <c r="AD34" s="118">
        <f>AD10/AC10-1</f>
        <v>-0.2223756350621322</v>
      </c>
      <c r="AE34" s="118">
        <f>AE10/AD10-1</f>
        <v>-0.14488881227374595</v>
      </c>
      <c r="AF34" s="118">
        <f>AF10/AE10-1</f>
        <v>3.8221953432113764E-2</v>
      </c>
      <c r="AG34" s="115"/>
      <c r="AH34" s="118">
        <f>AH10/AF10-1</f>
        <v>0.47321411234733302</v>
      </c>
      <c r="AI34" s="118">
        <f>AI10/AH10-1</f>
        <v>-0.33365404892450445</v>
      </c>
      <c r="AJ34" s="118">
        <f>AJ10/AI10-1</f>
        <v>-0.16217338845263762</v>
      </c>
      <c r="AK34" s="118">
        <f>AK10/AJ10-1</f>
        <v>0.10609566079607169</v>
      </c>
      <c r="AL34" s="115"/>
      <c r="AM34" s="118">
        <f>AM10/AK10-1</f>
        <v>0.6723085460599334</v>
      </c>
      <c r="AN34" s="118">
        <f>AN10/AM10-1</f>
        <v>-0.32488417505839107</v>
      </c>
      <c r="AO34" s="118">
        <f>AO10/AN10-1</f>
        <v>-0.14156079854809434</v>
      </c>
      <c r="AP34" s="118">
        <f>AP10/AO10-1</f>
        <v>0.15792371388301629</v>
      </c>
      <c r="AQ34" s="115"/>
      <c r="AR34" s="118">
        <f>AR10/AQ10-1</f>
        <v>-0.61483462313618398</v>
      </c>
      <c r="AS34" s="118">
        <f>AS10/AR10-1</f>
        <v>-0.30756685127926331</v>
      </c>
      <c r="AT34" s="118">
        <f>AT10/AS10-1</f>
        <v>-0.12875999803719518</v>
      </c>
      <c r="AU34" s="118">
        <f>AU10/AT10-1</f>
        <v>0.1808880127663568</v>
      </c>
      <c r="AV34" s="115"/>
      <c r="AW34" s="118">
        <f>AW10/AV10-1</f>
        <v>-0.68256179521451832</v>
      </c>
      <c r="AX34" s="118">
        <f>AX10/AW10-1</f>
        <v>-0.31188471118491279</v>
      </c>
      <c r="AY34" s="118">
        <f>AY10/AX10-1</f>
        <v>-7.2498491769369955E-2</v>
      </c>
      <c r="AZ34" s="118">
        <f>AZ10/AY10-1</f>
        <v>0.25789128149967988</v>
      </c>
      <c r="BA34" s="115"/>
      <c r="BB34" s="118">
        <f>BB10/AZ10-1</f>
        <v>0.29312813927190318</v>
      </c>
      <c r="BC34" s="118">
        <f t="shared" ref="BC34:BE34" si="94">BC10/BB10-1</f>
        <v>-0.30381093072577547</v>
      </c>
      <c r="BD34" s="118">
        <f t="shared" si="94"/>
        <v>-4.1811036596603457E-2</v>
      </c>
      <c r="BE34" s="118">
        <f t="shared" si="94"/>
        <v>0.31174596581767999</v>
      </c>
      <c r="BF34" s="115"/>
      <c r="BG34" s="118">
        <f>BG10/BE10-1</f>
        <v>0.18849001198987736</v>
      </c>
      <c r="BH34" s="118">
        <f t="shared" ref="BH34:BJ34" si="95">BH10/BG10-1</f>
        <v>-0.29597146929630103</v>
      </c>
      <c r="BI34" s="118">
        <f t="shared" si="95"/>
        <v>-7.412561583205024E-3</v>
      </c>
      <c r="BJ34" s="118">
        <f t="shared" si="95"/>
        <v>0.36616672946074469</v>
      </c>
      <c r="BK34" s="115"/>
      <c r="BL34" s="118">
        <f>BL10/BJ10-1</f>
        <v>5.8987382951289247E-2</v>
      </c>
      <c r="BM34" s="118">
        <f t="shared" ref="BM34:BO34" si="96">BM10/BL10-1</f>
        <v>-0.29180789766544668</v>
      </c>
      <c r="BN34" s="118">
        <f t="shared" si="96"/>
        <v>3.6112679788831592E-2</v>
      </c>
      <c r="BO34" s="118">
        <f t="shared" si="96"/>
        <v>0.43374201152880421</v>
      </c>
      <c r="BP34" s="115"/>
      <c r="BQ34" s="118">
        <f>BQ10/BO10-1</f>
        <v>-2.1217255171797733E-2</v>
      </c>
      <c r="BR34" s="118">
        <f t="shared" ref="BR34:BT34" si="97">BR10/BQ10-1</f>
        <v>-0.28496000129176202</v>
      </c>
      <c r="BS34" s="118">
        <f t="shared" si="97"/>
        <v>7.5013039316109698E-2</v>
      </c>
      <c r="BT34" s="118">
        <f t="shared" si="97"/>
        <v>0.49761302047156941</v>
      </c>
      <c r="BU34" s="115"/>
    </row>
    <row r="35" spans="2:73" hidden="1" outlineLevel="1" x14ac:dyDescent="0.3">
      <c r="B35" s="360" t="s">
        <v>56</v>
      </c>
      <c r="C35" s="361"/>
      <c r="D35" s="30">
        <f t="shared" ref="D35:AY35" si="98">D12/D10</f>
        <v>0.40878658419945163</v>
      </c>
      <c r="E35" s="30">
        <f t="shared" si="98"/>
        <v>0.41669753315060376</v>
      </c>
      <c r="F35" s="30">
        <f t="shared" si="98"/>
        <v>0.39082802547770701</v>
      </c>
      <c r="G35" s="30">
        <f t="shared" si="98"/>
        <v>0.36926706975372364</v>
      </c>
      <c r="H35" s="114">
        <f t="shared" si="98"/>
        <v>0.39377539287083174</v>
      </c>
      <c r="I35" s="30">
        <f t="shared" si="98"/>
        <v>0.38510152948655624</v>
      </c>
      <c r="J35" s="30">
        <f t="shared" si="98"/>
        <v>0.4142376454372238</v>
      </c>
      <c r="K35" s="30">
        <f t="shared" si="98"/>
        <v>0.41727625914388716</v>
      </c>
      <c r="L35" s="30">
        <f t="shared" si="98"/>
        <v>0.40254686947293949</v>
      </c>
      <c r="M35" s="114">
        <f t="shared" si="98"/>
        <v>0.40478895878945764</v>
      </c>
      <c r="N35" s="30">
        <f t="shared" si="98"/>
        <v>0.44683055273778949</v>
      </c>
      <c r="O35" s="30">
        <f t="shared" si="98"/>
        <v>0.4737406216505895</v>
      </c>
      <c r="P35" s="30">
        <f t="shared" si="98"/>
        <v>0.42811866487736633</v>
      </c>
      <c r="Q35" s="30">
        <f t="shared" si="98"/>
        <v>0.40040593894233445</v>
      </c>
      <c r="R35" s="114">
        <f t="shared" si="98"/>
        <v>0.43871239808827661</v>
      </c>
      <c r="S35" s="30">
        <f t="shared" si="98"/>
        <v>0.38633695333137658</v>
      </c>
      <c r="T35" s="30">
        <f t="shared" si="98"/>
        <v>0.37495126482122787</v>
      </c>
      <c r="U35" s="30">
        <f t="shared" si="98"/>
        <v>0.36871160433711747</v>
      </c>
      <c r="V35" s="30">
        <f t="shared" si="98"/>
        <v>0.37016972672929122</v>
      </c>
      <c r="W35" s="114">
        <f t="shared" si="98"/>
        <v>0.37624480720847231</v>
      </c>
      <c r="X35" s="30">
        <f t="shared" si="98"/>
        <v>0.37931034482758619</v>
      </c>
      <c r="Y35" s="30">
        <f t="shared" si="98"/>
        <v>0.39317793453971872</v>
      </c>
      <c r="Z35" s="30">
        <f t="shared" si="98"/>
        <v>0.39364714682624491</v>
      </c>
      <c r="AA35" s="30">
        <f t="shared" si="98"/>
        <v>0.38005365239892697</v>
      </c>
      <c r="AB35" s="114">
        <f t="shared" si="98"/>
        <v>0.38588035777783858</v>
      </c>
      <c r="AC35" s="30">
        <f t="shared" si="98"/>
        <v>0.39867826646469789</v>
      </c>
      <c r="AD35" s="30">
        <f t="shared" si="98"/>
        <v>0.40779176004137219</v>
      </c>
      <c r="AE35" s="30">
        <f t="shared" si="98"/>
        <v>0.3967543594395726</v>
      </c>
      <c r="AF35" s="30">
        <f t="shared" si="98"/>
        <v>0.39898254402827127</v>
      </c>
      <c r="AG35" s="113">
        <f t="shared" si="98"/>
        <v>0.40059902017414373</v>
      </c>
      <c r="AH35" s="30">
        <f t="shared" si="98"/>
        <v>0.40097796288485871</v>
      </c>
      <c r="AI35" s="160">
        <f t="shared" si="98"/>
        <v>0.39403050022746605</v>
      </c>
      <c r="AJ35" s="160">
        <f t="shared" si="98"/>
        <v>0.38023513858066954</v>
      </c>
      <c r="AK35" s="160">
        <f t="shared" si="98"/>
        <v>0.38019721676769402</v>
      </c>
      <c r="AL35" s="117">
        <f t="shared" si="98"/>
        <v>0.39075955648097049</v>
      </c>
      <c r="AM35" s="30">
        <f t="shared" si="98"/>
        <v>0.38513867085295656</v>
      </c>
      <c r="AN35" s="30">
        <f t="shared" si="98"/>
        <v>0.38927329098608593</v>
      </c>
      <c r="AO35" s="30">
        <f t="shared" si="98"/>
        <v>0.38513037350246654</v>
      </c>
      <c r="AP35" s="30">
        <f t="shared" si="98"/>
        <v>0.37906768862093232</v>
      </c>
      <c r="AQ35" s="117">
        <f t="shared" si="98"/>
        <v>0.38469860491899105</v>
      </c>
      <c r="AR35" s="30">
        <f t="shared" si="98"/>
        <v>0.38408480853521798</v>
      </c>
      <c r="AS35" s="30">
        <f t="shared" si="98"/>
        <v>0.38310679294044525</v>
      </c>
      <c r="AT35" s="30">
        <f t="shared" si="98"/>
        <v>0.38338496198254013</v>
      </c>
      <c r="AU35" s="30">
        <f t="shared" si="98"/>
        <v>0.38289348171701115</v>
      </c>
      <c r="AV35" s="117">
        <f t="shared" si="98"/>
        <v>0.38343718820007905</v>
      </c>
      <c r="AW35" s="30">
        <f t="shared" si="98"/>
        <v>0.37991934527339583</v>
      </c>
      <c r="AX35" s="30">
        <f t="shared" si="98"/>
        <v>0.37612686374213566</v>
      </c>
      <c r="AY35" s="30">
        <f t="shared" si="98"/>
        <v>0.37590365923916075</v>
      </c>
      <c r="AZ35" s="30">
        <f>AU35</f>
        <v>0.38289348171701115</v>
      </c>
      <c r="BA35" s="113">
        <f>BA12/BA10</f>
        <v>0.3790293674048989</v>
      </c>
      <c r="BB35" s="30">
        <f t="shared" ref="BB35:BE35" si="99">AW35</f>
        <v>0.37991934527339583</v>
      </c>
      <c r="BC35" s="30">
        <f t="shared" si="99"/>
        <v>0.37612686374213566</v>
      </c>
      <c r="BD35" s="30">
        <f t="shared" si="99"/>
        <v>0.37590365923916075</v>
      </c>
      <c r="BE35" s="30">
        <f t="shared" si="99"/>
        <v>0.38289348171701115</v>
      </c>
      <c r="BF35" s="113">
        <f>BF12/BF10</f>
        <v>0.3790804567422108</v>
      </c>
      <c r="BG35" s="30">
        <f t="shared" ref="BG35" si="100">BB35</f>
        <v>0.37991934527339583</v>
      </c>
      <c r="BH35" s="30">
        <f t="shared" ref="BH35" si="101">BC35</f>
        <v>0.37612686374213566</v>
      </c>
      <c r="BI35" s="30">
        <f t="shared" ref="BI35" si="102">BD35</f>
        <v>0.37590365923916075</v>
      </c>
      <c r="BJ35" s="30">
        <f t="shared" ref="BJ35" si="103">BE35</f>
        <v>0.38289348171701115</v>
      </c>
      <c r="BK35" s="113">
        <f>BK12/BK10</f>
        <v>0.37913399527745817</v>
      </c>
      <c r="BL35" s="30">
        <f t="shared" ref="BL35" si="104">BG35</f>
        <v>0.37991934527339583</v>
      </c>
      <c r="BM35" s="30">
        <f t="shared" ref="BM35" si="105">BH35</f>
        <v>0.37612686374213566</v>
      </c>
      <c r="BN35" s="30">
        <f t="shared" ref="BN35" si="106">BI35</f>
        <v>0.37590365923916075</v>
      </c>
      <c r="BO35" s="30">
        <f t="shared" ref="BO35" si="107">BJ35</f>
        <v>0.38289348171701115</v>
      </c>
      <c r="BP35" s="113">
        <f>BP12/BP10</f>
        <v>0.37920283088548762</v>
      </c>
      <c r="BQ35" s="30">
        <f t="shared" ref="BQ35" si="108">BL35</f>
        <v>0.37991934527339583</v>
      </c>
      <c r="BR35" s="30">
        <f t="shared" ref="BR35" si="109">BM35</f>
        <v>0.37612686374213566</v>
      </c>
      <c r="BS35" s="30">
        <f t="shared" ref="BS35" si="110">BN35</f>
        <v>0.37590365923916075</v>
      </c>
      <c r="BT35" s="30">
        <f t="shared" ref="BT35" si="111">BO35</f>
        <v>0.38289348171701115</v>
      </c>
      <c r="BU35" s="113">
        <f>BU12/BU10</f>
        <v>0.37926601948581434</v>
      </c>
    </row>
    <row r="36" spans="2:73" hidden="1" outlineLevel="1" x14ac:dyDescent="0.3">
      <c r="B36" s="370" t="s">
        <v>57</v>
      </c>
      <c r="C36" s="374"/>
      <c r="D36" s="30">
        <f t="shared" ref="D36:AI36" si="112">D16/D10</f>
        <v>0.30128164254288081</v>
      </c>
      <c r="E36" s="30">
        <f t="shared" si="112"/>
        <v>0.29476257500555597</v>
      </c>
      <c r="F36" s="30">
        <f t="shared" si="112"/>
        <v>0.2696815286624204</v>
      </c>
      <c r="G36" s="30">
        <f t="shared" si="112"/>
        <v>0.26775795113798356</v>
      </c>
      <c r="H36" s="114">
        <f t="shared" si="112"/>
        <v>0.28187044844768111</v>
      </c>
      <c r="I36" s="30">
        <f t="shared" si="112"/>
        <v>0.29269660820462962</v>
      </c>
      <c r="J36" s="30">
        <f t="shared" si="112"/>
        <v>0.31921190254185755</v>
      </c>
      <c r="K36" s="30">
        <f t="shared" si="112"/>
        <v>0.32826992404886074</v>
      </c>
      <c r="L36" s="30">
        <f t="shared" si="112"/>
        <v>0.30810045985143264</v>
      </c>
      <c r="M36" s="114">
        <f t="shared" si="112"/>
        <v>0.31215068961376086</v>
      </c>
      <c r="N36" s="30">
        <f t="shared" si="112"/>
        <v>0.37424729674314205</v>
      </c>
      <c r="O36" s="30">
        <f t="shared" si="112"/>
        <v>0.39258919001684273</v>
      </c>
      <c r="P36" s="30">
        <f t="shared" si="112"/>
        <v>0.33043999657368017</v>
      </c>
      <c r="Q36" s="30">
        <f t="shared" si="112"/>
        <v>0.30428738252794307</v>
      </c>
      <c r="R36" s="114">
        <f t="shared" si="112"/>
        <v>0.35295959311984054</v>
      </c>
      <c r="S36" s="30">
        <f t="shared" si="112"/>
        <v>0.31571030231875552</v>
      </c>
      <c r="T36" s="30">
        <f t="shared" si="112"/>
        <v>0.28800770589179642</v>
      </c>
      <c r="U36" s="30">
        <f t="shared" si="112"/>
        <v>0.26048183902839511</v>
      </c>
      <c r="V36" s="30">
        <f t="shared" si="112"/>
        <v>0.26766652433817251</v>
      </c>
      <c r="W36" s="114">
        <f t="shared" si="112"/>
        <v>0.28669475162366159</v>
      </c>
      <c r="X36" s="30">
        <f t="shared" si="112"/>
        <v>0.30320866756953851</v>
      </c>
      <c r="Y36" s="30">
        <f t="shared" si="112"/>
        <v>0.29779170135389738</v>
      </c>
      <c r="Z36" s="30">
        <f t="shared" si="112"/>
        <v>0.27468476170121819</v>
      </c>
      <c r="AA36" s="30">
        <f t="shared" si="112"/>
        <v>0.26505709469885813</v>
      </c>
      <c r="AB36" s="114">
        <f t="shared" si="112"/>
        <v>0.28722339232473537</v>
      </c>
      <c r="AC36" s="30">
        <f t="shared" si="112"/>
        <v>0.32501776163219348</v>
      </c>
      <c r="AD36" s="30">
        <f t="shared" si="112"/>
        <v>0.31508360627478021</v>
      </c>
      <c r="AE36" s="30">
        <f t="shared" si="112"/>
        <v>0.28390283237576858</v>
      </c>
      <c r="AF36" s="30">
        <f t="shared" si="112"/>
        <v>0.28393623424787867</v>
      </c>
      <c r="AG36" s="113">
        <f t="shared" si="112"/>
        <v>0.30477290717326661</v>
      </c>
      <c r="AH36" s="30">
        <f t="shared" si="112"/>
        <v>0.31857602277520036</v>
      </c>
      <c r="AI36" s="30">
        <f t="shared" si="112"/>
        <v>0.27665802955080404</v>
      </c>
      <c r="AJ36" s="30">
        <f t="shared" ref="AJ36:BA36" si="113">AJ16/AJ10</f>
        <v>0.23856178289815383</v>
      </c>
      <c r="AK36" s="30">
        <f t="shared" si="113"/>
        <v>0.25102450268931958</v>
      </c>
      <c r="AL36" s="113">
        <f t="shared" si="113"/>
        <v>0.27835410106706115</v>
      </c>
      <c r="AM36" s="30">
        <f t="shared" si="113"/>
        <v>0.29813276154739571</v>
      </c>
      <c r="AN36" s="30">
        <f t="shared" si="113"/>
        <v>0.2665040834845735</v>
      </c>
      <c r="AO36" s="30">
        <f t="shared" si="113"/>
        <v>0.23713883016208598</v>
      </c>
      <c r="AP36" s="30">
        <f t="shared" si="113"/>
        <v>0.24952927975047073</v>
      </c>
      <c r="AQ36" s="113">
        <f t="shared" si="113"/>
        <v>0.26760428208729942</v>
      </c>
      <c r="AR36" s="30">
        <f t="shared" si="113"/>
        <v>0.29757738439060855</v>
      </c>
      <c r="AS36" s="30">
        <f t="shared" si="113"/>
        <v>0.25997350213455028</v>
      </c>
      <c r="AT36" s="30">
        <f t="shared" si="113"/>
        <v>0.23677837228949591</v>
      </c>
      <c r="AU36" s="30">
        <f t="shared" si="113"/>
        <v>0.25624801271860098</v>
      </c>
      <c r="AV36" s="113">
        <f t="shared" si="113"/>
        <v>0.26694026619477024</v>
      </c>
      <c r="AW36" s="30">
        <f t="shared" si="113"/>
        <v>0.27690665401494485</v>
      </c>
      <c r="AX36" s="30">
        <f t="shared" si="113"/>
        <v>0.2312333017323106</v>
      </c>
      <c r="AY36" s="30">
        <f t="shared" si="113"/>
        <v>0.2145366016837332</v>
      </c>
      <c r="AZ36" s="30">
        <f t="shared" si="113"/>
        <v>0.24453397244809144</v>
      </c>
      <c r="BA36" s="113">
        <f t="shared" si="113"/>
        <v>0.2458362771050735</v>
      </c>
      <c r="BB36" s="30">
        <f t="shared" ref="BB36:BE36" si="114">BB16/BB10</f>
        <v>0.24155983600447609</v>
      </c>
      <c r="BC36" s="30">
        <f t="shared" si="114"/>
        <v>0.23776735447321595</v>
      </c>
      <c r="BD36" s="30">
        <f t="shared" si="114"/>
        <v>0.23754414997024095</v>
      </c>
      <c r="BE36" s="30">
        <f t="shared" si="114"/>
        <v>0.24453397244809139</v>
      </c>
      <c r="BF36" s="113">
        <f>BF16/BF10</f>
        <v>0.24072094747329104</v>
      </c>
      <c r="BG36" s="30">
        <f t="shared" ref="BG36:BJ36" si="115">BG16/BG10</f>
        <v>0.24155983600447609</v>
      </c>
      <c r="BH36" s="30">
        <f t="shared" si="115"/>
        <v>0.23776735447321587</v>
      </c>
      <c r="BI36" s="30">
        <f t="shared" si="115"/>
        <v>0.23754414997024104</v>
      </c>
      <c r="BJ36" s="30">
        <f t="shared" si="115"/>
        <v>0.24453397244809141</v>
      </c>
      <c r="BK36" s="113">
        <f>BK16/BK10</f>
        <v>0.24077448600853849</v>
      </c>
      <c r="BL36" s="30">
        <f t="shared" ref="BL36:BO36" si="116">BL16/BL10</f>
        <v>0.24155983600447609</v>
      </c>
      <c r="BM36" s="30">
        <f t="shared" si="116"/>
        <v>0.23776735447321595</v>
      </c>
      <c r="BN36" s="30">
        <f t="shared" si="116"/>
        <v>0.23754414997024104</v>
      </c>
      <c r="BO36" s="30">
        <f t="shared" si="116"/>
        <v>0.24453397244809141</v>
      </c>
      <c r="BP36" s="113">
        <f>BP16/BP10</f>
        <v>0.24084332161656791</v>
      </c>
      <c r="BQ36" s="30">
        <f t="shared" ref="BQ36:BT36" si="117">BQ16/BQ10</f>
        <v>0.24155983600447609</v>
      </c>
      <c r="BR36" s="30">
        <f t="shared" si="117"/>
        <v>0.2377673544732159</v>
      </c>
      <c r="BS36" s="30">
        <f t="shared" si="117"/>
        <v>0.23754414997024101</v>
      </c>
      <c r="BT36" s="30">
        <f t="shared" si="117"/>
        <v>0.24453397244809144</v>
      </c>
      <c r="BU36" s="113">
        <f>BU16/BU10</f>
        <v>0.24090651021689469</v>
      </c>
    </row>
    <row r="37" spans="2:73" hidden="1" outlineLevel="1" x14ac:dyDescent="0.3">
      <c r="B37" s="370" t="s">
        <v>74</v>
      </c>
      <c r="C37" s="374"/>
      <c r="D37" s="30">
        <f t="shared" ref="D37:AI37" si="118">D24/D10</f>
        <v>0.21539246317668814</v>
      </c>
      <c r="E37" s="30">
        <f t="shared" si="118"/>
        <v>0.22772057189421438</v>
      </c>
      <c r="F37" s="30">
        <f t="shared" si="118"/>
        <v>0.20719745222929936</v>
      </c>
      <c r="G37" s="30">
        <f t="shared" si="118"/>
        <v>0.2117681757852824</v>
      </c>
      <c r="H37" s="114">
        <f t="shared" si="118"/>
        <v>0.21484093522422384</v>
      </c>
      <c r="I37" s="30">
        <f t="shared" si="118"/>
        <v>0.22452413896264165</v>
      </c>
      <c r="J37" s="30">
        <f t="shared" si="118"/>
        <v>0.24271293631167146</v>
      </c>
      <c r="K37" s="30">
        <f t="shared" si="118"/>
        <v>0.25578383675755134</v>
      </c>
      <c r="L37" s="30">
        <f t="shared" si="118"/>
        <v>0.23427661832331093</v>
      </c>
      <c r="M37" s="114">
        <f t="shared" si="118"/>
        <v>0.2394664153941376</v>
      </c>
      <c r="N37" s="30">
        <f t="shared" si="118"/>
        <v>0.28195886301340295</v>
      </c>
      <c r="O37" s="30">
        <f t="shared" si="118"/>
        <v>0.2965855152350329</v>
      </c>
      <c r="P37" s="30">
        <f t="shared" si="118"/>
        <v>0.25194871941295721</v>
      </c>
      <c r="Q37" s="30">
        <f t="shared" si="118"/>
        <v>0.2286325974531502</v>
      </c>
      <c r="R37" s="114">
        <f t="shared" si="118"/>
        <v>0.26665090602397323</v>
      </c>
      <c r="S37" s="30">
        <f t="shared" si="118"/>
        <v>0.23991047842676841</v>
      </c>
      <c r="T37" s="30">
        <f t="shared" si="118"/>
        <v>0.2189528243469486</v>
      </c>
      <c r="U37" s="30">
        <f t="shared" si="118"/>
        <v>0.19534014664666083</v>
      </c>
      <c r="V37" s="30">
        <f t="shared" si="118"/>
        <v>0.20046968403074295</v>
      </c>
      <c r="W37" s="114">
        <f t="shared" si="118"/>
        <v>0.21670469837926393</v>
      </c>
      <c r="X37" s="30">
        <f t="shared" si="118"/>
        <v>0.2269680869535021</v>
      </c>
      <c r="Y37" s="30">
        <f t="shared" si="118"/>
        <v>0.22396266923717303</v>
      </c>
      <c r="Z37" s="30">
        <f t="shared" si="118"/>
        <v>0.20698867279333191</v>
      </c>
      <c r="AA37" s="30">
        <f t="shared" si="118"/>
        <v>0.20100657597986848</v>
      </c>
      <c r="AB37" s="114">
        <f t="shared" si="118"/>
        <v>0.21614376760852322</v>
      </c>
      <c r="AC37" s="30">
        <f t="shared" si="118"/>
        <v>0.24161181785278624</v>
      </c>
      <c r="AD37" s="30">
        <f t="shared" si="118"/>
        <v>0.2339079469057059</v>
      </c>
      <c r="AE37" s="30">
        <f t="shared" si="118"/>
        <v>0.21524039915331117</v>
      </c>
      <c r="AF37" s="30">
        <f t="shared" si="118"/>
        <v>0.21599580590668144</v>
      </c>
      <c r="AG37" s="113">
        <f t="shared" si="118"/>
        <v>0.22845773698735639</v>
      </c>
      <c r="AH37" s="30">
        <f t="shared" si="118"/>
        <v>0.24199968367777308</v>
      </c>
      <c r="AI37" s="30">
        <f t="shared" si="118"/>
        <v>0.20800284827026921</v>
      </c>
      <c r="AJ37" s="30">
        <f t="shared" ref="AJ37:BA37" si="119">AJ24/AJ10</f>
        <v>0.18405023844374144</v>
      </c>
      <c r="AK37" s="30">
        <f t="shared" si="119"/>
        <v>0.19239306753180227</v>
      </c>
      <c r="AL37" s="113">
        <f t="shared" si="119"/>
        <v>0.211867983064288</v>
      </c>
      <c r="AM37" s="30">
        <f t="shared" si="119"/>
        <v>0.22834424576584855</v>
      </c>
      <c r="AN37" s="30">
        <f t="shared" si="119"/>
        <v>0.20850347852389595</v>
      </c>
      <c r="AO37" s="30">
        <f t="shared" si="119"/>
        <v>0.19197057787174066</v>
      </c>
      <c r="AP37" s="30">
        <f t="shared" si="119"/>
        <v>0.20376956579623043</v>
      </c>
      <c r="AQ37" s="113">
        <f t="shared" si="119"/>
        <v>0.21092420845075338</v>
      </c>
      <c r="AR37" s="30">
        <f t="shared" si="119"/>
        <v>0.22725470875380835</v>
      </c>
      <c r="AS37" s="30">
        <f t="shared" si="119"/>
        <v>0.22608240509020724</v>
      </c>
      <c r="AT37" s="30">
        <f t="shared" si="119"/>
        <v>0.21625833098657654</v>
      </c>
      <c r="AU37" s="30">
        <f t="shared" si="119"/>
        <v>0.22456279809220986</v>
      </c>
      <c r="AV37" s="113">
        <f t="shared" si="119"/>
        <v>0.22414202074587247</v>
      </c>
      <c r="AW37" s="30">
        <f t="shared" si="119"/>
        <v>0.23680464950776894</v>
      </c>
      <c r="AX37" s="30">
        <f t="shared" si="119"/>
        <v>0.20527449797466171</v>
      </c>
      <c r="AY37" s="30">
        <f t="shared" si="119"/>
        <v>0.19268152167852962</v>
      </c>
      <c r="AZ37" s="30">
        <f t="shared" si="119"/>
        <v>0.18633112807853305</v>
      </c>
      <c r="BA37" s="113">
        <f t="shared" si="119"/>
        <v>0.20792211166514624</v>
      </c>
      <c r="BB37" s="30">
        <f t="shared" ref="BB37:BE37" si="120">BB24/BB10</f>
        <v>0.18415420612180936</v>
      </c>
      <c r="BC37" s="30">
        <f t="shared" si="120"/>
        <v>0.18557931479571801</v>
      </c>
      <c r="BD37" s="30">
        <f t="shared" si="120"/>
        <v>0.18517251055524145</v>
      </c>
      <c r="BE37" s="30">
        <f t="shared" si="120"/>
        <v>0.18683520951563207</v>
      </c>
      <c r="BF37" s="113">
        <f>BF24/BF10</f>
        <v>0.18539479840091724</v>
      </c>
      <c r="BG37" s="30">
        <f t="shared" ref="BG37:BJ37" si="121">BG24/BG10</f>
        <v>0.18417261544496413</v>
      </c>
      <c r="BH37" s="30">
        <f t="shared" si="121"/>
        <v>0.18519692850677555</v>
      </c>
      <c r="BI37" s="30">
        <f t="shared" si="121"/>
        <v>0.18473092731959842</v>
      </c>
      <c r="BJ37" s="30">
        <f t="shared" si="121"/>
        <v>0.18640845547098392</v>
      </c>
      <c r="BK37" s="113">
        <f>BK24/BK10</f>
        <v>0.18513934877130053</v>
      </c>
      <c r="BL37" s="30">
        <f t="shared" ref="BL37:BO37" si="122">BL24/BL10</f>
        <v>0.18413823027945503</v>
      </c>
      <c r="BM37" s="30">
        <f t="shared" si="122"/>
        <v>0.18526921730988172</v>
      </c>
      <c r="BN37" s="30">
        <f t="shared" si="122"/>
        <v>0.18447375779762454</v>
      </c>
      <c r="BO37" s="30">
        <f t="shared" si="122"/>
        <v>0.18589943924456073</v>
      </c>
      <c r="BP37" s="113">
        <f>BP24/BP10</f>
        <v>0.18496822772061319</v>
      </c>
      <c r="BQ37" s="30">
        <f t="shared" ref="BQ37:BT37" si="123">BQ24/BQ10</f>
        <v>0.18395720085830158</v>
      </c>
      <c r="BR37" s="30">
        <f t="shared" si="123"/>
        <v>0.18508780174633285</v>
      </c>
      <c r="BS37" s="30">
        <f t="shared" si="123"/>
        <v>0.18396514620190971</v>
      </c>
      <c r="BT37" s="30">
        <f t="shared" si="123"/>
        <v>0.18527525754806246</v>
      </c>
      <c r="BU37" s="113">
        <f>BU24/BU10</f>
        <v>0.18459871926893556</v>
      </c>
    </row>
    <row r="38" spans="2:73" hidden="1" outlineLevel="1" x14ac:dyDescent="0.3">
      <c r="B38" s="370" t="s">
        <v>9</v>
      </c>
      <c r="C38" s="374"/>
      <c r="D38" s="118">
        <f t="shared" ref="D38:AY38" si="124">D23/D22</f>
        <v>0.2900378310214376</v>
      </c>
      <c r="E38" s="118">
        <f t="shared" si="124"/>
        <v>0.23703152146934722</v>
      </c>
      <c r="F38" s="118">
        <f t="shared" si="124"/>
        <v>0.24207828518173347</v>
      </c>
      <c r="G38" s="118">
        <f t="shared" si="124"/>
        <v>0.21113349203442594</v>
      </c>
      <c r="H38" s="114">
        <f t="shared" si="124"/>
        <v>0.24417475728155341</v>
      </c>
      <c r="I38" s="118">
        <f t="shared" si="124"/>
        <v>0.24601280924274771</v>
      </c>
      <c r="J38" s="118">
        <f t="shared" si="124"/>
        <v>0.24215189873417722</v>
      </c>
      <c r="K38" s="118">
        <f t="shared" si="124"/>
        <v>0.23484451889854466</v>
      </c>
      <c r="L38" s="118">
        <f t="shared" si="124"/>
        <v>0.24661585712660675</v>
      </c>
      <c r="M38" s="114">
        <f t="shared" si="124"/>
        <v>0.24215757930127174</v>
      </c>
      <c r="N38" s="118">
        <f t="shared" si="124"/>
        <v>0.2525032900383361</v>
      </c>
      <c r="O38" s="118">
        <f t="shared" si="124"/>
        <v>0.25173834663919648</v>
      </c>
      <c r="P38" s="118">
        <f t="shared" si="124"/>
        <v>0.25604923699519433</v>
      </c>
      <c r="Q38" s="118">
        <f t="shared" si="124"/>
        <v>0.24511153952079318</v>
      </c>
      <c r="R38" s="114">
        <f t="shared" si="124"/>
        <v>0.25160052364471064</v>
      </c>
      <c r="S38" s="118">
        <f t="shared" si="124"/>
        <v>0.25995925758261657</v>
      </c>
      <c r="T38" s="118">
        <f t="shared" si="124"/>
        <v>0.26020922123208057</v>
      </c>
      <c r="U38" s="118">
        <f t="shared" si="124"/>
        <v>0.2686804451510334</v>
      </c>
      <c r="V38" s="118">
        <f t="shared" si="124"/>
        <v>0.25939071280686188</v>
      </c>
      <c r="W38" s="114">
        <f t="shared" si="124"/>
        <v>0.26154919748778788</v>
      </c>
      <c r="X38" s="30">
        <f t="shared" si="124"/>
        <v>0.26184425998080074</v>
      </c>
      <c r="Y38" s="30">
        <f t="shared" si="124"/>
        <v>0.26016789694601244</v>
      </c>
      <c r="Z38" s="30">
        <f t="shared" si="124"/>
        <v>0.26096909576497518</v>
      </c>
      <c r="AA38" s="30">
        <f t="shared" si="124"/>
        <v>0.26194211994421202</v>
      </c>
      <c r="AB38" s="114">
        <f t="shared" si="124"/>
        <v>0.26126058747639436</v>
      </c>
      <c r="AC38" s="30">
        <f t="shared" si="124"/>
        <v>0.26179554390563564</v>
      </c>
      <c r="AD38" s="30">
        <f t="shared" si="124"/>
        <v>0.26906916612798965</v>
      </c>
      <c r="AE38" s="30">
        <f t="shared" si="124"/>
        <v>0.26228148967042081</v>
      </c>
      <c r="AF38" s="30">
        <f t="shared" si="124"/>
        <v>0.26145266232903996</v>
      </c>
      <c r="AG38" s="113">
        <f t="shared" si="124"/>
        <v>0.26368337585327173</v>
      </c>
      <c r="AH38" s="30">
        <f t="shared" si="124"/>
        <v>0.25279778618809262</v>
      </c>
      <c r="AI38" s="30">
        <f t="shared" si="124"/>
        <v>0.25639937774006505</v>
      </c>
      <c r="AJ38" s="30">
        <f t="shared" si="124"/>
        <v>0.25532524596427547</v>
      </c>
      <c r="AK38" s="30">
        <f t="shared" si="124"/>
        <v>0.26042008532983263</v>
      </c>
      <c r="AL38" s="113">
        <f t="shared" si="124"/>
        <v>0.25557257381216192</v>
      </c>
      <c r="AM38" s="30">
        <f t="shared" si="124"/>
        <v>0.26009098428453264</v>
      </c>
      <c r="AN38" s="30">
        <f t="shared" si="124"/>
        <v>0.24891037864342141</v>
      </c>
      <c r="AO38" s="30">
        <f t="shared" si="124"/>
        <v>0.22912981959674567</v>
      </c>
      <c r="AP38" s="30">
        <f t="shared" si="124"/>
        <v>0.23015017604368757</v>
      </c>
      <c r="AQ38" s="113">
        <f t="shared" si="124"/>
        <v>0.24556476150353415</v>
      </c>
      <c r="AR38" s="30">
        <f t="shared" si="124"/>
        <v>0.25767665556788755</v>
      </c>
      <c r="AS38" s="30">
        <f t="shared" si="124"/>
        <v>0.14510143493320138</v>
      </c>
      <c r="AT38" s="30">
        <f t="shared" si="124"/>
        <v>0.13286660644384221</v>
      </c>
      <c r="AU38" s="30">
        <f t="shared" si="124"/>
        <v>0.13982096096461846</v>
      </c>
      <c r="AV38" s="113">
        <f t="shared" si="124"/>
        <v>0.18342180705869443</v>
      </c>
      <c r="AW38" s="30">
        <f t="shared" si="124"/>
        <v>0.16485401154521878</v>
      </c>
      <c r="AX38" s="30">
        <f t="shared" si="124"/>
        <v>0.15783890813945264</v>
      </c>
      <c r="AY38" s="30">
        <f t="shared" si="124"/>
        <v>0.15259501430322844</v>
      </c>
      <c r="AZ38" s="30">
        <v>0.26</v>
      </c>
      <c r="BA38" s="113">
        <f>BA23/BA22</f>
        <v>0.18523871752639873</v>
      </c>
      <c r="BB38" s="30">
        <v>0.26</v>
      </c>
      <c r="BC38" s="30">
        <v>0.26</v>
      </c>
      <c r="BD38" s="30">
        <v>0.26</v>
      </c>
      <c r="BE38" s="30">
        <v>0.26</v>
      </c>
      <c r="BF38" s="113">
        <f>BF23/BF22</f>
        <v>0.26000000000000012</v>
      </c>
      <c r="BG38" s="30">
        <v>0.26</v>
      </c>
      <c r="BH38" s="30">
        <v>0.26</v>
      </c>
      <c r="BI38" s="30">
        <v>0.26</v>
      </c>
      <c r="BJ38" s="30">
        <v>0.26</v>
      </c>
      <c r="BK38" s="113">
        <f>BK23/BK22</f>
        <v>0.25999999999999995</v>
      </c>
      <c r="BL38" s="30">
        <v>0.26</v>
      </c>
      <c r="BM38" s="30">
        <v>0.26</v>
      </c>
      <c r="BN38" s="30">
        <v>0.26</v>
      </c>
      <c r="BO38" s="30">
        <v>0.26</v>
      </c>
      <c r="BP38" s="113">
        <f>BP23/BP22</f>
        <v>0.26</v>
      </c>
      <c r="BQ38" s="30">
        <v>0.26</v>
      </c>
      <c r="BR38" s="30">
        <v>0.26</v>
      </c>
      <c r="BS38" s="30">
        <v>0.26</v>
      </c>
      <c r="BT38" s="30">
        <v>0.26</v>
      </c>
      <c r="BU38" s="113">
        <f>BU23/BU22</f>
        <v>0.25999999999999995</v>
      </c>
    </row>
    <row r="39" spans="2:73" hidden="1" outlineLevel="1" x14ac:dyDescent="0.3">
      <c r="B39" s="360" t="s">
        <v>48</v>
      </c>
      <c r="C39" s="361"/>
      <c r="D39" s="30">
        <f t="shared" ref="D39:AY39" si="125">D14/D10</f>
        <v>8.2127144041318628E-2</v>
      </c>
      <c r="E39" s="30">
        <f t="shared" si="125"/>
        <v>9.0377064967775395E-2</v>
      </c>
      <c r="F39" s="30">
        <f t="shared" si="125"/>
        <v>9.1592356687898085E-2</v>
      </c>
      <c r="G39" s="30">
        <f t="shared" si="125"/>
        <v>7.7225581281030325E-2</v>
      </c>
      <c r="H39" s="114">
        <f t="shared" si="125"/>
        <v>8.4584131851284022E-2</v>
      </c>
      <c r="I39" s="30">
        <f t="shared" si="125"/>
        <v>7.0902359672413151E-2</v>
      </c>
      <c r="J39" s="30">
        <f t="shared" si="125"/>
        <v>7.147200713503872E-2</v>
      </c>
      <c r="K39" s="30">
        <f t="shared" si="125"/>
        <v>6.7026005390080856E-2</v>
      </c>
      <c r="L39" s="30">
        <f t="shared" si="125"/>
        <v>7.1630703926423775E-2</v>
      </c>
      <c r="M39" s="114">
        <f t="shared" si="125"/>
        <v>7.0199262810741903E-2</v>
      </c>
      <c r="N39" s="30">
        <f t="shared" si="125"/>
        <v>5.6223426067813435E-2</v>
      </c>
      <c r="O39" s="30">
        <f t="shared" si="125"/>
        <v>5.9689685091614354E-2</v>
      </c>
      <c r="P39" s="30">
        <f t="shared" si="125"/>
        <v>7.2666533420894838E-2</v>
      </c>
      <c r="Q39" s="30">
        <f t="shared" si="125"/>
        <v>7.0928098759939939E-2</v>
      </c>
      <c r="R39" s="114">
        <f t="shared" si="125"/>
        <v>6.4150075395506934E-2</v>
      </c>
      <c r="S39" s="30">
        <f t="shared" si="125"/>
        <v>5.209862048723217E-2</v>
      </c>
      <c r="T39" s="30">
        <f t="shared" si="125"/>
        <v>6.1280187143086487E-2</v>
      </c>
      <c r="U39" s="30">
        <f t="shared" si="125"/>
        <v>7.4880389547886644E-2</v>
      </c>
      <c r="V39" s="30">
        <f t="shared" si="125"/>
        <v>7.1333262169086253E-2</v>
      </c>
      <c r="W39" s="114">
        <f t="shared" si="125"/>
        <v>6.3366684219764782E-2</v>
      </c>
      <c r="X39" s="30">
        <f t="shared" si="125"/>
        <v>5.3008993992429768E-2</v>
      </c>
      <c r="Y39" s="30">
        <f t="shared" si="125"/>
        <v>6.4233448714016567E-2</v>
      </c>
      <c r="Z39" s="30">
        <f t="shared" si="125"/>
        <v>7.6138063688822394E-2</v>
      </c>
      <c r="AA39" s="30">
        <f t="shared" si="125"/>
        <v>7.4970918500581629E-2</v>
      </c>
      <c r="AB39" s="114">
        <f t="shared" si="125"/>
        <v>6.5609015563883044E-2</v>
      </c>
      <c r="AC39" s="30">
        <f t="shared" si="125"/>
        <v>4.8258019544497918E-2</v>
      </c>
      <c r="AD39" s="30">
        <f t="shared" si="125"/>
        <v>5.9644888812273748E-2</v>
      </c>
      <c r="AE39" s="30">
        <f t="shared" si="125"/>
        <v>7.1847596008466894E-2</v>
      </c>
      <c r="AF39" s="30">
        <f t="shared" si="125"/>
        <v>7.1940350672802467E-2</v>
      </c>
      <c r="AG39" s="114">
        <f t="shared" si="125"/>
        <v>6.1309714823609952E-2</v>
      </c>
      <c r="AH39" s="30">
        <f t="shared" si="125"/>
        <v>5.0716997047659217E-2</v>
      </c>
      <c r="AI39" s="30">
        <f t="shared" si="125"/>
        <v>6.770575785746781E-2</v>
      </c>
      <c r="AJ39" s="30">
        <f t="shared" si="125"/>
        <v>8.1236130128901268E-2</v>
      </c>
      <c r="AK39" s="30">
        <f t="shared" si="125"/>
        <v>7.4319132587723047E-2</v>
      </c>
      <c r="AL39" s="114">
        <f t="shared" si="125"/>
        <v>6.5822972653369755E-2</v>
      </c>
      <c r="AM39" s="30">
        <f t="shared" si="125"/>
        <v>5.0363109596559076E-2</v>
      </c>
      <c r="AN39" s="30">
        <f t="shared" si="125"/>
        <v>7.0288868723532974E-2</v>
      </c>
      <c r="AO39" s="30">
        <f t="shared" si="125"/>
        <v>8.3311310782241021E-2</v>
      </c>
      <c r="AP39" s="30">
        <f t="shared" si="125"/>
        <v>7.2538465927461535E-2</v>
      </c>
      <c r="AQ39" s="114">
        <f t="shared" si="125"/>
        <v>6.6573893924984945E-2</v>
      </c>
      <c r="AR39" s="30">
        <f t="shared" si="125"/>
        <v>4.7919993657481341E-2</v>
      </c>
      <c r="AS39" s="30">
        <f t="shared" si="125"/>
        <v>6.788033433109246E-2</v>
      </c>
      <c r="AT39" s="30">
        <f t="shared" si="125"/>
        <v>7.7123814887825021E-2</v>
      </c>
      <c r="AU39" s="30">
        <f t="shared" si="125"/>
        <v>6.7027027027027022E-2</v>
      </c>
      <c r="AV39" s="114">
        <f t="shared" si="125"/>
        <v>6.2896515371147807E-2</v>
      </c>
      <c r="AW39" s="30">
        <f t="shared" si="125"/>
        <v>5.6731111374688649E-2</v>
      </c>
      <c r="AX39" s="30">
        <f t="shared" si="125"/>
        <v>7.6842195983797296E-2</v>
      </c>
      <c r="AY39" s="30">
        <f t="shared" si="125"/>
        <v>8.2253898046795143E-2</v>
      </c>
      <c r="AZ39" s="30">
        <v>8.3359509268919704E-2</v>
      </c>
      <c r="BA39" s="114">
        <f>BA14/BA10</f>
        <v>7.3191078926819378E-2</v>
      </c>
      <c r="BB39" s="30">
        <v>8.3359509268919704E-2</v>
      </c>
      <c r="BC39" s="30">
        <v>8.3359509268919704E-2</v>
      </c>
      <c r="BD39" s="30">
        <v>8.3359509268919704E-2</v>
      </c>
      <c r="BE39" s="30">
        <v>8.3359509268919704E-2</v>
      </c>
      <c r="BF39" s="114">
        <f>BF14/BF10</f>
        <v>8.3359509268919704E-2</v>
      </c>
      <c r="BG39" s="30">
        <v>8.3359509268919704E-2</v>
      </c>
      <c r="BH39" s="30">
        <v>8.3359509268919704E-2</v>
      </c>
      <c r="BI39" s="30">
        <v>8.3359509268919704E-2</v>
      </c>
      <c r="BJ39" s="30">
        <v>8.3359509268919704E-2</v>
      </c>
      <c r="BK39" s="114">
        <f>BK14/BK10</f>
        <v>8.3359509268919704E-2</v>
      </c>
      <c r="BL39" s="30">
        <v>8.3359509268919704E-2</v>
      </c>
      <c r="BM39" s="30">
        <v>8.3359509268919704E-2</v>
      </c>
      <c r="BN39" s="30">
        <v>8.3359509268919704E-2</v>
      </c>
      <c r="BO39" s="30">
        <v>8.3359509268919704E-2</v>
      </c>
      <c r="BP39" s="114">
        <f>BP14/BP10</f>
        <v>8.335950926891969E-2</v>
      </c>
      <c r="BQ39" s="30">
        <v>8.3359509268919704E-2</v>
      </c>
      <c r="BR39" s="30">
        <v>8.3359509268919704E-2</v>
      </c>
      <c r="BS39" s="30">
        <v>8.3359509268919704E-2</v>
      </c>
      <c r="BT39" s="30">
        <v>8.3359509268919704E-2</v>
      </c>
      <c r="BU39" s="114">
        <f>BU14/BU10</f>
        <v>8.3359509268919718E-2</v>
      </c>
    </row>
    <row r="40" spans="2:73" hidden="1" outlineLevel="1" x14ac:dyDescent="0.3">
      <c r="B40" s="360" t="s">
        <v>49</v>
      </c>
      <c r="C40" s="361"/>
      <c r="D40" s="30">
        <f t="shared" ref="D40:AY40" si="126">D13/D10</f>
        <v>2.5377797615252183E-2</v>
      </c>
      <c r="E40" s="30">
        <f t="shared" si="126"/>
        <v>3.1557893177272388E-2</v>
      </c>
      <c r="F40" s="30">
        <f t="shared" si="126"/>
        <v>2.9554140127388533E-2</v>
      </c>
      <c r="G40" s="30">
        <f t="shared" si="126"/>
        <v>2.428353733470973E-2</v>
      </c>
      <c r="H40" s="114">
        <f t="shared" si="126"/>
        <v>2.7320812571866616E-2</v>
      </c>
      <c r="I40" s="30">
        <f t="shared" si="126"/>
        <v>2.1502561609513481E-2</v>
      </c>
      <c r="J40" s="30">
        <f t="shared" si="126"/>
        <v>2.3553735760327564E-2</v>
      </c>
      <c r="K40" s="30">
        <f t="shared" si="126"/>
        <v>2.1980329704945574E-2</v>
      </c>
      <c r="L40" s="30">
        <f t="shared" si="126"/>
        <v>2.2815705695083129E-2</v>
      </c>
      <c r="M40" s="114">
        <f t="shared" si="126"/>
        <v>2.2439006364954873E-2</v>
      </c>
      <c r="N40" s="30">
        <f t="shared" si="126"/>
        <v>1.6359829926834005E-2</v>
      </c>
      <c r="O40" s="30">
        <f t="shared" si="126"/>
        <v>2.1461746542132395E-2</v>
      </c>
      <c r="P40" s="30">
        <f t="shared" si="126"/>
        <v>2.5012134882791307E-2</v>
      </c>
      <c r="Q40" s="30">
        <f t="shared" si="126"/>
        <v>2.5190457654451427E-2</v>
      </c>
      <c r="R40" s="114">
        <f t="shared" si="126"/>
        <v>2.1602729572929181E-2</v>
      </c>
      <c r="S40" s="30">
        <f t="shared" si="126"/>
        <v>1.8528030525388907E-2</v>
      </c>
      <c r="T40" s="30">
        <f t="shared" si="126"/>
        <v>2.5663371786344976E-2</v>
      </c>
      <c r="U40" s="30">
        <f t="shared" si="126"/>
        <v>3.3349375760835714E-2</v>
      </c>
      <c r="V40" s="30">
        <f t="shared" si="126"/>
        <v>3.1169940222032452E-2</v>
      </c>
      <c r="W40" s="114">
        <f t="shared" si="126"/>
        <v>2.6183371365045931E-2</v>
      </c>
      <c r="X40" s="30">
        <f t="shared" si="126"/>
        <v>2.3092683265617947E-2</v>
      </c>
      <c r="Y40" s="30">
        <f t="shared" si="126"/>
        <v>3.1152784471804758E-2</v>
      </c>
      <c r="Z40" s="30">
        <f t="shared" si="126"/>
        <v>4.2824321436204314E-2</v>
      </c>
      <c r="AA40" s="30">
        <f t="shared" si="126"/>
        <v>4.0025639199487213E-2</v>
      </c>
      <c r="AB40" s="114">
        <f t="shared" si="126"/>
        <v>3.3047949889220163E-2</v>
      </c>
      <c r="AC40" s="30">
        <f t="shared" si="126"/>
        <v>2.5402485288006541E-2</v>
      </c>
      <c r="AD40" s="30">
        <f t="shared" si="126"/>
        <v>3.3063264954318224E-2</v>
      </c>
      <c r="AE40" s="30">
        <f t="shared" si="126"/>
        <v>4.1003931055337166E-2</v>
      </c>
      <c r="AF40" s="30">
        <f t="shared" si="126"/>
        <v>4.3105959107590144E-2</v>
      </c>
      <c r="AG40" s="114">
        <f t="shared" si="126"/>
        <v>3.4516398177267184E-2</v>
      </c>
      <c r="AH40" s="30">
        <f t="shared" si="126"/>
        <v>3.1684943061999156E-2</v>
      </c>
      <c r="AI40" s="30">
        <f t="shared" si="126"/>
        <v>4.966671281919418E-2</v>
      </c>
      <c r="AJ40" s="30">
        <f t="shared" si="126"/>
        <v>6.0437225553614429E-2</v>
      </c>
      <c r="AK40" s="30">
        <f t="shared" si="126"/>
        <v>5.4853581490651414E-2</v>
      </c>
      <c r="AL40" s="114">
        <f t="shared" si="126"/>
        <v>4.6582482760539605E-2</v>
      </c>
      <c r="AM40" s="30">
        <f t="shared" si="126"/>
        <v>3.6642799709001798E-2</v>
      </c>
      <c r="AN40" s="30">
        <f t="shared" si="126"/>
        <v>5.2480338777979432E-2</v>
      </c>
      <c r="AO40" s="30">
        <f t="shared" si="126"/>
        <v>6.4680232558139539E-2</v>
      </c>
      <c r="AP40" s="30">
        <f t="shared" si="126"/>
        <v>5.6999942943000058E-2</v>
      </c>
      <c r="AQ40" s="114">
        <f t="shared" si="126"/>
        <v>5.0520428906706681E-2</v>
      </c>
      <c r="AR40" s="30">
        <f t="shared" si="126"/>
        <v>3.8587430487128087E-2</v>
      </c>
      <c r="AS40" s="30">
        <f t="shared" si="126"/>
        <v>5.5252956474802495E-2</v>
      </c>
      <c r="AT40" s="30">
        <f t="shared" si="126"/>
        <v>6.948277480521918E-2</v>
      </c>
      <c r="AU40" s="30">
        <f t="shared" si="126"/>
        <v>5.9618441971383149E-2</v>
      </c>
      <c r="AV40" s="114">
        <f t="shared" si="126"/>
        <v>5.3600406634161032E-2</v>
      </c>
      <c r="AW40" s="30">
        <f t="shared" si="126"/>
        <v>4.6281579883762303E-2</v>
      </c>
      <c r="AX40" s="30">
        <f t="shared" si="126"/>
        <v>6.8051366026027751E-2</v>
      </c>
      <c r="AY40" s="30">
        <f t="shared" si="126"/>
        <v>7.9113159508632389E-2</v>
      </c>
      <c r="AZ40" s="30">
        <v>5.5E-2</v>
      </c>
      <c r="BA40" s="114">
        <f>BA13/BA10</f>
        <v>6.0002011373006002E-2</v>
      </c>
      <c r="BB40" s="30">
        <v>5.5E-2</v>
      </c>
      <c r="BC40" s="30">
        <v>5.5E-2</v>
      </c>
      <c r="BD40" s="30">
        <v>5.5E-2</v>
      </c>
      <c r="BE40" s="30">
        <v>5.5E-2</v>
      </c>
      <c r="BF40" s="114">
        <f>BF13/BF10</f>
        <v>5.5E-2</v>
      </c>
      <c r="BG40" s="30">
        <v>5.5E-2</v>
      </c>
      <c r="BH40" s="30">
        <v>5.5E-2</v>
      </c>
      <c r="BI40" s="30">
        <v>5.5E-2</v>
      </c>
      <c r="BJ40" s="30">
        <v>5.5E-2</v>
      </c>
      <c r="BK40" s="114">
        <f>BK13/BK10</f>
        <v>5.5000000000000007E-2</v>
      </c>
      <c r="BL40" s="30">
        <v>5.5E-2</v>
      </c>
      <c r="BM40" s="30">
        <v>5.5E-2</v>
      </c>
      <c r="BN40" s="30">
        <v>5.5E-2</v>
      </c>
      <c r="BO40" s="30">
        <v>5.5E-2</v>
      </c>
      <c r="BP40" s="114">
        <f>BP13/BP10</f>
        <v>5.5E-2</v>
      </c>
      <c r="BQ40" s="30">
        <v>5.5E-2</v>
      </c>
      <c r="BR40" s="30">
        <v>5.5E-2</v>
      </c>
      <c r="BS40" s="30">
        <v>5.5E-2</v>
      </c>
      <c r="BT40" s="30">
        <v>5.5E-2</v>
      </c>
      <c r="BU40" s="114">
        <f>BU13/BU10</f>
        <v>5.5E-2</v>
      </c>
    </row>
    <row r="41" spans="2:73" s="132" customFormat="1" hidden="1" outlineLevel="1" x14ac:dyDescent="0.3">
      <c r="B41" s="379" t="s">
        <v>281</v>
      </c>
      <c r="C41" s="380"/>
      <c r="D41" s="172"/>
      <c r="E41" s="172"/>
      <c r="F41" s="172"/>
      <c r="G41" s="172"/>
      <c r="H41" s="173"/>
      <c r="I41" s="172"/>
      <c r="J41" s="172"/>
      <c r="K41" s="172"/>
      <c r="L41" s="172"/>
      <c r="M41" s="173"/>
      <c r="N41" s="172">
        <f>N18/(((N55+N62)+(L55+L62))/2)</f>
        <v>2.8670950542610315E-3</v>
      </c>
      <c r="O41" s="172">
        <f>O18/(((O55+O62)+(N55+N62))/2)</f>
        <v>2.7115604282984423E-3</v>
      </c>
      <c r="P41" s="172">
        <f>P18/(((P55+P62)+(O55+O62))/2)</f>
        <v>2.7898400141402849E-3</v>
      </c>
      <c r="Q41" s="172">
        <f>Q18/(((Q55+Q62)+(P55+P62))/2)</f>
        <v>2.8573898562660092E-3</v>
      </c>
      <c r="R41" s="173"/>
      <c r="S41" s="172">
        <f>S18/(((S55+S62)+(Q55+Q62))/2)</f>
        <v>3.6377304363980419E-3</v>
      </c>
      <c r="T41" s="172">
        <f>T18/(((T55+T62)+(S55+S62))/2)</f>
        <v>3.3124073314615603E-3</v>
      </c>
      <c r="U41" s="172">
        <f>U18/(((U55+U62)+(T55+T62))/2)</f>
        <v>2.8730700058953902E-3</v>
      </c>
      <c r="V41" s="172">
        <f>V18/(((V55+V62)+(U55+U62))/2)</f>
        <v>2.911816749665886E-3</v>
      </c>
      <c r="W41" s="173"/>
      <c r="X41" s="172">
        <f>X18/(((X55+X62)+(V55+V62))/2)</f>
        <v>3.0800636209862694E-3</v>
      </c>
      <c r="Y41" s="172">
        <f>Y18/(((Y55+Y62)+(X55+X62))/2)</f>
        <v>2.9666612398473254E-3</v>
      </c>
      <c r="Z41" s="172">
        <f>Z18/(((Z55+Z62)+(Y55+Y62))/2)</f>
        <v>3.1007970955631761E-3</v>
      </c>
      <c r="AA41" s="172">
        <f>AA18/(((AA55+AA62)+(Z55+Z62))/2)</f>
        <v>3.5437748371502324E-3</v>
      </c>
      <c r="AB41" s="173"/>
      <c r="AC41" s="172">
        <f>AC18/(((AC55+AC62)+(AA55+AA62))/2)</f>
        <v>4.3618610607192403E-3</v>
      </c>
      <c r="AD41" s="172">
        <f>AD18/(((AD55+AD62)+(AC55+AC62))/2)</f>
        <v>3.999680025597952E-3</v>
      </c>
      <c r="AE41" s="172">
        <f>AE18/(((AE55+AE62)+(AD55+AD62))/2)</f>
        <v>4.1791810223717127E-3</v>
      </c>
      <c r="AF41" s="172">
        <f>AF18/(((AF55+AF62)+(AE55+AE62))/2)</f>
        <v>4.4399650608076321E-3</v>
      </c>
      <c r="AG41" s="173"/>
      <c r="AH41" s="172">
        <f>AH18/(((AH55+AH62)+(AF55+AF62))/2)</f>
        <v>4.9062034014953236E-3</v>
      </c>
      <c r="AI41" s="172">
        <f>AI18/(((AI55+AI62)+(AH55+AH62))/2)</f>
        <v>4.8043190145786235E-3</v>
      </c>
      <c r="AJ41" s="172">
        <f>AJ18/(((AJ55+AJ62)+(AI55+AI62))/2)</f>
        <v>4.8787723953783524E-3</v>
      </c>
      <c r="AK41" s="172">
        <f>AK18/(((AK55+AK62)+(AJ55+AJ62))/2)</f>
        <v>4.8143053645116922E-3</v>
      </c>
      <c r="AL41" s="173"/>
      <c r="AM41" s="172">
        <f>AM18/(((AM55+AM62)+(AK55+AK62))/2)</f>
        <v>5.4787162615818454E-3</v>
      </c>
      <c r="AN41" s="172">
        <f>AN18/(((AN55+AN62)+(AM55+AM62))/2)</f>
        <v>5.4390829078304554E-3</v>
      </c>
      <c r="AO41" s="172">
        <f>AO18/(((AO55+AO62)+(AN55+AN62))/2)</f>
        <v>5.4763540770362482E-3</v>
      </c>
      <c r="AP41" s="172">
        <f>AP18/(((AP55+AP62)+(AO55+AO62))/2)</f>
        <v>5.5660552007828282E-3</v>
      </c>
      <c r="AQ41" s="173"/>
      <c r="AR41" s="172">
        <f>AR18/(((AR55+AR62)+(AQ55+AQ62))/2)</f>
        <v>5.7367269049331112E-3</v>
      </c>
      <c r="AS41" s="172">
        <f>AS18/(((AS55+AS62)+(AR55+AR62))/2)</f>
        <v>6.2738003180670861E-3</v>
      </c>
      <c r="AT41" s="172">
        <f>AT18/(((AT55+AT62)+(AS55+AS62))/2)</f>
        <v>6.5354807933834021E-3</v>
      </c>
      <c r="AU41" s="172">
        <f>AU18/(((AU55+AU62)+(AT55+AT62))/2)</f>
        <v>6.1991824266654687E-3</v>
      </c>
      <c r="AV41" s="173"/>
      <c r="AW41" s="172">
        <f>AW18/(((AW55+AW62)+(AV55+AV62))/2)</f>
        <v>6.3531258886234329E-3</v>
      </c>
      <c r="AX41" s="172">
        <f>AX18/(((AX55+AX62)+(AW55+AW62))/2)</f>
        <v>7.0056514662601528E-3</v>
      </c>
      <c r="AY41" s="172">
        <f>AY18/(((AY55+AY62)+(AX55+AX62))/2)</f>
        <v>6.8488617364454406E-3</v>
      </c>
      <c r="AZ41" s="172">
        <f>AU41</f>
        <v>6.1991824266654687E-3</v>
      </c>
      <c r="BA41" s="173"/>
      <c r="BB41" s="172">
        <f t="shared" ref="BB41:BE41" si="127">AW41</f>
        <v>6.3531258886234329E-3</v>
      </c>
      <c r="BC41" s="172">
        <f t="shared" si="127"/>
        <v>7.0056514662601528E-3</v>
      </c>
      <c r="BD41" s="172">
        <f t="shared" si="127"/>
        <v>6.8488617364454406E-3</v>
      </c>
      <c r="BE41" s="172">
        <f t="shared" si="127"/>
        <v>6.1991824266654687E-3</v>
      </c>
      <c r="BF41" s="173"/>
      <c r="BG41" s="172">
        <f t="shared" ref="BG41" si="128">BB41</f>
        <v>6.3531258886234329E-3</v>
      </c>
      <c r="BH41" s="172">
        <f t="shared" ref="BH41" si="129">BC41</f>
        <v>7.0056514662601528E-3</v>
      </c>
      <c r="BI41" s="172">
        <f t="shared" ref="BI41" si="130">BD41</f>
        <v>6.8488617364454406E-3</v>
      </c>
      <c r="BJ41" s="172">
        <f t="shared" ref="BJ41" si="131">BE41</f>
        <v>6.1991824266654687E-3</v>
      </c>
      <c r="BK41" s="173"/>
      <c r="BL41" s="172">
        <f t="shared" ref="BL41" si="132">BG41</f>
        <v>6.3531258886234329E-3</v>
      </c>
      <c r="BM41" s="172">
        <f t="shared" ref="BM41" si="133">BH41</f>
        <v>7.0056514662601528E-3</v>
      </c>
      <c r="BN41" s="172">
        <f t="shared" ref="BN41" si="134">BI41</f>
        <v>6.8488617364454406E-3</v>
      </c>
      <c r="BO41" s="172">
        <f t="shared" ref="BO41" si="135">BJ41</f>
        <v>6.1991824266654687E-3</v>
      </c>
      <c r="BP41" s="173"/>
      <c r="BQ41" s="172">
        <f t="shared" ref="BQ41" si="136">BL41</f>
        <v>6.3531258886234329E-3</v>
      </c>
      <c r="BR41" s="172">
        <f t="shared" ref="BR41" si="137">BM41</f>
        <v>7.0056514662601528E-3</v>
      </c>
      <c r="BS41" s="172">
        <f t="shared" ref="BS41" si="138">BN41</f>
        <v>6.8488617364454406E-3</v>
      </c>
      <c r="BT41" s="172">
        <f t="shared" ref="BT41" si="139">BO41</f>
        <v>6.1991824266654687E-3</v>
      </c>
      <c r="BU41" s="173"/>
    </row>
    <row r="42" spans="2:73" s="132" customFormat="1" hidden="1" outlineLevel="1" x14ac:dyDescent="0.3">
      <c r="B42" s="206" t="s">
        <v>273</v>
      </c>
      <c r="C42" s="207"/>
      <c r="D42" s="30"/>
      <c r="E42" s="30"/>
      <c r="F42" s="30"/>
      <c r="G42" s="30"/>
      <c r="H42" s="114"/>
      <c r="I42" s="30"/>
      <c r="J42" s="30"/>
      <c r="K42" s="30"/>
      <c r="L42" s="30"/>
      <c r="M42" s="114"/>
      <c r="N42" s="30">
        <f>N19/((N73+N76)+(L73+L76)/2)</f>
        <v>0</v>
      </c>
      <c r="O42" s="30">
        <f>O19/((O73+O76)+(N73+N76)/2)</f>
        <v>0</v>
      </c>
      <c r="P42" s="30">
        <f>P19/((P73+P76)+(O73+O76)/2)</f>
        <v>0</v>
      </c>
      <c r="Q42" s="30">
        <f>Q19/((Q73+Q76)+(P73+P76)/2)</f>
        <v>0</v>
      </c>
      <c r="R42" s="114"/>
      <c r="S42" s="30">
        <f>S19/((S73+S76)+(Q73+Q76)/2)</f>
        <v>0</v>
      </c>
      <c r="T42" s="30">
        <f>T19/((T73+T76)+(S73+S76)/2)</f>
        <v>0</v>
      </c>
      <c r="U42" s="30">
        <f>U19/((U73+U76)+(T73+T76)/2)</f>
        <v>-1.9348714953271028E-3</v>
      </c>
      <c r="V42" s="30">
        <f>V19/((V73+V76)+(U73+U76)/2)</f>
        <v>-3.2627068674083099E-3</v>
      </c>
      <c r="W42" s="114"/>
      <c r="X42" s="30">
        <f>X19/((X73+X76)+(V73+V76)/2)</f>
        <v>-3.3017570064069811E-3</v>
      </c>
      <c r="Y42" s="30">
        <f>Y19/((Y73+Y76)+(X73+X76)/2)</f>
        <v>-3.3408666601159476E-3</v>
      </c>
      <c r="Z42" s="30">
        <f>Z19/((Z73+Z76)+(Y73+Y76)/2)</f>
        <v>-2.5303003466511475E-3</v>
      </c>
      <c r="AA42" s="30">
        <f>AA19/((AA73+AA76)+(Z73+Z76)/2)</f>
        <v>-2.2631112860375868E-3</v>
      </c>
      <c r="AB42" s="114"/>
      <c r="AC42" s="30">
        <f>AC19/((AC73+AC76)+(AA73+AA76)/2)</f>
        <v>-2.423659355602631E-3</v>
      </c>
      <c r="AD42" s="30">
        <f>AD19/((AD73+AD76)+(AC73+AC76)/2)</f>
        <v>-2.6259615771879658E-3</v>
      </c>
      <c r="AE42" s="30">
        <f>AE19/((AE73+AE76)+(AD73+AD76)/2)</f>
        <v>-2.6324922891550486E-3</v>
      </c>
      <c r="AF42" s="30">
        <f>AF19/((AF73+AF76)+(AE73+AE76)/2)</f>
        <v>-2.5962409049754016E-3</v>
      </c>
      <c r="AG42" s="114"/>
      <c r="AH42" s="30">
        <f>AH19/((AH73+AH76)+(AF73+AF76)/2)</f>
        <v>-2.8993423955291299E-3</v>
      </c>
      <c r="AI42" s="30">
        <f>AI19/((AI73+AI76)+(AH73+AH76)/2)</f>
        <v>-2.8827113651569104E-3</v>
      </c>
      <c r="AJ42" s="30">
        <f>AJ19/((AJ73+AJ76)+(AI73+AI76)/2)</f>
        <v>-3.2753801923585141E-3</v>
      </c>
      <c r="AK42" s="30">
        <f>AK19/((AK73+AK76)+(AJ73+AJ76)/2)</f>
        <v>-3.4749168915710112E-3</v>
      </c>
      <c r="AL42" s="114"/>
      <c r="AM42" s="30">
        <f>AM19/((AM73+AM76)+(AK73+AK76)/2)</f>
        <v>-4.0056460534849117E-3</v>
      </c>
      <c r="AN42" s="30">
        <f>AN19/((AN73+AN76)+(AM73+AM76)/2)</f>
        <v>-3.7246172604385912E-3</v>
      </c>
      <c r="AO42" s="30">
        <f>AO19/((AO73+AO76)+(AN73+AN76)/2)</f>
        <v>-3.8197969543147209E-3</v>
      </c>
      <c r="AP42" s="30">
        <f>AP19/((AP73+AP76)+(AO73+AO76)/2)</f>
        <v>-3.9211184018793106E-3</v>
      </c>
      <c r="AQ42" s="114"/>
      <c r="AR42" s="30">
        <f>AR19/((AR73+AR76)+(AQ73+AQ76)/2)</f>
        <v>-4.0723479804704839E-3</v>
      </c>
      <c r="AS42" s="30">
        <f>AS19/((AS73+AS76)+(AR73+AR76)/2)</f>
        <v>-4.3269230769230772E-3</v>
      </c>
      <c r="AT42" s="30">
        <f>AT19/((AT73+AT76)+(AS73+AS76)/2)</f>
        <v>-4.8199635369188696E-3</v>
      </c>
      <c r="AU42" s="30">
        <f>AU19/((AU73+AU76)+(AT73+AT76)/2)</f>
        <v>-5.0528864905141956E-3</v>
      </c>
      <c r="AV42" s="114"/>
      <c r="AW42" s="30">
        <f>AW19/((AW73+AW76)+(AV73+AV76)/2)</f>
        <v>-5.175276135871351E-3</v>
      </c>
      <c r="AX42" s="30">
        <f>AX19/((AX73+AX76)+(AW73+AW76)/2)</f>
        <v>-5.9413512162122418E-3</v>
      </c>
      <c r="AY42" s="30">
        <f>AY19/((AY73+AY76)+(AX73+AX76)/2)</f>
        <v>-5.2569916167373868E-3</v>
      </c>
      <c r="AZ42" s="30">
        <v>-6.3882315692805726E-3</v>
      </c>
      <c r="BA42" s="114"/>
      <c r="BB42" s="30">
        <v>-6.3882315692805726E-3</v>
      </c>
      <c r="BC42" s="30">
        <v>-6.3882315692805726E-3</v>
      </c>
      <c r="BD42" s="30">
        <v>-6.3882315692805726E-3</v>
      </c>
      <c r="BE42" s="30">
        <v>-6.3882315692805726E-3</v>
      </c>
      <c r="BF42" s="114"/>
      <c r="BG42" s="30">
        <v>-6.3882315692805726E-3</v>
      </c>
      <c r="BH42" s="30">
        <v>-6.3882315692805726E-3</v>
      </c>
      <c r="BI42" s="30">
        <v>-6.3882315692805726E-3</v>
      </c>
      <c r="BJ42" s="30">
        <v>-6.3882315692805726E-3</v>
      </c>
      <c r="BK42" s="114"/>
      <c r="BL42" s="30">
        <v>-6.3882315692805726E-3</v>
      </c>
      <c r="BM42" s="30">
        <v>-6.3882315692805726E-3</v>
      </c>
      <c r="BN42" s="30">
        <v>-6.3882315692805726E-3</v>
      </c>
      <c r="BO42" s="30">
        <v>-6.3882315692805726E-3</v>
      </c>
      <c r="BP42" s="114"/>
      <c r="BQ42" s="30">
        <v>-6.3882315692805726E-3</v>
      </c>
      <c r="BR42" s="30">
        <v>-6.3882315692805726E-3</v>
      </c>
      <c r="BS42" s="30">
        <v>-6.3882315692805726E-3</v>
      </c>
      <c r="BT42" s="30">
        <v>-6.3882315692805726E-3</v>
      </c>
      <c r="BU42" s="114"/>
    </row>
    <row r="43" spans="2:73" s="132" customFormat="1" collapsed="1" x14ac:dyDescent="0.3">
      <c r="B43" s="381" t="s">
        <v>274</v>
      </c>
      <c r="C43" s="382"/>
      <c r="D43" s="172"/>
      <c r="E43" s="172"/>
      <c r="F43" s="172"/>
      <c r="G43" s="172"/>
      <c r="H43" s="173"/>
      <c r="I43" s="172"/>
      <c r="J43" s="172"/>
      <c r="K43" s="172"/>
      <c r="L43" s="172"/>
      <c r="M43" s="173"/>
      <c r="N43" s="172"/>
      <c r="O43" s="172"/>
      <c r="P43" s="172"/>
      <c r="Q43" s="172"/>
      <c r="R43" s="173"/>
      <c r="S43" s="172"/>
      <c r="T43" s="172"/>
      <c r="U43" s="172"/>
      <c r="V43" s="172"/>
      <c r="W43" s="173"/>
      <c r="X43" s="172"/>
      <c r="Y43" s="172"/>
      <c r="Z43" s="172"/>
      <c r="AA43" s="172"/>
      <c r="AB43" s="173"/>
      <c r="AC43" s="172"/>
      <c r="AD43" s="172"/>
      <c r="AE43" s="172"/>
      <c r="AF43" s="172"/>
      <c r="AG43" s="173"/>
      <c r="AH43" s="172"/>
      <c r="AI43" s="172"/>
      <c r="AJ43" s="172"/>
      <c r="AK43" s="172"/>
      <c r="AL43" s="173"/>
      <c r="AM43" s="172"/>
      <c r="AN43" s="172"/>
      <c r="AO43" s="172"/>
      <c r="AP43" s="172"/>
      <c r="AQ43" s="173"/>
      <c r="AR43" s="172"/>
      <c r="AS43" s="172"/>
      <c r="AT43" s="172"/>
      <c r="AU43" s="172"/>
      <c r="AV43" s="173"/>
      <c r="AW43" s="172"/>
      <c r="AX43" s="172"/>
      <c r="AY43" s="172"/>
      <c r="AZ43" s="172"/>
      <c r="BA43" s="173"/>
      <c r="BB43" s="172"/>
      <c r="BC43" s="172"/>
      <c r="BD43" s="172"/>
      <c r="BE43" s="172"/>
      <c r="BF43" s="173"/>
      <c r="BG43" s="172"/>
      <c r="BH43" s="172"/>
      <c r="BI43" s="172"/>
      <c r="BJ43" s="172"/>
      <c r="BK43" s="173"/>
      <c r="BL43" s="172"/>
      <c r="BM43" s="172"/>
      <c r="BN43" s="172"/>
      <c r="BO43" s="172"/>
      <c r="BP43" s="173"/>
      <c r="BQ43" s="172"/>
      <c r="BR43" s="172"/>
      <c r="BS43" s="172"/>
      <c r="BT43" s="172"/>
      <c r="BU43" s="173"/>
    </row>
    <row r="44" spans="2:73" hidden="1" outlineLevel="1" x14ac:dyDescent="0.3">
      <c r="B44" s="370" t="s">
        <v>203</v>
      </c>
      <c r="C44" s="374"/>
      <c r="D44" s="30"/>
      <c r="E44" s="30">
        <f t="shared" ref="E44:G45" si="140">E25/D25-1</f>
        <v>4.4336621872584914E-3</v>
      </c>
      <c r="F44" s="30">
        <f t="shared" si="140"/>
        <v>5.1225940666499437E-3</v>
      </c>
      <c r="G44" s="30">
        <f t="shared" si="140"/>
        <v>2.6792879978088102E-3</v>
      </c>
      <c r="H44" s="114"/>
      <c r="I44" s="30">
        <f>G25/H25-1</f>
        <v>5.6957235920367388E-3</v>
      </c>
      <c r="J44" s="30">
        <f t="shared" ref="J44:L45" si="141">J25/I25-1</f>
        <v>4.244561587479101E-3</v>
      </c>
      <c r="K44" s="30">
        <f t="shared" si="141"/>
        <v>3.1542597671565531E-3</v>
      </c>
      <c r="L44" s="30">
        <f t="shared" si="141"/>
        <v>3.0378772426513656E-3</v>
      </c>
      <c r="M44" s="114"/>
      <c r="N44" s="30">
        <f>L25/M25-1</f>
        <v>5.0455634870754107E-3</v>
      </c>
      <c r="O44" s="30">
        <f t="shared" ref="O44:Q45" si="142">O25/N25-1</f>
        <v>2.7292031178003384E-3</v>
      </c>
      <c r="P44" s="30">
        <f t="shared" si="142"/>
        <v>3.2284255694732256E-3</v>
      </c>
      <c r="Q44" s="30">
        <f t="shared" si="142"/>
        <v>2.2479350414565946E-3</v>
      </c>
      <c r="R44" s="114"/>
      <c r="S44" s="30">
        <f>Q25/R25-1</f>
        <v>4.1541850585762319E-3</v>
      </c>
      <c r="T44" s="30">
        <f t="shared" ref="T44:V45" si="143">T25/S25-1</f>
        <v>7.5938635618100214E-4</v>
      </c>
      <c r="U44" s="30">
        <f t="shared" si="143"/>
        <v>-2.2360953099574421E-2</v>
      </c>
      <c r="V44" s="30">
        <f t="shared" si="143"/>
        <v>-1.5942360606191919E-2</v>
      </c>
      <c r="W44" s="114"/>
      <c r="X44" s="30">
        <f>V25/W25-1</f>
        <v>-2.308140483279908E-2</v>
      </c>
      <c r="Y44" s="30">
        <f t="shared" ref="Y44:AA45" si="144">Y25/X25-1</f>
        <v>-2.3787151032506393E-2</v>
      </c>
      <c r="Z44" s="30">
        <f t="shared" si="144"/>
        <v>5.8734917239873479</v>
      </c>
      <c r="AA44" s="30">
        <f t="shared" si="144"/>
        <v>-1.5326327495604031E-2</v>
      </c>
      <c r="AB44" s="114"/>
      <c r="AC44" s="30">
        <f>(AC25+AC48)/AA25-1</f>
        <v>-5.3538783380819854E-3</v>
      </c>
      <c r="AD44" s="30">
        <f>(AD25+AD48)/AC25-1</f>
        <v>1.2182918610792459E-3</v>
      </c>
      <c r="AE44" s="30">
        <f>(AE25+AE48)/AD25-1</f>
        <v>-5.6409480291934599E-3</v>
      </c>
      <c r="AF44" s="30">
        <f>(AF25+AF48)/AE25-1</f>
        <v>6.7778555379809369E-3</v>
      </c>
      <c r="AG44" s="114"/>
      <c r="AH44" s="30">
        <f>(AH25+AH48)/AF25-1</f>
        <v>-7.3696723694836042E-3</v>
      </c>
      <c r="AI44" s="30">
        <f>(AI25+AI48)/AH25-1</f>
        <v>4.8959835017454711E-3</v>
      </c>
      <c r="AJ44" s="30">
        <f>(AJ25+AJ48)/AI25-1</f>
        <v>3.28184344725857E-3</v>
      </c>
      <c r="AK44" s="30">
        <f>(AK25+AK48)/AJ25-1</f>
        <v>-8.7351626256555459E-3</v>
      </c>
      <c r="AL44" s="114"/>
      <c r="AM44" s="30">
        <f>(AM25+AM48)/AK25-1</f>
        <v>3.8847867004352388E-3</v>
      </c>
      <c r="AN44" s="30">
        <f>(AN25+AN48)/AM25-1</f>
        <v>-4.5809694187122219E-3</v>
      </c>
      <c r="AO44" s="30">
        <f>(AO25+AO48)/AN25-1</f>
        <v>3.4073302967678742E-3</v>
      </c>
      <c r="AP44" s="30">
        <f>(AP25+AP48)/AO25-1</f>
        <v>-1.6631954571919683E-2</v>
      </c>
      <c r="AQ44" s="114"/>
      <c r="AR44" s="30">
        <f>(AR25+AR48)/AQ25-1</f>
        <v>-9.3790331935719173E-3</v>
      </c>
      <c r="AS44" s="30">
        <f>(AS25+AS48)/AR25-1</f>
        <v>-7.7064353610645231E-3</v>
      </c>
      <c r="AT44" s="30">
        <f>(AT25+AT48)/AS25-1</f>
        <v>-1.8786667462910023E-2</v>
      </c>
      <c r="AU44" s="30">
        <f>(AU25+AU48)/AT25-1</f>
        <v>-2.3228800491831847E-2</v>
      </c>
      <c r="AV44" s="114"/>
      <c r="AW44" s="30">
        <f>(AW25+AW48)/AV25-1</f>
        <v>-3.4316609162968637E-2</v>
      </c>
      <c r="AX44" s="30">
        <f>(AX25+AX48)/AW25-1</f>
        <v>-2.8300261826695872E-3</v>
      </c>
      <c r="AY44" s="30">
        <f>(AY25+AY48)/AX25-1</f>
        <v>-1.163949593519964E-2</v>
      </c>
      <c r="AZ44" s="30">
        <v>-1.7040164027228452E-2</v>
      </c>
      <c r="BA44" s="114"/>
      <c r="BB44" s="30">
        <v>-1.7040164027228452E-2</v>
      </c>
      <c r="BC44" s="30">
        <v>-1.7040164027228452E-2</v>
      </c>
      <c r="BD44" s="30">
        <v>-1.7040164027228452E-2</v>
      </c>
      <c r="BE44" s="30">
        <v>-1.7040164027228452E-2</v>
      </c>
      <c r="BF44" s="114"/>
      <c r="BG44" s="30">
        <v>-1.7040164027228452E-2</v>
      </c>
      <c r="BH44" s="30">
        <v>-1.7040164027228452E-2</v>
      </c>
      <c r="BI44" s="30">
        <v>-1.7040164027228452E-2</v>
      </c>
      <c r="BJ44" s="30">
        <v>-1.7040164027228452E-2</v>
      </c>
      <c r="BK44" s="114"/>
      <c r="BL44" s="30">
        <v>-1.7040164027228452E-2</v>
      </c>
      <c r="BM44" s="30">
        <v>-1.7040164027228452E-2</v>
      </c>
      <c r="BN44" s="30">
        <v>-1.7040164027228452E-2</v>
      </c>
      <c r="BO44" s="30">
        <v>-1.7040164027228452E-2</v>
      </c>
      <c r="BP44" s="114"/>
      <c r="BQ44" s="30">
        <v>-1.7040164027228452E-2</v>
      </c>
      <c r="BR44" s="30">
        <v>-1.7040164027228452E-2</v>
      </c>
      <c r="BS44" s="30">
        <v>-1.7040164027228452E-2</v>
      </c>
      <c r="BT44" s="30">
        <v>-1.7040164027228452E-2</v>
      </c>
      <c r="BU44" s="114"/>
    </row>
    <row r="45" spans="2:73" hidden="1" outlineLevel="1" x14ac:dyDescent="0.3">
      <c r="B45" s="370" t="s">
        <v>204</v>
      </c>
      <c r="C45" s="374"/>
      <c r="D45" s="30"/>
      <c r="E45" s="30">
        <f t="shared" si="140"/>
        <v>3.3649241179714018E-3</v>
      </c>
      <c r="F45" s="30">
        <f t="shared" si="140"/>
        <v>4.8576301526310761E-3</v>
      </c>
      <c r="G45" s="30">
        <f t="shared" si="140"/>
        <v>1.1616095174478147E-3</v>
      </c>
      <c r="H45" s="114"/>
      <c r="I45" s="30">
        <f>G26/H26-1</f>
        <v>4.0296128564460965E-3</v>
      </c>
      <c r="J45" s="30">
        <f t="shared" si="141"/>
        <v>2.9898601945659298E-3</v>
      </c>
      <c r="K45" s="30">
        <f t="shared" si="141"/>
        <v>1.9937090253263623E-3</v>
      </c>
      <c r="L45" s="30">
        <f t="shared" si="141"/>
        <v>1.6652231661626882E-3</v>
      </c>
      <c r="M45" s="114"/>
      <c r="N45" s="30">
        <f>L26/M26-1</f>
        <v>2.911095385614626E-3</v>
      </c>
      <c r="O45" s="30">
        <f t="shared" si="142"/>
        <v>3.5270802445273031E-3</v>
      </c>
      <c r="P45" s="30">
        <f t="shared" si="142"/>
        <v>2.2923230461013855E-3</v>
      </c>
      <c r="Q45" s="30">
        <f t="shared" si="142"/>
        <v>1.3900341391299698E-3</v>
      </c>
      <c r="R45" s="114"/>
      <c r="S45" s="30">
        <f>Q26/R26-1</f>
        <v>3.1950371466489269E-3</v>
      </c>
      <c r="T45" s="30">
        <f t="shared" si="143"/>
        <v>-1.247866117267793E-3</v>
      </c>
      <c r="U45" s="30">
        <f t="shared" si="143"/>
        <v>-2.3011833600236731E-2</v>
      </c>
      <c r="V45" s="30">
        <f t="shared" si="143"/>
        <v>-1.6082848082870749E-2</v>
      </c>
      <c r="W45" s="114"/>
      <c r="X45" s="30">
        <f>V26/W26-1</f>
        <v>-2.3894731762500343E-2</v>
      </c>
      <c r="Y45" s="30">
        <f t="shared" si="144"/>
        <v>-2.4320762503161508E-2</v>
      </c>
      <c r="Z45" s="30">
        <f t="shared" si="144"/>
        <v>5.8806348405053619</v>
      </c>
      <c r="AA45" s="30">
        <f t="shared" si="144"/>
        <v>-1.4783660604794857E-2</v>
      </c>
      <c r="AB45" s="114"/>
      <c r="AC45" s="30">
        <f>(AC26+AC48)/AA26-1</f>
        <v>-5.8262822053652963E-3</v>
      </c>
      <c r="AD45" s="30">
        <f>(AD26+AD48)/AC26-1</f>
        <v>1.6077687818205622E-3</v>
      </c>
      <c r="AE45" s="30">
        <f>(AE26+AE48)/AD26-1</f>
        <v>-5.2320928890803309E-3</v>
      </c>
      <c r="AF45" s="30">
        <f>(AF26+AF48)/AE26-1</f>
        <v>5.4089388657807547E-3</v>
      </c>
      <c r="AG45" s="114"/>
      <c r="AH45" s="30">
        <f>(AH26+AH48)/AF26-1</f>
        <v>-7.3949459417549379E-3</v>
      </c>
      <c r="AI45" s="30">
        <f>(AI26+AI48)/AH26-1</f>
        <v>3.3114066890789218E-3</v>
      </c>
      <c r="AJ45" s="30">
        <f>(AJ26+AJ48)/AI26-1</f>
        <v>3.8469181915197215E-3</v>
      </c>
      <c r="AK45" s="30">
        <f>(AK26+AK48)/AJ26-1</f>
        <v>-9.2910709949614034E-3</v>
      </c>
      <c r="AL45" s="114"/>
      <c r="AM45" s="30">
        <f>(AM26+AM48)/AK26-1</f>
        <v>4.4058670881264028E-3</v>
      </c>
      <c r="AN45" s="30">
        <f>(AN26+AN48)/AM26-1</f>
        <v>-3.3239528192354761E-3</v>
      </c>
      <c r="AO45" s="30">
        <f>(AO26+AO48)/AN26-1</f>
        <v>3.783765969946673E-3</v>
      </c>
      <c r="AP45" s="30">
        <f>(AP26+AP48)/AO26-1</f>
        <v>-1.5173515001170035E-2</v>
      </c>
      <c r="AQ45" s="114"/>
      <c r="AR45" s="30">
        <f>(AR26+AR48)/AQ26-1</f>
        <v>-7.5736602180345169E-3</v>
      </c>
      <c r="AS45" s="30">
        <f>(AS26+AS48)/AR26-1</f>
        <v>-8.0269492053359759E-3</v>
      </c>
      <c r="AT45" s="30">
        <f>(AT26+AT48)/AS26-1</f>
        <v>-1.8232636937869584E-2</v>
      </c>
      <c r="AU45" s="30">
        <f>(AU26+AU48)/AT26-1</f>
        <v>-2.2001827481453851E-2</v>
      </c>
      <c r="AV45" s="114"/>
      <c r="AW45" s="30">
        <f>(AW26+AW48)/AV26-1</f>
        <v>-3.5747104462828916E-2</v>
      </c>
      <c r="AX45" s="30">
        <f>(AX26+AX48)/AW26-1</f>
        <v>-5.1127182068139154E-3</v>
      </c>
      <c r="AY45" s="30">
        <f>(AY26+AY48)/AX26-1</f>
        <v>-1.0724043404494288E-2</v>
      </c>
      <c r="AZ45" s="30">
        <v>-1.6483391810546678E-2</v>
      </c>
      <c r="BA45" s="114"/>
      <c r="BB45" s="30">
        <v>-1.6483391810546678E-2</v>
      </c>
      <c r="BC45" s="30">
        <v>-1.6483391810546678E-2</v>
      </c>
      <c r="BD45" s="30">
        <v>-1.6483391810546678E-2</v>
      </c>
      <c r="BE45" s="30">
        <v>-1.6483391810546678E-2</v>
      </c>
      <c r="BF45" s="114"/>
      <c r="BG45" s="30">
        <v>-1.6483391810546678E-2</v>
      </c>
      <c r="BH45" s="30">
        <v>-1.6483391810546678E-2</v>
      </c>
      <c r="BI45" s="30">
        <v>-1.6483391810546678E-2</v>
      </c>
      <c r="BJ45" s="30">
        <v>-1.6483391810546678E-2</v>
      </c>
      <c r="BK45" s="114"/>
      <c r="BL45" s="30">
        <v>-1.6483391810546678E-2</v>
      </c>
      <c r="BM45" s="30">
        <v>-1.6483391810546678E-2</v>
      </c>
      <c r="BN45" s="30">
        <v>-1.6483391810546678E-2</v>
      </c>
      <c r="BO45" s="30">
        <v>-1.6483391810546678E-2</v>
      </c>
      <c r="BP45" s="114"/>
      <c r="BQ45" s="30">
        <v>-1.6483391810546678E-2</v>
      </c>
      <c r="BR45" s="30">
        <v>-1.6483391810546678E-2</v>
      </c>
      <c r="BS45" s="30">
        <v>-1.6483391810546678E-2</v>
      </c>
      <c r="BT45" s="30">
        <v>-1.6483391810546678E-2</v>
      </c>
      <c r="BU45" s="114"/>
    </row>
    <row r="46" spans="2:73" hidden="1" outlineLevel="1" x14ac:dyDescent="0.3">
      <c r="B46" s="370" t="s">
        <v>59</v>
      </c>
      <c r="C46" s="374"/>
      <c r="D46" s="30"/>
      <c r="E46" s="30"/>
      <c r="F46" s="30"/>
      <c r="G46" s="30"/>
      <c r="H46" s="114"/>
      <c r="I46" s="30"/>
      <c r="J46" s="30"/>
      <c r="K46" s="30"/>
      <c r="L46" s="30"/>
      <c r="M46" s="114"/>
      <c r="N46" s="30"/>
      <c r="O46" s="30"/>
      <c r="P46" s="30"/>
      <c r="Q46" s="30"/>
      <c r="R46" s="114"/>
      <c r="S46" s="30"/>
      <c r="T46" s="30"/>
      <c r="U46" s="30"/>
      <c r="V46" s="30"/>
      <c r="W46" s="114"/>
      <c r="X46" s="30"/>
      <c r="Y46" s="30"/>
      <c r="Z46" s="30"/>
      <c r="AA46" s="30"/>
      <c r="AB46" s="114"/>
      <c r="AC46" s="37">
        <v>109.4</v>
      </c>
      <c r="AD46" s="37">
        <v>124.11</v>
      </c>
      <c r="AE46" s="37">
        <v>128.08000000000001</v>
      </c>
      <c r="AF46" s="37">
        <v>115.15</v>
      </c>
      <c r="AG46" s="85"/>
      <c r="AH46" s="37">
        <v>129.39378378996761</v>
      </c>
      <c r="AI46" s="37">
        <v>97.54</v>
      </c>
      <c r="AJ46" s="37">
        <v>111.83138581582324</v>
      </c>
      <c r="AK46" s="37">
        <v>104.8950931984792</v>
      </c>
      <c r="AL46" s="85"/>
      <c r="AM46" s="37">
        <v>123.45636286189911</v>
      </c>
      <c r="AN46" s="37">
        <v>144.06240254360216</v>
      </c>
      <c r="AO46" s="37">
        <v>144.06240254360216</v>
      </c>
      <c r="AP46" s="37">
        <v>144.06240254360216</v>
      </c>
      <c r="AQ46" s="85"/>
      <c r="AR46" s="37">
        <v>144.06240254360216</v>
      </c>
      <c r="AS46" s="37">
        <v>144.06240254360216</v>
      </c>
      <c r="AT46" s="37">
        <v>144.06240254360216</v>
      </c>
      <c r="AU46" s="37">
        <v>144.06240254360216</v>
      </c>
      <c r="AV46" s="85"/>
      <c r="AW46" s="37">
        <v>144.06240254360216</v>
      </c>
      <c r="AX46" s="37">
        <v>144.06240254360216</v>
      </c>
      <c r="AY46" s="37">
        <v>144.06240254360216</v>
      </c>
      <c r="AZ46" s="37">
        <v>150</v>
      </c>
      <c r="BA46" s="85"/>
      <c r="BB46" s="37">
        <v>150</v>
      </c>
      <c r="BC46" s="37">
        <v>150</v>
      </c>
      <c r="BD46" s="37">
        <v>150</v>
      </c>
      <c r="BE46" s="37">
        <v>150</v>
      </c>
      <c r="BF46" s="85"/>
      <c r="BG46" s="37">
        <v>150</v>
      </c>
      <c r="BH46" s="37">
        <v>150</v>
      </c>
      <c r="BI46" s="37">
        <v>150</v>
      </c>
      <c r="BJ46" s="37">
        <v>150</v>
      </c>
      <c r="BK46" s="85"/>
      <c r="BL46" s="37">
        <v>150</v>
      </c>
      <c r="BM46" s="37">
        <v>150</v>
      </c>
      <c r="BN46" s="37">
        <v>150</v>
      </c>
      <c r="BO46" s="37">
        <v>150</v>
      </c>
      <c r="BP46" s="85"/>
      <c r="BQ46" s="37">
        <v>150</v>
      </c>
      <c r="BR46" s="37">
        <v>150</v>
      </c>
      <c r="BS46" s="37">
        <v>150</v>
      </c>
      <c r="BT46" s="37">
        <v>150</v>
      </c>
      <c r="BU46" s="85"/>
    </row>
    <row r="47" spans="2:73" hidden="1" outlineLevel="1" x14ac:dyDescent="0.3">
      <c r="B47" s="370" t="s">
        <v>60</v>
      </c>
      <c r="C47" s="374"/>
      <c r="D47" s="30"/>
      <c r="E47" s="30"/>
      <c r="F47" s="30"/>
      <c r="G47" s="30"/>
      <c r="H47" s="114"/>
      <c r="I47" s="30"/>
      <c r="J47" s="30"/>
      <c r="K47" s="30"/>
      <c r="L47" s="30"/>
      <c r="M47" s="114"/>
      <c r="N47" s="30"/>
      <c r="O47" s="30"/>
      <c r="P47" s="30"/>
      <c r="Q47" s="30"/>
      <c r="R47" s="114"/>
      <c r="S47" s="30"/>
      <c r="T47" s="30"/>
      <c r="U47" s="30"/>
      <c r="V47" s="30"/>
      <c r="W47" s="114"/>
      <c r="X47" s="30"/>
      <c r="Y47" s="30"/>
      <c r="Z47" s="30"/>
      <c r="AA47" s="30"/>
      <c r="AB47" s="114"/>
      <c r="AC47" s="37">
        <v>5000</v>
      </c>
      <c r="AD47" s="37">
        <v>7000</v>
      </c>
      <c r="AE47" s="37">
        <v>4000</v>
      </c>
      <c r="AF47" s="37">
        <v>14026</v>
      </c>
      <c r="AG47" s="85"/>
      <c r="AH47" s="37">
        <f>3000+3000</f>
        <v>6000</v>
      </c>
      <c r="AI47" s="37">
        <v>7000</v>
      </c>
      <c r="AJ47" s="37">
        <f>6000+4000</f>
        <v>10000</v>
      </c>
      <c r="AK47" s="37">
        <v>3000</v>
      </c>
      <c r="AL47" s="85"/>
      <c r="AM47" s="37">
        <v>11000</v>
      </c>
      <c r="AN47" s="37">
        <f>3000+4001</f>
        <v>7001</v>
      </c>
      <c r="AO47" s="37">
        <f>3000+4001</f>
        <v>7001</v>
      </c>
      <c r="AP47" s="37">
        <f>3000+4001</f>
        <v>7001</v>
      </c>
      <c r="AQ47" s="85"/>
      <c r="AR47" s="37">
        <f>3000+4001</f>
        <v>7001</v>
      </c>
      <c r="AS47" s="37">
        <f>3000+4001</f>
        <v>7001</v>
      </c>
      <c r="AT47" s="37">
        <f>3000+4001</f>
        <v>7001</v>
      </c>
      <c r="AU47" s="37">
        <f>3000+4001</f>
        <v>7001</v>
      </c>
      <c r="AV47" s="85"/>
      <c r="AW47" s="37">
        <f>3000+4001</f>
        <v>7001</v>
      </c>
      <c r="AX47" s="37">
        <f>3000+4001</f>
        <v>7001</v>
      </c>
      <c r="AY47" s="37">
        <f>3000+4001</f>
        <v>7001</v>
      </c>
      <c r="AZ47" s="37">
        <f>AY47</f>
        <v>7001</v>
      </c>
      <c r="BA47" s="85"/>
      <c r="BB47" s="37">
        <v>7001</v>
      </c>
      <c r="BC47" s="37">
        <v>7001</v>
      </c>
      <c r="BD47" s="37">
        <v>7001</v>
      </c>
      <c r="BE47" s="37">
        <v>7001</v>
      </c>
      <c r="BF47" s="85"/>
      <c r="BG47" s="37">
        <v>7001</v>
      </c>
      <c r="BH47" s="37">
        <v>7001</v>
      </c>
      <c r="BI47" s="37">
        <v>7001</v>
      </c>
      <c r="BJ47" s="37">
        <v>7001</v>
      </c>
      <c r="BK47" s="85"/>
      <c r="BL47" s="37">
        <v>7001</v>
      </c>
      <c r="BM47" s="37">
        <v>7001</v>
      </c>
      <c r="BN47" s="37">
        <v>7001</v>
      </c>
      <c r="BO47" s="37">
        <v>7001</v>
      </c>
      <c r="BP47" s="85"/>
      <c r="BQ47" s="37">
        <v>7001</v>
      </c>
      <c r="BR47" s="37">
        <v>7001</v>
      </c>
      <c r="BS47" s="37">
        <v>7001</v>
      </c>
      <c r="BT47" s="37">
        <v>7001</v>
      </c>
      <c r="BU47" s="85"/>
    </row>
    <row r="48" spans="2:73" hidden="1" outlineLevel="1" x14ac:dyDescent="0.3">
      <c r="B48" s="370" t="s">
        <v>219</v>
      </c>
      <c r="C48" s="374"/>
      <c r="D48" s="30"/>
      <c r="E48" s="30"/>
      <c r="F48" s="30"/>
      <c r="G48" s="30"/>
      <c r="H48" s="114"/>
      <c r="I48" s="30"/>
      <c r="J48" s="30"/>
      <c r="K48" s="30"/>
      <c r="L48" s="30"/>
      <c r="M48" s="114"/>
      <c r="N48" s="30"/>
      <c r="O48" s="30"/>
      <c r="P48" s="30"/>
      <c r="Q48" s="30"/>
      <c r="R48" s="114"/>
      <c r="S48" s="30"/>
      <c r="T48" s="30"/>
      <c r="U48" s="30"/>
      <c r="V48" s="30"/>
      <c r="W48" s="114"/>
      <c r="X48" s="30"/>
      <c r="Y48" s="30"/>
      <c r="Z48" s="319"/>
      <c r="AA48" s="319"/>
      <c r="AB48" s="114"/>
      <c r="AC48" s="148">
        <f>IF((AC47)&gt;0,(AC47/AC46),0)</f>
        <v>45.703839122486286</v>
      </c>
      <c r="AD48" s="148">
        <f>IF((AD47)&gt;0,(AD47/AD46),0)</f>
        <v>56.401579244218837</v>
      </c>
      <c r="AE48" s="148">
        <f>IF((AE47)&gt;0,(AE47/AE46),0)</f>
        <v>31.230480949406619</v>
      </c>
      <c r="AF48" s="148">
        <f>IF((AF47)&gt;0,(AF47/AF46),0)</f>
        <v>121.80633955709943</v>
      </c>
      <c r="AG48" s="85"/>
      <c r="AH48" s="37">
        <f>IF((AH47)&gt;0,(AH47/AH46),0)</f>
        <v>46.370079182004744</v>
      </c>
      <c r="AI48" s="37">
        <f>IF((AI47)&gt;0,(AI47/AI46),0)</f>
        <v>71.765429567356975</v>
      </c>
      <c r="AJ48" s="37">
        <f>IF((AJ47)&gt;0,(AJ47/AJ46),0)</f>
        <v>89.420335150537682</v>
      </c>
      <c r="AK48" s="148">
        <f>IF((AK47)&gt;0,(AK47/AK46),0)</f>
        <v>28.60000318912434</v>
      </c>
      <c r="AL48" s="176"/>
      <c r="AM48" s="37">
        <f>IF((AM47)&gt;0,(AM47/AM46),0)</f>
        <v>89.100308360005968</v>
      </c>
      <c r="AN48" s="37">
        <f>IF((AN47)&gt;0,(AN47/AN46),0)</f>
        <v>48.596995998876707</v>
      </c>
      <c r="AO48" s="37">
        <f>IF((AO47)&gt;0,(AO47/AO46),0)</f>
        <v>48.596995998876707</v>
      </c>
      <c r="AP48" s="37">
        <f>IF((AP47)&gt;0,(AP47/AP46),0)</f>
        <v>48.596995998876707</v>
      </c>
      <c r="AQ48" s="176"/>
      <c r="AR48" s="37">
        <f>IF((AR47)&gt;0,(AR47/AR46),0)</f>
        <v>48.596995998876707</v>
      </c>
      <c r="AS48" s="37">
        <f>IF((AS47)&gt;0,(AS47/AS46),0)</f>
        <v>48.596995998876707</v>
      </c>
      <c r="AT48" s="37">
        <f>IF((AT47)&gt;0,(AT47/AT46),0)</f>
        <v>48.596995998876707</v>
      </c>
      <c r="AU48" s="37">
        <f>IF((AU47)&gt;0,(AU47/AU46),0)</f>
        <v>48.596995998876707</v>
      </c>
      <c r="AV48" s="176"/>
      <c r="AW48" s="37">
        <f>IF((AW47)&gt;0,(AW47/AW46),0)</f>
        <v>48.596995998876707</v>
      </c>
      <c r="AX48" s="37">
        <f>IF((AX47)&gt;0,(AX47/AX46),0)</f>
        <v>48.596995998876707</v>
      </c>
      <c r="AY48" s="37">
        <f>IF((AY47)&gt;0,(AY47/AY46),0)</f>
        <v>48.596995998876707</v>
      </c>
      <c r="AZ48" s="37">
        <f>IF((AZ47)&gt;0,(AZ47/AZ46),0)</f>
        <v>46.673333333333332</v>
      </c>
      <c r="BA48" s="85"/>
      <c r="BB48" s="37">
        <f t="shared" ref="BB48:BE48" si="145">IF((BB47)&gt;0,(BB47/BB46),0)</f>
        <v>46.673333333333332</v>
      </c>
      <c r="BC48" s="37">
        <f t="shared" si="145"/>
        <v>46.673333333333332</v>
      </c>
      <c r="BD48" s="37">
        <f t="shared" si="145"/>
        <v>46.673333333333332</v>
      </c>
      <c r="BE48" s="37">
        <f t="shared" si="145"/>
        <v>46.673333333333332</v>
      </c>
      <c r="BF48" s="85"/>
      <c r="BG48" s="37">
        <f t="shared" ref="BG48" si="146">IF((BG47)&gt;0,(BG47/BG46),0)</f>
        <v>46.673333333333332</v>
      </c>
      <c r="BH48" s="37">
        <f t="shared" ref="BH48" si="147">IF((BH47)&gt;0,(BH47/BH46),0)</f>
        <v>46.673333333333332</v>
      </c>
      <c r="BI48" s="37">
        <f t="shared" ref="BI48" si="148">IF((BI47)&gt;0,(BI47/BI46),0)</f>
        <v>46.673333333333332</v>
      </c>
      <c r="BJ48" s="37">
        <f t="shared" ref="BJ48" si="149">IF((BJ47)&gt;0,(BJ47/BJ46),0)</f>
        <v>46.673333333333332</v>
      </c>
      <c r="BK48" s="85"/>
      <c r="BL48" s="37">
        <f t="shared" ref="BL48" si="150">IF((BL47)&gt;0,(BL47/BL46),0)</f>
        <v>46.673333333333332</v>
      </c>
      <c r="BM48" s="37">
        <f t="shared" ref="BM48" si="151">IF((BM47)&gt;0,(BM47/BM46),0)</f>
        <v>46.673333333333332</v>
      </c>
      <c r="BN48" s="37">
        <f t="shared" ref="BN48" si="152">IF((BN47)&gt;0,(BN47/BN46),0)</f>
        <v>46.673333333333332</v>
      </c>
      <c r="BO48" s="37">
        <f t="shared" ref="BO48" si="153">IF((BO47)&gt;0,(BO47/BO46),0)</f>
        <v>46.673333333333332</v>
      </c>
      <c r="BP48" s="85"/>
      <c r="BQ48" s="37">
        <f t="shared" ref="BQ48" si="154">IF((BQ47)&gt;0,(BQ47/BQ46),0)</f>
        <v>46.673333333333332</v>
      </c>
      <c r="BR48" s="37">
        <f t="shared" ref="BR48" si="155">IF((BR47)&gt;0,(BR47/BR46),0)</f>
        <v>46.673333333333332</v>
      </c>
      <c r="BS48" s="37">
        <f t="shared" ref="BS48" si="156">IF((BS47)&gt;0,(BS47/BS46),0)</f>
        <v>46.673333333333332</v>
      </c>
      <c r="BT48" s="37">
        <f t="shared" ref="BT48" si="157">IF((BT47)&gt;0,(BT47/BT46),0)</f>
        <v>46.673333333333332</v>
      </c>
      <c r="BU48" s="85"/>
    </row>
    <row r="49" spans="2:73" hidden="1" outlineLevel="1" x14ac:dyDescent="0.3">
      <c r="B49" s="377" t="s">
        <v>61</v>
      </c>
      <c r="C49" s="378"/>
      <c r="D49" s="320"/>
      <c r="E49" s="320"/>
      <c r="F49" s="320"/>
      <c r="G49" s="321"/>
      <c r="H49" s="322"/>
      <c r="I49" s="320"/>
      <c r="J49" s="320"/>
      <c r="K49" s="320"/>
      <c r="L49" s="321"/>
      <c r="M49" s="322"/>
      <c r="N49" s="320"/>
      <c r="O49" s="320"/>
      <c r="P49" s="320"/>
      <c r="Q49" s="321"/>
      <c r="R49" s="322"/>
      <c r="S49" s="320"/>
      <c r="T49" s="320"/>
      <c r="U49" s="320"/>
      <c r="V49" s="321"/>
      <c r="W49" s="322"/>
      <c r="X49" s="320"/>
      <c r="Y49" s="320"/>
      <c r="Z49" s="320"/>
      <c r="AA49" s="321"/>
      <c r="AB49" s="322"/>
      <c r="AC49" s="79">
        <v>0</v>
      </c>
      <c r="AD49" s="80">
        <v>0</v>
      </c>
      <c r="AE49" s="80">
        <v>0</v>
      </c>
      <c r="AF49" s="81">
        <v>0</v>
      </c>
      <c r="AG49" s="82"/>
      <c r="AH49" s="79">
        <v>0</v>
      </c>
      <c r="AI49" s="80">
        <v>0</v>
      </c>
      <c r="AJ49" s="81">
        <v>0</v>
      </c>
      <c r="AK49" s="81">
        <v>0</v>
      </c>
      <c r="AL49" s="82"/>
      <c r="AM49" s="79">
        <v>0</v>
      </c>
      <c r="AN49" s="80">
        <v>0</v>
      </c>
      <c r="AO49" s="80">
        <v>0</v>
      </c>
      <c r="AP49" s="80">
        <v>0</v>
      </c>
      <c r="AQ49" s="82"/>
      <c r="AR49" s="80">
        <v>0</v>
      </c>
      <c r="AS49" s="80">
        <v>0</v>
      </c>
      <c r="AT49" s="80">
        <v>0</v>
      </c>
      <c r="AU49" s="80">
        <v>0</v>
      </c>
      <c r="AV49" s="82"/>
      <c r="AW49" s="80">
        <v>0</v>
      </c>
      <c r="AX49" s="80">
        <v>0</v>
      </c>
      <c r="AY49" s="80">
        <v>0</v>
      </c>
      <c r="AZ49" s="81">
        <v>0</v>
      </c>
      <c r="BA49" s="82"/>
      <c r="BB49" s="79">
        <v>0</v>
      </c>
      <c r="BC49" s="80">
        <v>0</v>
      </c>
      <c r="BD49" s="81">
        <v>0</v>
      </c>
      <c r="BE49" s="81">
        <v>0</v>
      </c>
      <c r="BF49" s="82"/>
      <c r="BG49" s="134">
        <v>0</v>
      </c>
      <c r="BH49" s="80">
        <v>0</v>
      </c>
      <c r="BI49" s="81">
        <v>0</v>
      </c>
      <c r="BJ49" s="81">
        <v>0</v>
      </c>
      <c r="BK49" s="82"/>
      <c r="BL49" s="134">
        <v>0</v>
      </c>
      <c r="BM49" s="80">
        <v>0</v>
      </c>
      <c r="BN49" s="81">
        <v>0</v>
      </c>
      <c r="BO49" s="81">
        <v>0</v>
      </c>
      <c r="BP49" s="82"/>
      <c r="BQ49" s="134">
        <v>0</v>
      </c>
      <c r="BR49" s="80">
        <v>0</v>
      </c>
      <c r="BS49" s="81">
        <v>0</v>
      </c>
      <c r="BT49" s="81">
        <v>0</v>
      </c>
      <c r="BU49" s="82"/>
    </row>
    <row r="50" spans="2:73" collapsed="1" x14ac:dyDescent="0.3">
      <c r="B50" s="88"/>
      <c r="C50" s="89"/>
      <c r="D50" s="77"/>
      <c r="E50" s="77"/>
      <c r="F50" s="77"/>
      <c r="G50" s="77"/>
      <c r="H50" s="77"/>
      <c r="I50" s="77"/>
      <c r="J50" s="77"/>
      <c r="K50" s="77"/>
      <c r="L50" s="77"/>
      <c r="M50" s="77"/>
      <c r="N50" s="77"/>
      <c r="O50" s="77"/>
      <c r="P50" s="77"/>
      <c r="Q50" s="77"/>
      <c r="R50" s="77"/>
      <c r="S50" s="77"/>
      <c r="T50" s="77"/>
      <c r="U50" s="77"/>
      <c r="V50" s="77"/>
      <c r="W50" s="77"/>
      <c r="X50" s="77"/>
      <c r="Y50" s="77"/>
      <c r="Z50" s="77"/>
      <c r="AA50" s="77"/>
      <c r="AB50" s="140"/>
      <c r="AC50" s="140"/>
      <c r="AD50" s="140"/>
      <c r="AE50" s="140"/>
      <c r="AF50" s="140"/>
      <c r="AG50" s="140"/>
      <c r="AH50" s="140"/>
      <c r="AI50" s="192"/>
      <c r="AJ50" s="192"/>
      <c r="AK50" s="192"/>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row>
    <row r="51" spans="2:73" ht="15.6" x14ac:dyDescent="0.3">
      <c r="B51" s="366" t="s">
        <v>77</v>
      </c>
      <c r="C51" s="367"/>
      <c r="D51" s="111" t="s">
        <v>108</v>
      </c>
      <c r="E51" s="111" t="s">
        <v>109</v>
      </c>
      <c r="F51" s="111" t="s">
        <v>110</v>
      </c>
      <c r="G51" s="111" t="s">
        <v>111</v>
      </c>
      <c r="H51" s="111" t="s">
        <v>111</v>
      </c>
      <c r="I51" s="111" t="s">
        <v>107</v>
      </c>
      <c r="J51" s="111" t="s">
        <v>117</v>
      </c>
      <c r="K51" s="111" t="s">
        <v>118</v>
      </c>
      <c r="L51" s="111" t="s">
        <v>119</v>
      </c>
      <c r="M51" s="111" t="s">
        <v>119</v>
      </c>
      <c r="N51" s="111" t="s">
        <v>125</v>
      </c>
      <c r="O51" s="111" t="s">
        <v>126</v>
      </c>
      <c r="P51" s="111" t="s">
        <v>127</v>
      </c>
      <c r="Q51" s="111" t="s">
        <v>128</v>
      </c>
      <c r="R51" s="111" t="s">
        <v>128</v>
      </c>
      <c r="S51" s="111" t="s">
        <v>134</v>
      </c>
      <c r="T51" s="111" t="s">
        <v>135</v>
      </c>
      <c r="U51" s="111" t="s">
        <v>136</v>
      </c>
      <c r="V51" s="111" t="s">
        <v>86</v>
      </c>
      <c r="W51" s="111" t="s">
        <v>86</v>
      </c>
      <c r="X51" s="111" t="s">
        <v>85</v>
      </c>
      <c r="Y51" s="111" t="s">
        <v>84</v>
      </c>
      <c r="Z51" s="111" t="s">
        <v>83</v>
      </c>
      <c r="AA51" s="111" t="s">
        <v>82</v>
      </c>
      <c r="AB51" s="111" t="s">
        <v>82</v>
      </c>
      <c r="AC51" s="111" t="s">
        <v>87</v>
      </c>
      <c r="AD51" s="111" t="s">
        <v>88</v>
      </c>
      <c r="AE51" s="111" t="s">
        <v>89</v>
      </c>
      <c r="AF51" s="111" t="s">
        <v>90</v>
      </c>
      <c r="AG51" s="111" t="s">
        <v>90</v>
      </c>
      <c r="AH51" s="111" t="s">
        <v>92</v>
      </c>
      <c r="AI51" s="111" t="s">
        <v>93</v>
      </c>
      <c r="AJ51" s="111" t="s">
        <v>94</v>
      </c>
      <c r="AK51" s="111" t="s">
        <v>95</v>
      </c>
      <c r="AL51" s="111" t="s">
        <v>95</v>
      </c>
      <c r="AM51" s="111" t="s">
        <v>91</v>
      </c>
      <c r="AN51" s="111" t="s">
        <v>96</v>
      </c>
      <c r="AO51" s="111" t="s">
        <v>97</v>
      </c>
      <c r="AP51" s="111" t="s">
        <v>98</v>
      </c>
      <c r="AQ51" s="111" t="s">
        <v>98</v>
      </c>
      <c r="AR51" s="111" t="s">
        <v>99</v>
      </c>
      <c r="AS51" s="111" t="s">
        <v>100</v>
      </c>
      <c r="AT51" s="111" t="s">
        <v>101</v>
      </c>
      <c r="AU51" s="111" t="s">
        <v>102</v>
      </c>
      <c r="AV51" s="111" t="s">
        <v>102</v>
      </c>
      <c r="AW51" s="111" t="s">
        <v>103</v>
      </c>
      <c r="AX51" s="111" t="s">
        <v>104</v>
      </c>
      <c r="AY51" s="111" t="s">
        <v>105</v>
      </c>
      <c r="AZ51" s="135" t="s">
        <v>106</v>
      </c>
      <c r="BA51" s="135" t="s">
        <v>106</v>
      </c>
      <c r="BB51" s="135" t="s">
        <v>207</v>
      </c>
      <c r="BC51" s="135" t="s">
        <v>208</v>
      </c>
      <c r="BD51" s="135" t="s">
        <v>209</v>
      </c>
      <c r="BE51" s="135" t="s">
        <v>210</v>
      </c>
      <c r="BF51" s="135" t="s">
        <v>210</v>
      </c>
      <c r="BG51" s="135" t="s">
        <v>223</v>
      </c>
      <c r="BH51" s="135" t="s">
        <v>224</v>
      </c>
      <c r="BI51" s="135" t="s">
        <v>225</v>
      </c>
      <c r="BJ51" s="135" t="s">
        <v>106</v>
      </c>
      <c r="BK51" s="135" t="s">
        <v>226</v>
      </c>
      <c r="BL51" s="135" t="s">
        <v>302</v>
      </c>
      <c r="BM51" s="135" t="s">
        <v>303</v>
      </c>
      <c r="BN51" s="135" t="s">
        <v>304</v>
      </c>
      <c r="BO51" s="135" t="s">
        <v>305</v>
      </c>
      <c r="BP51" s="135" t="s">
        <v>305</v>
      </c>
      <c r="BQ51" s="135" t="s">
        <v>312</v>
      </c>
      <c r="BR51" s="135" t="s">
        <v>314</v>
      </c>
      <c r="BS51" s="135" t="s">
        <v>316</v>
      </c>
      <c r="BT51" s="135" t="s">
        <v>307</v>
      </c>
      <c r="BU51" s="136" t="s">
        <v>307</v>
      </c>
    </row>
    <row r="52" spans="2:73" ht="16.2" x14ac:dyDescent="0.45">
      <c r="B52" s="202" t="s">
        <v>10</v>
      </c>
      <c r="C52" s="203"/>
      <c r="D52" s="112" t="s">
        <v>112</v>
      </c>
      <c r="E52" s="112" t="s">
        <v>113</v>
      </c>
      <c r="F52" s="112" t="s">
        <v>114</v>
      </c>
      <c r="G52" s="112" t="s">
        <v>115</v>
      </c>
      <c r="H52" s="112" t="s">
        <v>116</v>
      </c>
      <c r="I52" s="112" t="s">
        <v>120</v>
      </c>
      <c r="J52" s="112" t="s">
        <v>121</v>
      </c>
      <c r="K52" s="112" t="s">
        <v>122</v>
      </c>
      <c r="L52" s="112" t="s">
        <v>123</v>
      </c>
      <c r="M52" s="112" t="s">
        <v>124</v>
      </c>
      <c r="N52" s="112" t="s">
        <v>129</v>
      </c>
      <c r="O52" s="112" t="s">
        <v>130</v>
      </c>
      <c r="P52" s="112" t="s">
        <v>131</v>
      </c>
      <c r="Q52" s="112" t="s">
        <v>132</v>
      </c>
      <c r="R52" s="112" t="s">
        <v>133</v>
      </c>
      <c r="S52" s="112" t="s">
        <v>137</v>
      </c>
      <c r="T52" s="112" t="s">
        <v>138</v>
      </c>
      <c r="U52" s="112" t="s">
        <v>139</v>
      </c>
      <c r="V52" s="112" t="s">
        <v>140</v>
      </c>
      <c r="W52" s="112" t="s">
        <v>0</v>
      </c>
      <c r="X52" s="112" t="s">
        <v>40</v>
      </c>
      <c r="Y52" s="112" t="s">
        <v>41</v>
      </c>
      <c r="Z52" s="112" t="s">
        <v>42</v>
      </c>
      <c r="AA52" s="112" t="s">
        <v>43</v>
      </c>
      <c r="AB52" s="112" t="s">
        <v>6</v>
      </c>
      <c r="AC52" s="112" t="s">
        <v>186</v>
      </c>
      <c r="AD52" s="112" t="s">
        <v>189</v>
      </c>
      <c r="AE52" s="112" t="s">
        <v>191</v>
      </c>
      <c r="AF52" s="112" t="s">
        <v>193</v>
      </c>
      <c r="AG52" s="112" t="s">
        <v>205</v>
      </c>
      <c r="AH52" s="112" t="s">
        <v>215</v>
      </c>
      <c r="AI52" s="112" t="s">
        <v>216</v>
      </c>
      <c r="AJ52" s="112" t="s">
        <v>217</v>
      </c>
      <c r="AK52" s="112" t="s">
        <v>221</v>
      </c>
      <c r="AL52" s="112" t="s">
        <v>222</v>
      </c>
      <c r="AM52" s="112" t="s">
        <v>231</v>
      </c>
      <c r="AN52" s="112" t="s">
        <v>279</v>
      </c>
      <c r="AO52" s="296" t="s">
        <v>319</v>
      </c>
      <c r="AP52" s="296" t="s">
        <v>320</v>
      </c>
      <c r="AQ52" s="296" t="s">
        <v>321</v>
      </c>
      <c r="AR52" s="296" t="s">
        <v>322</v>
      </c>
      <c r="AS52" s="296" t="s">
        <v>323</v>
      </c>
      <c r="AT52" s="296" t="s">
        <v>324</v>
      </c>
      <c r="AU52" s="296" t="s">
        <v>325</v>
      </c>
      <c r="AV52" s="296" t="s">
        <v>326</v>
      </c>
      <c r="AW52" s="296" t="s">
        <v>327</v>
      </c>
      <c r="AX52" s="296" t="s">
        <v>328</v>
      </c>
      <c r="AY52" s="296" t="s">
        <v>329</v>
      </c>
      <c r="AZ52" s="137" t="s">
        <v>58</v>
      </c>
      <c r="BA52" s="137" t="s">
        <v>194</v>
      </c>
      <c r="BB52" s="137" t="s">
        <v>206</v>
      </c>
      <c r="BC52" s="137" t="s">
        <v>211</v>
      </c>
      <c r="BD52" s="137" t="s">
        <v>212</v>
      </c>
      <c r="BE52" s="137" t="s">
        <v>213</v>
      </c>
      <c r="BF52" s="137" t="s">
        <v>214</v>
      </c>
      <c r="BG52" s="137" t="s">
        <v>227</v>
      </c>
      <c r="BH52" s="137" t="s">
        <v>228</v>
      </c>
      <c r="BI52" s="137" t="s">
        <v>229</v>
      </c>
      <c r="BJ52" s="137" t="s">
        <v>58</v>
      </c>
      <c r="BK52" s="137" t="s">
        <v>230</v>
      </c>
      <c r="BL52" s="137" t="s">
        <v>227</v>
      </c>
      <c r="BM52" s="137" t="s">
        <v>309</v>
      </c>
      <c r="BN52" s="137" t="s">
        <v>310</v>
      </c>
      <c r="BO52" s="137" t="s">
        <v>311</v>
      </c>
      <c r="BP52" s="137" t="s">
        <v>306</v>
      </c>
      <c r="BQ52" s="137" t="s">
        <v>313</v>
      </c>
      <c r="BR52" s="137" t="s">
        <v>315</v>
      </c>
      <c r="BS52" s="137" t="s">
        <v>317</v>
      </c>
      <c r="BT52" s="137" t="s">
        <v>318</v>
      </c>
      <c r="BU52" s="138" t="s">
        <v>308</v>
      </c>
    </row>
    <row r="53" spans="2:73" ht="14.4" customHeight="1" outlineLevel="1" x14ac:dyDescent="0.3">
      <c r="B53" s="383" t="s">
        <v>15</v>
      </c>
      <c r="C53" s="384"/>
      <c r="D53" s="69"/>
      <c r="E53" s="72"/>
      <c r="F53" s="72"/>
      <c r="G53" s="71"/>
      <c r="H53" s="68"/>
      <c r="I53" s="69"/>
      <c r="J53" s="70"/>
      <c r="K53" s="70"/>
      <c r="L53" s="71"/>
      <c r="M53" s="68"/>
      <c r="N53" s="69"/>
      <c r="O53" s="70"/>
      <c r="P53" s="70"/>
      <c r="Q53" s="71"/>
      <c r="R53" s="68"/>
      <c r="S53" s="69"/>
      <c r="T53" s="70"/>
      <c r="U53" s="70"/>
      <c r="V53" s="71"/>
      <c r="W53" s="68"/>
      <c r="X53" s="69"/>
      <c r="Y53" s="70"/>
      <c r="Z53" s="70"/>
      <c r="AA53" s="71"/>
      <c r="AB53" s="68"/>
      <c r="AC53" s="11"/>
      <c r="AD53" s="14"/>
      <c r="AE53" s="10"/>
      <c r="AF53" s="10"/>
      <c r="AG53" s="15"/>
      <c r="AH53" s="11"/>
      <c r="AI53" s="161"/>
      <c r="AJ53" s="10"/>
      <c r="AK53" s="10"/>
      <c r="AL53" s="15"/>
      <c r="AM53" s="11"/>
      <c r="AN53" s="262"/>
      <c r="AO53" s="262"/>
      <c r="AP53" s="262"/>
      <c r="AQ53" s="262"/>
      <c r="AR53" s="262"/>
      <c r="AS53" s="262"/>
      <c r="AT53" s="262"/>
      <c r="AU53" s="262"/>
      <c r="AV53" s="262"/>
      <c r="AW53" s="262"/>
      <c r="AX53" s="262"/>
      <c r="AY53" s="262"/>
      <c r="AZ53" s="10"/>
      <c r="BA53" s="15"/>
      <c r="BB53" s="11"/>
      <c r="BC53" s="14"/>
      <c r="BD53" s="10"/>
      <c r="BE53" s="10"/>
      <c r="BF53" s="15"/>
      <c r="BG53" s="11"/>
      <c r="BH53" s="14"/>
      <c r="BI53" s="10"/>
      <c r="BJ53" s="10"/>
      <c r="BK53" s="15"/>
      <c r="BL53" s="11"/>
      <c r="BM53" s="14"/>
      <c r="BN53" s="10"/>
      <c r="BO53" s="10"/>
      <c r="BP53" s="15"/>
      <c r="BQ53" s="11"/>
      <c r="BR53" s="14"/>
      <c r="BS53" s="10"/>
      <c r="BT53" s="10"/>
      <c r="BU53" s="15"/>
    </row>
    <row r="54" spans="2:73" ht="14.4" customHeight="1" outlineLevel="1" x14ac:dyDescent="0.3">
      <c r="B54" s="370" t="s">
        <v>142</v>
      </c>
      <c r="C54" s="374"/>
      <c r="D54" s="36">
        <v>7609</v>
      </c>
      <c r="E54" s="37">
        <v>10018</v>
      </c>
      <c r="F54" s="37">
        <v>9705</v>
      </c>
      <c r="G54" s="84">
        <v>11261</v>
      </c>
      <c r="H54" s="85">
        <f>G54</f>
        <v>11261</v>
      </c>
      <c r="I54" s="36">
        <v>10734</v>
      </c>
      <c r="J54" s="37">
        <v>15978</v>
      </c>
      <c r="K54" s="37">
        <v>12091</v>
      </c>
      <c r="L54" s="84">
        <v>9815</v>
      </c>
      <c r="M54" s="85">
        <f>L54</f>
        <v>9815</v>
      </c>
      <c r="N54" s="36">
        <v>10310</v>
      </c>
      <c r="O54" s="37">
        <v>10121</v>
      </c>
      <c r="P54" s="37">
        <v>7945</v>
      </c>
      <c r="Q54" s="84">
        <v>10746</v>
      </c>
      <c r="R54" s="85">
        <f>Q54</f>
        <v>10746</v>
      </c>
      <c r="S54" s="36">
        <v>16154</v>
      </c>
      <c r="T54" s="37">
        <v>12053</v>
      </c>
      <c r="U54" s="37">
        <v>11248</v>
      </c>
      <c r="V54" s="84">
        <v>14259</v>
      </c>
      <c r="W54" s="85">
        <f>V54</f>
        <v>14259</v>
      </c>
      <c r="X54" s="36">
        <v>14077</v>
      </c>
      <c r="Y54" s="37">
        <v>18949</v>
      </c>
      <c r="Z54" s="37">
        <v>12977</v>
      </c>
      <c r="AA54" s="84">
        <v>13844</v>
      </c>
      <c r="AB54" s="85">
        <f>AA54</f>
        <v>13844</v>
      </c>
      <c r="AC54" s="125">
        <f>AC151</f>
        <v>19478</v>
      </c>
      <c r="AD54" s="125">
        <v>14489</v>
      </c>
      <c r="AE54" s="125">
        <f>AE151</f>
        <v>15319</v>
      </c>
      <c r="AF54" s="125">
        <f>AF151</f>
        <v>21120</v>
      </c>
      <c r="AG54" s="85">
        <f>AF54</f>
        <v>21120</v>
      </c>
      <c r="AH54" s="125">
        <f>AH151</f>
        <v>16689</v>
      </c>
      <c r="AI54" s="125">
        <f>AI151</f>
        <v>21514</v>
      </c>
      <c r="AJ54" s="125">
        <f>AJ151</f>
        <v>18237</v>
      </c>
      <c r="AK54" s="125">
        <f>AK151</f>
        <v>20484</v>
      </c>
      <c r="AL54" s="85">
        <f>AK54</f>
        <v>20484</v>
      </c>
      <c r="AM54" s="125">
        <f>AM151</f>
        <v>16371</v>
      </c>
      <c r="AN54" s="125">
        <f>AN151</f>
        <v>15157</v>
      </c>
      <c r="AO54" s="125">
        <f t="shared" ref="AO54:AY54" si="158">AO151</f>
        <v>22071</v>
      </c>
      <c r="AP54" s="125">
        <f t="shared" si="158"/>
        <v>20289</v>
      </c>
      <c r="AQ54" s="125">
        <f t="shared" si="158"/>
        <v>20289</v>
      </c>
      <c r="AR54" s="125">
        <f t="shared" si="158"/>
        <v>27491</v>
      </c>
      <c r="AS54" s="125">
        <f t="shared" si="158"/>
        <v>45059</v>
      </c>
      <c r="AT54" s="125">
        <f t="shared" si="158"/>
        <v>22715</v>
      </c>
      <c r="AU54" s="125">
        <f t="shared" si="158"/>
        <v>25913</v>
      </c>
      <c r="AV54" s="125">
        <f t="shared" si="158"/>
        <v>25913</v>
      </c>
      <c r="AW54" s="125">
        <f t="shared" si="158"/>
        <v>44771</v>
      </c>
      <c r="AX54" s="125">
        <f t="shared" si="158"/>
        <v>40165</v>
      </c>
      <c r="AY54" s="125">
        <f t="shared" si="158"/>
        <v>52823</v>
      </c>
      <c r="AZ54" s="125">
        <f>AZ151</f>
        <v>61029.348399854396</v>
      </c>
      <c r="BA54" s="85">
        <f>AZ54</f>
        <v>61029.348399854396</v>
      </c>
      <c r="BB54" s="125">
        <f>BB151</f>
        <v>65365.186380992651</v>
      </c>
      <c r="BC54" s="125">
        <f>BC151</f>
        <v>63108.940731938907</v>
      </c>
      <c r="BD54" s="125">
        <f>BD151</f>
        <v>61365.973181884096</v>
      </c>
      <c r="BE54" s="125">
        <f>BE151</f>
        <v>59444.418783207206</v>
      </c>
      <c r="BF54" s="85">
        <f>BE54</f>
        <v>59444.418783207206</v>
      </c>
      <c r="BG54" s="125">
        <f>BG151</f>
        <v>71165.184095225879</v>
      </c>
      <c r="BH54" s="125">
        <f>BH151</f>
        <v>60612.976797592644</v>
      </c>
      <c r="BI54" s="125">
        <f>BI151</f>
        <v>67712.853061970687</v>
      </c>
      <c r="BJ54" s="125">
        <f>BJ151</f>
        <v>51423.014948841235</v>
      </c>
      <c r="BK54" s="85">
        <f>BJ54</f>
        <v>51423.014948841235</v>
      </c>
      <c r="BL54" s="125">
        <f>BL151</f>
        <v>81716.192102082103</v>
      </c>
      <c r="BM54" s="125">
        <f>BM151</f>
        <v>45488.042137845754</v>
      </c>
      <c r="BN54" s="125">
        <f>BN151</f>
        <v>77789.669329874218</v>
      </c>
      <c r="BO54" s="125">
        <f>BO151</f>
        <v>27289.493971519587</v>
      </c>
      <c r="BP54" s="85">
        <f>BO54</f>
        <v>27289.493971519587</v>
      </c>
      <c r="BQ54" s="125">
        <f>BQ151</f>
        <v>93550.477762301816</v>
      </c>
      <c r="BR54" s="125">
        <f>BR151</f>
        <v>9719.8106707371335</v>
      </c>
      <c r="BS54" s="125">
        <f>BS151</f>
        <v>90026.950236306686</v>
      </c>
      <c r="BT54" s="125">
        <f>BT151</f>
        <v>-19592.679326771744</v>
      </c>
      <c r="BU54" s="85">
        <f>BT54</f>
        <v>-19592.679326771744</v>
      </c>
    </row>
    <row r="55" spans="2:73" ht="14.4" customHeight="1" outlineLevel="1" x14ac:dyDescent="0.3">
      <c r="B55" s="370" t="s">
        <v>143</v>
      </c>
      <c r="C55" s="374"/>
      <c r="D55" s="36">
        <v>17187</v>
      </c>
      <c r="E55" s="37">
        <v>13137</v>
      </c>
      <c r="F55" s="37">
        <v>14583</v>
      </c>
      <c r="G55" s="84">
        <v>14359</v>
      </c>
      <c r="H55" s="85">
        <f t="shared" ref="H55:H60" si="159">G55</f>
        <v>14359</v>
      </c>
      <c r="I55" s="36">
        <v>16243</v>
      </c>
      <c r="J55" s="37">
        <v>13256</v>
      </c>
      <c r="K55" s="37">
        <v>16304</v>
      </c>
      <c r="L55" s="84">
        <v>16137</v>
      </c>
      <c r="M55" s="85">
        <f t="shared" ref="M55:M60" si="160">L55</f>
        <v>16137</v>
      </c>
      <c r="N55" s="36">
        <v>19846</v>
      </c>
      <c r="O55" s="37">
        <v>18417</v>
      </c>
      <c r="P55" s="37">
        <v>19709</v>
      </c>
      <c r="Q55" s="84">
        <v>18383</v>
      </c>
      <c r="R55" s="85">
        <f t="shared" ref="R55:R60" si="161">Q55</f>
        <v>18383</v>
      </c>
      <c r="S55" s="36">
        <v>23666</v>
      </c>
      <c r="T55" s="37">
        <v>27084</v>
      </c>
      <c r="U55" s="37">
        <v>31358</v>
      </c>
      <c r="V55" s="84">
        <v>26287</v>
      </c>
      <c r="W55" s="85">
        <f t="shared" ref="W55:W60" si="162">V55</f>
        <v>26287</v>
      </c>
      <c r="X55" s="36">
        <v>26634</v>
      </c>
      <c r="Y55" s="37">
        <v>22401</v>
      </c>
      <c r="Z55" s="37">
        <v>24828</v>
      </c>
      <c r="AA55" s="84">
        <v>11233</v>
      </c>
      <c r="AB55" s="85">
        <f t="shared" ref="AB55:AB60" si="163">AA55</f>
        <v>11233</v>
      </c>
      <c r="AC55" s="125">
        <v>12985</v>
      </c>
      <c r="AD55" s="125">
        <v>18607</v>
      </c>
      <c r="AE55" s="125">
        <v>19384</v>
      </c>
      <c r="AF55" s="125">
        <v>20481</v>
      </c>
      <c r="AG55" s="85">
        <f t="shared" ref="AG55:AG60" si="164">AF55</f>
        <v>20481</v>
      </c>
      <c r="AH55" s="125">
        <v>21385</v>
      </c>
      <c r="AI55" s="125">
        <v>33769</v>
      </c>
      <c r="AJ55" s="125">
        <v>43519</v>
      </c>
      <c r="AK55" s="125">
        <v>46671</v>
      </c>
      <c r="AL55" s="85">
        <f t="shared" ref="AL55:AL60" si="165">AK55</f>
        <v>46671</v>
      </c>
      <c r="AM55" s="125">
        <v>44081</v>
      </c>
      <c r="AN55" s="125">
        <v>51944</v>
      </c>
      <c r="AO55" s="299">
        <v>58188</v>
      </c>
      <c r="AP55" s="299">
        <v>53892</v>
      </c>
      <c r="AQ55" s="85">
        <f t="shared" ref="AQ55:AQ60" si="166">AP55</f>
        <v>53892</v>
      </c>
      <c r="AR55" s="299">
        <v>49662</v>
      </c>
      <c r="AS55" s="299">
        <v>42881</v>
      </c>
      <c r="AT55" s="299">
        <v>38999</v>
      </c>
      <c r="AU55" s="299">
        <v>40388</v>
      </c>
      <c r="AV55" s="85">
        <f t="shared" ref="AV55:AV60" si="167">AU55</f>
        <v>40388</v>
      </c>
      <c r="AW55" s="299">
        <v>41656</v>
      </c>
      <c r="AX55" s="125">
        <v>42104</v>
      </c>
      <c r="AY55" s="125">
        <v>44084</v>
      </c>
      <c r="AZ55" s="125">
        <f>+(AY55+AY62)*(1+AZ90)*AZ91</f>
        <v>36349.178224632291</v>
      </c>
      <c r="BA55" s="85">
        <f t="shared" ref="BA55:BA60" si="168">AZ55</f>
        <v>36349.178224632291</v>
      </c>
      <c r="BB55" s="125">
        <f>+(AZ55+AZ62)*(1+BB90)*BB91</f>
        <v>39968.783210757203</v>
      </c>
      <c r="BC55" s="125">
        <f>+(BB55+BB62)*(1+BC90)*BC91</f>
        <v>42280.367562033891</v>
      </c>
      <c r="BD55" s="125">
        <f>+(BC55+BC62)*(1+BD90)*BD91</f>
        <v>43365.983010108757</v>
      </c>
      <c r="BE55" s="125">
        <f>+(BD55+BD62)*(1+BE90)*BE91</f>
        <v>42352.222065194495</v>
      </c>
      <c r="BF55" s="85">
        <f t="shared" ref="BF55:BF60" si="169">BE55</f>
        <v>42352.222065194495</v>
      </c>
      <c r="BG55" s="125">
        <f>+(BE55+BE62)*(1+BG90)*BG91</f>
        <v>45388.507894551738</v>
      </c>
      <c r="BH55" s="125">
        <f>+(BG55+BG62)*(1+BH90)*BH91</f>
        <v>46975.081203988091</v>
      </c>
      <c r="BI55" s="125">
        <f>+(BH55+BH62)*(1+BI90)*BI91</f>
        <v>47415.927235871954</v>
      </c>
      <c r="BJ55" s="125">
        <f>+(BI55+BI62)*(1+BJ90)*BJ91</f>
        <v>47667.197860537039</v>
      </c>
      <c r="BK55" s="85">
        <f t="shared" ref="BK55:BK60" si="170">BJ55</f>
        <v>47667.197860537039</v>
      </c>
      <c r="BL55" s="125">
        <f>+(BJ55+BJ62)*(1+BL90)*BL91</f>
        <v>50659.097620550572</v>
      </c>
      <c r="BM55" s="125">
        <f>+(BL55+BL62)*(1+BM90)*BM91</f>
        <v>52206.645973509498</v>
      </c>
      <c r="BN55" s="125">
        <f>+(BM55+BM62)*(1+BN90)*BN91</f>
        <v>52700.527298115543</v>
      </c>
      <c r="BO55" s="125">
        <f>+(BN55+BN62)*(1+BO90)*BO91</f>
        <v>53200.077459289627</v>
      </c>
      <c r="BP55" s="85">
        <f t="shared" ref="BP55:BP60" si="171">BO55</f>
        <v>53200.077459289627</v>
      </c>
      <c r="BQ55" s="125">
        <f>+(BO55+BO62)*(1+BQ90)*BQ91</f>
        <v>56421.487990319714</v>
      </c>
      <c r="BR55" s="125">
        <f>+(BQ55+BQ62)*(1+BR90)*BR91</f>
        <v>58114.174394541937</v>
      </c>
      <c r="BS55" s="125">
        <f>+(BR55+BR62)*(1+BS90)*BS91</f>
        <v>58687.557843076145</v>
      </c>
      <c r="BT55" s="125">
        <f>+(BS55+BS62)*(1+BT90)*BT91</f>
        <v>59272.564815795631</v>
      </c>
      <c r="BU55" s="85">
        <f t="shared" ref="BU55:BU60" si="172">BT55</f>
        <v>59272.564815795631</v>
      </c>
    </row>
    <row r="56" spans="2:73" ht="14.4" customHeight="1" outlineLevel="1" x14ac:dyDescent="0.3">
      <c r="B56" s="370" t="s">
        <v>144</v>
      </c>
      <c r="C56" s="374"/>
      <c r="D56" s="36">
        <v>3090</v>
      </c>
      <c r="E56" s="37">
        <v>2886</v>
      </c>
      <c r="F56" s="37">
        <v>3447</v>
      </c>
      <c r="G56" s="84">
        <v>5510</v>
      </c>
      <c r="H56" s="85">
        <f t="shared" si="159"/>
        <v>5510</v>
      </c>
      <c r="I56" s="36">
        <v>6027</v>
      </c>
      <c r="J56" s="37">
        <v>5798</v>
      </c>
      <c r="K56" s="37">
        <v>6102</v>
      </c>
      <c r="L56" s="84">
        <v>5369</v>
      </c>
      <c r="M56" s="85">
        <f t="shared" si="160"/>
        <v>5369</v>
      </c>
      <c r="N56" s="36">
        <v>8930</v>
      </c>
      <c r="O56" s="37">
        <v>7042</v>
      </c>
      <c r="P56" s="37">
        <v>7657</v>
      </c>
      <c r="Q56" s="84">
        <v>10930</v>
      </c>
      <c r="R56" s="85">
        <f t="shared" si="161"/>
        <v>10930</v>
      </c>
      <c r="S56" s="36">
        <v>11598</v>
      </c>
      <c r="T56" s="37">
        <v>7084</v>
      </c>
      <c r="U56" s="37">
        <v>8839</v>
      </c>
      <c r="V56" s="84">
        <v>13102</v>
      </c>
      <c r="W56" s="85">
        <f t="shared" si="162"/>
        <v>13102</v>
      </c>
      <c r="X56" s="36">
        <v>14200</v>
      </c>
      <c r="Y56" s="37">
        <v>9700</v>
      </c>
      <c r="Z56" s="37">
        <v>10788</v>
      </c>
      <c r="AA56" s="84">
        <v>17460</v>
      </c>
      <c r="AB56" s="85">
        <f t="shared" si="163"/>
        <v>17460</v>
      </c>
      <c r="AC56" s="125">
        <v>16709</v>
      </c>
      <c r="AD56" s="125">
        <v>10905</v>
      </c>
      <c r="AE56" s="125">
        <v>10370</v>
      </c>
      <c r="AF56" s="125">
        <v>16849</v>
      </c>
      <c r="AG56" s="85">
        <f t="shared" si="164"/>
        <v>16849</v>
      </c>
      <c r="AH56" s="125">
        <v>12953</v>
      </c>
      <c r="AI56" s="125">
        <v>12229</v>
      </c>
      <c r="AJ56" s="125">
        <v>11714</v>
      </c>
      <c r="AK56" s="125">
        <v>15754</v>
      </c>
      <c r="AL56" s="85">
        <f t="shared" si="165"/>
        <v>15754</v>
      </c>
      <c r="AM56" s="125">
        <v>14057</v>
      </c>
      <c r="AN56" s="125">
        <v>11579</v>
      </c>
      <c r="AO56" s="299">
        <v>12399</v>
      </c>
      <c r="AP56" s="299">
        <v>17874</v>
      </c>
      <c r="AQ56" s="85">
        <f t="shared" si="166"/>
        <v>17874</v>
      </c>
      <c r="AR56" s="299">
        <v>23440</v>
      </c>
      <c r="AS56" s="299">
        <v>14324</v>
      </c>
      <c r="AT56" s="299">
        <v>14104</v>
      </c>
      <c r="AU56" s="299">
        <v>23186</v>
      </c>
      <c r="AV56" s="85">
        <f t="shared" si="167"/>
        <v>23186</v>
      </c>
      <c r="AW56" s="299">
        <v>18077</v>
      </c>
      <c r="AX56" s="125">
        <v>15085</v>
      </c>
      <c r="AY56" s="125">
        <v>14148</v>
      </c>
      <c r="AZ56" s="125">
        <f>(AZ10/AZ96*2)-AY56</f>
        <v>26698.4065939996</v>
      </c>
      <c r="BA56" s="85">
        <f t="shared" si="168"/>
        <v>26698.4065939996</v>
      </c>
      <c r="BB56" s="125">
        <f>(BB10/BB96*2)-AZ56</f>
        <v>16906.503069077327</v>
      </c>
      <c r="BC56" s="125">
        <f>(BC10/BC96*2)-BB56</f>
        <v>18548.807925702131</v>
      </c>
      <c r="BD56" s="125">
        <f>(BD10/BD96*2)-BC56</f>
        <v>13739.888400466978</v>
      </c>
      <c r="BE56" s="125">
        <f>(BE10/BE96*2)-BD56</f>
        <v>33307.726354283383</v>
      </c>
      <c r="BF56" s="85">
        <f t="shared" si="169"/>
        <v>33307.726354283383</v>
      </c>
      <c r="BG56" s="125">
        <f>(BG10/BG96*2)-BE56</f>
        <v>12853.051573383003</v>
      </c>
      <c r="BH56" s="125">
        <f>(BH10/BH96*2)-BG56</f>
        <v>25103.092480895539</v>
      </c>
      <c r="BI56" s="125">
        <f>(BI10/BI96*2)-BH56</f>
        <v>10703.987643635381</v>
      </c>
      <c r="BJ56" s="125">
        <f>(BJ10/BJ96*2)-BI56</f>
        <v>43634.803831130354</v>
      </c>
      <c r="BK56" s="85">
        <f t="shared" si="170"/>
        <v>43634.803831130354</v>
      </c>
      <c r="BL56" s="125">
        <f>(BL10/BL96*2)-BJ56</f>
        <v>3870.3505453984108</v>
      </c>
      <c r="BM56" s="125">
        <f>(BM10/BM96*2)-BL56</f>
        <v>35422.227168658661</v>
      </c>
      <c r="BN56" s="125">
        <f>(BN10/BN96*2)-BM56</f>
        <v>3271.0537555670817</v>
      </c>
      <c r="BO56" s="125">
        <f>(BO10/BO96*2)-BN56</f>
        <v>58352.101303772019</v>
      </c>
      <c r="BP56" s="85">
        <f t="shared" si="171"/>
        <v>58352.101303772019</v>
      </c>
      <c r="BQ56" s="125">
        <f>(BQ10/BQ96*2)-BO56</f>
        <v>-8558.8818365952975</v>
      </c>
      <c r="BR56" s="125">
        <f>(BR10/BR96*2)-BQ56</f>
        <v>50142.210574313933</v>
      </c>
      <c r="BS56" s="125">
        <f>(BS10/BS96*2)-BR56</f>
        <v>-7655.7032422640259</v>
      </c>
      <c r="BT56" s="125">
        <f>(BT10/BT96*2)-BS56</f>
        <v>78334.313336878753</v>
      </c>
      <c r="BU56" s="85">
        <f t="shared" si="172"/>
        <v>78334.313336878753</v>
      </c>
    </row>
    <row r="57" spans="2:73" ht="14.4" customHeight="1" outlineLevel="1" x14ac:dyDescent="0.3">
      <c r="B57" s="370" t="s">
        <v>11</v>
      </c>
      <c r="C57" s="374"/>
      <c r="D57" s="36">
        <v>576</v>
      </c>
      <c r="E57" s="37">
        <v>638</v>
      </c>
      <c r="F57" s="37">
        <v>942</v>
      </c>
      <c r="G57" s="84">
        <v>1051</v>
      </c>
      <c r="H57" s="85">
        <f t="shared" si="159"/>
        <v>1051</v>
      </c>
      <c r="I57" s="36">
        <v>885</v>
      </c>
      <c r="J57" s="37">
        <v>930</v>
      </c>
      <c r="K57" s="37">
        <v>889</v>
      </c>
      <c r="L57" s="84">
        <v>776</v>
      </c>
      <c r="M57" s="85">
        <f t="shared" si="160"/>
        <v>776</v>
      </c>
      <c r="N57" s="36">
        <v>1236</v>
      </c>
      <c r="O57" s="37">
        <v>1102</v>
      </c>
      <c r="P57" s="37">
        <v>1122</v>
      </c>
      <c r="Q57" s="84">
        <v>791</v>
      </c>
      <c r="R57" s="85">
        <f t="shared" si="161"/>
        <v>791</v>
      </c>
      <c r="S57" s="36">
        <v>1455</v>
      </c>
      <c r="T57" s="37">
        <v>1245</v>
      </c>
      <c r="U57" s="37">
        <v>1697</v>
      </c>
      <c r="V57" s="84">
        <v>1764</v>
      </c>
      <c r="W57" s="85">
        <f t="shared" si="162"/>
        <v>1764</v>
      </c>
      <c r="X57" s="36">
        <v>2122</v>
      </c>
      <c r="Y57" s="37">
        <v>1829</v>
      </c>
      <c r="Z57" s="37">
        <v>1594</v>
      </c>
      <c r="AA57" s="84">
        <v>2111</v>
      </c>
      <c r="AB57" s="85">
        <f t="shared" si="163"/>
        <v>2111</v>
      </c>
      <c r="AC57" s="125">
        <v>2283</v>
      </c>
      <c r="AD57" s="125">
        <v>2396</v>
      </c>
      <c r="AE57" s="125">
        <v>2042</v>
      </c>
      <c r="AF57" s="125">
        <v>2349</v>
      </c>
      <c r="AG57" s="85">
        <f t="shared" si="164"/>
        <v>2349</v>
      </c>
      <c r="AH57" s="125">
        <v>2451</v>
      </c>
      <c r="AI57" s="125">
        <v>2281</v>
      </c>
      <c r="AJ57" s="125">
        <v>1831</v>
      </c>
      <c r="AK57" s="125">
        <v>2132</v>
      </c>
      <c r="AL57" s="85">
        <f t="shared" si="165"/>
        <v>2132</v>
      </c>
      <c r="AM57" s="125">
        <v>2712</v>
      </c>
      <c r="AN57" s="125">
        <v>2910</v>
      </c>
      <c r="AO57" s="299">
        <v>3146</v>
      </c>
      <c r="AP57" s="299">
        <v>4855</v>
      </c>
      <c r="AQ57" s="85">
        <f t="shared" si="166"/>
        <v>4855</v>
      </c>
      <c r="AR57" s="299">
        <v>4421</v>
      </c>
      <c r="AS57" s="299">
        <v>7662</v>
      </c>
      <c r="AT57" s="299">
        <v>5936</v>
      </c>
      <c r="AU57" s="299">
        <v>3956</v>
      </c>
      <c r="AV57" s="85">
        <f t="shared" si="167"/>
        <v>3956</v>
      </c>
      <c r="AW57" s="299">
        <v>4988</v>
      </c>
      <c r="AX57" s="125">
        <v>4884</v>
      </c>
      <c r="AY57" s="125">
        <v>3355</v>
      </c>
      <c r="AZ57" s="125">
        <f>(AZ11/AZ94*2)-AY57</f>
        <v>2952.8367135726903</v>
      </c>
      <c r="BA57" s="85">
        <f t="shared" si="168"/>
        <v>2952.8367135726903</v>
      </c>
      <c r="BB57" s="125">
        <f>(BB11/BB94*2)-AZ57</f>
        <v>2549.4250027463431</v>
      </c>
      <c r="BC57" s="125">
        <f>(BC11/BC94*2)-BB57</f>
        <v>3594.9907365810677</v>
      </c>
      <c r="BD57" s="125">
        <f>(BD11/BD94*2)-BC57</f>
        <v>1702.6986216973755</v>
      </c>
      <c r="BE57" s="125">
        <f>(BE11/BE94*2)-BD57</f>
        <v>2526.8990543924792</v>
      </c>
      <c r="BF57" s="85">
        <f t="shared" si="169"/>
        <v>2526.8990543924792</v>
      </c>
      <c r="BG57" s="125">
        <f>(BG11/BG94*2)-BE57</f>
        <v>863.9919802352033</v>
      </c>
      <c r="BH57" s="125">
        <f>(BH11/BH94*2)-BG57</f>
        <v>2965.2802492911474</v>
      </c>
      <c r="BI57" s="125">
        <f>(BI11/BI94*2)-BH57</f>
        <v>454.82718509105553</v>
      </c>
      <c r="BJ57" s="125">
        <f>(BJ11/BJ94*2)-BI57</f>
        <v>2389.0201974185675</v>
      </c>
      <c r="BK57" s="85">
        <f t="shared" si="170"/>
        <v>2389.0201974185675</v>
      </c>
      <c r="BL57" s="125">
        <f>(BL11/BL94*2)-BJ57</f>
        <v>-357.52261075391834</v>
      </c>
      <c r="BM57" s="125">
        <f>(BM11/BM94*2)-BL57</f>
        <v>2665.2236139887636</v>
      </c>
      <c r="BN57" s="125">
        <f>(BN11/BN94*2)-BM57</f>
        <v>-513.72406642576425</v>
      </c>
      <c r="BO57" s="125">
        <f>(BO11/BO94*2)-BN57</f>
        <v>2391.203130624358</v>
      </c>
      <c r="BP57" s="85">
        <f t="shared" si="171"/>
        <v>2391.203130624358</v>
      </c>
      <c r="BQ57" s="125">
        <f>(BQ11/BQ94*2)-BO57</f>
        <v>-1151.6057600345246</v>
      </c>
      <c r="BR57" s="125">
        <f>(BR11/BR94*2)-BQ57</f>
        <v>2573.3554157292601</v>
      </c>
      <c r="BS57" s="125">
        <f>(BS11/BS94*2)-BR57</f>
        <v>-1198.0739332678563</v>
      </c>
      <c r="BT57" s="125">
        <f>(BT11/BT94*2)-BS57</f>
        <v>2451.6596504998724</v>
      </c>
      <c r="BU57" s="85">
        <f t="shared" si="172"/>
        <v>2451.6596504998724</v>
      </c>
    </row>
    <row r="58" spans="2:73" ht="14.4" customHeight="1" outlineLevel="1" x14ac:dyDescent="0.3">
      <c r="B58" s="370" t="s">
        <v>19</v>
      </c>
      <c r="C58" s="374"/>
      <c r="D58" s="36">
        <v>1180</v>
      </c>
      <c r="E58" s="37">
        <v>1142</v>
      </c>
      <c r="F58" s="37">
        <v>1216</v>
      </c>
      <c r="G58" s="84">
        <v>1636</v>
      </c>
      <c r="H58" s="85">
        <f t="shared" si="159"/>
        <v>1636</v>
      </c>
      <c r="I58" s="36">
        <v>1724</v>
      </c>
      <c r="J58" s="37">
        <v>1683</v>
      </c>
      <c r="K58" s="37">
        <v>1892</v>
      </c>
      <c r="L58" s="84">
        <v>2014</v>
      </c>
      <c r="M58" s="85">
        <f t="shared" si="160"/>
        <v>2014</v>
      </c>
      <c r="N58" s="36">
        <v>1937</v>
      </c>
      <c r="O58" s="37">
        <v>2253</v>
      </c>
      <c r="P58" s="37">
        <v>2309</v>
      </c>
      <c r="Q58" s="84">
        <v>2583</v>
      </c>
      <c r="R58" s="85">
        <f t="shared" si="161"/>
        <v>2583</v>
      </c>
      <c r="S58" s="36">
        <v>2895</v>
      </c>
      <c r="T58" s="37">
        <v>3242</v>
      </c>
      <c r="U58" s="37">
        <v>3193</v>
      </c>
      <c r="V58" s="84">
        <v>3453</v>
      </c>
      <c r="W58" s="85">
        <f t="shared" si="162"/>
        <v>3453</v>
      </c>
      <c r="X58" s="36">
        <v>3742</v>
      </c>
      <c r="Y58" s="37">
        <v>4014</v>
      </c>
      <c r="Z58" s="37">
        <v>3884</v>
      </c>
      <c r="AA58" s="84">
        <v>4318</v>
      </c>
      <c r="AB58" s="85">
        <f t="shared" si="163"/>
        <v>4318</v>
      </c>
      <c r="AC58" s="125">
        <v>5046</v>
      </c>
      <c r="AD58" s="125">
        <v>5141</v>
      </c>
      <c r="AE58" s="125">
        <v>5010</v>
      </c>
      <c r="AF58" s="125">
        <v>5546</v>
      </c>
      <c r="AG58" s="85">
        <f t="shared" si="164"/>
        <v>5546</v>
      </c>
      <c r="AH58" s="125">
        <v>0</v>
      </c>
      <c r="AI58" s="125">
        <f>AH58</f>
        <v>0</v>
      </c>
      <c r="AJ58" s="125">
        <f>AI58</f>
        <v>0</v>
      </c>
      <c r="AK58" s="125">
        <f>AJ58</f>
        <v>0</v>
      </c>
      <c r="AL58" s="85">
        <f t="shared" si="165"/>
        <v>0</v>
      </c>
      <c r="AM58" s="125">
        <f t="shared" ref="AM58:AN58" si="173">AL58</f>
        <v>0</v>
      </c>
      <c r="AN58" s="125">
        <f t="shared" si="173"/>
        <v>0</v>
      </c>
      <c r="AO58" s="299"/>
      <c r="AP58" s="299"/>
      <c r="AQ58" s="85">
        <f t="shared" si="166"/>
        <v>0</v>
      </c>
      <c r="AR58" s="299"/>
      <c r="AS58" s="299"/>
      <c r="AT58" s="299"/>
      <c r="AU58" s="299"/>
      <c r="AV58" s="85">
        <f t="shared" si="167"/>
        <v>0</v>
      </c>
      <c r="AW58" s="299"/>
      <c r="AX58" s="125">
        <v>0</v>
      </c>
      <c r="AY58" s="125">
        <v>0</v>
      </c>
      <c r="AZ58" s="125">
        <f t="shared" ref="AZ58" si="174">AY58</f>
        <v>0</v>
      </c>
      <c r="BA58" s="85">
        <f t="shared" si="168"/>
        <v>0</v>
      </c>
      <c r="BB58" s="125">
        <f>AZ58</f>
        <v>0</v>
      </c>
      <c r="BC58" s="125">
        <f>BB58</f>
        <v>0</v>
      </c>
      <c r="BD58" s="125">
        <f>BC58</f>
        <v>0</v>
      </c>
      <c r="BE58" s="125">
        <f>BD58</f>
        <v>0</v>
      </c>
      <c r="BF58" s="85">
        <f t="shared" si="169"/>
        <v>0</v>
      </c>
      <c r="BG58" s="125">
        <f>BE58</f>
        <v>0</v>
      </c>
      <c r="BH58" s="125">
        <f>BG58</f>
        <v>0</v>
      </c>
      <c r="BI58" s="125">
        <f>BH58</f>
        <v>0</v>
      </c>
      <c r="BJ58" s="125">
        <f>BI58</f>
        <v>0</v>
      </c>
      <c r="BK58" s="85">
        <f t="shared" si="170"/>
        <v>0</v>
      </c>
      <c r="BL58" s="125">
        <f>BJ58</f>
        <v>0</v>
      </c>
      <c r="BM58" s="125">
        <f>BL58</f>
        <v>0</v>
      </c>
      <c r="BN58" s="125">
        <f>BM58</f>
        <v>0</v>
      </c>
      <c r="BO58" s="125">
        <f>BN58</f>
        <v>0</v>
      </c>
      <c r="BP58" s="85">
        <f t="shared" si="171"/>
        <v>0</v>
      </c>
      <c r="BQ58" s="125">
        <f>BO58</f>
        <v>0</v>
      </c>
      <c r="BR58" s="125">
        <f>BQ58</f>
        <v>0</v>
      </c>
      <c r="BS58" s="125">
        <f>BR58</f>
        <v>0</v>
      </c>
      <c r="BT58" s="125">
        <f>BS58</f>
        <v>0</v>
      </c>
      <c r="BU58" s="85">
        <f t="shared" si="172"/>
        <v>0</v>
      </c>
    </row>
    <row r="59" spans="2:73" ht="14.4" customHeight="1" outlineLevel="1" x14ac:dyDescent="0.3">
      <c r="B59" s="370" t="s">
        <v>159</v>
      </c>
      <c r="C59" s="374"/>
      <c r="D59" s="36">
        <v>0</v>
      </c>
      <c r="E59" s="37">
        <v>0</v>
      </c>
      <c r="F59" s="37">
        <v>2952</v>
      </c>
      <c r="G59" s="84">
        <v>4414</v>
      </c>
      <c r="H59" s="85">
        <f t="shared" si="159"/>
        <v>4414</v>
      </c>
      <c r="I59" s="36">
        <v>4847</v>
      </c>
      <c r="J59" s="37">
        <v>5297</v>
      </c>
      <c r="K59" s="37">
        <v>5369</v>
      </c>
      <c r="L59" s="84">
        <v>6348</v>
      </c>
      <c r="M59" s="85">
        <f t="shared" si="160"/>
        <v>6348</v>
      </c>
      <c r="N59" s="36">
        <v>7554</v>
      </c>
      <c r="O59" s="37">
        <v>6727</v>
      </c>
      <c r="P59" s="37">
        <v>6641</v>
      </c>
      <c r="Q59" s="84">
        <v>7762</v>
      </c>
      <c r="R59" s="85">
        <f t="shared" si="161"/>
        <v>7762</v>
      </c>
      <c r="S59" s="36">
        <v>9936</v>
      </c>
      <c r="T59" s="37">
        <v>6252</v>
      </c>
      <c r="U59" s="37">
        <v>4614</v>
      </c>
      <c r="V59" s="84">
        <v>7539</v>
      </c>
      <c r="W59" s="85">
        <f t="shared" si="162"/>
        <v>7539</v>
      </c>
      <c r="X59" s="36">
        <v>10998</v>
      </c>
      <c r="Y59" s="37">
        <v>6120</v>
      </c>
      <c r="Z59" s="37">
        <v>6053</v>
      </c>
      <c r="AA59" s="84">
        <v>9759</v>
      </c>
      <c r="AB59" s="85">
        <f t="shared" si="163"/>
        <v>9759</v>
      </c>
      <c r="AC59" s="125">
        <v>13267</v>
      </c>
      <c r="AD59" s="125">
        <v>7259</v>
      </c>
      <c r="AE59" s="125">
        <v>9537</v>
      </c>
      <c r="AF59" s="125">
        <v>13494</v>
      </c>
      <c r="AG59" s="85">
        <f t="shared" si="164"/>
        <v>13494</v>
      </c>
      <c r="AH59" s="125">
        <v>11668</v>
      </c>
      <c r="AI59" s="125">
        <v>7595</v>
      </c>
      <c r="AJ59" s="125">
        <v>7328</v>
      </c>
      <c r="AK59" s="125">
        <v>13545</v>
      </c>
      <c r="AL59" s="85">
        <f t="shared" si="165"/>
        <v>13545</v>
      </c>
      <c r="AM59" s="125">
        <v>13920</v>
      </c>
      <c r="AN59" s="125">
        <v>9033</v>
      </c>
      <c r="AO59" s="299">
        <v>10233</v>
      </c>
      <c r="AP59" s="299">
        <v>17799</v>
      </c>
      <c r="AQ59" s="85">
        <f t="shared" si="166"/>
        <v>17799</v>
      </c>
      <c r="AR59" s="299">
        <v>27459</v>
      </c>
      <c r="AS59" s="299">
        <v>8084</v>
      </c>
      <c r="AT59" s="299">
        <v>12263</v>
      </c>
      <c r="AU59" s="299">
        <v>25809</v>
      </c>
      <c r="AV59" s="85">
        <f t="shared" si="167"/>
        <v>25809</v>
      </c>
      <c r="AW59" s="299">
        <v>18904</v>
      </c>
      <c r="AX59" s="125">
        <v>11193</v>
      </c>
      <c r="AY59" s="125">
        <v>12326</v>
      </c>
      <c r="AZ59" s="125">
        <f>(AZ11/AZ93*2)-AY59</f>
        <v>33988.931668117119</v>
      </c>
      <c r="BA59" s="85">
        <f t="shared" si="168"/>
        <v>33988.931668117119</v>
      </c>
      <c r="BB59" s="125">
        <f>(BB11/BB93*2)-AZ59</f>
        <v>18487.254481492477</v>
      </c>
      <c r="BC59" s="125">
        <f>(BC11/BC93*2)-BB59</f>
        <v>17249.709591583203</v>
      </c>
      <c r="BD59" s="125">
        <f>(BD11/BD93*2)-BC59</f>
        <v>11600.557566663512</v>
      </c>
      <c r="BE59" s="125">
        <f>(BE11/BE93*2)-BD59</f>
        <v>47645.389319600617</v>
      </c>
      <c r="BF59" s="85">
        <f t="shared" si="169"/>
        <v>47645.389319600617</v>
      </c>
      <c r="BG59" s="125">
        <f>(BG11/BG93*2)-BE59</f>
        <v>14050.162808494642</v>
      </c>
      <c r="BH59" s="125">
        <f>(BH11/BH93*2)-BG59</f>
        <v>28438.425888084232</v>
      </c>
      <c r="BI59" s="125">
        <f>(BI11/BI93*2)-BH59</f>
        <v>7093.7742662113014</v>
      </c>
      <c r="BJ59" s="125">
        <f>(BJ11/BJ93*2)-BI59</f>
        <v>68901.200130423764</v>
      </c>
      <c r="BK59" s="85">
        <f t="shared" si="170"/>
        <v>68901.200130423764</v>
      </c>
      <c r="BL59" s="125">
        <f>(BL11/BL93*2)-BJ59</f>
        <v>1612.7968755005277</v>
      </c>
      <c r="BM59" s="125">
        <f>(BM11/BM93*2)-BL59</f>
        <v>47236.082307037825</v>
      </c>
      <c r="BN59" s="125">
        <f>(BN11/BN93*2)-BM59</f>
        <v>-4593.5868991573661</v>
      </c>
      <c r="BO59" s="125">
        <f>(BO11/BO93*2)-BN59</f>
        <v>100306.97525776544</v>
      </c>
      <c r="BP59" s="85">
        <f t="shared" si="171"/>
        <v>100306.97525776544</v>
      </c>
      <c r="BQ59" s="125">
        <f>(BQ11/BQ93*2)-BO59</f>
        <v>-18222.94543609726</v>
      </c>
      <c r="BR59" s="125">
        <f>(BR11/BR93*2)-BQ59</f>
        <v>75636.865109791135</v>
      </c>
      <c r="BS59" s="125">
        <f>(BS11/BS93*2)-BR59</f>
        <v>-23635.834773828668</v>
      </c>
      <c r="BT59" s="125">
        <f>(BT11/BT93*2)-BS59</f>
        <v>145554.61934705352</v>
      </c>
      <c r="BU59" s="85">
        <f t="shared" si="172"/>
        <v>145554.61934705352</v>
      </c>
    </row>
    <row r="60" spans="2:73" ht="16.2" customHeight="1" outlineLevel="1" x14ac:dyDescent="0.45">
      <c r="B60" s="370" t="s">
        <v>18</v>
      </c>
      <c r="C60" s="374"/>
      <c r="D60" s="164">
        <v>3690</v>
      </c>
      <c r="E60" s="165">
        <v>4515</v>
      </c>
      <c r="F60" s="165">
        <v>3188</v>
      </c>
      <c r="G60" s="166">
        <v>3447</v>
      </c>
      <c r="H60" s="167">
        <f t="shared" si="159"/>
        <v>3447</v>
      </c>
      <c r="I60" s="164">
        <v>3467</v>
      </c>
      <c r="J60" s="165">
        <v>4055</v>
      </c>
      <c r="K60" s="165">
        <v>4251</v>
      </c>
      <c r="L60" s="166">
        <v>4529</v>
      </c>
      <c r="M60" s="167">
        <f t="shared" si="160"/>
        <v>4529</v>
      </c>
      <c r="N60" s="164">
        <v>4958</v>
      </c>
      <c r="O60" s="165">
        <v>5050</v>
      </c>
      <c r="P60" s="165">
        <v>6560</v>
      </c>
      <c r="Q60" s="166">
        <v>6458</v>
      </c>
      <c r="R60" s="167">
        <f t="shared" si="161"/>
        <v>6458</v>
      </c>
      <c r="S60" s="164">
        <v>6644</v>
      </c>
      <c r="T60" s="165">
        <v>6377</v>
      </c>
      <c r="U60" s="165">
        <v>7270</v>
      </c>
      <c r="V60" s="166">
        <v>6882</v>
      </c>
      <c r="W60" s="167">
        <f t="shared" si="162"/>
        <v>6882</v>
      </c>
      <c r="X60" s="164">
        <v>8574</v>
      </c>
      <c r="Y60" s="165">
        <v>7528</v>
      </c>
      <c r="Z60" s="165">
        <v>7825</v>
      </c>
      <c r="AA60" s="166">
        <v>9806</v>
      </c>
      <c r="AB60" s="167">
        <f t="shared" si="163"/>
        <v>9806</v>
      </c>
      <c r="AC60" s="41">
        <v>13635</v>
      </c>
      <c r="AD60" s="41">
        <v>9094</v>
      </c>
      <c r="AE60" s="41">
        <v>9291</v>
      </c>
      <c r="AF60" s="41">
        <v>9539</v>
      </c>
      <c r="AG60" s="167">
        <f t="shared" si="164"/>
        <v>9539</v>
      </c>
      <c r="AH60" s="41">
        <v>11073</v>
      </c>
      <c r="AI60" s="41">
        <v>10204</v>
      </c>
      <c r="AJ60" s="41">
        <v>11132</v>
      </c>
      <c r="AK60" s="41">
        <v>8283</v>
      </c>
      <c r="AL60" s="167">
        <f t="shared" si="165"/>
        <v>8283</v>
      </c>
      <c r="AM60" s="41">
        <v>12191</v>
      </c>
      <c r="AN60" s="41">
        <v>11367</v>
      </c>
      <c r="AO60" s="300">
        <v>10338</v>
      </c>
      <c r="AP60" s="300">
        <v>13936</v>
      </c>
      <c r="AQ60" s="167">
        <f t="shared" si="166"/>
        <v>13936</v>
      </c>
      <c r="AR60" s="300">
        <v>11337</v>
      </c>
      <c r="AS60" s="300">
        <v>12043</v>
      </c>
      <c r="AT60" s="300">
        <v>12488</v>
      </c>
      <c r="AU60" s="300">
        <v>12087</v>
      </c>
      <c r="AV60" s="167">
        <f t="shared" si="167"/>
        <v>12087</v>
      </c>
      <c r="AW60" s="300">
        <v>12432</v>
      </c>
      <c r="AX60" s="41">
        <v>12092</v>
      </c>
      <c r="AY60" s="41">
        <v>10530</v>
      </c>
      <c r="AZ60" s="41">
        <f>AY60*(AU60/AT60)</f>
        <v>10191.872998078155</v>
      </c>
      <c r="BA60" s="167">
        <f t="shared" si="168"/>
        <v>10191.872998078155</v>
      </c>
      <c r="BB60" s="41">
        <f>AZ60*(AW60/AU60)</f>
        <v>10482.780269058296</v>
      </c>
      <c r="BC60" s="41">
        <f>BB60*(AX60/AW60)</f>
        <v>10196.089045483664</v>
      </c>
      <c r="BD60" s="41">
        <f>BC60*(AY60/AX60)</f>
        <v>8878.995836002563</v>
      </c>
      <c r="BE60" s="41">
        <f>BD60*(AZ60/AY60)</f>
        <v>8593.8839421655175</v>
      </c>
      <c r="BF60" s="167">
        <f t="shared" si="169"/>
        <v>8593.8839421655175</v>
      </c>
      <c r="BG60" s="41">
        <f>BE60*(BB60/AZ60)</f>
        <v>8839.1797111774395</v>
      </c>
      <c r="BH60" s="41">
        <f>BG60*(BC60/BB60)</f>
        <v>8597.4389533106187</v>
      </c>
      <c r="BI60" s="41">
        <f>BH60*(BD60/BC60)</f>
        <v>7486.8534715812784</v>
      </c>
      <c r="BJ60" s="41">
        <f>BI60*(BE60/BD60)</f>
        <v>7246.4444195229753</v>
      </c>
      <c r="BK60" s="167">
        <f t="shared" si="170"/>
        <v>7246.4444195229753</v>
      </c>
      <c r="BL60" s="41">
        <f>BJ60*(BG60/BE60)</f>
        <v>7453.2801376279986</v>
      </c>
      <c r="BM60" s="41">
        <f>BL60*(BH60/BG60)</f>
        <v>7249.4420386259462</v>
      </c>
      <c r="BN60" s="41">
        <f>BM60*(BI60/BH60)</f>
        <v>6312.9858308576922</v>
      </c>
      <c r="BO60" s="41">
        <f>BN60*(BJ60/BI60)</f>
        <v>6110.270638819421</v>
      </c>
      <c r="BP60" s="167">
        <f t="shared" si="171"/>
        <v>6110.270638819421</v>
      </c>
      <c r="BQ60" s="41">
        <f>BO60*(BL60/BJ60)</f>
        <v>6284.6764773560881</v>
      </c>
      <c r="BR60" s="41">
        <f>BQ60*(BM60/BL60)</f>
        <v>6112.7982596677784</v>
      </c>
      <c r="BS60" s="41">
        <f>BR60*(BN60/BM60)</f>
        <v>5323.1695066408956</v>
      </c>
      <c r="BT60" s="41">
        <f>BS60*(BO60/BN60)</f>
        <v>5152.2381347508417</v>
      </c>
      <c r="BU60" s="167">
        <f t="shared" si="172"/>
        <v>5152.2381347508417</v>
      </c>
    </row>
    <row r="61" spans="2:73" ht="14.4" customHeight="1" outlineLevel="1" x14ac:dyDescent="0.3">
      <c r="B61" s="375" t="s">
        <v>12</v>
      </c>
      <c r="C61" s="376"/>
      <c r="D61" s="75">
        <f t="shared" ref="D61:AI61" si="175">SUM(D54:D60)</f>
        <v>33332</v>
      </c>
      <c r="E61" s="73">
        <f t="shared" si="175"/>
        <v>32336</v>
      </c>
      <c r="F61" s="73">
        <f t="shared" si="175"/>
        <v>36033</v>
      </c>
      <c r="G61" s="86">
        <f t="shared" si="175"/>
        <v>41678</v>
      </c>
      <c r="H61" s="87">
        <f t="shared" si="175"/>
        <v>41678</v>
      </c>
      <c r="I61" s="75">
        <f t="shared" si="175"/>
        <v>43927</v>
      </c>
      <c r="J61" s="73">
        <f t="shared" si="175"/>
        <v>46997</v>
      </c>
      <c r="K61" s="73">
        <f t="shared" si="175"/>
        <v>46898</v>
      </c>
      <c r="L61" s="86">
        <f t="shared" si="175"/>
        <v>44988</v>
      </c>
      <c r="M61" s="87">
        <f t="shared" si="175"/>
        <v>44988</v>
      </c>
      <c r="N61" s="75">
        <f t="shared" si="175"/>
        <v>54771</v>
      </c>
      <c r="O61" s="73">
        <f t="shared" si="175"/>
        <v>50712</v>
      </c>
      <c r="P61" s="73">
        <f t="shared" si="175"/>
        <v>51943</v>
      </c>
      <c r="Q61" s="86">
        <f t="shared" si="175"/>
        <v>57653</v>
      </c>
      <c r="R61" s="87">
        <f t="shared" si="175"/>
        <v>57653</v>
      </c>
      <c r="S61" s="75">
        <f t="shared" si="175"/>
        <v>72348</v>
      </c>
      <c r="T61" s="73">
        <f t="shared" si="175"/>
        <v>63337</v>
      </c>
      <c r="U61" s="73">
        <f t="shared" si="175"/>
        <v>68219</v>
      </c>
      <c r="V61" s="86">
        <f t="shared" si="175"/>
        <v>73286</v>
      </c>
      <c r="W61" s="87">
        <f t="shared" si="175"/>
        <v>73286</v>
      </c>
      <c r="X61" s="75">
        <f t="shared" si="175"/>
        <v>80347</v>
      </c>
      <c r="Y61" s="73">
        <f t="shared" si="175"/>
        <v>70541</v>
      </c>
      <c r="Z61" s="73">
        <f t="shared" si="175"/>
        <v>67949</v>
      </c>
      <c r="AA61" s="86">
        <f t="shared" si="175"/>
        <v>68531</v>
      </c>
      <c r="AB61" s="87">
        <f t="shared" si="175"/>
        <v>68531</v>
      </c>
      <c r="AC61" s="24">
        <f t="shared" si="175"/>
        <v>83403</v>
      </c>
      <c r="AD61" s="24">
        <f t="shared" si="175"/>
        <v>67891</v>
      </c>
      <c r="AE61" s="24">
        <f t="shared" si="175"/>
        <v>70953</v>
      </c>
      <c r="AF61" s="24">
        <f t="shared" si="175"/>
        <v>89378</v>
      </c>
      <c r="AG61" s="87">
        <f t="shared" si="175"/>
        <v>89378</v>
      </c>
      <c r="AH61" s="24">
        <f t="shared" si="175"/>
        <v>76219</v>
      </c>
      <c r="AI61" s="24">
        <f t="shared" si="175"/>
        <v>87592</v>
      </c>
      <c r="AJ61" s="24">
        <f t="shared" ref="AJ61:BA61" si="176">SUM(AJ54:AJ60)</f>
        <v>93761</v>
      </c>
      <c r="AK61" s="24">
        <f t="shared" si="176"/>
        <v>106869</v>
      </c>
      <c r="AL61" s="87">
        <f t="shared" si="176"/>
        <v>106869</v>
      </c>
      <c r="AM61" s="24">
        <f t="shared" si="176"/>
        <v>103332</v>
      </c>
      <c r="AN61" s="24">
        <f>SUM(AN54:AN60)</f>
        <v>101990</v>
      </c>
      <c r="AO61" s="24">
        <f t="shared" ref="AO61:BF61" si="177">SUM(AO54:AO60)</f>
        <v>116375</v>
      </c>
      <c r="AP61" s="24">
        <f t="shared" si="177"/>
        <v>128645</v>
      </c>
      <c r="AQ61" s="24">
        <f t="shared" si="177"/>
        <v>128645</v>
      </c>
      <c r="AR61" s="24">
        <f t="shared" si="177"/>
        <v>143810</v>
      </c>
      <c r="AS61" s="24">
        <f t="shared" si="177"/>
        <v>130053</v>
      </c>
      <c r="AT61" s="24">
        <f t="shared" si="177"/>
        <v>106505</v>
      </c>
      <c r="AU61" s="24">
        <f t="shared" si="177"/>
        <v>131339</v>
      </c>
      <c r="AV61" s="24">
        <f t="shared" si="177"/>
        <v>131339</v>
      </c>
      <c r="AW61" s="24">
        <f t="shared" si="177"/>
        <v>140828</v>
      </c>
      <c r="AX61" s="24">
        <f t="shared" si="177"/>
        <v>125523</v>
      </c>
      <c r="AY61" s="24">
        <f t="shared" si="177"/>
        <v>137266</v>
      </c>
      <c r="AZ61" s="24">
        <f t="shared" si="177"/>
        <v>171210.57459825426</v>
      </c>
      <c r="BA61" s="87">
        <f t="shared" si="176"/>
        <v>171210.57459825426</v>
      </c>
      <c r="BB61" s="24">
        <f t="shared" si="177"/>
        <v>153759.93241412431</v>
      </c>
      <c r="BC61" s="24">
        <f t="shared" si="177"/>
        <v>154978.90559332288</v>
      </c>
      <c r="BD61" s="24">
        <f t="shared" si="177"/>
        <v>140654.09661682328</v>
      </c>
      <c r="BE61" s="24">
        <f t="shared" si="177"/>
        <v>193870.53951884373</v>
      </c>
      <c r="BF61" s="87">
        <f t="shared" si="177"/>
        <v>193870.53951884373</v>
      </c>
      <c r="BG61" s="24">
        <f t="shared" ref="BG61" si="178">SUM(BG54:BG60)</f>
        <v>153160.07806306792</v>
      </c>
      <c r="BH61" s="24">
        <f t="shared" ref="BH61" si="179">SUM(BH54:BH60)</f>
        <v>172692.29557316229</v>
      </c>
      <c r="BI61" s="24">
        <f t="shared" ref="BI61" si="180">SUM(BI54:BI60)</f>
        <v>140868.22286436163</v>
      </c>
      <c r="BJ61" s="24">
        <f t="shared" ref="BJ61" si="181">SUM(BJ54:BJ60)</f>
        <v>221261.68138787395</v>
      </c>
      <c r="BK61" s="87">
        <f t="shared" ref="BK61" si="182">SUM(BK54:BK60)</f>
        <v>221261.68138787395</v>
      </c>
      <c r="BL61" s="24">
        <f t="shared" ref="BL61" si="183">SUM(BL54:BL60)</f>
        <v>144954.1946704057</v>
      </c>
      <c r="BM61" s="24">
        <f t="shared" ref="BM61" si="184">SUM(BM54:BM60)</f>
        <v>190267.66323966644</v>
      </c>
      <c r="BN61" s="24">
        <f t="shared" ref="BN61" si="185">SUM(BN54:BN60)</f>
        <v>134966.92524883142</v>
      </c>
      <c r="BO61" s="24">
        <f t="shared" ref="BO61" si="186">SUM(BO54:BO60)</f>
        <v>247650.12176179045</v>
      </c>
      <c r="BP61" s="87">
        <f t="shared" ref="BP61" si="187">SUM(BP54:BP60)</f>
        <v>247650.12176179045</v>
      </c>
      <c r="BQ61" s="24">
        <f t="shared" ref="BQ61" si="188">SUM(BQ54:BQ60)</f>
        <v>128323.20919725053</v>
      </c>
      <c r="BR61" s="24">
        <f t="shared" ref="BR61" si="189">SUM(BR54:BR60)</f>
        <v>202299.21442478118</v>
      </c>
      <c r="BS61" s="24">
        <f t="shared" ref="BS61" si="190">SUM(BS54:BS60)</f>
        <v>121548.06563666319</v>
      </c>
      <c r="BT61" s="24">
        <f t="shared" ref="BT61" si="191">SUM(BT54:BT60)</f>
        <v>271172.71595820691</v>
      </c>
      <c r="BU61" s="87">
        <f t="shared" ref="BU61" si="192">SUM(BU54:BU60)</f>
        <v>271172.71595820691</v>
      </c>
    </row>
    <row r="62" spans="2:73" ht="14.4" customHeight="1" outlineLevel="1" x14ac:dyDescent="0.3">
      <c r="B62" s="370" t="s">
        <v>145</v>
      </c>
      <c r="C62" s="374"/>
      <c r="D62" s="36">
        <v>15024</v>
      </c>
      <c r="E62" s="37">
        <v>18549</v>
      </c>
      <c r="F62" s="37">
        <v>21551</v>
      </c>
      <c r="G62" s="84">
        <v>25391</v>
      </c>
      <c r="H62" s="85">
        <f>G62</f>
        <v>25391</v>
      </c>
      <c r="I62" s="36">
        <v>32730</v>
      </c>
      <c r="J62" s="37">
        <v>36533</v>
      </c>
      <c r="K62" s="37">
        <v>47761</v>
      </c>
      <c r="L62" s="84">
        <v>55618</v>
      </c>
      <c r="M62" s="85">
        <f>L62</f>
        <v>55618</v>
      </c>
      <c r="N62" s="36">
        <v>67445</v>
      </c>
      <c r="O62" s="37">
        <v>81638</v>
      </c>
      <c r="P62" s="37">
        <v>89567</v>
      </c>
      <c r="Q62" s="84">
        <v>92122</v>
      </c>
      <c r="R62" s="85">
        <f>Q62</f>
        <v>92122</v>
      </c>
      <c r="S62" s="36">
        <v>97292</v>
      </c>
      <c r="T62" s="37">
        <v>105550</v>
      </c>
      <c r="U62" s="37">
        <v>104014</v>
      </c>
      <c r="V62" s="84">
        <v>106215</v>
      </c>
      <c r="W62" s="85">
        <f>V62</f>
        <v>106215</v>
      </c>
      <c r="X62" s="36">
        <v>118131</v>
      </c>
      <c r="Y62" s="37">
        <v>109239</v>
      </c>
      <c r="Z62" s="37">
        <v>126685</v>
      </c>
      <c r="AA62" s="84">
        <v>130162</v>
      </c>
      <c r="AB62" s="85">
        <f>AA62</f>
        <v>130162</v>
      </c>
      <c r="AC62" s="125">
        <v>145492</v>
      </c>
      <c r="AD62" s="125">
        <v>160443</v>
      </c>
      <c r="AE62" s="125">
        <v>168145</v>
      </c>
      <c r="AF62" s="125">
        <v>164065</v>
      </c>
      <c r="AG62" s="85">
        <f>AF62</f>
        <v>164065</v>
      </c>
      <c r="AH62" s="125">
        <v>177665</v>
      </c>
      <c r="AI62" s="125">
        <v>177645</v>
      </c>
      <c r="AJ62" s="125">
        <v>169764</v>
      </c>
      <c r="AK62" s="125">
        <v>170430</v>
      </c>
      <c r="AL62" s="85">
        <f>AK62</f>
        <v>170430</v>
      </c>
      <c r="AM62" s="125">
        <v>185638</v>
      </c>
      <c r="AN62" s="125">
        <v>189740</v>
      </c>
      <c r="AO62" s="299">
        <v>184757</v>
      </c>
      <c r="AP62" s="299">
        <v>194714</v>
      </c>
      <c r="AQ62" s="85">
        <f>AP62</f>
        <v>194714</v>
      </c>
      <c r="AR62" s="299">
        <v>207944</v>
      </c>
      <c r="AS62" s="299">
        <v>179286</v>
      </c>
      <c r="AT62" s="299">
        <v>172773</v>
      </c>
      <c r="AU62" s="299">
        <v>170799</v>
      </c>
      <c r="AV62" s="85">
        <f>AU62</f>
        <v>170799</v>
      </c>
      <c r="AW62" s="299">
        <v>158608</v>
      </c>
      <c r="AX62" s="125">
        <v>145319</v>
      </c>
      <c r="AY62" s="125">
        <v>115996</v>
      </c>
      <c r="AZ62" s="125">
        <f>+(AY55+AY62)*(1+AZ90)*(1-AZ91)</f>
        <v>125331.6217753677</v>
      </c>
      <c r="BA62" s="85">
        <f>AZ62</f>
        <v>125331.6217753677</v>
      </c>
      <c r="BB62" s="125">
        <f>+(AZ55+AZ62)*(1+BB90)*(1-BB91)</f>
        <v>131412.8647892428</v>
      </c>
      <c r="BC62" s="125">
        <f>+(BB55+BB62)*(1+BC90)*(1-BC91)</f>
        <v>134242.72987796608</v>
      </c>
      <c r="BD62" s="125">
        <f>+(BC55+BC62)*(1+BD90)*(1-BD91)</f>
        <v>134922.34540429123</v>
      </c>
      <c r="BE62" s="125">
        <f>+(BD55+BD62)*(1+BE90)*(1-BE91)</f>
        <v>137718.9896333495</v>
      </c>
      <c r="BF62" s="85">
        <f>BE62</f>
        <v>137718.9896333495</v>
      </c>
      <c r="BG62" s="125">
        <f>+(BE55+BE62)*(1+BG90)*(1-BG91)</f>
        <v>145486.9765059049</v>
      </c>
      <c r="BH62" s="125">
        <f>+(BG55+BG62)*(1+BH90)*(1-BH91)</f>
        <v>149626.66772848225</v>
      </c>
      <c r="BI62" s="125">
        <f>+(BH55+BH62)*(1+BI90)*(1-BI91)</f>
        <v>151151.83918592308</v>
      </c>
      <c r="BJ62" s="125">
        <f>+(BI55+BI62)*(1+BJ90)*(1-BJ91)</f>
        <v>152886.24622547594</v>
      </c>
      <c r="BK62" s="85">
        <f>BJ62</f>
        <v>152886.24622547594</v>
      </c>
      <c r="BL62" s="125">
        <f>+(BJ55+BJ62)*(1+BL90)*(1-BL91)</f>
        <v>161927.55311062321</v>
      </c>
      <c r="BM62" s="125">
        <f>+(BL55+BL62)*(1+BM90)*(1-BM91)</f>
        <v>166757.6042795995</v>
      </c>
      <c r="BN62" s="125">
        <f>+(BM55+BM62)*(1+BN90)*(1-BN91)</f>
        <v>168453.36545752455</v>
      </c>
      <c r="BO62" s="125">
        <f>+(BN55+BN62)*(1+BO90)*(1-BO91)</f>
        <v>170165.35422390685</v>
      </c>
      <c r="BP62" s="85">
        <f>BO62</f>
        <v>170165.35422390685</v>
      </c>
      <c r="BQ62" s="125">
        <f>+(BO55+BO62)*(1+BQ90)*(1-BQ91)</f>
        <v>180345.86959386856</v>
      </c>
      <c r="BR62" s="125">
        <f>+(BQ55+BQ62)*(1+BR90)*(1-BR91)</f>
        <v>185756.20391717204</v>
      </c>
      <c r="BS62" s="125">
        <f>+(BR55+BR62)*(1+BS90)*(1-BS91)</f>
        <v>187621.52425175498</v>
      </c>
      <c r="BT62" s="125">
        <f>+(BS55+BS62)*(1+BT90)*(1-BT91)</f>
        <v>189499.6080999838</v>
      </c>
      <c r="BU62" s="85">
        <f>BT62</f>
        <v>189499.6080999838</v>
      </c>
    </row>
    <row r="63" spans="2:73" outlineLevel="1" x14ac:dyDescent="0.3">
      <c r="B63" s="370" t="s">
        <v>13</v>
      </c>
      <c r="C63" s="374"/>
      <c r="D63" s="36">
        <v>3115</v>
      </c>
      <c r="E63" s="37">
        <v>3504</v>
      </c>
      <c r="F63" s="37">
        <v>3990</v>
      </c>
      <c r="G63" s="84">
        <v>4768</v>
      </c>
      <c r="H63" s="85">
        <f>G63</f>
        <v>4768</v>
      </c>
      <c r="I63" s="36">
        <v>5868</v>
      </c>
      <c r="J63" s="37">
        <v>6241</v>
      </c>
      <c r="K63" s="37">
        <v>6749</v>
      </c>
      <c r="L63" s="84">
        <v>7777</v>
      </c>
      <c r="M63" s="85">
        <f>L63</f>
        <v>7777</v>
      </c>
      <c r="N63" s="36">
        <v>7816</v>
      </c>
      <c r="O63" s="37">
        <v>8847</v>
      </c>
      <c r="P63" s="37">
        <v>10487</v>
      </c>
      <c r="Q63" s="84">
        <v>15452</v>
      </c>
      <c r="R63" s="85">
        <f>Q63</f>
        <v>15452</v>
      </c>
      <c r="S63" s="36">
        <v>15422</v>
      </c>
      <c r="T63" s="37">
        <v>15026</v>
      </c>
      <c r="U63" s="37">
        <v>16327</v>
      </c>
      <c r="V63" s="84">
        <v>16597</v>
      </c>
      <c r="W63" s="85">
        <f>V63</f>
        <v>16597</v>
      </c>
      <c r="X63" s="36">
        <v>15488</v>
      </c>
      <c r="Y63" s="37">
        <v>15120</v>
      </c>
      <c r="Z63" s="37">
        <v>17585</v>
      </c>
      <c r="AA63" s="84">
        <v>20624</v>
      </c>
      <c r="AB63" s="85">
        <f>AA63</f>
        <v>20624</v>
      </c>
      <c r="AC63" s="125">
        <v>20392</v>
      </c>
      <c r="AD63" s="125">
        <v>20151</v>
      </c>
      <c r="AE63" s="125">
        <v>21149</v>
      </c>
      <c r="AF63" s="125">
        <v>22471</v>
      </c>
      <c r="AG63" s="85">
        <f>AF63</f>
        <v>22471</v>
      </c>
      <c r="AH63" s="125">
        <v>22300</v>
      </c>
      <c r="AI63" s="125">
        <v>23203</v>
      </c>
      <c r="AJ63" s="125">
        <v>25448</v>
      </c>
      <c r="AK63" s="125">
        <v>27010</v>
      </c>
      <c r="AL63" s="85">
        <f>AK63</f>
        <v>27010</v>
      </c>
      <c r="AM63" s="125">
        <v>26510</v>
      </c>
      <c r="AN63" s="125">
        <v>27163</v>
      </c>
      <c r="AO63" s="299">
        <v>29286</v>
      </c>
      <c r="AP63" s="299">
        <v>33783</v>
      </c>
      <c r="AQ63" s="85">
        <f>AP63</f>
        <v>33783</v>
      </c>
      <c r="AR63" s="299">
        <v>33679</v>
      </c>
      <c r="AS63" s="299">
        <v>35077</v>
      </c>
      <c r="AT63" s="299">
        <v>38117</v>
      </c>
      <c r="AU63" s="299">
        <v>41304</v>
      </c>
      <c r="AV63" s="85">
        <f>AU63</f>
        <v>41304</v>
      </c>
      <c r="AW63" s="299">
        <v>39597</v>
      </c>
      <c r="AX63" s="125">
        <v>38746</v>
      </c>
      <c r="AY63" s="125">
        <v>37636</v>
      </c>
      <c r="AZ63" s="125">
        <f>AY63-AZ134-AZ113</f>
        <v>36700.970018993532</v>
      </c>
      <c r="BA63" s="85">
        <f>AZ63</f>
        <v>36700.970018993532</v>
      </c>
      <c r="BB63" s="125">
        <f>AZ63-BB134-BB113</f>
        <v>36006.375937806304</v>
      </c>
      <c r="BC63" s="125">
        <f>BB63-BC134-BC113</f>
        <v>35435.964039899147</v>
      </c>
      <c r="BD63" s="125">
        <f>BC63-BD134-BD113</f>
        <v>34938.66509781708</v>
      </c>
      <c r="BE63" s="125">
        <f>BD63-BE134-BE113</f>
        <v>34501.021931448973</v>
      </c>
      <c r="BF63" s="85">
        <f>BE63</f>
        <v>34501.021931448973</v>
      </c>
      <c r="BG63" s="125">
        <f>BE63-BG134-BG113</f>
        <v>34005.246131473068</v>
      </c>
      <c r="BH63" s="125">
        <f>BG63-BH134-BH113</f>
        <v>33574.254845755822</v>
      </c>
      <c r="BI63" s="125">
        <f>BH63-BI134-BI113</f>
        <v>33195.04730177614</v>
      </c>
      <c r="BJ63" s="125">
        <f>BI63-BJ134-BJ113</f>
        <v>32863.19497262864</v>
      </c>
      <c r="BK63" s="85">
        <f>BJ63</f>
        <v>32863.19497262864</v>
      </c>
      <c r="BL63" s="125">
        <f>BJ63-BL134-BL113</f>
        <v>32527.853301001232</v>
      </c>
      <c r="BM63" s="125">
        <f>BL63-BM134-BM113</f>
        <v>32235.67150508819</v>
      </c>
      <c r="BN63" s="125">
        <f>BM63-BN134-BN113</f>
        <v>31982.043263858068</v>
      </c>
      <c r="BO63" s="125">
        <f>BN63-BO134-BO113</f>
        <v>31764.298840480424</v>
      </c>
      <c r="BP63" s="85">
        <f>BO63</f>
        <v>31764.298840480424</v>
      </c>
      <c r="BQ63" s="125">
        <f>BO63-BQ134-BQ113</f>
        <v>31560.156766057979</v>
      </c>
      <c r="BR63" s="125">
        <f>BQ63-BR134-BR113</f>
        <v>31387.316234126967</v>
      </c>
      <c r="BS63" s="125">
        <f>BR63-BS134-BS113</f>
        <v>31243.330464708361</v>
      </c>
      <c r="BT63" s="125">
        <f>BS63-BT134-BT113</f>
        <v>31126.243060626552</v>
      </c>
      <c r="BU63" s="85">
        <f>BT63</f>
        <v>31126.243060626552</v>
      </c>
    </row>
    <row r="64" spans="2:73" outlineLevel="1" x14ac:dyDescent="0.3">
      <c r="B64" s="370" t="s">
        <v>146</v>
      </c>
      <c r="C64" s="374"/>
      <c r="D64" s="36">
        <v>253</v>
      </c>
      <c r="E64" s="37">
        <v>480</v>
      </c>
      <c r="F64" s="37">
        <v>714</v>
      </c>
      <c r="G64" s="84">
        <v>741</v>
      </c>
      <c r="H64" s="85">
        <f>G64</f>
        <v>741</v>
      </c>
      <c r="I64" s="36">
        <v>741</v>
      </c>
      <c r="J64" s="37">
        <v>741</v>
      </c>
      <c r="K64" s="37">
        <v>741</v>
      </c>
      <c r="L64" s="84">
        <v>896</v>
      </c>
      <c r="M64" s="85">
        <f>L64</f>
        <v>896</v>
      </c>
      <c r="N64" s="36">
        <v>896</v>
      </c>
      <c r="O64" s="37">
        <v>1141</v>
      </c>
      <c r="P64" s="37">
        <v>1132</v>
      </c>
      <c r="Q64" s="84">
        <v>1135</v>
      </c>
      <c r="R64" s="85">
        <f>Q64</f>
        <v>1135</v>
      </c>
      <c r="S64" s="36">
        <v>1381</v>
      </c>
      <c r="T64" s="37">
        <v>1400</v>
      </c>
      <c r="U64" s="37">
        <v>1522</v>
      </c>
      <c r="V64" s="84">
        <v>1577</v>
      </c>
      <c r="W64" s="85">
        <f>V64</f>
        <v>1577</v>
      </c>
      <c r="X64" s="36">
        <v>2022</v>
      </c>
      <c r="Y64" s="37">
        <v>2055</v>
      </c>
      <c r="Z64" s="37">
        <v>2374</v>
      </c>
      <c r="AA64" s="84">
        <v>4616</v>
      </c>
      <c r="AB64" s="85">
        <f>AA64</f>
        <v>4616</v>
      </c>
      <c r="AC64" s="125">
        <v>4629</v>
      </c>
      <c r="AD64" s="125">
        <v>4711</v>
      </c>
      <c r="AE64" s="125">
        <v>5044</v>
      </c>
      <c r="AF64" s="125">
        <v>5116</v>
      </c>
      <c r="AG64" s="85">
        <f>AF64</f>
        <v>5116</v>
      </c>
      <c r="AH64" s="125">
        <v>5202</v>
      </c>
      <c r="AI64" s="125">
        <v>5249</v>
      </c>
      <c r="AJ64" s="125">
        <v>5261</v>
      </c>
      <c r="AK64" s="125">
        <v>5414</v>
      </c>
      <c r="AL64" s="85">
        <f>AK64</f>
        <v>5414</v>
      </c>
      <c r="AM64" s="125">
        <v>5423</v>
      </c>
      <c r="AN64" s="125">
        <v>5473</v>
      </c>
      <c r="AO64" s="299">
        <v>5661</v>
      </c>
      <c r="AP64" s="299">
        <v>5717</v>
      </c>
      <c r="AQ64" s="85">
        <f>AP64</f>
        <v>5717</v>
      </c>
      <c r="AR64" s="299">
        <v>5889</v>
      </c>
      <c r="AS64" s="299">
        <v>0</v>
      </c>
      <c r="AT64" s="299">
        <v>0</v>
      </c>
      <c r="AU64" s="299">
        <v>0</v>
      </c>
      <c r="AV64" s="85">
        <f>AU64</f>
        <v>0</v>
      </c>
      <c r="AW64" s="299">
        <v>0</v>
      </c>
      <c r="AX64" s="125">
        <v>0</v>
      </c>
      <c r="AY64" s="125">
        <v>0</v>
      </c>
      <c r="AZ64" s="125">
        <v>0</v>
      </c>
      <c r="BA64" s="85">
        <f>AZ64</f>
        <v>0</v>
      </c>
      <c r="BB64" s="125">
        <v>0</v>
      </c>
      <c r="BC64" s="125">
        <v>0</v>
      </c>
      <c r="BD64" s="125">
        <v>0</v>
      </c>
      <c r="BE64" s="125">
        <v>0</v>
      </c>
      <c r="BF64" s="85">
        <f>BE64</f>
        <v>0</v>
      </c>
      <c r="BG64" s="125">
        <v>0</v>
      </c>
      <c r="BH64" s="125">
        <v>0</v>
      </c>
      <c r="BI64" s="125">
        <v>0</v>
      </c>
      <c r="BJ64" s="125">
        <v>0</v>
      </c>
      <c r="BK64" s="85">
        <f>BJ64</f>
        <v>0</v>
      </c>
      <c r="BL64" s="125">
        <v>0</v>
      </c>
      <c r="BM64" s="125">
        <v>0</v>
      </c>
      <c r="BN64" s="125">
        <v>0</v>
      </c>
      <c r="BO64" s="125">
        <v>0</v>
      </c>
      <c r="BP64" s="85">
        <f>BO64</f>
        <v>0</v>
      </c>
      <c r="BQ64" s="125">
        <v>0</v>
      </c>
      <c r="BR64" s="125">
        <v>0</v>
      </c>
      <c r="BS64" s="125">
        <v>0</v>
      </c>
      <c r="BT64" s="125">
        <v>0</v>
      </c>
      <c r="BU64" s="85">
        <f>BT64</f>
        <v>0</v>
      </c>
    </row>
    <row r="65" spans="2:73" outlineLevel="1" x14ac:dyDescent="0.3">
      <c r="B65" s="370" t="s">
        <v>147</v>
      </c>
      <c r="C65" s="374"/>
      <c r="D65" s="36">
        <v>241</v>
      </c>
      <c r="E65" s="37">
        <v>263</v>
      </c>
      <c r="F65" s="37">
        <v>318</v>
      </c>
      <c r="G65" s="84">
        <v>342</v>
      </c>
      <c r="H65" s="85">
        <f>G65</f>
        <v>342</v>
      </c>
      <c r="I65" s="36">
        <v>522</v>
      </c>
      <c r="J65" s="37">
        <v>507</v>
      </c>
      <c r="K65" s="37">
        <v>1169</v>
      </c>
      <c r="L65" s="84">
        <v>3536</v>
      </c>
      <c r="M65" s="85">
        <f>L65</f>
        <v>3536</v>
      </c>
      <c r="N65" s="36">
        <v>3472</v>
      </c>
      <c r="O65" s="37">
        <v>3604</v>
      </c>
      <c r="P65" s="37">
        <v>4329</v>
      </c>
      <c r="Q65" s="84">
        <v>4224</v>
      </c>
      <c r="R65" s="85">
        <f>Q65</f>
        <v>4224</v>
      </c>
      <c r="S65" s="36">
        <v>4462</v>
      </c>
      <c r="T65" s="37">
        <v>4136</v>
      </c>
      <c r="U65" s="37">
        <v>4353</v>
      </c>
      <c r="V65" s="84">
        <v>4179</v>
      </c>
      <c r="W65" s="85">
        <f>V65</f>
        <v>4179</v>
      </c>
      <c r="X65" s="36">
        <v>4105</v>
      </c>
      <c r="Y65" s="37">
        <v>3928</v>
      </c>
      <c r="Z65" s="37">
        <v>3767</v>
      </c>
      <c r="AA65" s="84">
        <v>4142</v>
      </c>
      <c r="AB65" s="85">
        <f>AA65</f>
        <v>4142</v>
      </c>
      <c r="AC65" s="125">
        <v>4370</v>
      </c>
      <c r="AD65" s="125">
        <v>4061</v>
      </c>
      <c r="AE65" s="125">
        <v>3779</v>
      </c>
      <c r="AF65" s="125">
        <v>3893</v>
      </c>
      <c r="AG65" s="85">
        <f>AF65</f>
        <v>3893</v>
      </c>
      <c r="AH65" s="125">
        <v>3924</v>
      </c>
      <c r="AI65" s="125">
        <v>3843</v>
      </c>
      <c r="AJ65" s="125">
        <v>3506</v>
      </c>
      <c r="AK65" s="125">
        <v>3206</v>
      </c>
      <c r="AL65" s="85">
        <f>AK65</f>
        <v>3206</v>
      </c>
      <c r="AM65" s="125">
        <v>2848</v>
      </c>
      <c r="AN65" s="125">
        <v>2617</v>
      </c>
      <c r="AO65" s="299">
        <v>2444</v>
      </c>
      <c r="AP65" s="299">
        <v>2298</v>
      </c>
      <c r="AQ65" s="85">
        <f>AP65</f>
        <v>2298</v>
      </c>
      <c r="AR65" s="299">
        <v>2149</v>
      </c>
      <c r="AS65" s="299">
        <v>0</v>
      </c>
      <c r="AT65" s="299">
        <v>0</v>
      </c>
      <c r="AU65" s="299">
        <v>0</v>
      </c>
      <c r="AV65" s="85">
        <f>AU65</f>
        <v>0</v>
      </c>
      <c r="AW65" s="299">
        <v>0</v>
      </c>
      <c r="AX65" s="125">
        <v>0</v>
      </c>
      <c r="AY65" s="125">
        <v>0</v>
      </c>
      <c r="AZ65" s="125">
        <f>AY65-AZ135-AZ112</f>
        <v>90.5</v>
      </c>
      <c r="BA65" s="85">
        <f>AZ65</f>
        <v>90.5</v>
      </c>
      <c r="BB65" s="125">
        <f>AZ65-BB135-BB112</f>
        <v>45.625</v>
      </c>
      <c r="BC65" s="125">
        <f>BB65-BC135-BC112</f>
        <v>-60.84375</v>
      </c>
      <c r="BD65" s="125">
        <f>BC65-BD135-BD112</f>
        <v>-153.3046875</v>
      </c>
      <c r="BE65" s="125">
        <f>BD65-BE135-BE112</f>
        <v>-248.005859375</v>
      </c>
      <c r="BF65" s="85">
        <f>BE65</f>
        <v>-248.005859375</v>
      </c>
      <c r="BG65" s="125">
        <f>BE65-BG135-BG112</f>
        <v>-219.38232421875</v>
      </c>
      <c r="BH65" s="125">
        <f>BG65-BH135-BH112</f>
        <v>-200.6966552734375</v>
      </c>
      <c r="BI65" s="125">
        <f>BH65-BI135-BI112</f>
        <v>-179.03488159179688</v>
      </c>
      <c r="BJ65" s="125">
        <f>BI65-BJ135-BJ112</f>
        <v>-157.15493011474609</v>
      </c>
      <c r="BK65" s="85">
        <f>BJ65</f>
        <v>-157.15493011474609</v>
      </c>
      <c r="BL65" s="125">
        <f>BJ65-BL135-BL112</f>
        <v>-85.942197799682617</v>
      </c>
      <c r="BM65" s="125">
        <f>BL65-BM135-BM112</f>
        <v>-16.207166194915771</v>
      </c>
      <c r="BN65" s="125">
        <f>BM65-BN135-BN112</f>
        <v>54.165206074714661</v>
      </c>
      <c r="BO65" s="125">
        <f>BN65-BO135-BO112</f>
        <v>124.59022799134254</v>
      </c>
      <c r="BP65" s="85">
        <f>BO65</f>
        <v>124.59022799134254</v>
      </c>
      <c r="BQ65" s="125">
        <f>BO65-BQ135-BQ112</f>
        <v>215.0265175178647</v>
      </c>
      <c r="BR65" s="125">
        <f>BQ65-BR135-BR112</f>
        <v>305.26869634725153</v>
      </c>
      <c r="BS65" s="125">
        <f>BR65-BS135-BS112</f>
        <v>395.63766198279336</v>
      </c>
      <c r="BT65" s="125">
        <f>BS65-BT135-BT112</f>
        <v>486.00577595981304</v>
      </c>
      <c r="BU65" s="85">
        <f>BT65</f>
        <v>486.00577595981304</v>
      </c>
    </row>
    <row r="66" spans="2:73" ht="16.2" outlineLevel="1" x14ac:dyDescent="0.45">
      <c r="B66" s="370" t="s">
        <v>20</v>
      </c>
      <c r="C66" s="374"/>
      <c r="D66" s="164">
        <v>1961</v>
      </c>
      <c r="E66" s="165">
        <v>1925</v>
      </c>
      <c r="F66" s="165">
        <v>2119</v>
      </c>
      <c r="G66" s="166">
        <v>2263</v>
      </c>
      <c r="H66" s="167">
        <f>G66</f>
        <v>2263</v>
      </c>
      <c r="I66" s="164">
        <v>2954</v>
      </c>
      <c r="J66" s="165">
        <v>3885</v>
      </c>
      <c r="K66" s="165">
        <v>3440</v>
      </c>
      <c r="L66" s="166">
        <v>3556</v>
      </c>
      <c r="M66" s="167">
        <f>L66</f>
        <v>3556</v>
      </c>
      <c r="N66" s="164">
        <v>4281</v>
      </c>
      <c r="O66" s="165">
        <v>4992</v>
      </c>
      <c r="P66" s="165">
        <v>5438</v>
      </c>
      <c r="Q66" s="166">
        <v>5478</v>
      </c>
      <c r="R66" s="167">
        <f>Q66</f>
        <v>5478</v>
      </c>
      <c r="S66" s="164">
        <v>5183</v>
      </c>
      <c r="T66" s="165">
        <v>5294</v>
      </c>
      <c r="U66" s="165">
        <v>5421</v>
      </c>
      <c r="V66" s="166">
        <v>5146</v>
      </c>
      <c r="W66" s="167">
        <f>V66</f>
        <v>5146</v>
      </c>
      <c r="X66" s="164">
        <v>5091</v>
      </c>
      <c r="Y66" s="165">
        <v>5106</v>
      </c>
      <c r="Z66" s="165">
        <v>4160</v>
      </c>
      <c r="AA66" s="166">
        <v>3764</v>
      </c>
      <c r="AB66" s="167">
        <f>AA66</f>
        <v>3764</v>
      </c>
      <c r="AC66" s="41">
        <v>3608</v>
      </c>
      <c r="AD66" s="41">
        <v>3937</v>
      </c>
      <c r="AE66" s="41">
        <v>4081</v>
      </c>
      <c r="AF66" s="41">
        <v>5556</v>
      </c>
      <c r="AG66" s="167">
        <f>AF66</f>
        <v>5556</v>
      </c>
      <c r="AH66" s="41">
        <v>7974</v>
      </c>
      <c r="AI66" s="41">
        <v>7745</v>
      </c>
      <c r="AJ66" s="41">
        <v>7862</v>
      </c>
      <c r="AK66" s="41">
        <v>8757</v>
      </c>
      <c r="AL66" s="167">
        <f>AK66</f>
        <v>8757</v>
      </c>
      <c r="AM66" s="41">
        <v>7390</v>
      </c>
      <c r="AN66" s="41">
        <v>7549</v>
      </c>
      <c r="AO66" s="300">
        <v>10150</v>
      </c>
      <c r="AP66" s="300">
        <v>10162</v>
      </c>
      <c r="AQ66" s="167">
        <f>AP66</f>
        <v>10162</v>
      </c>
      <c r="AR66" s="300">
        <v>13323</v>
      </c>
      <c r="AS66" s="300">
        <v>23086</v>
      </c>
      <c r="AT66" s="300">
        <v>22546</v>
      </c>
      <c r="AU66" s="300">
        <v>22283</v>
      </c>
      <c r="AV66" s="167">
        <f>AU66</f>
        <v>22283</v>
      </c>
      <c r="AW66" s="300">
        <v>34686</v>
      </c>
      <c r="AX66" s="41">
        <v>34587</v>
      </c>
      <c r="AY66" s="41">
        <v>33634</v>
      </c>
      <c r="AZ66" s="41">
        <f>AY66*(AU66/AT66)</f>
        <v>33241.658032466956</v>
      </c>
      <c r="BA66" s="167">
        <f>AZ66</f>
        <v>33241.658032466956</v>
      </c>
      <c r="BB66" s="41">
        <f>AZ66*(AW66/AU66)</f>
        <v>51744.385877761015</v>
      </c>
      <c r="BC66" s="41">
        <f>BB66*(AX66/AW66)</f>
        <v>51596.698216978613</v>
      </c>
      <c r="BD66" s="41">
        <f>BC66*(AY66/AX66)</f>
        <v>50175.018007628845</v>
      </c>
      <c r="BE66" s="41">
        <f>BD66*(AZ66/AY66)</f>
        <v>49589.724397409453</v>
      </c>
      <c r="BF66" s="167">
        <f>BE66</f>
        <v>49589.724397409453</v>
      </c>
      <c r="BG66" s="41">
        <f>BE66*(BB66/AZ66)</f>
        <v>77191.993019276764</v>
      </c>
      <c r="BH66" s="41">
        <f>BG66*(BC66/BB66)</f>
        <v>76971.673371323457</v>
      </c>
      <c r="BI66" s="41">
        <f>BH66*(BD66/BC66)</f>
        <v>74850.818578399208</v>
      </c>
      <c r="BJ66" s="41">
        <f>BI66*(BE66/BD66)</f>
        <v>73977.680758558927</v>
      </c>
      <c r="BK66" s="167">
        <f>BJ66</f>
        <v>73977.680758558927</v>
      </c>
      <c r="BL66" s="41">
        <f>BJ66*(BG66/BE66)</f>
        <v>115154.59474897342</v>
      </c>
      <c r="BM66" s="41">
        <f>BL66*(BH66/BG66)</f>
        <v>114825.92309815902</v>
      </c>
      <c r="BN66" s="41">
        <f>BM66*(BI66/BH66)</f>
        <v>111662.04346961231</v>
      </c>
      <c r="BO66" s="41">
        <f>BN66*(BJ66/BI66)</f>
        <v>110359.50122564407</v>
      </c>
      <c r="BP66" s="167">
        <f>BO66</f>
        <v>110359.50122564407</v>
      </c>
      <c r="BQ66" s="41">
        <f>BO66*(BL66/BJ66)</f>
        <v>171786.99724061796</v>
      </c>
      <c r="BR66" s="41">
        <f>BQ66*(BM66/BL66)</f>
        <v>171296.68666208998</v>
      </c>
      <c r="BS66" s="41">
        <f>BR66*(BN66/BM66)</f>
        <v>166576.82826474501</v>
      </c>
      <c r="BT66" s="41">
        <f>BS66*(BO66/BN66)</f>
        <v>164633.70283967501</v>
      </c>
      <c r="BU66" s="167">
        <f>BT66</f>
        <v>164633.70283967501</v>
      </c>
    </row>
    <row r="67" spans="2:73" outlineLevel="1" x14ac:dyDescent="0.3">
      <c r="B67" s="375" t="s">
        <v>14</v>
      </c>
      <c r="C67" s="376"/>
      <c r="D67" s="75">
        <f>SUM(D61:D66)</f>
        <v>53926</v>
      </c>
      <c r="E67" s="73">
        <f t="shared" ref="E67:AH67" si="193">SUM(E61:E66)</f>
        <v>57057</v>
      </c>
      <c r="F67" s="73">
        <f t="shared" si="193"/>
        <v>64725</v>
      </c>
      <c r="G67" s="86">
        <f t="shared" si="193"/>
        <v>75183</v>
      </c>
      <c r="H67" s="87">
        <f t="shared" si="193"/>
        <v>75183</v>
      </c>
      <c r="I67" s="75">
        <f t="shared" si="193"/>
        <v>86742</v>
      </c>
      <c r="J67" s="73">
        <f t="shared" si="193"/>
        <v>94904</v>
      </c>
      <c r="K67" s="73">
        <f t="shared" si="193"/>
        <v>106758</v>
      </c>
      <c r="L67" s="86">
        <f t="shared" si="193"/>
        <v>116371</v>
      </c>
      <c r="M67" s="87">
        <f>SUM(M61:M66)</f>
        <v>116371</v>
      </c>
      <c r="N67" s="75">
        <f t="shared" si="193"/>
        <v>138681</v>
      </c>
      <c r="O67" s="73">
        <f t="shared" si="193"/>
        <v>150934</v>
      </c>
      <c r="P67" s="73">
        <f t="shared" si="193"/>
        <v>162896</v>
      </c>
      <c r="Q67" s="86">
        <f t="shared" si="193"/>
        <v>176064</v>
      </c>
      <c r="R67" s="87">
        <f>SUM(R61:R66)</f>
        <v>176064</v>
      </c>
      <c r="S67" s="75">
        <f t="shared" si="193"/>
        <v>196088</v>
      </c>
      <c r="T67" s="73">
        <f t="shared" si="193"/>
        <v>194743</v>
      </c>
      <c r="U67" s="73">
        <f t="shared" si="193"/>
        <v>199856</v>
      </c>
      <c r="V67" s="86">
        <f t="shared" si="193"/>
        <v>207000</v>
      </c>
      <c r="W67" s="87">
        <f>SUM(W61:W66)</f>
        <v>207000</v>
      </c>
      <c r="X67" s="75">
        <f t="shared" si="193"/>
        <v>225184</v>
      </c>
      <c r="Y67" s="73">
        <f t="shared" si="193"/>
        <v>205989</v>
      </c>
      <c r="Z67" s="73">
        <f t="shared" si="193"/>
        <v>222520</v>
      </c>
      <c r="AA67" s="86">
        <f t="shared" si="193"/>
        <v>231839</v>
      </c>
      <c r="AB67" s="87">
        <f>SUM(AB61:AB66)</f>
        <v>231839</v>
      </c>
      <c r="AC67" s="24">
        <f t="shared" si="193"/>
        <v>261894</v>
      </c>
      <c r="AD67" s="24">
        <f t="shared" si="193"/>
        <v>261194</v>
      </c>
      <c r="AE67" s="24">
        <f t="shared" si="193"/>
        <v>273151</v>
      </c>
      <c r="AF67" s="24">
        <f t="shared" si="193"/>
        <v>290479</v>
      </c>
      <c r="AG67" s="87">
        <f>SUM(AG61:AG66)</f>
        <v>290479</v>
      </c>
      <c r="AH67" s="24">
        <f t="shared" si="193"/>
        <v>293284</v>
      </c>
      <c r="AI67" s="24">
        <f t="shared" ref="AI67:AK67" si="194">SUM(AI61:AI66)</f>
        <v>305277</v>
      </c>
      <c r="AJ67" s="24">
        <f t="shared" si="194"/>
        <v>305602</v>
      </c>
      <c r="AK67" s="24">
        <f t="shared" si="194"/>
        <v>321686</v>
      </c>
      <c r="AL67" s="87">
        <f>SUM(AL61:AL66)</f>
        <v>321686</v>
      </c>
      <c r="AM67" s="24">
        <f>SUM(AM61:AM66)</f>
        <v>331141</v>
      </c>
      <c r="AN67" s="24">
        <f>SUM(AN61:AN66)</f>
        <v>334532</v>
      </c>
      <c r="AO67" s="24">
        <f t="shared" ref="AO67:BE67" si="195">SUM(AO61:AO66)</f>
        <v>348673</v>
      </c>
      <c r="AP67" s="24">
        <f t="shared" si="195"/>
        <v>375319</v>
      </c>
      <c r="AQ67" s="24">
        <f t="shared" si="195"/>
        <v>375319</v>
      </c>
      <c r="AR67" s="24">
        <f t="shared" si="195"/>
        <v>406794</v>
      </c>
      <c r="AS67" s="24">
        <f t="shared" si="195"/>
        <v>367502</v>
      </c>
      <c r="AT67" s="24">
        <f t="shared" si="195"/>
        <v>339941</v>
      </c>
      <c r="AU67" s="24">
        <f t="shared" si="195"/>
        <v>365725</v>
      </c>
      <c r="AV67" s="24">
        <f t="shared" si="195"/>
        <v>365725</v>
      </c>
      <c r="AW67" s="24">
        <f t="shared" si="195"/>
        <v>373719</v>
      </c>
      <c r="AX67" s="24">
        <f t="shared" si="195"/>
        <v>344175</v>
      </c>
      <c r="AY67" s="24">
        <f t="shared" si="195"/>
        <v>324532</v>
      </c>
      <c r="AZ67" s="24">
        <f t="shared" si="195"/>
        <v>366575.32442508242</v>
      </c>
      <c r="BA67" s="87">
        <f>SUM(BA61:BA66)</f>
        <v>366575.32442508242</v>
      </c>
      <c r="BB67" s="24">
        <f t="shared" si="195"/>
        <v>372969.18401893444</v>
      </c>
      <c r="BC67" s="24">
        <f t="shared" si="195"/>
        <v>376193.45397816674</v>
      </c>
      <c r="BD67" s="24">
        <f t="shared" si="195"/>
        <v>360536.82043906045</v>
      </c>
      <c r="BE67" s="24">
        <f t="shared" si="195"/>
        <v>415432.26962167665</v>
      </c>
      <c r="BF67" s="87">
        <f>SUM(BF61:BF66)</f>
        <v>415432.26962167665</v>
      </c>
      <c r="BG67" s="24">
        <f t="shared" ref="BG67" si="196">SUM(BG61:BG66)</f>
        <v>409624.91139550385</v>
      </c>
      <c r="BH67" s="24">
        <f t="shared" ref="BH67" si="197">SUM(BH61:BH66)</f>
        <v>432664.19486345036</v>
      </c>
      <c r="BI67" s="24">
        <f t="shared" ref="BI67" si="198">SUM(BI61:BI66)</f>
        <v>399886.89304886822</v>
      </c>
      <c r="BJ67" s="24">
        <f t="shared" ref="BJ67" si="199">SUM(BJ61:BJ66)</f>
        <v>480831.64841442264</v>
      </c>
      <c r="BK67" s="87">
        <f>SUM(BK61:BK66)</f>
        <v>480831.64841442264</v>
      </c>
      <c r="BL67" s="24">
        <f t="shared" ref="BL67" si="200">SUM(BL61:BL66)</f>
        <v>454478.25363320392</v>
      </c>
      <c r="BM67" s="24">
        <f t="shared" ref="BM67" si="201">SUM(BM61:BM66)</f>
        <v>504070.65495631821</v>
      </c>
      <c r="BN67" s="24">
        <f t="shared" ref="BN67" si="202">SUM(BN61:BN66)</f>
        <v>447118.54264590103</v>
      </c>
      <c r="BO67" s="24">
        <f t="shared" ref="BO67" si="203">SUM(BO61:BO66)</f>
        <v>560063.86627981311</v>
      </c>
      <c r="BP67" s="87">
        <f>SUM(BP61:BP66)</f>
        <v>560063.86627981311</v>
      </c>
      <c r="BQ67" s="24">
        <f t="shared" ref="BQ67" si="204">SUM(BQ61:BQ66)</f>
        <v>512231.25931531296</v>
      </c>
      <c r="BR67" s="24">
        <f t="shared" ref="BR67" si="205">SUM(BR61:BR66)</f>
        <v>591044.68993451737</v>
      </c>
      <c r="BS67" s="24">
        <f t="shared" ref="BS67" si="206">SUM(BS61:BS66)</f>
        <v>507385.38627985434</v>
      </c>
      <c r="BT67" s="24">
        <f t="shared" ref="BT67" si="207">SUM(BT61:BT66)</f>
        <v>656918.27573445207</v>
      </c>
      <c r="BU67" s="87">
        <f>SUM(BU61:BU66)</f>
        <v>656918.27573445207</v>
      </c>
    </row>
    <row r="68" spans="2:73" ht="6.75" customHeight="1" outlineLevel="1" x14ac:dyDescent="0.3">
      <c r="B68" s="385"/>
      <c r="C68" s="386"/>
      <c r="D68" s="36"/>
      <c r="E68" s="37"/>
      <c r="F68" s="37"/>
      <c r="G68" s="84"/>
      <c r="H68" s="85"/>
      <c r="I68" s="36"/>
      <c r="J68" s="37"/>
      <c r="K68" s="37"/>
      <c r="L68" s="84"/>
      <c r="M68" s="85"/>
      <c r="N68" s="36"/>
      <c r="O68" s="37"/>
      <c r="P68" s="37"/>
      <c r="Q68" s="84"/>
      <c r="R68" s="85"/>
      <c r="S68" s="36"/>
      <c r="T68" s="37"/>
      <c r="U68" s="37"/>
      <c r="V68" s="84"/>
      <c r="W68" s="85"/>
      <c r="X68" s="36"/>
      <c r="Y68" s="37"/>
      <c r="Z68" s="37"/>
      <c r="AA68" s="84"/>
      <c r="AB68" s="85"/>
      <c r="AC68" s="125"/>
      <c r="AD68" s="125"/>
      <c r="AE68" s="125"/>
      <c r="AF68" s="125"/>
      <c r="AG68" s="85"/>
      <c r="AH68" s="125"/>
      <c r="AI68" s="125"/>
      <c r="AJ68" s="125"/>
      <c r="AK68" s="125"/>
      <c r="AL68" s="85"/>
      <c r="AM68" s="125"/>
      <c r="AN68" s="125"/>
      <c r="AO68" s="299"/>
      <c r="AP68" s="299"/>
      <c r="AQ68" s="85"/>
      <c r="AR68" s="299"/>
      <c r="AS68" s="299"/>
      <c r="AT68" s="299"/>
      <c r="AU68" s="299"/>
      <c r="AV68" s="85"/>
      <c r="AW68" s="299"/>
      <c r="AX68" s="125"/>
      <c r="AY68" s="125"/>
      <c r="AZ68" s="125"/>
      <c r="BA68" s="85"/>
      <c r="BB68" s="125"/>
      <c r="BC68" s="125"/>
      <c r="BD68" s="125"/>
      <c r="BE68" s="125"/>
      <c r="BF68" s="85"/>
      <c r="BG68" s="125"/>
      <c r="BH68" s="125"/>
      <c r="BI68" s="125"/>
      <c r="BJ68" s="125"/>
      <c r="BK68" s="85"/>
      <c r="BL68" s="125"/>
      <c r="BM68" s="125"/>
      <c r="BN68" s="125"/>
      <c r="BO68" s="125"/>
      <c r="BP68" s="85"/>
      <c r="BQ68" s="125"/>
      <c r="BR68" s="125"/>
      <c r="BS68" s="125"/>
      <c r="BT68" s="125"/>
      <c r="BU68" s="85"/>
    </row>
    <row r="69" spans="2:73" outlineLevel="1" x14ac:dyDescent="0.3">
      <c r="B69" s="383" t="s">
        <v>16</v>
      </c>
      <c r="C69" s="384"/>
      <c r="D69" s="36"/>
      <c r="E69" s="37"/>
      <c r="F69" s="37"/>
      <c r="G69" s="84"/>
      <c r="H69" s="85"/>
      <c r="I69" s="36"/>
      <c r="J69" s="37"/>
      <c r="K69" s="37"/>
      <c r="L69" s="84"/>
      <c r="M69" s="85"/>
      <c r="N69" s="36"/>
      <c r="O69" s="37"/>
      <c r="P69" s="37"/>
      <c r="Q69" s="84"/>
      <c r="R69" s="85"/>
      <c r="S69" s="36"/>
      <c r="T69" s="37"/>
      <c r="U69" s="37"/>
      <c r="V69" s="84"/>
      <c r="W69" s="85"/>
      <c r="X69" s="36"/>
      <c r="Y69" s="37"/>
      <c r="Z69" s="37"/>
      <c r="AA69" s="84"/>
      <c r="AB69" s="85"/>
      <c r="AC69" s="125"/>
      <c r="AD69" s="125"/>
      <c r="AE69" s="125"/>
      <c r="AF69" s="125"/>
      <c r="AG69" s="85"/>
      <c r="AH69" s="125"/>
      <c r="AI69" s="125"/>
      <c r="AJ69" s="125"/>
      <c r="AK69" s="125"/>
      <c r="AL69" s="85"/>
      <c r="AM69" s="125"/>
      <c r="AN69" s="125"/>
      <c r="AO69" s="299"/>
      <c r="AP69" s="299"/>
      <c r="AQ69" s="85"/>
      <c r="AR69" s="299"/>
      <c r="AS69" s="299"/>
      <c r="AT69" s="299"/>
      <c r="AU69" s="299"/>
      <c r="AV69" s="85"/>
      <c r="AW69" s="299"/>
      <c r="AX69" s="125"/>
      <c r="AY69" s="125"/>
      <c r="AZ69" s="125"/>
      <c r="BA69" s="85"/>
      <c r="BB69" s="125"/>
      <c r="BC69" s="125"/>
      <c r="BD69" s="125"/>
      <c r="BE69" s="125"/>
      <c r="BF69" s="85"/>
      <c r="BG69" s="125"/>
      <c r="BH69" s="125"/>
      <c r="BI69" s="125"/>
      <c r="BJ69" s="125"/>
      <c r="BK69" s="85"/>
      <c r="BL69" s="125"/>
      <c r="BM69" s="125"/>
      <c r="BN69" s="125"/>
      <c r="BO69" s="125"/>
      <c r="BP69" s="85"/>
      <c r="BQ69" s="125"/>
      <c r="BR69" s="125"/>
      <c r="BS69" s="125"/>
      <c r="BT69" s="125"/>
      <c r="BU69" s="85"/>
    </row>
    <row r="70" spans="2:73" outlineLevel="1" x14ac:dyDescent="0.3">
      <c r="B70" s="370" t="s">
        <v>148</v>
      </c>
      <c r="C70" s="374"/>
      <c r="D70" s="94">
        <v>6511</v>
      </c>
      <c r="E70" s="95">
        <v>5666</v>
      </c>
      <c r="F70" s="95">
        <v>8469</v>
      </c>
      <c r="G70" s="96">
        <v>12015</v>
      </c>
      <c r="H70" s="122">
        <f>G70</f>
        <v>12015</v>
      </c>
      <c r="I70" s="94">
        <v>14301</v>
      </c>
      <c r="J70" s="95">
        <v>13714</v>
      </c>
      <c r="K70" s="95">
        <v>15270</v>
      </c>
      <c r="L70" s="96">
        <v>14632</v>
      </c>
      <c r="M70" s="122">
        <f>L70</f>
        <v>14632</v>
      </c>
      <c r="N70" s="94">
        <v>18221</v>
      </c>
      <c r="O70" s="95">
        <v>17011</v>
      </c>
      <c r="P70" s="95">
        <v>16808</v>
      </c>
      <c r="Q70" s="96">
        <v>21175</v>
      </c>
      <c r="R70" s="122">
        <f>Q70</f>
        <v>21175</v>
      </c>
      <c r="S70" s="94">
        <v>26398</v>
      </c>
      <c r="T70" s="95">
        <v>14912</v>
      </c>
      <c r="U70" s="95">
        <v>15516</v>
      </c>
      <c r="V70" s="96">
        <v>22367</v>
      </c>
      <c r="W70" s="122">
        <f>V70</f>
        <v>22367</v>
      </c>
      <c r="X70" s="94">
        <v>29588</v>
      </c>
      <c r="Y70" s="95">
        <v>18914</v>
      </c>
      <c r="Z70" s="95">
        <v>20535</v>
      </c>
      <c r="AA70" s="96">
        <v>30196</v>
      </c>
      <c r="AB70" s="122">
        <f>AA70</f>
        <v>30196</v>
      </c>
      <c r="AC70" s="125">
        <v>38001</v>
      </c>
      <c r="AD70" s="125">
        <v>23159</v>
      </c>
      <c r="AE70" s="125">
        <v>26474</v>
      </c>
      <c r="AF70" s="125">
        <v>35490</v>
      </c>
      <c r="AG70" s="85">
        <f>AF70</f>
        <v>35490</v>
      </c>
      <c r="AH70" s="125">
        <v>33312</v>
      </c>
      <c r="AI70" s="125">
        <v>25098</v>
      </c>
      <c r="AJ70" s="125">
        <v>26318</v>
      </c>
      <c r="AK70" s="125">
        <v>37294</v>
      </c>
      <c r="AL70" s="85">
        <f>AK70</f>
        <v>37294</v>
      </c>
      <c r="AM70" s="125">
        <v>38510</v>
      </c>
      <c r="AN70" s="125">
        <v>28573</v>
      </c>
      <c r="AO70" s="299">
        <v>31915</v>
      </c>
      <c r="AP70" s="299">
        <v>49049</v>
      </c>
      <c r="AQ70" s="85">
        <f>AP70</f>
        <v>49049</v>
      </c>
      <c r="AR70" s="299">
        <v>62985</v>
      </c>
      <c r="AS70" s="299">
        <v>34311</v>
      </c>
      <c r="AT70" s="299">
        <v>38489</v>
      </c>
      <c r="AU70" s="299">
        <v>55888</v>
      </c>
      <c r="AV70" s="85">
        <f>AU70</f>
        <v>55888</v>
      </c>
      <c r="AW70" s="299">
        <v>44293</v>
      </c>
      <c r="AX70" s="125">
        <v>30443</v>
      </c>
      <c r="AY70" s="125">
        <v>29115</v>
      </c>
      <c r="AZ70" s="125">
        <f>(AZ11/AZ98*2)-AY70</f>
        <v>52144.054185526358</v>
      </c>
      <c r="BA70" s="85">
        <f>AZ70</f>
        <v>52144.054185526358</v>
      </c>
      <c r="BB70" s="125">
        <f>(BB11/BB98*2)-AZ70</f>
        <v>31071.416858992525</v>
      </c>
      <c r="BC70" s="125">
        <f>(BC11/BC98*2)-BB70</f>
        <v>31736.524126614509</v>
      </c>
      <c r="BD70" s="125">
        <f>(BD11/BD98*2)-BC70</f>
        <v>19971.905853518801</v>
      </c>
      <c r="BE70" s="125">
        <f>(BE11/BE98*2)-BD70</f>
        <v>53597.904981087435</v>
      </c>
      <c r="BF70" s="85">
        <f>BE70</f>
        <v>53597.904981087435</v>
      </c>
      <c r="BG70" s="125">
        <f>(BG11/BG98*2)-BE70</f>
        <v>15646.697457239417</v>
      </c>
      <c r="BH70" s="125">
        <f>(BH11/BH98*2)-BG70</f>
        <v>37205.063929955031</v>
      </c>
      <c r="BI70" s="125">
        <f>(BI11/BI98*2)-BH70</f>
        <v>7868.7047217868167</v>
      </c>
      <c r="BJ70" s="125">
        <f>(BJ11/BJ98*2)-BI70</f>
        <v>58922.015494721309</v>
      </c>
      <c r="BK70" s="85">
        <f>BJ70</f>
        <v>58922.015494721309</v>
      </c>
      <c r="BL70" s="125">
        <f>(BL11/BL98*2)-BJ70</f>
        <v>-2907.8767363228908</v>
      </c>
      <c r="BM70" s="125">
        <f>(BM11/BM98*2)-BL70</f>
        <v>45914.171015568143</v>
      </c>
      <c r="BN70" s="125">
        <f>(BN11/BN98*2)-BM70</f>
        <v>-7628.6429282788959</v>
      </c>
      <c r="BO70" s="125">
        <f>(BO11/BO98*2)-BN70</f>
        <v>67166.637702368738</v>
      </c>
      <c r="BP70" s="85">
        <f>BO70</f>
        <v>67166.637702368738</v>
      </c>
      <c r="BQ70" s="125">
        <f>(BQ11/BQ98*2)-BO70</f>
        <v>-21016.685179178712</v>
      </c>
      <c r="BR70" s="125">
        <f>(BR11/BR98*2)-BQ70</f>
        <v>56792.116239585754</v>
      </c>
      <c r="BS70" s="125">
        <f>(BS11/BS98*2)-BR70</f>
        <v>-23747.992612971051</v>
      </c>
      <c r="BT70" s="125">
        <f>(BT11/BT98*2)-BS70</f>
        <v>77424.270938563524</v>
      </c>
      <c r="BU70" s="85">
        <f>BT70</f>
        <v>77424.270938563524</v>
      </c>
    </row>
    <row r="71" spans="2:73" outlineLevel="1" x14ac:dyDescent="0.3">
      <c r="B71" s="360" t="s">
        <v>149</v>
      </c>
      <c r="C71" s="361"/>
      <c r="D71" s="94">
        <v>3996</v>
      </c>
      <c r="E71" s="95">
        <v>4021</v>
      </c>
      <c r="F71" s="95">
        <v>4452</v>
      </c>
      <c r="G71" s="96">
        <v>5723</v>
      </c>
      <c r="H71" s="122">
        <f>G71</f>
        <v>5723</v>
      </c>
      <c r="I71" s="94">
        <v>5953</v>
      </c>
      <c r="J71" s="95">
        <v>7022</v>
      </c>
      <c r="K71" s="95">
        <v>7597</v>
      </c>
      <c r="L71" s="96">
        <v>9247</v>
      </c>
      <c r="M71" s="122">
        <f>L71</f>
        <v>9247</v>
      </c>
      <c r="N71" s="94">
        <v>11500</v>
      </c>
      <c r="O71" s="95">
        <v>9778</v>
      </c>
      <c r="P71" s="95">
        <v>10430</v>
      </c>
      <c r="Q71" s="96">
        <v>11414</v>
      </c>
      <c r="R71" s="122">
        <f>Q71</f>
        <v>11414</v>
      </c>
      <c r="S71" s="94">
        <v>13207</v>
      </c>
      <c r="T71" s="95">
        <v>13331</v>
      </c>
      <c r="U71" s="95">
        <v>13470</v>
      </c>
      <c r="V71" s="96">
        <v>13856</v>
      </c>
      <c r="W71" s="122">
        <f>V71</f>
        <v>13856</v>
      </c>
      <c r="X71" s="94">
        <v>15824</v>
      </c>
      <c r="Y71" s="95">
        <v>15984</v>
      </c>
      <c r="Z71" s="95">
        <v>15264</v>
      </c>
      <c r="AA71" s="96">
        <v>18453</v>
      </c>
      <c r="AB71" s="122">
        <f>AA71</f>
        <v>18453</v>
      </c>
      <c r="AC71" s="125">
        <v>22724</v>
      </c>
      <c r="AD71" s="125">
        <v>22827</v>
      </c>
      <c r="AE71" s="125">
        <v>22724</v>
      </c>
      <c r="AF71" s="125">
        <v>25181</v>
      </c>
      <c r="AG71" s="85">
        <f>AF71</f>
        <v>25181</v>
      </c>
      <c r="AH71" s="125">
        <v>24032</v>
      </c>
      <c r="AI71" s="125">
        <v>23208</v>
      </c>
      <c r="AJ71" s="125">
        <v>20820</v>
      </c>
      <c r="AK71" s="125">
        <v>22027</v>
      </c>
      <c r="AL71" s="85">
        <f>AK71</f>
        <v>22027</v>
      </c>
      <c r="AM71" s="125">
        <v>23739</v>
      </c>
      <c r="AN71" s="125">
        <v>23096</v>
      </c>
      <c r="AO71" s="299">
        <v>23304</v>
      </c>
      <c r="AP71" s="299">
        <v>25744</v>
      </c>
      <c r="AQ71" s="85">
        <f>AP71</f>
        <v>25744</v>
      </c>
      <c r="AR71" s="299">
        <v>26281</v>
      </c>
      <c r="AS71" s="299">
        <v>26756</v>
      </c>
      <c r="AT71" s="299">
        <v>25184</v>
      </c>
      <c r="AU71" s="299">
        <v>32687</v>
      </c>
      <c r="AV71" s="85">
        <f>AU71</f>
        <v>32687</v>
      </c>
      <c r="AW71" s="299">
        <v>36703</v>
      </c>
      <c r="AX71" s="125">
        <v>35368</v>
      </c>
      <c r="AY71" s="125">
        <v>31673</v>
      </c>
      <c r="AZ71" s="125">
        <f>AY71*(AU71/AT71)</f>
        <v>41109.249960292247</v>
      </c>
      <c r="BA71" s="85">
        <f>AZ71</f>
        <v>41109.249960292247</v>
      </c>
      <c r="BB71" s="125">
        <f>AZ71*(AW71/AU71)</f>
        <v>46160.026961562893</v>
      </c>
      <c r="BC71" s="125">
        <f>BB71*(AX71/AW71)</f>
        <v>44481.046060991102</v>
      </c>
      <c r="BD71" s="125">
        <f>BC71*(AY71/AX71)</f>
        <v>39833.979074015246</v>
      </c>
      <c r="BE71" s="125">
        <f>BD71*(AZ71/AY71)</f>
        <v>51701.607131207762</v>
      </c>
      <c r="BF71" s="85">
        <f>BE71</f>
        <v>51701.607131207762</v>
      </c>
      <c r="BG71" s="125">
        <f>BE71*(BB71/AZ71)</f>
        <v>58053.785496886179</v>
      </c>
      <c r="BH71" s="125">
        <f>BG71*(BC71/BB71)</f>
        <v>55942.192339968678</v>
      </c>
      <c r="BI71" s="125">
        <f>BH71*(BD71/BC71)</f>
        <v>50097.745362582784</v>
      </c>
      <c r="BJ71" s="125">
        <f>BI71*(BE71/BD71)</f>
        <v>65023.22914019788</v>
      </c>
      <c r="BK71" s="85">
        <f>BJ71</f>
        <v>65023.22914019788</v>
      </c>
      <c r="BL71" s="125">
        <f>BJ71*(BG71/BE71)</f>
        <v>73012.13262559069</v>
      </c>
      <c r="BM71" s="125">
        <f>BL71*(BH71/BG71)</f>
        <v>70356.458782712361</v>
      </c>
      <c r="BN71" s="125">
        <f>BM71*(BI71/BH71)</f>
        <v>63006.110580888053</v>
      </c>
      <c r="BO71" s="125">
        <f>BN71*(BJ71/BI71)</f>
        <v>81777.348179696943</v>
      </c>
      <c r="BP71" s="85">
        <f>BO71</f>
        <v>81777.348179696943</v>
      </c>
      <c r="BQ71" s="125">
        <f>BO71*(BL71/BJ71)</f>
        <v>91824.701264705131</v>
      </c>
      <c r="BR71" s="125">
        <f>BQ71*(BM71/BL71)</f>
        <v>88484.756949843111</v>
      </c>
      <c r="BS71" s="125">
        <f>BR71*(BN71/BM71)</f>
        <v>79240.491598970286</v>
      </c>
      <c r="BT71" s="125">
        <f>BS71*(BO71/BN71)</f>
        <v>102848.3937776184</v>
      </c>
      <c r="BU71" s="85">
        <f>BT71</f>
        <v>102848.3937776184</v>
      </c>
    </row>
    <row r="72" spans="2:73" outlineLevel="1" x14ac:dyDescent="0.3">
      <c r="B72" s="360" t="s">
        <v>296</v>
      </c>
      <c r="C72" s="361"/>
      <c r="D72" s="94">
        <v>2590</v>
      </c>
      <c r="E72" s="95">
        <v>2542</v>
      </c>
      <c r="F72" s="95">
        <v>2691</v>
      </c>
      <c r="G72" s="96">
        <v>2984</v>
      </c>
      <c r="H72" s="122">
        <f>G72</f>
        <v>2984</v>
      </c>
      <c r="I72" s="94">
        <v>3541</v>
      </c>
      <c r="J72" s="95">
        <v>3591</v>
      </c>
      <c r="K72" s="95">
        <v>3992</v>
      </c>
      <c r="L72" s="96">
        <v>4091</v>
      </c>
      <c r="M72" s="122">
        <f>L72</f>
        <v>4091</v>
      </c>
      <c r="N72" s="94">
        <v>4886</v>
      </c>
      <c r="O72" s="95">
        <v>5247</v>
      </c>
      <c r="P72" s="95">
        <v>5822</v>
      </c>
      <c r="Q72" s="96">
        <v>5953</v>
      </c>
      <c r="R72" s="122">
        <f>Q72</f>
        <v>5953</v>
      </c>
      <c r="S72" s="94">
        <v>7274</v>
      </c>
      <c r="T72" s="95">
        <v>7265</v>
      </c>
      <c r="U72" s="95">
        <v>7333</v>
      </c>
      <c r="V72" s="96">
        <v>7435</v>
      </c>
      <c r="W72" s="122">
        <f>V72</f>
        <v>7435</v>
      </c>
      <c r="X72" s="94">
        <v>8357</v>
      </c>
      <c r="Y72" s="95">
        <v>8310</v>
      </c>
      <c r="Z72" s="95">
        <v>8396</v>
      </c>
      <c r="AA72" s="96">
        <v>8491</v>
      </c>
      <c r="AB72" s="122">
        <f>AA72</f>
        <v>8491</v>
      </c>
      <c r="AC72" s="125">
        <v>8987</v>
      </c>
      <c r="AD72" s="125">
        <v>8944</v>
      </c>
      <c r="AE72" s="125">
        <v>9088</v>
      </c>
      <c r="AF72" s="125">
        <v>8940</v>
      </c>
      <c r="AG72" s="85">
        <f>AF72</f>
        <v>8940</v>
      </c>
      <c r="AH72" s="125">
        <v>8989</v>
      </c>
      <c r="AI72" s="125">
        <v>9461</v>
      </c>
      <c r="AJ72" s="125">
        <v>8352</v>
      </c>
      <c r="AK72" s="125">
        <v>8080</v>
      </c>
      <c r="AL72" s="85">
        <f>AK72</f>
        <v>8080</v>
      </c>
      <c r="AM72" s="125">
        <v>7889</v>
      </c>
      <c r="AN72" s="125">
        <v>7682</v>
      </c>
      <c r="AO72" s="299">
        <v>7608</v>
      </c>
      <c r="AP72" s="299">
        <v>7548</v>
      </c>
      <c r="AQ72" s="85">
        <f>AP72</f>
        <v>7548</v>
      </c>
      <c r="AR72" s="299">
        <v>8044</v>
      </c>
      <c r="AS72" s="299">
        <v>7775</v>
      </c>
      <c r="AT72" s="299">
        <v>7403</v>
      </c>
      <c r="AU72" s="299">
        <v>7543</v>
      </c>
      <c r="AV72" s="85">
        <f>AU72</f>
        <v>7543</v>
      </c>
      <c r="AW72" s="299">
        <v>5546</v>
      </c>
      <c r="AX72" s="125">
        <v>5532</v>
      </c>
      <c r="AY72" s="125">
        <v>5434</v>
      </c>
      <c r="AZ72" s="125">
        <f>(AY10+AX10+AW10+AZ10)*AZ101*AZ102</f>
        <v>9365.6054548006778</v>
      </c>
      <c r="BA72" s="85">
        <f>AZ72</f>
        <v>9365.6054548006778</v>
      </c>
      <c r="BB72" s="125">
        <f>(AZ10+AY10+AX10+BB10)*BB101*BB102</f>
        <v>9479.7914061094452</v>
      </c>
      <c r="BC72" s="125">
        <f>(BB10+AZ10+AY10+BC10)*BC101*BC102</f>
        <v>9583.4512825583897</v>
      </c>
      <c r="BD72" s="125">
        <f>(BC10+BB10+AZ10+BD10)*BD101*BD102</f>
        <v>9745.9788433901322</v>
      </c>
      <c r="BE72" s="125">
        <f>(BD10+BC10+BB10+BE10)*BE101*BE102</f>
        <v>10062.04798379595</v>
      </c>
      <c r="BF72" s="85">
        <f>BE72</f>
        <v>10062.04798379595</v>
      </c>
      <c r="BG72" s="125">
        <f>(BE10+BD10+BC10+BG10)*BG101*BG102</f>
        <v>10186.263437813634</v>
      </c>
      <c r="BH72" s="125">
        <f>(BG10+BE10+BD10+BH10)*BH101*BH102</f>
        <v>10298.073365013192</v>
      </c>
      <c r="BI72" s="125">
        <f>(BH10+BG10+BE10+BI10)*BI101*BI102</f>
        <v>10483.465013152225</v>
      </c>
      <c r="BJ72" s="125">
        <f>(BI10+BH10+BG10+BJ10)*BJ101*BJ102</f>
        <v>10849.541392649046</v>
      </c>
      <c r="BK72" s="85">
        <f>BJ72</f>
        <v>10849.541392649046</v>
      </c>
      <c r="BL72" s="125">
        <f>(BJ10+BI10+BH10+BL10)*BL101*BL102</f>
        <v>10885.104683014151</v>
      </c>
      <c r="BM72" s="125">
        <f>(BL10+BJ10+BI10+BM10)*BM101*BM102</f>
        <v>10923.744516420729</v>
      </c>
      <c r="BN72" s="125">
        <f>(BM10+BL10+BJ10+BN10)*BN101*BN102</f>
        <v>11062.799762146451</v>
      </c>
      <c r="BO72" s="125">
        <f>(BN10+BM10+BL10+BO10)*BO101*BO102</f>
        <v>11414.763470074384</v>
      </c>
      <c r="BP72" s="85">
        <f>BO72</f>
        <v>11414.763470074384</v>
      </c>
      <c r="BQ72" s="125">
        <f>(BO10+BN10+BM10+BQ10)*BQ101*BQ102</f>
        <v>11511.828648847015</v>
      </c>
      <c r="BR72" s="125">
        <f>(BQ10+BO10+BN10+BR10)*BR101*BR102</f>
        <v>11603.606004083276</v>
      </c>
      <c r="BS72" s="125">
        <f>(BR10+BQ10+BO10+BS10)*BS101*BS102</f>
        <v>11792.269368625108</v>
      </c>
      <c r="BT72" s="125">
        <f>(BS10+BR10+BQ10+BT10)*BT101*BT102</f>
        <v>12227.925276366885</v>
      </c>
      <c r="BU72" s="85">
        <f>BT72</f>
        <v>12227.925276366885</v>
      </c>
    </row>
    <row r="73" spans="2:73" ht="16.2" outlineLevel="1" x14ac:dyDescent="0.45">
      <c r="B73" s="370" t="s">
        <v>192</v>
      </c>
      <c r="C73" s="374"/>
      <c r="D73" s="164">
        <v>0</v>
      </c>
      <c r="E73" s="165">
        <v>0</v>
      </c>
      <c r="F73" s="165">
        <v>0</v>
      </c>
      <c r="G73" s="166">
        <v>0</v>
      </c>
      <c r="H73" s="167">
        <f>G73</f>
        <v>0</v>
      </c>
      <c r="I73" s="164">
        <v>0</v>
      </c>
      <c r="J73" s="165">
        <v>0</v>
      </c>
      <c r="K73" s="165">
        <v>0</v>
      </c>
      <c r="L73" s="166">
        <v>0</v>
      </c>
      <c r="M73" s="167">
        <f>L73</f>
        <v>0</v>
      </c>
      <c r="N73" s="164">
        <v>0</v>
      </c>
      <c r="O73" s="165">
        <v>0</v>
      </c>
      <c r="P73" s="165">
        <v>0</v>
      </c>
      <c r="Q73" s="166">
        <v>0</v>
      </c>
      <c r="R73" s="167">
        <f>Q73</f>
        <v>0</v>
      </c>
      <c r="S73" s="164">
        <v>0</v>
      </c>
      <c r="T73" s="165">
        <v>0</v>
      </c>
      <c r="U73" s="165">
        <v>0</v>
      </c>
      <c r="V73" s="166">
        <v>0</v>
      </c>
      <c r="W73" s="167">
        <f>V73</f>
        <v>0</v>
      </c>
      <c r="X73" s="164">
        <v>0</v>
      </c>
      <c r="Y73" s="165">
        <v>0</v>
      </c>
      <c r="Z73" s="165">
        <v>2010</v>
      </c>
      <c r="AA73" s="166">
        <v>6308</v>
      </c>
      <c r="AB73" s="167">
        <f>AA73</f>
        <v>6308</v>
      </c>
      <c r="AC73" s="41">
        <v>3899</v>
      </c>
      <c r="AD73" s="41">
        <v>3799</v>
      </c>
      <c r="AE73" s="41">
        <f>4499+2500</f>
        <v>6999</v>
      </c>
      <c r="AF73" s="41">
        <f>8499+2500</f>
        <v>10999</v>
      </c>
      <c r="AG73" s="167">
        <f>AF73</f>
        <v>10999</v>
      </c>
      <c r="AH73" s="41">
        <f>7259+2500</f>
        <v>9759</v>
      </c>
      <c r="AI73" s="41">
        <f>7998+2500</f>
        <v>10498</v>
      </c>
      <c r="AJ73" s="41">
        <f>12496+3500</f>
        <v>15996</v>
      </c>
      <c r="AK73" s="41">
        <f>8105+3500</f>
        <v>11605</v>
      </c>
      <c r="AL73" s="167">
        <f>AK73</f>
        <v>11605</v>
      </c>
      <c r="AM73" s="41">
        <f>10493+3499</f>
        <v>13992</v>
      </c>
      <c r="AN73" s="41">
        <f>9992+3999</f>
        <v>13991</v>
      </c>
      <c r="AO73" s="300">
        <v>18475</v>
      </c>
      <c r="AP73" s="300">
        <v>18473</v>
      </c>
      <c r="AQ73" s="167">
        <f>AP73</f>
        <v>18473</v>
      </c>
      <c r="AR73" s="300">
        <v>18478</v>
      </c>
      <c r="AS73" s="300">
        <v>20478</v>
      </c>
      <c r="AT73" s="300">
        <v>17472</v>
      </c>
      <c r="AU73" s="300">
        <v>20748</v>
      </c>
      <c r="AV73" s="167">
        <f>AU73</f>
        <v>20748</v>
      </c>
      <c r="AW73" s="300">
        <v>21741</v>
      </c>
      <c r="AX73" s="41">
        <v>22429</v>
      </c>
      <c r="AY73" s="41">
        <v>23482</v>
      </c>
      <c r="AZ73" s="41">
        <f>+AZ85*AZ104*(AZ106)</f>
        <v>21176.332101628832</v>
      </c>
      <c r="BA73" s="167">
        <f>AZ73</f>
        <v>21176.332101628832</v>
      </c>
      <c r="BB73" s="41">
        <f>+BB85*BB104*(BB106)</f>
        <v>22773.263273793091</v>
      </c>
      <c r="BC73" s="41">
        <f>+BC85*BC104*(BC106)</f>
        <v>24011.821842688139</v>
      </c>
      <c r="BD73" s="41">
        <f>+BD85*BD104*(BD106)</f>
        <v>24338.544964606168</v>
      </c>
      <c r="BE73" s="41">
        <f>+BE85*BE104*(BE106)</f>
        <v>24841.820737628663</v>
      </c>
      <c r="BF73" s="167">
        <f>BE73</f>
        <v>24841.820737628663</v>
      </c>
      <c r="BG73" s="41">
        <f>+BG85*BG104*(BG106)</f>
        <v>26455.184851094866</v>
      </c>
      <c r="BH73" s="41">
        <f>+BH85*BH104*(BH106)</f>
        <v>27229.094295223298</v>
      </c>
      <c r="BI73" s="41">
        <f>+BI85*BI104*(BI106)</f>
        <v>27561.067231390603</v>
      </c>
      <c r="BJ73" s="41">
        <f>+BJ85*BJ104*(BJ106)</f>
        <v>29069.205018152323</v>
      </c>
      <c r="BK73" s="167">
        <f>BJ73</f>
        <v>29069.205018152323</v>
      </c>
      <c r="BL73" s="41">
        <f>+BL85*BL104*(BL106)</f>
        <v>30612.525583624392</v>
      </c>
      <c r="BM73" s="41">
        <f>+BM85*BM104*(BM106)</f>
        <v>31328.795351547593</v>
      </c>
      <c r="BN73" s="41">
        <f>+BN85*BN104*(BN106)</f>
        <v>31857.175643659441</v>
      </c>
      <c r="BO73" s="41">
        <f>+BO85*BO104*(BO106)</f>
        <v>33907.54982267665</v>
      </c>
      <c r="BP73" s="167">
        <f>BO73</f>
        <v>33907.54982267665</v>
      </c>
      <c r="BQ73" s="41">
        <f>+BQ85*BQ104*(BQ106)</f>
        <v>35535.978216876298</v>
      </c>
      <c r="BR73" s="41">
        <f>+BR85*BR104*(BR106)</f>
        <v>36369.724414949174</v>
      </c>
      <c r="BS73" s="41">
        <f>+BS85*BS104*(BS106)</f>
        <v>37147.111163206639</v>
      </c>
      <c r="BT73" s="41">
        <f>+BT85*BT104*(BT106)</f>
        <v>39766.790081117724</v>
      </c>
      <c r="BU73" s="167">
        <f>BT73</f>
        <v>39766.790081117724</v>
      </c>
    </row>
    <row r="74" spans="2:73" outlineLevel="1" x14ac:dyDescent="0.3">
      <c r="B74" s="375" t="s">
        <v>17</v>
      </c>
      <c r="C74" s="376"/>
      <c r="D74" s="75">
        <f t="shared" ref="D74:AI74" si="208">SUM(D70:D73)</f>
        <v>13097</v>
      </c>
      <c r="E74" s="73">
        <f t="shared" si="208"/>
        <v>12229</v>
      </c>
      <c r="F74" s="73">
        <f t="shared" si="208"/>
        <v>15612</v>
      </c>
      <c r="G74" s="86">
        <f t="shared" si="208"/>
        <v>20722</v>
      </c>
      <c r="H74" s="87">
        <f t="shared" si="208"/>
        <v>20722</v>
      </c>
      <c r="I74" s="75">
        <f t="shared" si="208"/>
        <v>23795</v>
      </c>
      <c r="J74" s="73">
        <f t="shared" si="208"/>
        <v>24327</v>
      </c>
      <c r="K74" s="73">
        <f t="shared" si="208"/>
        <v>26859</v>
      </c>
      <c r="L74" s="86">
        <f t="shared" si="208"/>
        <v>27970</v>
      </c>
      <c r="M74" s="87">
        <f t="shared" si="208"/>
        <v>27970</v>
      </c>
      <c r="N74" s="75">
        <f t="shared" si="208"/>
        <v>34607</v>
      </c>
      <c r="O74" s="73">
        <f t="shared" si="208"/>
        <v>32036</v>
      </c>
      <c r="P74" s="73">
        <f t="shared" si="208"/>
        <v>33060</v>
      </c>
      <c r="Q74" s="86">
        <f t="shared" si="208"/>
        <v>38542</v>
      </c>
      <c r="R74" s="87">
        <f t="shared" si="208"/>
        <v>38542</v>
      </c>
      <c r="S74" s="75">
        <f t="shared" si="208"/>
        <v>46879</v>
      </c>
      <c r="T74" s="73">
        <f t="shared" si="208"/>
        <v>35508</v>
      </c>
      <c r="U74" s="73">
        <f t="shared" si="208"/>
        <v>36319</v>
      </c>
      <c r="V74" s="86">
        <f t="shared" si="208"/>
        <v>43658</v>
      </c>
      <c r="W74" s="87">
        <f t="shared" si="208"/>
        <v>43658</v>
      </c>
      <c r="X74" s="75">
        <f t="shared" si="208"/>
        <v>53769</v>
      </c>
      <c r="Y74" s="73">
        <f t="shared" si="208"/>
        <v>43208</v>
      </c>
      <c r="Z74" s="73">
        <f t="shared" si="208"/>
        <v>46205</v>
      </c>
      <c r="AA74" s="86">
        <f t="shared" si="208"/>
        <v>63448</v>
      </c>
      <c r="AB74" s="87">
        <f t="shared" si="208"/>
        <v>63448</v>
      </c>
      <c r="AC74" s="24">
        <f t="shared" si="208"/>
        <v>73611</v>
      </c>
      <c r="AD74" s="24">
        <f t="shared" si="208"/>
        <v>58729</v>
      </c>
      <c r="AE74" s="24">
        <f t="shared" si="208"/>
        <v>65285</v>
      </c>
      <c r="AF74" s="24">
        <f t="shared" si="208"/>
        <v>80610</v>
      </c>
      <c r="AG74" s="87">
        <f t="shared" si="208"/>
        <v>80610</v>
      </c>
      <c r="AH74" s="24">
        <f t="shared" si="208"/>
        <v>76092</v>
      </c>
      <c r="AI74" s="24">
        <f t="shared" si="208"/>
        <v>68265</v>
      </c>
      <c r="AJ74" s="24">
        <f t="shared" ref="AJ74:BB74" si="209">SUM(AJ70:AJ73)</f>
        <v>71486</v>
      </c>
      <c r="AK74" s="24">
        <f t="shared" si="209"/>
        <v>79006</v>
      </c>
      <c r="AL74" s="87">
        <f t="shared" si="209"/>
        <v>79006</v>
      </c>
      <c r="AM74" s="24">
        <f t="shared" si="209"/>
        <v>84130</v>
      </c>
      <c r="AN74" s="24">
        <f t="shared" si="209"/>
        <v>73342</v>
      </c>
      <c r="AO74" s="24">
        <f t="shared" si="209"/>
        <v>81302</v>
      </c>
      <c r="AP74" s="24">
        <f t="shared" si="209"/>
        <v>100814</v>
      </c>
      <c r="AQ74" s="24">
        <f t="shared" si="209"/>
        <v>100814</v>
      </c>
      <c r="AR74" s="24">
        <f t="shared" si="209"/>
        <v>115788</v>
      </c>
      <c r="AS74" s="24">
        <f t="shared" si="209"/>
        <v>89320</v>
      </c>
      <c r="AT74" s="24">
        <f t="shared" si="209"/>
        <v>88548</v>
      </c>
      <c r="AU74" s="24">
        <f t="shared" si="209"/>
        <v>116866</v>
      </c>
      <c r="AV74" s="24">
        <f t="shared" si="209"/>
        <v>116866</v>
      </c>
      <c r="AW74" s="24">
        <f t="shared" si="209"/>
        <v>108283</v>
      </c>
      <c r="AX74" s="24">
        <f t="shared" si="209"/>
        <v>93772</v>
      </c>
      <c r="AY74" s="24">
        <f t="shared" si="209"/>
        <v>89704</v>
      </c>
      <c r="AZ74" s="24">
        <f t="shared" ref="AZ74" si="210">SUM(AZ70:AZ73)</f>
        <v>123795.24170224811</v>
      </c>
      <c r="BA74" s="87">
        <f t="shared" si="209"/>
        <v>123795.24170224811</v>
      </c>
      <c r="BB74" s="24">
        <f t="shared" si="209"/>
        <v>109484.49850045796</v>
      </c>
      <c r="BC74" s="24">
        <f t="shared" ref="BC74:BD74" si="211">SUM(BC70:BC73)</f>
        <v>109812.84331285214</v>
      </c>
      <c r="BD74" s="24">
        <f t="shared" si="211"/>
        <v>93890.408735530335</v>
      </c>
      <c r="BE74" s="24">
        <f t="shared" ref="BE74:BI74" si="212">SUM(BE70:BE73)</f>
        <v>140203.38083371983</v>
      </c>
      <c r="BF74" s="87">
        <f t="shared" si="212"/>
        <v>140203.38083371983</v>
      </c>
      <c r="BG74" s="24">
        <f t="shared" si="212"/>
        <v>110341.93124303408</v>
      </c>
      <c r="BH74" s="24">
        <f t="shared" si="212"/>
        <v>130674.42393016019</v>
      </c>
      <c r="BI74" s="24">
        <f t="shared" si="212"/>
        <v>96010.982328912418</v>
      </c>
      <c r="BJ74" s="24">
        <f t="shared" ref="BJ74:BU74" si="213">SUM(BJ70:BJ73)</f>
        <v>163863.99104572058</v>
      </c>
      <c r="BK74" s="87">
        <f t="shared" si="213"/>
        <v>163863.99104572058</v>
      </c>
      <c r="BL74" s="24">
        <f t="shared" si="213"/>
        <v>111601.88615590635</v>
      </c>
      <c r="BM74" s="24">
        <f t="shared" si="213"/>
        <v>158523.16966624884</v>
      </c>
      <c r="BN74" s="24">
        <f t="shared" si="213"/>
        <v>98297.443058415054</v>
      </c>
      <c r="BO74" s="24">
        <f t="shared" si="213"/>
        <v>194266.2991748167</v>
      </c>
      <c r="BP74" s="87">
        <f t="shared" si="213"/>
        <v>194266.2991748167</v>
      </c>
      <c r="BQ74" s="24">
        <f t="shared" si="213"/>
        <v>117855.82295124972</v>
      </c>
      <c r="BR74" s="24">
        <f t="shared" si="213"/>
        <v>193250.20360846131</v>
      </c>
      <c r="BS74" s="24">
        <f t="shared" si="213"/>
        <v>104431.87951783097</v>
      </c>
      <c r="BT74" s="24">
        <f t="shared" si="213"/>
        <v>232267.38007366651</v>
      </c>
      <c r="BU74" s="87">
        <f t="shared" si="213"/>
        <v>232267.38007366651</v>
      </c>
    </row>
    <row r="75" spans="2:73" outlineLevel="1" x14ac:dyDescent="0.3">
      <c r="B75" s="370" t="s">
        <v>151</v>
      </c>
      <c r="C75" s="374"/>
      <c r="D75" s="94">
        <v>922</v>
      </c>
      <c r="E75" s="102">
        <v>941</v>
      </c>
      <c r="F75" s="95">
        <v>1021</v>
      </c>
      <c r="G75" s="96">
        <v>1139</v>
      </c>
      <c r="H75" s="122">
        <f>G75</f>
        <v>1139</v>
      </c>
      <c r="I75" s="94">
        <v>1216</v>
      </c>
      <c r="J75" s="102">
        <v>1230</v>
      </c>
      <c r="K75" s="95">
        <v>1407</v>
      </c>
      <c r="L75" s="96">
        <v>1686</v>
      </c>
      <c r="M75" s="122">
        <f>L75</f>
        <v>1686</v>
      </c>
      <c r="N75" s="94">
        <v>2187</v>
      </c>
      <c r="O75" s="102">
        <v>2446</v>
      </c>
      <c r="P75" s="95">
        <v>2530</v>
      </c>
      <c r="Q75" s="96">
        <v>2648</v>
      </c>
      <c r="R75" s="122">
        <f>Q75</f>
        <v>2648</v>
      </c>
      <c r="S75" s="94">
        <v>2938</v>
      </c>
      <c r="T75" s="102">
        <v>2877</v>
      </c>
      <c r="U75" s="95">
        <v>2672</v>
      </c>
      <c r="V75" s="96">
        <v>2625</v>
      </c>
      <c r="W75" s="122">
        <f>V75</f>
        <v>2625</v>
      </c>
      <c r="X75" s="94">
        <v>3071</v>
      </c>
      <c r="Y75" s="102">
        <v>3164</v>
      </c>
      <c r="Z75" s="95">
        <v>3058</v>
      </c>
      <c r="AA75" s="96">
        <v>3031</v>
      </c>
      <c r="AB75" s="122">
        <f>AA75</f>
        <v>3031</v>
      </c>
      <c r="AC75" s="125">
        <v>3480</v>
      </c>
      <c r="AD75" s="125">
        <v>3571</v>
      </c>
      <c r="AE75" s="125">
        <v>3474</v>
      </c>
      <c r="AF75" s="125">
        <v>3624</v>
      </c>
      <c r="AG75" s="85">
        <f>AF75</f>
        <v>3624</v>
      </c>
      <c r="AH75" s="125">
        <v>3546</v>
      </c>
      <c r="AI75" s="125">
        <v>3322</v>
      </c>
      <c r="AJ75" s="125">
        <v>3064</v>
      </c>
      <c r="AK75" s="125">
        <v>2930</v>
      </c>
      <c r="AL75" s="85">
        <f>AK75</f>
        <v>2930</v>
      </c>
      <c r="AM75" s="125">
        <v>3163</v>
      </c>
      <c r="AN75" s="125">
        <v>3107</v>
      </c>
      <c r="AO75" s="299">
        <v>2984</v>
      </c>
      <c r="AP75" s="299">
        <v>2836</v>
      </c>
      <c r="AQ75" s="85">
        <f>AP75</f>
        <v>2836</v>
      </c>
      <c r="AR75" s="299">
        <v>3131</v>
      </c>
      <c r="AS75" s="299">
        <v>3087</v>
      </c>
      <c r="AT75" s="299">
        <v>2878</v>
      </c>
      <c r="AU75" s="299">
        <v>2797</v>
      </c>
      <c r="AV75" s="85">
        <f>AU75</f>
        <v>2797</v>
      </c>
      <c r="AW75" s="299"/>
      <c r="AX75" s="125">
        <v>0</v>
      </c>
      <c r="AY75" s="125"/>
      <c r="AZ75" s="125">
        <f>(AY10+AX10+AW10+AZ10)*AZ101*(1-AZ102)</f>
        <v>3825.3881435101362</v>
      </c>
      <c r="BA75" s="85">
        <f>AZ75</f>
        <v>3825.3881435101362</v>
      </c>
      <c r="BB75" s="125">
        <f>(AZ10+AY10+AX10+BB10)*BB101*(1-BB102)</f>
        <v>3872.0274757348448</v>
      </c>
      <c r="BC75" s="125">
        <f>(BB10+AZ10+AY10+BC10)*BC101*(1-BC102)</f>
        <v>3914.367425270329</v>
      </c>
      <c r="BD75" s="125">
        <f>(BC10+BB10+AZ10+BD10)*BD101*(1-BD102)</f>
        <v>3980.7519219480832</v>
      </c>
      <c r="BE75" s="125">
        <f>(BD10+BC10+BB10+BE10)*BE101*(1-BE102)</f>
        <v>4109.8505849307403</v>
      </c>
      <c r="BF75" s="85">
        <f>BE75</f>
        <v>4109.8505849307403</v>
      </c>
      <c r="BG75" s="125">
        <f>(BE10+BD10+BC10+BG10)*BG101*(1-BG102)</f>
        <v>4160.5864745999352</v>
      </c>
      <c r="BH75" s="125">
        <f>(BG10+BE10+BD10+BH10)*BH101*(1-BH102)</f>
        <v>4206.2553181039802</v>
      </c>
      <c r="BI75" s="125">
        <f>(BH10+BG10+BE10+BI10)*BI101*(1-BI102)</f>
        <v>4281.9786673438675</v>
      </c>
      <c r="BJ75" s="125">
        <f>(BI10+BH10+BG10+BJ10)*BJ101*(1-BJ102)</f>
        <v>4431.5028223496111</v>
      </c>
      <c r="BK75" s="85">
        <f>BJ75</f>
        <v>4431.5028223496111</v>
      </c>
      <c r="BL75" s="125">
        <f>(BJ10+BI10+BH10+BL10)*BL101*(1-BL102)</f>
        <v>4446.0286733438088</v>
      </c>
      <c r="BM75" s="125">
        <f>(BL10+BJ10+BI10+BM10)*BM101*(1-BM102)</f>
        <v>4461.8111405098762</v>
      </c>
      <c r="BN75" s="125">
        <f>(BM10+BL10+BJ10+BN10)*BN101*(1-BN102)</f>
        <v>4518.608353552776</v>
      </c>
      <c r="BO75" s="125">
        <f>(BN10+BM10+BL10+BO10)*BO101*(1-BO102)</f>
        <v>4662.3681779177068</v>
      </c>
      <c r="BP75" s="85">
        <f>BO75</f>
        <v>4662.3681779177068</v>
      </c>
      <c r="BQ75" s="125">
        <f>(BO10+BN10+BM10+BQ10)*BQ101*(1-BQ102)</f>
        <v>4702.0145185431475</v>
      </c>
      <c r="BR75" s="125">
        <f>(BQ10+BO10+BN10+BR10)*BR101*(1-BR102)</f>
        <v>4739.5010439213393</v>
      </c>
      <c r="BS75" s="125">
        <f>(BR10+BQ10+BO10+BS10)*BS101*(1-BS102)</f>
        <v>4816.5607280299746</v>
      </c>
      <c r="BT75" s="125">
        <f>(BS10+BR10+BQ10+BT10)*BT101*(1-BT102)</f>
        <v>4994.5046903470384</v>
      </c>
      <c r="BU75" s="85">
        <f>BT75</f>
        <v>4994.5046903470384</v>
      </c>
    </row>
    <row r="76" spans="2:73" ht="15.75" customHeight="1" outlineLevel="1" x14ac:dyDescent="0.3">
      <c r="B76" s="391" t="s">
        <v>152</v>
      </c>
      <c r="C76" s="392"/>
      <c r="D76" s="94">
        <v>0</v>
      </c>
      <c r="E76" s="102">
        <v>4539</v>
      </c>
      <c r="F76" s="95">
        <v>4981</v>
      </c>
      <c r="G76" s="96">
        <v>5531</v>
      </c>
      <c r="H76" s="122">
        <f>G76</f>
        <v>5531</v>
      </c>
      <c r="I76" s="94">
        <v>7065</v>
      </c>
      <c r="J76" s="102">
        <v>7870</v>
      </c>
      <c r="K76" s="95">
        <v>9149</v>
      </c>
      <c r="L76" s="96">
        <v>10100</v>
      </c>
      <c r="M76" s="122">
        <f>L76</f>
        <v>10100</v>
      </c>
      <c r="N76" s="94">
        <v>11833</v>
      </c>
      <c r="O76" s="102">
        <v>13954</v>
      </c>
      <c r="P76" s="95">
        <v>15560</v>
      </c>
      <c r="Q76" s="96">
        <v>16664</v>
      </c>
      <c r="R76" s="122">
        <f>Q76</f>
        <v>16664</v>
      </c>
      <c r="S76" s="94">
        <v>18925</v>
      </c>
      <c r="T76" s="102">
        <v>20868</v>
      </c>
      <c r="U76" s="95">
        <v>16958</v>
      </c>
      <c r="V76" s="96">
        <v>16960</v>
      </c>
      <c r="W76" s="122">
        <f>V76</f>
        <v>16960</v>
      </c>
      <c r="X76" s="94">
        <v>16961</v>
      </c>
      <c r="Y76" s="102">
        <v>16962</v>
      </c>
      <c r="Z76" s="95">
        <v>29030</v>
      </c>
      <c r="AA76" s="96">
        <v>28987</v>
      </c>
      <c r="AB76" s="122">
        <f>AA76</f>
        <v>28987</v>
      </c>
      <c r="AC76" s="125">
        <v>32504</v>
      </c>
      <c r="AD76" s="125">
        <v>40072</v>
      </c>
      <c r="AE76" s="125">
        <v>47419</v>
      </c>
      <c r="AF76" s="125">
        <v>53463</v>
      </c>
      <c r="AG76" s="85">
        <f>AF76</f>
        <v>53463</v>
      </c>
      <c r="AH76" s="125">
        <v>53204</v>
      </c>
      <c r="AI76" s="125">
        <v>69374</v>
      </c>
      <c r="AJ76" s="125">
        <v>68939</v>
      </c>
      <c r="AK76" s="125">
        <v>75427</v>
      </c>
      <c r="AL76" s="85">
        <f>AK76</f>
        <v>75427</v>
      </c>
      <c r="AM76" s="125">
        <v>73557</v>
      </c>
      <c r="AN76" s="125">
        <v>84531</v>
      </c>
      <c r="AO76" s="299">
        <v>89864</v>
      </c>
      <c r="AP76" s="299">
        <v>97207</v>
      </c>
      <c r="AQ76" s="85">
        <f>AP76</f>
        <v>97207</v>
      </c>
      <c r="AR76" s="299">
        <v>103922</v>
      </c>
      <c r="AS76" s="299">
        <v>101362</v>
      </c>
      <c r="AT76" s="299">
        <v>97128</v>
      </c>
      <c r="AU76" s="299">
        <v>93735</v>
      </c>
      <c r="AV76" s="85">
        <f>AU76</f>
        <v>93735</v>
      </c>
      <c r="AW76" s="299">
        <v>92989</v>
      </c>
      <c r="AX76" s="125">
        <v>90201</v>
      </c>
      <c r="AY76" s="125">
        <v>84936</v>
      </c>
      <c r="AZ76" s="125">
        <f>+AZ85*AZ104*(1-AZ106)</f>
        <v>86528.823464436922</v>
      </c>
      <c r="BA76" s="85">
        <f>AZ76</f>
        <v>86528.823464436922</v>
      </c>
      <c r="BB76" s="125">
        <f>+BB85*BB104*(1-BB106)</f>
        <v>90832.127398417579</v>
      </c>
      <c r="BC76" s="125">
        <f>+BC85*BC104*(1-BC106)</f>
        <v>94156.637509571679</v>
      </c>
      <c r="BD76" s="125">
        <f>+BD85*BD104*(1-BD106)</f>
        <v>94842.317727309157</v>
      </c>
      <c r="BE76" s="125">
        <f>+BE85*BE104*(1-BE106)</f>
        <v>98674.295609310779</v>
      </c>
      <c r="BF76" s="85">
        <f>BE76</f>
        <v>98674.295609310779</v>
      </c>
      <c r="BG76" s="125">
        <f>+BG85*BG104*(1-BG106)</f>
        <v>104349.74182373162</v>
      </c>
      <c r="BH76" s="125">
        <f>+BH85*BH104*(1-BH106)</f>
        <v>107105.15175435203</v>
      </c>
      <c r="BI76" s="125">
        <f>+BI85*BI104*(1-BI106)</f>
        <v>108495.42377832314</v>
      </c>
      <c r="BJ76" s="125">
        <f>+BJ85*BJ104*(1-BJ106)</f>
        <v>114724.10293898237</v>
      </c>
      <c r="BK76" s="85">
        <f>BJ76</f>
        <v>114724.10293898237</v>
      </c>
      <c r="BL76" s="125">
        <f>+BL85*BL104*(1-BL106)</f>
        <v>120620.90432058509</v>
      </c>
      <c r="BM76" s="125">
        <f>+BM85*BM104*(1-BM106)</f>
        <v>123410.71536375137</v>
      </c>
      <c r="BN76" s="125">
        <f>+BN85*BN104*(1-BN106)</f>
        <v>125537.80525908389</v>
      </c>
      <c r="BO76" s="125">
        <f>+BO85*BO104*(1-BO106)</f>
        <v>133652.37543299698</v>
      </c>
      <c r="BP76" s="85">
        <f>BO76</f>
        <v>133652.37543299698</v>
      </c>
      <c r="BQ76" s="125">
        <f>+BQ85*BQ104*(1-BQ106)</f>
        <v>140027.4888515606</v>
      </c>
      <c r="BR76" s="125">
        <f>+BR85*BR104*(1-BR106)</f>
        <v>143314.60056712865</v>
      </c>
      <c r="BS76" s="125">
        <f>+BS85*BS104*(1-BS106)</f>
        <v>146389.79086661327</v>
      </c>
      <c r="BT76" s="125">
        <f>+BT85*BT104*(1-BT106)</f>
        <v>156715.12107871289</v>
      </c>
      <c r="BU76" s="85">
        <f>BT76</f>
        <v>156715.12107871289</v>
      </c>
    </row>
    <row r="77" spans="2:73" ht="15.75" customHeight="1" outlineLevel="1" x14ac:dyDescent="0.45">
      <c r="B77" s="391" t="s">
        <v>153</v>
      </c>
      <c r="C77" s="392"/>
      <c r="D77" s="164">
        <v>4139</v>
      </c>
      <c r="E77" s="165">
        <v>0</v>
      </c>
      <c r="F77" s="165">
        <v>0</v>
      </c>
      <c r="G77" s="166">
        <v>0</v>
      </c>
      <c r="H77" s="167">
        <f>G77</f>
        <v>0</v>
      </c>
      <c r="I77" s="164">
        <v>0</v>
      </c>
      <c r="J77" s="165">
        <v>0</v>
      </c>
      <c r="K77" s="165">
        <v>0</v>
      </c>
      <c r="L77" s="166">
        <v>0</v>
      </c>
      <c r="M77" s="167">
        <f>L77</f>
        <v>0</v>
      </c>
      <c r="N77" s="164">
        <v>0</v>
      </c>
      <c r="O77" s="165">
        <v>0</v>
      </c>
      <c r="P77" s="165">
        <v>0</v>
      </c>
      <c r="Q77" s="166">
        <v>0</v>
      </c>
      <c r="R77" s="167">
        <f>Q77</f>
        <v>0</v>
      </c>
      <c r="S77" s="164">
        <v>0</v>
      </c>
      <c r="T77" s="165">
        <v>0</v>
      </c>
      <c r="U77" s="165">
        <v>20553</v>
      </c>
      <c r="V77" s="166">
        <v>20208</v>
      </c>
      <c r="W77" s="167">
        <v>20208</v>
      </c>
      <c r="X77" s="164">
        <v>21699</v>
      </c>
      <c r="Y77" s="323">
        <v>22476</v>
      </c>
      <c r="Z77" s="165">
        <v>23287</v>
      </c>
      <c r="AA77" s="166">
        <v>24826</v>
      </c>
      <c r="AB77" s="167">
        <v>24826</v>
      </c>
      <c r="AC77" s="41">
        <v>28971</v>
      </c>
      <c r="AD77" s="41">
        <v>29816</v>
      </c>
      <c r="AE77" s="41">
        <v>31296</v>
      </c>
      <c r="AF77" s="41">
        <v>33427</v>
      </c>
      <c r="AG77" s="167">
        <v>33427</v>
      </c>
      <c r="AH77" s="41">
        <v>32175</v>
      </c>
      <c r="AI77" s="41">
        <v>33859</v>
      </c>
      <c r="AJ77" s="41">
        <v>35572</v>
      </c>
      <c r="AK77" s="41">
        <f>36074</f>
        <v>36074</v>
      </c>
      <c r="AL77" s="167">
        <v>36074</v>
      </c>
      <c r="AM77" s="41">
        <v>37901</v>
      </c>
      <c r="AN77" s="41">
        <v>39470</v>
      </c>
      <c r="AO77" s="300">
        <v>38598</v>
      </c>
      <c r="AP77" s="300">
        <v>40415</v>
      </c>
      <c r="AQ77" s="167">
        <f>AP77</f>
        <v>40415</v>
      </c>
      <c r="AR77" s="300">
        <v>43754</v>
      </c>
      <c r="AS77" s="300">
        <v>46855</v>
      </c>
      <c r="AT77" s="300">
        <v>45694</v>
      </c>
      <c r="AU77" s="300">
        <v>45180</v>
      </c>
      <c r="AV77" s="167">
        <f>AU77</f>
        <v>45180</v>
      </c>
      <c r="AW77" s="300">
        <v>54555</v>
      </c>
      <c r="AX77" s="41">
        <v>52165</v>
      </c>
      <c r="AY77" s="41">
        <v>51143</v>
      </c>
      <c r="AZ77" s="41">
        <f>AY77*(AU77/AT77)</f>
        <v>50567.705606863041</v>
      </c>
      <c r="BA77" s="167">
        <f>AZ77</f>
        <v>50567.705606863041</v>
      </c>
      <c r="BB77" s="41">
        <f>BA77*(AW77/AU77)</f>
        <v>61060.672407755941</v>
      </c>
      <c r="BC77" s="41">
        <f>BB77*(AX77/AW77)</f>
        <v>58385.665404648309</v>
      </c>
      <c r="BD77" s="41">
        <f>BC77*(AY77/AX77)</f>
        <v>57241.79211712697</v>
      </c>
      <c r="BE77" s="41">
        <f>BD77*(AZ77/AY77)</f>
        <v>56597.893987214877</v>
      </c>
      <c r="BF77" s="167">
        <f>BE77</f>
        <v>56597.893987214877</v>
      </c>
      <c r="BG77" s="41">
        <f>BF77*(BB77/AZ77)</f>
        <v>68342.144897576538</v>
      </c>
      <c r="BH77" s="41">
        <f>BG77*(BC77/BB77)</f>
        <v>65348.143865495003</v>
      </c>
      <c r="BI77" s="41">
        <f>BH77*(BD77/BC77)</f>
        <v>64067.863926253442</v>
      </c>
      <c r="BJ77" s="41">
        <f>BI77*(BE77/BD77)</f>
        <v>63347.181078218819</v>
      </c>
      <c r="BK77" s="167">
        <f>BJ77</f>
        <v>63347.181078218819</v>
      </c>
      <c r="BL77" s="41">
        <f>BK77*(BG77/BE77)</f>
        <v>76491.931467955481</v>
      </c>
      <c r="BM77" s="41">
        <f>BL77*(BH77/BG77)</f>
        <v>73140.896435265284</v>
      </c>
      <c r="BN77" s="41">
        <f>BM77*(BI77/BH77)</f>
        <v>71707.943379445453</v>
      </c>
      <c r="BO77" s="41">
        <f>BN77*(BJ77/BI77)</f>
        <v>70901.319251616093</v>
      </c>
      <c r="BP77" s="167">
        <f>BO77</f>
        <v>70901.319251616093</v>
      </c>
      <c r="BQ77" s="41">
        <f>BP77*(BL77/BJ77)</f>
        <v>85613.5783924727</v>
      </c>
      <c r="BR77" s="41">
        <f>BQ77*(BM77/BL77)</f>
        <v>81862.933128830322</v>
      </c>
      <c r="BS77" s="41">
        <f>BR77*(BN77/BM77)</f>
        <v>80259.100719021735</v>
      </c>
      <c r="BT77" s="41">
        <f>BS77*(BO77/BN77)</f>
        <v>79356.286831649719</v>
      </c>
      <c r="BU77" s="167">
        <f>BT77</f>
        <v>79356.286831649719</v>
      </c>
    </row>
    <row r="78" spans="2:73" outlineLevel="1" x14ac:dyDescent="0.3">
      <c r="B78" s="375" t="s">
        <v>21</v>
      </c>
      <c r="C78" s="376"/>
      <c r="D78" s="75">
        <f t="shared" ref="D78:AI78" si="214">SUM(D74:D77)</f>
        <v>18158</v>
      </c>
      <c r="E78" s="73">
        <f t="shared" si="214"/>
        <v>17709</v>
      </c>
      <c r="F78" s="73">
        <f t="shared" si="214"/>
        <v>21614</v>
      </c>
      <c r="G78" s="86">
        <f t="shared" si="214"/>
        <v>27392</v>
      </c>
      <c r="H78" s="87">
        <f t="shared" si="214"/>
        <v>27392</v>
      </c>
      <c r="I78" s="75">
        <f t="shared" si="214"/>
        <v>32076</v>
      </c>
      <c r="J78" s="73">
        <f t="shared" si="214"/>
        <v>33427</v>
      </c>
      <c r="K78" s="73">
        <f t="shared" si="214"/>
        <v>37415</v>
      </c>
      <c r="L78" s="86">
        <f t="shared" si="214"/>
        <v>39756</v>
      </c>
      <c r="M78" s="87">
        <f t="shared" si="214"/>
        <v>39756</v>
      </c>
      <c r="N78" s="75">
        <f t="shared" si="214"/>
        <v>48627</v>
      </c>
      <c r="O78" s="73">
        <f t="shared" si="214"/>
        <v>48436</v>
      </c>
      <c r="P78" s="73">
        <f t="shared" si="214"/>
        <v>51150</v>
      </c>
      <c r="Q78" s="86">
        <f t="shared" si="214"/>
        <v>57854</v>
      </c>
      <c r="R78" s="87">
        <f t="shared" si="214"/>
        <v>57854</v>
      </c>
      <c r="S78" s="75">
        <f t="shared" si="214"/>
        <v>68742</v>
      </c>
      <c r="T78" s="73">
        <f t="shared" si="214"/>
        <v>59253</v>
      </c>
      <c r="U78" s="73">
        <f t="shared" si="214"/>
        <v>76502</v>
      </c>
      <c r="V78" s="86">
        <f t="shared" si="214"/>
        <v>83451</v>
      </c>
      <c r="W78" s="87">
        <f t="shared" si="214"/>
        <v>83451</v>
      </c>
      <c r="X78" s="75">
        <f t="shared" si="214"/>
        <v>95500</v>
      </c>
      <c r="Y78" s="73">
        <f t="shared" si="214"/>
        <v>85810</v>
      </c>
      <c r="Z78" s="73">
        <f t="shared" si="214"/>
        <v>101580</v>
      </c>
      <c r="AA78" s="86">
        <f t="shared" si="214"/>
        <v>120292</v>
      </c>
      <c r="AB78" s="87">
        <f t="shared" si="214"/>
        <v>120292</v>
      </c>
      <c r="AC78" s="24">
        <f t="shared" si="214"/>
        <v>138566</v>
      </c>
      <c r="AD78" s="24">
        <f t="shared" si="214"/>
        <v>132188</v>
      </c>
      <c r="AE78" s="24">
        <f t="shared" si="214"/>
        <v>147474</v>
      </c>
      <c r="AF78" s="24">
        <f t="shared" si="214"/>
        <v>171124</v>
      </c>
      <c r="AG78" s="87">
        <f t="shared" si="214"/>
        <v>171124</v>
      </c>
      <c r="AH78" s="24">
        <f t="shared" si="214"/>
        <v>165017</v>
      </c>
      <c r="AI78" s="24">
        <f t="shared" si="214"/>
        <v>174820</v>
      </c>
      <c r="AJ78" s="24">
        <f t="shared" ref="AJ78:AY78" si="215">SUM(AJ74:AJ77)</f>
        <v>179061</v>
      </c>
      <c r="AK78" s="24">
        <f t="shared" si="215"/>
        <v>193437</v>
      </c>
      <c r="AL78" s="87">
        <f t="shared" si="215"/>
        <v>193437</v>
      </c>
      <c r="AM78" s="24">
        <f t="shared" si="215"/>
        <v>198751</v>
      </c>
      <c r="AN78" s="24">
        <f t="shared" si="215"/>
        <v>200450</v>
      </c>
      <c r="AO78" s="24">
        <f t="shared" si="215"/>
        <v>212748</v>
      </c>
      <c r="AP78" s="24">
        <f t="shared" si="215"/>
        <v>241272</v>
      </c>
      <c r="AQ78" s="24">
        <f t="shared" si="215"/>
        <v>241272</v>
      </c>
      <c r="AR78" s="24">
        <f t="shared" si="215"/>
        <v>266595</v>
      </c>
      <c r="AS78" s="24">
        <f t="shared" si="215"/>
        <v>240624</v>
      </c>
      <c r="AT78" s="24">
        <f t="shared" si="215"/>
        <v>234248</v>
      </c>
      <c r="AU78" s="24">
        <f t="shared" si="215"/>
        <v>258578</v>
      </c>
      <c r="AV78" s="24">
        <f t="shared" si="215"/>
        <v>258578</v>
      </c>
      <c r="AW78" s="24">
        <f t="shared" si="215"/>
        <v>255827</v>
      </c>
      <c r="AX78" s="24">
        <f t="shared" si="215"/>
        <v>236138</v>
      </c>
      <c r="AY78" s="24">
        <f t="shared" si="215"/>
        <v>225783</v>
      </c>
      <c r="AZ78" s="24">
        <f t="shared" ref="AZ78" si="216">SUM(AZ74:AZ77)</f>
        <v>264717.1589170582</v>
      </c>
      <c r="BA78" s="87">
        <f>SUM(BA74:BA77)</f>
        <v>264717.1589170582</v>
      </c>
      <c r="BB78" s="24">
        <f t="shared" ref="BB78:BC78" si="217">SUM(BB74:BB77)</f>
        <v>265249.32578236633</v>
      </c>
      <c r="BC78" s="24">
        <f t="shared" si="217"/>
        <v>266269.51365234243</v>
      </c>
      <c r="BD78" s="24">
        <f t="shared" ref="BD78:BE78" si="218">SUM(BD74:BD77)</f>
        <v>249955.27050191455</v>
      </c>
      <c r="BE78" s="24">
        <f t="shared" si="218"/>
        <v>299585.42101517622</v>
      </c>
      <c r="BF78" s="87">
        <f>SUM(BF74:BF77)</f>
        <v>299585.42101517622</v>
      </c>
      <c r="BG78" s="24">
        <f t="shared" ref="BG78:BJ78" si="219">SUM(BG74:BG77)</f>
        <v>287194.40443894215</v>
      </c>
      <c r="BH78" s="24">
        <f t="shared" si="219"/>
        <v>307333.9748681112</v>
      </c>
      <c r="BI78" s="24">
        <f t="shared" si="219"/>
        <v>272856.24870083289</v>
      </c>
      <c r="BJ78" s="24">
        <f t="shared" si="219"/>
        <v>346366.77788527135</v>
      </c>
      <c r="BK78" s="87">
        <f>SUM(BK74:BK77)</f>
        <v>346366.77788527135</v>
      </c>
      <c r="BL78" s="24">
        <f t="shared" ref="BL78:BO78" si="220">SUM(BL74:BL77)</f>
        <v>313160.75061779073</v>
      </c>
      <c r="BM78" s="24">
        <f t="shared" si="220"/>
        <v>359536.59260577534</v>
      </c>
      <c r="BN78" s="24">
        <f t="shared" si="220"/>
        <v>300061.80005049717</v>
      </c>
      <c r="BO78" s="24">
        <f t="shared" si="220"/>
        <v>403482.36203734746</v>
      </c>
      <c r="BP78" s="87">
        <f>SUM(BP74:BP77)</f>
        <v>403482.36203734746</v>
      </c>
      <c r="BQ78" s="24">
        <f t="shared" ref="BQ78:BT78" si="221">SUM(BQ74:BQ77)</f>
        <v>348198.90471382614</v>
      </c>
      <c r="BR78" s="24">
        <f t="shared" si="221"/>
        <v>423167.23834834161</v>
      </c>
      <c r="BS78" s="24">
        <f t="shared" si="221"/>
        <v>335897.33183149598</v>
      </c>
      <c r="BT78" s="24">
        <f t="shared" si="221"/>
        <v>473333.29267437616</v>
      </c>
      <c r="BU78" s="87">
        <f>SUM(BU74:BU77)</f>
        <v>473333.29267437616</v>
      </c>
    </row>
    <row r="79" spans="2:73" ht="6.75" customHeight="1" outlineLevel="1" x14ac:dyDescent="0.3">
      <c r="B79" s="385"/>
      <c r="C79" s="386"/>
      <c r="D79" s="94"/>
      <c r="E79" s="95"/>
      <c r="F79" s="95"/>
      <c r="G79" s="96"/>
      <c r="H79" s="122"/>
      <c r="I79" s="94"/>
      <c r="J79" s="95"/>
      <c r="K79" s="95"/>
      <c r="L79" s="96"/>
      <c r="M79" s="122"/>
      <c r="N79" s="94"/>
      <c r="O79" s="95"/>
      <c r="P79" s="95"/>
      <c r="Q79" s="96"/>
      <c r="R79" s="122"/>
      <c r="S79" s="94"/>
      <c r="T79" s="95"/>
      <c r="U79" s="95"/>
      <c r="V79" s="96"/>
      <c r="W79" s="122"/>
      <c r="X79" s="94"/>
      <c r="Y79" s="95"/>
      <c r="Z79" s="95"/>
      <c r="AA79" s="96"/>
      <c r="AB79" s="122"/>
      <c r="AC79" s="125"/>
      <c r="AD79" s="125"/>
      <c r="AE79" s="125"/>
      <c r="AF79" s="125"/>
      <c r="AG79" s="85"/>
      <c r="AH79" s="125"/>
      <c r="AI79" s="125"/>
      <c r="AJ79" s="125"/>
      <c r="AK79" s="125"/>
      <c r="AL79" s="85"/>
      <c r="AM79" s="125"/>
      <c r="AN79" s="125"/>
      <c r="AO79" s="299"/>
      <c r="AP79" s="299"/>
      <c r="AQ79" s="85"/>
      <c r="AR79" s="299"/>
      <c r="AS79" s="299"/>
      <c r="AT79" s="299"/>
      <c r="AU79" s="299"/>
      <c r="AV79" s="85"/>
      <c r="AW79" s="299"/>
      <c r="AX79" s="125"/>
      <c r="AY79" s="125"/>
      <c r="AZ79" s="125"/>
      <c r="BA79" s="85"/>
      <c r="BB79" s="125"/>
      <c r="BC79" s="125"/>
      <c r="BD79" s="125"/>
      <c r="BE79" s="125"/>
      <c r="BF79" s="85"/>
      <c r="BG79" s="125"/>
      <c r="BH79" s="125"/>
      <c r="BI79" s="125"/>
      <c r="BJ79" s="125"/>
      <c r="BK79" s="85"/>
      <c r="BL79" s="125"/>
      <c r="BM79" s="125"/>
      <c r="BN79" s="125"/>
      <c r="BO79" s="125"/>
      <c r="BP79" s="85"/>
      <c r="BQ79" s="125"/>
      <c r="BR79" s="125"/>
      <c r="BS79" s="125"/>
      <c r="BT79" s="125"/>
      <c r="BU79" s="85"/>
    </row>
    <row r="80" spans="2:73" ht="14.25" customHeight="1" outlineLevel="1" x14ac:dyDescent="0.3">
      <c r="B80" s="360" t="s">
        <v>154</v>
      </c>
      <c r="C80" s="361"/>
      <c r="D80" s="94">
        <v>0</v>
      </c>
      <c r="E80" s="95">
        <v>0</v>
      </c>
      <c r="F80" s="95">
        <v>0</v>
      </c>
      <c r="G80" s="96">
        <v>0</v>
      </c>
      <c r="H80" s="122">
        <f>G80</f>
        <v>0</v>
      </c>
      <c r="I80" s="94"/>
      <c r="J80" s="95"/>
      <c r="K80" s="95"/>
      <c r="L80" s="96"/>
      <c r="M80" s="122">
        <f>L80</f>
        <v>0</v>
      </c>
      <c r="N80" s="94"/>
      <c r="O80" s="95"/>
      <c r="P80" s="95"/>
      <c r="Q80" s="96"/>
      <c r="R80" s="122">
        <f>Q80</f>
        <v>0</v>
      </c>
      <c r="S80" s="94"/>
      <c r="T80" s="95"/>
      <c r="U80" s="95"/>
      <c r="V80" s="96"/>
      <c r="W80" s="122">
        <f>V80</f>
        <v>0</v>
      </c>
      <c r="X80" s="94"/>
      <c r="Y80" s="95"/>
      <c r="Z80" s="95"/>
      <c r="AA80" s="96"/>
      <c r="AB80" s="122">
        <f>AA80</f>
        <v>0</v>
      </c>
      <c r="AC80" s="125">
        <f>AA80</f>
        <v>0</v>
      </c>
      <c r="AD80" s="125">
        <f t="shared" ref="AD80:BF80" si="222">AC80</f>
        <v>0</v>
      </c>
      <c r="AE80" s="125">
        <f t="shared" si="222"/>
        <v>0</v>
      </c>
      <c r="AF80" s="125">
        <f t="shared" si="222"/>
        <v>0</v>
      </c>
      <c r="AG80" s="85">
        <f t="shared" si="222"/>
        <v>0</v>
      </c>
      <c r="AH80" s="125">
        <f t="shared" si="222"/>
        <v>0</v>
      </c>
      <c r="AI80" s="125">
        <f t="shared" si="222"/>
        <v>0</v>
      </c>
      <c r="AJ80" s="125">
        <f t="shared" si="222"/>
        <v>0</v>
      </c>
      <c r="AK80" s="125">
        <f t="shared" si="222"/>
        <v>0</v>
      </c>
      <c r="AL80" s="85">
        <f t="shared" si="222"/>
        <v>0</v>
      </c>
      <c r="AM80" s="125">
        <f t="shared" si="222"/>
        <v>0</v>
      </c>
      <c r="AN80" s="125">
        <f t="shared" si="222"/>
        <v>0</v>
      </c>
      <c r="AO80" s="299"/>
      <c r="AP80" s="299"/>
      <c r="AQ80" s="85">
        <f t="shared" ref="AQ80:AV80" si="223">AP80</f>
        <v>0</v>
      </c>
      <c r="AR80" s="299"/>
      <c r="AS80" s="299"/>
      <c r="AT80" s="299"/>
      <c r="AU80" s="299"/>
      <c r="AV80" s="85">
        <f t="shared" si="223"/>
        <v>0</v>
      </c>
      <c r="AW80" s="299"/>
      <c r="AX80" s="125"/>
      <c r="AY80" s="125"/>
      <c r="AZ80" s="125">
        <f t="shared" si="222"/>
        <v>0</v>
      </c>
      <c r="BA80" s="85">
        <f t="shared" si="222"/>
        <v>0</v>
      </c>
      <c r="BB80" s="125">
        <f t="shared" si="222"/>
        <v>0</v>
      </c>
      <c r="BC80" s="125">
        <f t="shared" si="222"/>
        <v>0</v>
      </c>
      <c r="BD80" s="125">
        <f t="shared" si="222"/>
        <v>0</v>
      </c>
      <c r="BE80" s="125">
        <f t="shared" si="222"/>
        <v>0</v>
      </c>
      <c r="BF80" s="85">
        <f t="shared" si="222"/>
        <v>0</v>
      </c>
      <c r="BG80" s="125">
        <f t="shared" ref="BG80" si="224">BF80</f>
        <v>0</v>
      </c>
      <c r="BH80" s="125">
        <f t="shared" ref="BH80" si="225">BG80</f>
        <v>0</v>
      </c>
      <c r="BI80" s="125">
        <f t="shared" ref="BI80" si="226">BH80</f>
        <v>0</v>
      </c>
      <c r="BJ80" s="125">
        <f t="shared" ref="BJ80" si="227">BI80</f>
        <v>0</v>
      </c>
      <c r="BK80" s="85">
        <f t="shared" ref="BK80" si="228">BJ80</f>
        <v>0</v>
      </c>
      <c r="BL80" s="125">
        <f t="shared" ref="BL80" si="229">BK80</f>
        <v>0</v>
      </c>
      <c r="BM80" s="125">
        <f t="shared" ref="BM80" si="230">BL80</f>
        <v>0</v>
      </c>
      <c r="BN80" s="125">
        <f t="shared" ref="BN80" si="231">BM80</f>
        <v>0</v>
      </c>
      <c r="BO80" s="125">
        <f t="shared" ref="BO80" si="232">BN80</f>
        <v>0</v>
      </c>
      <c r="BP80" s="85">
        <f t="shared" ref="BP80" si="233">BO80</f>
        <v>0</v>
      </c>
      <c r="BQ80" s="125">
        <f t="shared" ref="BQ80" si="234">BP80</f>
        <v>0</v>
      </c>
      <c r="BR80" s="125">
        <f t="shared" ref="BR80" si="235">BQ80</f>
        <v>0</v>
      </c>
      <c r="BS80" s="125">
        <f t="shared" ref="BS80" si="236">BR80</f>
        <v>0</v>
      </c>
      <c r="BT80" s="125">
        <f t="shared" ref="BT80" si="237">BS80</f>
        <v>0</v>
      </c>
      <c r="BU80" s="85">
        <f t="shared" ref="BU80" si="238">BT80</f>
        <v>0</v>
      </c>
    </row>
    <row r="81" spans="2:91" outlineLevel="1" x14ac:dyDescent="0.3">
      <c r="B81" s="383" t="s">
        <v>22</v>
      </c>
      <c r="C81" s="384"/>
      <c r="D81" s="94"/>
      <c r="E81" s="95"/>
      <c r="F81" s="95"/>
      <c r="G81" s="96"/>
      <c r="H81" s="122"/>
      <c r="I81" s="94"/>
      <c r="J81" s="95"/>
      <c r="K81" s="95"/>
      <c r="L81" s="96"/>
      <c r="M81" s="122"/>
      <c r="N81" s="94"/>
      <c r="O81" s="95"/>
      <c r="P81" s="95"/>
      <c r="Q81" s="96"/>
      <c r="R81" s="122"/>
      <c r="S81" s="94"/>
      <c r="T81" s="95"/>
      <c r="U81" s="95"/>
      <c r="V81" s="96"/>
      <c r="W81" s="85"/>
      <c r="X81" s="94"/>
      <c r="Y81" s="95"/>
      <c r="Z81" s="95"/>
      <c r="AA81" s="96"/>
      <c r="AB81" s="85"/>
      <c r="AC81" s="125"/>
      <c r="AD81" s="125"/>
      <c r="AE81" s="125"/>
      <c r="AF81" s="125"/>
      <c r="AG81" s="85"/>
      <c r="AH81" s="125"/>
      <c r="AI81" s="125"/>
      <c r="AJ81" s="125"/>
      <c r="AK81" s="125"/>
      <c r="AL81" s="85"/>
      <c r="AM81" s="125"/>
      <c r="AN81" s="125"/>
      <c r="AO81" s="299"/>
      <c r="AP81" s="299"/>
      <c r="AQ81" s="85"/>
      <c r="AR81" s="299"/>
      <c r="AS81" s="299"/>
      <c r="AT81" s="299"/>
      <c r="AU81" s="299"/>
      <c r="AV81" s="85"/>
      <c r="AW81" s="299"/>
      <c r="AX81" s="125"/>
      <c r="AY81" s="125"/>
      <c r="AZ81" s="125"/>
      <c r="BA81" s="85"/>
      <c r="BB81" s="125"/>
      <c r="BC81" s="125"/>
      <c r="BD81" s="125"/>
      <c r="BE81" s="125"/>
      <c r="BF81" s="85"/>
      <c r="BG81" s="125"/>
      <c r="BH81" s="125"/>
      <c r="BI81" s="125"/>
      <c r="BJ81" s="125"/>
      <c r="BK81" s="85"/>
      <c r="BL81" s="125"/>
      <c r="BM81" s="125"/>
      <c r="BN81" s="125"/>
      <c r="BO81" s="125"/>
      <c r="BP81" s="85"/>
      <c r="BQ81" s="125"/>
      <c r="BR81" s="125"/>
      <c r="BS81" s="125"/>
      <c r="BT81" s="125"/>
      <c r="BU81" s="85"/>
    </row>
    <row r="82" spans="2:91" outlineLevel="1" x14ac:dyDescent="0.3">
      <c r="B82" s="360" t="s">
        <v>23</v>
      </c>
      <c r="C82" s="361"/>
      <c r="D82" s="94">
        <v>8962</v>
      </c>
      <c r="E82" s="102">
        <v>9553</v>
      </c>
      <c r="F82" s="95">
        <v>10133</v>
      </c>
      <c r="G82" s="96">
        <v>10668</v>
      </c>
      <c r="H82" s="122">
        <f>G82</f>
        <v>10668</v>
      </c>
      <c r="I82" s="94">
        <v>11502</v>
      </c>
      <c r="J82" s="102">
        <v>12326</v>
      </c>
      <c r="K82" s="95">
        <v>12715</v>
      </c>
      <c r="L82" s="96">
        <v>13331</v>
      </c>
      <c r="M82" s="122">
        <f>L82</f>
        <v>13331</v>
      </c>
      <c r="N82" s="94">
        <v>13961</v>
      </c>
      <c r="O82" s="102">
        <v>14850</v>
      </c>
      <c r="P82" s="95">
        <v>15573</v>
      </c>
      <c r="Q82" s="96">
        <v>16422</v>
      </c>
      <c r="R82" s="122">
        <f>Q82</f>
        <v>16422</v>
      </c>
      <c r="S82" s="94">
        <v>17167</v>
      </c>
      <c r="T82" s="102">
        <v>17954</v>
      </c>
      <c r="U82" s="95">
        <v>19024</v>
      </c>
      <c r="V82" s="96">
        <v>19764</v>
      </c>
      <c r="W82" s="122">
        <f>V82</f>
        <v>19764</v>
      </c>
      <c r="X82" s="94">
        <v>20559</v>
      </c>
      <c r="Y82" s="102">
        <v>21496</v>
      </c>
      <c r="Z82" s="95">
        <v>22139</v>
      </c>
      <c r="AA82" s="96">
        <v>23313</v>
      </c>
      <c r="AB82" s="122">
        <f>AA82</f>
        <v>23313</v>
      </c>
      <c r="AC82" s="125">
        <v>24187</v>
      </c>
      <c r="AD82" s="125">
        <v>25376</v>
      </c>
      <c r="AE82" s="125">
        <v>26327</v>
      </c>
      <c r="AF82" s="125">
        <v>27416</v>
      </c>
      <c r="AG82" s="85">
        <f>AF82</f>
        <v>27416</v>
      </c>
      <c r="AH82" s="125">
        <v>28253</v>
      </c>
      <c r="AI82" s="125">
        <v>29484</v>
      </c>
      <c r="AJ82" s="125">
        <v>30106</v>
      </c>
      <c r="AK82" s="125">
        <v>31251</v>
      </c>
      <c r="AL82" s="85">
        <f>AK82</f>
        <v>31251</v>
      </c>
      <c r="AM82" s="125">
        <v>32144</v>
      </c>
      <c r="AN82" s="125">
        <v>33579</v>
      </c>
      <c r="AO82" s="299">
        <v>34445</v>
      </c>
      <c r="AP82" s="299">
        <v>35867</v>
      </c>
      <c r="AQ82" s="85">
        <f>AP82</f>
        <v>35867</v>
      </c>
      <c r="AR82" s="299">
        <v>36447</v>
      </c>
      <c r="AS82" s="299">
        <v>38044</v>
      </c>
      <c r="AT82" s="299">
        <v>38624</v>
      </c>
      <c r="AU82" s="299">
        <v>40201</v>
      </c>
      <c r="AV82" s="85">
        <f>AU82</f>
        <v>40201</v>
      </c>
      <c r="AW82" s="299">
        <v>40970</v>
      </c>
      <c r="AX82" s="125">
        <v>42801</v>
      </c>
      <c r="AY82" s="125">
        <v>43371</v>
      </c>
      <c r="AZ82" s="125">
        <f t="shared" ref="AZ82" si="239">AY82+AZ115+AZ141+AZ142</f>
        <v>44439.668799329251</v>
      </c>
      <c r="BA82" s="85">
        <f>AZ82</f>
        <v>44439.668799329251</v>
      </c>
      <c r="BB82" s="125">
        <f>AZ82+BB115+BB141+BB142</f>
        <v>44656.155140487746</v>
      </c>
      <c r="BC82" s="125">
        <f>BB82+BC115+BC141+BC142</f>
        <v>45928.485112402312</v>
      </c>
      <c r="BD82" s="125">
        <f>BC82+BD115+BD141+BD142</f>
        <v>46235.662105365256</v>
      </c>
      <c r="BE82" s="125">
        <f>BD82+BE115+BE141+BE142</f>
        <v>47698.256106156012</v>
      </c>
      <c r="BF82" s="85">
        <f>BE82</f>
        <v>47698.256106156012</v>
      </c>
      <c r="BG82" s="125">
        <f>BE82+BG115+BG141+BG142</f>
        <v>47923.396871705234</v>
      </c>
      <c r="BH82" s="125">
        <f>BG82+BH115+BH141+BH142</f>
        <v>49261.490352719768</v>
      </c>
      <c r="BI82" s="125">
        <f>BH82+BI115+BI141+BI142</f>
        <v>49596.142019303988</v>
      </c>
      <c r="BJ82" s="125">
        <f>BI82+BJ115+BJ141+BJ142</f>
        <v>51255.660383461705</v>
      </c>
      <c r="BK82" s="85">
        <f>BJ82</f>
        <v>51255.660383461705</v>
      </c>
      <c r="BL82" s="125">
        <f>BJ82+BL115+BL141+BL142</f>
        <v>51483.27893899272</v>
      </c>
      <c r="BM82" s="125">
        <f>BL82+BM115+BM141+BM142</f>
        <v>52844.099302132134</v>
      </c>
      <c r="BN82" s="125">
        <f>BM82+BN115+BN141+BN142</f>
        <v>53199.358679635312</v>
      </c>
      <c r="BO82" s="125">
        <f>BN82+BO115+BO141+BO142</f>
        <v>55048.209743180101</v>
      </c>
      <c r="BP82" s="85">
        <f>BO82</f>
        <v>55048.209743180101</v>
      </c>
      <c r="BQ82" s="125">
        <f>BO82+BQ115+BQ141+BQ142</f>
        <v>55282.59109048533</v>
      </c>
      <c r="BR82" s="125">
        <f>BQ82+BR115+BR141+BR142</f>
        <v>56697.392357533907</v>
      </c>
      <c r="BS82" s="125">
        <f>BR82+BS115+BS141+BS142</f>
        <v>57080.611270523768</v>
      </c>
      <c r="BT82" s="125">
        <f>BS82+BT115+BT141+BT142</f>
        <v>59163.815783468999</v>
      </c>
      <c r="BU82" s="85">
        <f>BT82</f>
        <v>59163.815783468999</v>
      </c>
    </row>
    <row r="83" spans="2:91" outlineLevel="1" x14ac:dyDescent="0.3">
      <c r="B83" s="391" t="s">
        <v>155</v>
      </c>
      <c r="C83" s="392"/>
      <c r="D83" s="94">
        <v>26695</v>
      </c>
      <c r="E83" s="102">
        <v>29670</v>
      </c>
      <c r="F83" s="95">
        <v>32870</v>
      </c>
      <c r="G83" s="96">
        <v>37169</v>
      </c>
      <c r="H83" s="122">
        <f>G83</f>
        <v>37169</v>
      </c>
      <c r="I83" s="94">
        <v>43050</v>
      </c>
      <c r="J83" s="102">
        <v>49025</v>
      </c>
      <c r="K83" s="95">
        <v>56239</v>
      </c>
      <c r="L83" s="96">
        <v>62841</v>
      </c>
      <c r="M83" s="122">
        <f>L83</f>
        <v>62841</v>
      </c>
      <c r="N83" s="94">
        <v>75709</v>
      </c>
      <c r="O83" s="102">
        <v>87124</v>
      </c>
      <c r="P83" s="95">
        <v>95641</v>
      </c>
      <c r="Q83" s="96">
        <v>101289</v>
      </c>
      <c r="R83" s="122">
        <f>Q83</f>
        <v>101289</v>
      </c>
      <c r="S83" s="94">
        <v>109567</v>
      </c>
      <c r="T83" s="102">
        <v>116572</v>
      </c>
      <c r="U83" s="95">
        <v>104564</v>
      </c>
      <c r="V83" s="96">
        <v>104256</v>
      </c>
      <c r="W83" s="122">
        <f>V83</f>
        <v>104256</v>
      </c>
      <c r="X83" s="94">
        <v>109431</v>
      </c>
      <c r="Y83" s="102">
        <v>98934</v>
      </c>
      <c r="Z83" s="95">
        <v>98715</v>
      </c>
      <c r="AA83" s="96">
        <v>87152</v>
      </c>
      <c r="AB83" s="122">
        <f>AA83</f>
        <v>87152</v>
      </c>
      <c r="AC83" s="125">
        <v>97178</v>
      </c>
      <c r="AD83" s="125">
        <v>100920</v>
      </c>
      <c r="AE83" s="125">
        <v>98252</v>
      </c>
      <c r="AF83" s="125">
        <v>92284</v>
      </c>
      <c r="AG83" s="85">
        <f>AF83</f>
        <v>92284</v>
      </c>
      <c r="AH83" s="125">
        <v>101494</v>
      </c>
      <c r="AI83" s="125">
        <v>102021</v>
      </c>
      <c r="AJ83" s="125">
        <v>96542</v>
      </c>
      <c r="AK83" s="125">
        <v>96364</v>
      </c>
      <c r="AL83" s="85">
        <f>AK83</f>
        <v>96364</v>
      </c>
      <c r="AM83" s="125">
        <v>100001</v>
      </c>
      <c r="AN83" s="125">
        <v>100925</v>
      </c>
      <c r="AO83" s="299">
        <v>98525</v>
      </c>
      <c r="AP83" s="299">
        <v>98330</v>
      </c>
      <c r="AQ83" s="85">
        <f>AP83</f>
        <v>98330</v>
      </c>
      <c r="AR83" s="299">
        <v>104593</v>
      </c>
      <c r="AS83" s="299">
        <v>91898</v>
      </c>
      <c r="AT83" s="299">
        <v>79436</v>
      </c>
      <c r="AU83" s="299">
        <v>70400</v>
      </c>
      <c r="AV83" s="85">
        <f>AU83</f>
        <v>70400</v>
      </c>
      <c r="AW83" s="299">
        <v>80510</v>
      </c>
      <c r="AX83" s="125">
        <v>64558</v>
      </c>
      <c r="AY83" s="125">
        <v>53724</v>
      </c>
      <c r="AZ83" s="125">
        <f>AY83+AZ111+AZ143+AZ144</f>
        <v>55764.496708694969</v>
      </c>
      <c r="BA83" s="85">
        <f>AZ83</f>
        <v>55764.496708694969</v>
      </c>
      <c r="BB83" s="125">
        <f>AZ83+BB111+BB143+BB144</f>
        <v>61409.703096080368</v>
      </c>
      <c r="BC83" s="125">
        <f>BB83+BC111+BC143+BC144</f>
        <v>62341.455213421941</v>
      </c>
      <c r="BD83" s="125">
        <f>BC83+BD111+BD143+BD144</f>
        <v>62691.887831780637</v>
      </c>
      <c r="BE83" s="125">
        <f>BD83+BE111+BE143+BE144</f>
        <v>66494.592500344399</v>
      </c>
      <c r="BF83" s="85">
        <f>BE83</f>
        <v>66494.592500344399</v>
      </c>
      <c r="BG83" s="125">
        <f>BE83+BG111+BG143+BG144</f>
        <v>72853.110084856497</v>
      </c>
      <c r="BH83" s="125">
        <f>BG83+BH111+BH143+BH144</f>
        <v>74414.729642619408</v>
      </c>
      <c r="BI83" s="125">
        <f>BH83+BI111+BI143+BI144</f>
        <v>75780.50232873144</v>
      </c>
      <c r="BJ83" s="125">
        <f>BI83+BJ111+BJ143+BJ144</f>
        <v>81555.210145689663</v>
      </c>
      <c r="BK83" s="85">
        <f>BJ83</f>
        <v>81555.210145689663</v>
      </c>
      <c r="BL83" s="125">
        <f>BJ83+BL111+BL143+BL144</f>
        <v>88180.224076420433</v>
      </c>
      <c r="BM83" s="125">
        <f>BL83+BM111+BM143+BM144</f>
        <v>90035.963048410762</v>
      </c>
      <c r="BN83" s="125">
        <f>BM83+BN111+BN143+BN144</f>
        <v>92203.383915768572</v>
      </c>
      <c r="BO83" s="125">
        <f>BN83+BO111+BO143+BO144</f>
        <v>99879.294499285548</v>
      </c>
      <c r="BP83" s="85">
        <f>BO83</f>
        <v>99879.294499285548</v>
      </c>
      <c r="BQ83" s="125">
        <f>BO83+BQ111+BQ143+BQ144</f>
        <v>107095.76351100141</v>
      </c>
      <c r="BR83" s="125">
        <f>BQ83+BR111+BR143+BR144</f>
        <v>109526.05922864193</v>
      </c>
      <c r="BS83" s="125">
        <f>BR83+BS111+BS143+BS144</f>
        <v>112753.44317783462</v>
      </c>
      <c r="BT83" s="125">
        <f>BS83+BT111+BT143+BT144</f>
        <v>122767.1672766069</v>
      </c>
      <c r="BU83" s="85">
        <f>BT83</f>
        <v>122767.1672766069</v>
      </c>
    </row>
    <row r="84" spans="2:91" ht="16.2" outlineLevel="1" x14ac:dyDescent="0.45">
      <c r="B84" s="389" t="s">
        <v>24</v>
      </c>
      <c r="C84" s="390"/>
      <c r="D84" s="164">
        <v>111</v>
      </c>
      <c r="E84" s="165">
        <v>125</v>
      </c>
      <c r="F84" s="165">
        <v>108</v>
      </c>
      <c r="G84" s="166">
        <v>-46</v>
      </c>
      <c r="H84" s="167">
        <f>G84</f>
        <v>-46</v>
      </c>
      <c r="I84" s="164">
        <v>114</v>
      </c>
      <c r="J84" s="165">
        <v>126</v>
      </c>
      <c r="K84" s="165">
        <v>389</v>
      </c>
      <c r="L84" s="166">
        <v>443</v>
      </c>
      <c r="M84" s="167">
        <f>L84</f>
        <v>443</v>
      </c>
      <c r="N84" s="164">
        <v>384</v>
      </c>
      <c r="O84" s="165">
        <v>524</v>
      </c>
      <c r="P84" s="165">
        <v>532</v>
      </c>
      <c r="Q84" s="166">
        <v>499</v>
      </c>
      <c r="R84" s="167">
        <f>Q84</f>
        <v>499</v>
      </c>
      <c r="S84" s="164">
        <v>612</v>
      </c>
      <c r="T84" s="165">
        <v>964</v>
      </c>
      <c r="U84" s="165">
        <v>-234</v>
      </c>
      <c r="V84" s="166">
        <v>-471</v>
      </c>
      <c r="W84" s="167">
        <f>V84</f>
        <v>-471</v>
      </c>
      <c r="X84" s="164">
        <v>-306</v>
      </c>
      <c r="Y84" s="165">
        <v>-251</v>
      </c>
      <c r="Z84" s="165">
        <v>86</v>
      </c>
      <c r="AA84" s="166">
        <v>1082</v>
      </c>
      <c r="AB84" s="167">
        <f>AA84</f>
        <v>1082</v>
      </c>
      <c r="AC84" s="41">
        <v>1963</v>
      </c>
      <c r="AD84" s="41">
        <v>2710</v>
      </c>
      <c r="AE84" s="41">
        <v>1098</v>
      </c>
      <c r="AF84" s="41">
        <v>-345</v>
      </c>
      <c r="AG84" s="167">
        <f>AF84</f>
        <v>-345</v>
      </c>
      <c r="AH84" s="41">
        <v>-1480</v>
      </c>
      <c r="AI84" s="41">
        <v>-1048</v>
      </c>
      <c r="AJ84" s="41">
        <v>-107</v>
      </c>
      <c r="AK84" s="41">
        <v>634</v>
      </c>
      <c r="AL84" s="167">
        <f>AK84</f>
        <v>634</v>
      </c>
      <c r="AM84" s="41">
        <v>245</v>
      </c>
      <c r="AN84" s="41">
        <v>-422</v>
      </c>
      <c r="AO84" s="300">
        <v>-545</v>
      </c>
      <c r="AP84" s="300">
        <v>-150</v>
      </c>
      <c r="AQ84" s="167">
        <f>AP84</f>
        <v>-150</v>
      </c>
      <c r="AR84" s="300">
        <v>-841</v>
      </c>
      <c r="AS84" s="300">
        <v>-3064</v>
      </c>
      <c r="AT84" s="300">
        <v>-3111</v>
      </c>
      <c r="AU84" s="300">
        <v>-3454</v>
      </c>
      <c r="AV84" s="167">
        <f>AU84</f>
        <v>-3454</v>
      </c>
      <c r="AW84" s="300">
        <v>-3588</v>
      </c>
      <c r="AX84" s="41">
        <v>-1499</v>
      </c>
      <c r="AY84" s="41">
        <v>-639</v>
      </c>
      <c r="AZ84" s="41">
        <f>AY84+2293</f>
        <v>1654</v>
      </c>
      <c r="BA84" s="167">
        <f>AZ84</f>
        <v>1654</v>
      </c>
      <c r="BB84" s="41">
        <f>AZ84</f>
        <v>1654</v>
      </c>
      <c r="BC84" s="41">
        <f>BB84</f>
        <v>1654</v>
      </c>
      <c r="BD84" s="41">
        <f>BC84</f>
        <v>1654</v>
      </c>
      <c r="BE84" s="41">
        <f>BD84</f>
        <v>1654</v>
      </c>
      <c r="BF84" s="167">
        <f>BE84</f>
        <v>1654</v>
      </c>
      <c r="BG84" s="41">
        <f>BE84</f>
        <v>1654</v>
      </c>
      <c r="BH84" s="41">
        <f>BG84</f>
        <v>1654</v>
      </c>
      <c r="BI84" s="41">
        <f>BH84</f>
        <v>1654</v>
      </c>
      <c r="BJ84" s="41">
        <f>BI84</f>
        <v>1654</v>
      </c>
      <c r="BK84" s="167">
        <f>BJ84</f>
        <v>1654</v>
      </c>
      <c r="BL84" s="41">
        <f>BJ84</f>
        <v>1654</v>
      </c>
      <c r="BM84" s="41">
        <f>BL84</f>
        <v>1654</v>
      </c>
      <c r="BN84" s="41">
        <f>BM84</f>
        <v>1654</v>
      </c>
      <c r="BO84" s="41">
        <f>BN84</f>
        <v>1654</v>
      </c>
      <c r="BP84" s="167">
        <f>BO84</f>
        <v>1654</v>
      </c>
      <c r="BQ84" s="41">
        <f>BO84</f>
        <v>1654</v>
      </c>
      <c r="BR84" s="41">
        <f>BQ84</f>
        <v>1654</v>
      </c>
      <c r="BS84" s="41">
        <f>BR84</f>
        <v>1654</v>
      </c>
      <c r="BT84" s="41">
        <f>BS84</f>
        <v>1654</v>
      </c>
      <c r="BU84" s="167">
        <f>BT84</f>
        <v>1654</v>
      </c>
    </row>
    <row r="85" spans="2:91" outlineLevel="1" x14ac:dyDescent="0.3">
      <c r="B85" s="375" t="s">
        <v>156</v>
      </c>
      <c r="C85" s="376"/>
      <c r="D85" s="75">
        <f t="shared" ref="D85:AF85" si="240">SUM(D82:D84)</f>
        <v>35768</v>
      </c>
      <c r="E85" s="73">
        <f t="shared" si="240"/>
        <v>39348</v>
      </c>
      <c r="F85" s="73">
        <f t="shared" si="240"/>
        <v>43111</v>
      </c>
      <c r="G85" s="86">
        <f t="shared" si="240"/>
        <v>47791</v>
      </c>
      <c r="H85" s="87">
        <f t="shared" si="240"/>
        <v>47791</v>
      </c>
      <c r="I85" s="75">
        <f t="shared" si="240"/>
        <v>54666</v>
      </c>
      <c r="J85" s="73">
        <f t="shared" si="240"/>
        <v>61477</v>
      </c>
      <c r="K85" s="73">
        <f t="shared" si="240"/>
        <v>69343</v>
      </c>
      <c r="L85" s="86">
        <f t="shared" si="240"/>
        <v>76615</v>
      </c>
      <c r="M85" s="87">
        <f>SUM(M82:M84)</f>
        <v>76615</v>
      </c>
      <c r="N85" s="75">
        <f t="shared" si="240"/>
        <v>90054</v>
      </c>
      <c r="O85" s="73">
        <f t="shared" si="240"/>
        <v>102498</v>
      </c>
      <c r="P85" s="73">
        <f t="shared" si="240"/>
        <v>111746</v>
      </c>
      <c r="Q85" s="86">
        <f t="shared" si="240"/>
        <v>118210</v>
      </c>
      <c r="R85" s="87">
        <f>SUM(R82:R84)</f>
        <v>118210</v>
      </c>
      <c r="S85" s="75">
        <f t="shared" si="240"/>
        <v>127346</v>
      </c>
      <c r="T85" s="73">
        <f t="shared" si="240"/>
        <v>135490</v>
      </c>
      <c r="U85" s="73">
        <f t="shared" si="240"/>
        <v>123354</v>
      </c>
      <c r="V85" s="86">
        <f t="shared" si="240"/>
        <v>123549</v>
      </c>
      <c r="W85" s="87">
        <f>SUM(W82:W84)</f>
        <v>123549</v>
      </c>
      <c r="X85" s="75">
        <f t="shared" si="240"/>
        <v>129684</v>
      </c>
      <c r="Y85" s="73">
        <f t="shared" si="240"/>
        <v>120179</v>
      </c>
      <c r="Z85" s="73">
        <f t="shared" si="240"/>
        <v>120940</v>
      </c>
      <c r="AA85" s="86">
        <f t="shared" si="240"/>
        <v>111547</v>
      </c>
      <c r="AB85" s="87">
        <f>SUM(AB82:AB84)</f>
        <v>111547</v>
      </c>
      <c r="AC85" s="73">
        <f t="shared" si="240"/>
        <v>123328</v>
      </c>
      <c r="AD85" s="73">
        <f t="shared" si="240"/>
        <v>129006</v>
      </c>
      <c r="AE85" s="73">
        <f t="shared" si="240"/>
        <v>125677</v>
      </c>
      <c r="AF85" s="73">
        <f t="shared" si="240"/>
        <v>119355</v>
      </c>
      <c r="AG85" s="87">
        <f>SUM(AG82:AG84)</f>
        <v>119355</v>
      </c>
      <c r="AH85" s="73">
        <f>SUM(AH82:AH84)</f>
        <v>128267</v>
      </c>
      <c r="AI85" s="73">
        <f t="shared" ref="AI85:BD85" si="241">SUM(AI82:AI84)</f>
        <v>130457</v>
      </c>
      <c r="AJ85" s="73">
        <f t="shared" si="241"/>
        <v>126541</v>
      </c>
      <c r="AK85" s="73">
        <f t="shared" si="241"/>
        <v>128249</v>
      </c>
      <c r="AL85" s="87">
        <f t="shared" si="241"/>
        <v>128249</v>
      </c>
      <c r="AM85" s="73">
        <f t="shared" si="241"/>
        <v>132390</v>
      </c>
      <c r="AN85" s="73">
        <f>SUM(AN82:AN84)</f>
        <v>134082</v>
      </c>
      <c r="AO85" s="73">
        <f t="shared" ref="AO85:BC85" si="242">SUM(AO82:AO84)</f>
        <v>132425</v>
      </c>
      <c r="AP85" s="73">
        <f t="shared" si="242"/>
        <v>134047</v>
      </c>
      <c r="AQ85" s="73">
        <f t="shared" si="242"/>
        <v>134047</v>
      </c>
      <c r="AR85" s="73">
        <f t="shared" si="242"/>
        <v>140199</v>
      </c>
      <c r="AS85" s="73">
        <f t="shared" si="242"/>
        <v>126878</v>
      </c>
      <c r="AT85" s="73">
        <f t="shared" si="242"/>
        <v>114949</v>
      </c>
      <c r="AU85" s="73">
        <f t="shared" si="242"/>
        <v>107147</v>
      </c>
      <c r="AV85" s="73">
        <f t="shared" si="242"/>
        <v>107147</v>
      </c>
      <c r="AW85" s="73">
        <f t="shared" si="242"/>
        <v>117892</v>
      </c>
      <c r="AX85" s="73">
        <f t="shared" si="242"/>
        <v>105860</v>
      </c>
      <c r="AY85" s="73">
        <f t="shared" si="242"/>
        <v>96456</v>
      </c>
      <c r="AZ85" s="73">
        <f t="shared" si="242"/>
        <v>101858.16550802422</v>
      </c>
      <c r="BA85" s="87">
        <f t="shared" si="241"/>
        <v>101858.16550802422</v>
      </c>
      <c r="BB85" s="73">
        <f t="shared" si="242"/>
        <v>107719.85823656811</v>
      </c>
      <c r="BC85" s="73">
        <f t="shared" si="242"/>
        <v>109923.94032582425</v>
      </c>
      <c r="BD85" s="73">
        <f t="shared" si="241"/>
        <v>110581.5499371459</v>
      </c>
      <c r="BE85" s="73">
        <f t="shared" ref="BE85:BF85" si="243">SUM(BE82:BE84)</f>
        <v>115846.84860650041</v>
      </c>
      <c r="BF85" s="87">
        <f t="shared" si="243"/>
        <v>115846.84860650041</v>
      </c>
      <c r="BG85" s="73">
        <f t="shared" ref="BG85" si="244">SUM(BG82:BG84)</f>
        <v>122430.50695656173</v>
      </c>
      <c r="BH85" s="73">
        <f t="shared" ref="BH85:BK85" si="245">SUM(BH82:BH84)</f>
        <v>125330.21999533917</v>
      </c>
      <c r="BI85" s="73">
        <f t="shared" si="245"/>
        <v>127030.64434803542</v>
      </c>
      <c r="BJ85" s="73">
        <f t="shared" si="245"/>
        <v>134464.87052915138</v>
      </c>
      <c r="BK85" s="87">
        <f t="shared" si="245"/>
        <v>134464.87052915138</v>
      </c>
      <c r="BL85" s="73">
        <f t="shared" ref="BL85" si="246">SUM(BL82:BL84)</f>
        <v>141317.50301541315</v>
      </c>
      <c r="BM85" s="73">
        <f t="shared" ref="BM85:BP85" si="247">SUM(BM82:BM84)</f>
        <v>144534.0623505429</v>
      </c>
      <c r="BN85" s="73">
        <f t="shared" si="247"/>
        <v>147056.74259540389</v>
      </c>
      <c r="BO85" s="73">
        <f t="shared" si="247"/>
        <v>156581.50424246566</v>
      </c>
      <c r="BP85" s="87">
        <f t="shared" si="247"/>
        <v>156581.50424246566</v>
      </c>
      <c r="BQ85" s="73">
        <f t="shared" ref="BQ85" si="248">SUM(BQ82:BQ84)</f>
        <v>164032.35460148673</v>
      </c>
      <c r="BR85" s="73">
        <f t="shared" ref="BR85:BU85" si="249">SUM(BR82:BR84)</f>
        <v>167877.45158617583</v>
      </c>
      <c r="BS85" s="73">
        <f t="shared" si="249"/>
        <v>171488.05444835839</v>
      </c>
      <c r="BT85" s="73">
        <f t="shared" si="249"/>
        <v>183584.9830600759</v>
      </c>
      <c r="BU85" s="87">
        <f t="shared" si="249"/>
        <v>183584.9830600759</v>
      </c>
    </row>
    <row r="86" spans="2:91" outlineLevel="1" x14ac:dyDescent="0.3">
      <c r="B86" s="387" t="s">
        <v>25</v>
      </c>
      <c r="C86" s="388"/>
      <c r="D86" s="76">
        <f t="shared" ref="D86:BD86" si="250">D85+D78</f>
        <v>53926</v>
      </c>
      <c r="E86" s="74">
        <f t="shared" si="250"/>
        <v>57057</v>
      </c>
      <c r="F86" s="74">
        <f t="shared" si="250"/>
        <v>64725</v>
      </c>
      <c r="G86" s="324">
        <f t="shared" si="250"/>
        <v>75183</v>
      </c>
      <c r="H86" s="325">
        <f t="shared" si="250"/>
        <v>75183</v>
      </c>
      <c r="I86" s="76">
        <f t="shared" si="250"/>
        <v>86742</v>
      </c>
      <c r="J86" s="74">
        <f t="shared" si="250"/>
        <v>94904</v>
      </c>
      <c r="K86" s="74">
        <f t="shared" si="250"/>
        <v>106758</v>
      </c>
      <c r="L86" s="324">
        <f t="shared" si="250"/>
        <v>116371</v>
      </c>
      <c r="M86" s="325">
        <f>M85+M78</f>
        <v>116371</v>
      </c>
      <c r="N86" s="76">
        <f t="shared" si="250"/>
        <v>138681</v>
      </c>
      <c r="O86" s="74">
        <f t="shared" si="250"/>
        <v>150934</v>
      </c>
      <c r="P86" s="74">
        <f t="shared" si="250"/>
        <v>162896</v>
      </c>
      <c r="Q86" s="324">
        <f t="shared" si="250"/>
        <v>176064</v>
      </c>
      <c r="R86" s="325">
        <f>R85+R78</f>
        <v>176064</v>
      </c>
      <c r="S86" s="76">
        <f t="shared" si="250"/>
        <v>196088</v>
      </c>
      <c r="T86" s="74">
        <f t="shared" si="250"/>
        <v>194743</v>
      </c>
      <c r="U86" s="74">
        <f t="shared" si="250"/>
        <v>199856</v>
      </c>
      <c r="V86" s="324">
        <f t="shared" si="250"/>
        <v>207000</v>
      </c>
      <c r="W86" s="325">
        <f>W85+W78</f>
        <v>207000</v>
      </c>
      <c r="X86" s="76">
        <f t="shared" si="250"/>
        <v>225184</v>
      </c>
      <c r="Y86" s="74">
        <f t="shared" si="250"/>
        <v>205989</v>
      </c>
      <c r="Z86" s="74">
        <f t="shared" si="250"/>
        <v>222520</v>
      </c>
      <c r="AA86" s="324">
        <f t="shared" si="250"/>
        <v>231839</v>
      </c>
      <c r="AB86" s="325">
        <f>AB85+AB78</f>
        <v>231839</v>
      </c>
      <c r="AC86" s="74">
        <f t="shared" si="250"/>
        <v>261894</v>
      </c>
      <c r="AD86" s="74">
        <f t="shared" si="250"/>
        <v>261194</v>
      </c>
      <c r="AE86" s="74">
        <f t="shared" si="250"/>
        <v>273151</v>
      </c>
      <c r="AF86" s="74">
        <f t="shared" si="250"/>
        <v>290479</v>
      </c>
      <c r="AG86" s="325">
        <f>AG85+AG78</f>
        <v>290479</v>
      </c>
      <c r="AH86" s="74">
        <f t="shared" si="250"/>
        <v>293284</v>
      </c>
      <c r="AI86" s="74">
        <f t="shared" si="250"/>
        <v>305277</v>
      </c>
      <c r="AJ86" s="74">
        <f t="shared" si="250"/>
        <v>305602</v>
      </c>
      <c r="AK86" s="74">
        <f t="shared" si="250"/>
        <v>321686</v>
      </c>
      <c r="AL86" s="325">
        <f>AL85+AL78</f>
        <v>321686</v>
      </c>
      <c r="AM86" s="74">
        <f t="shared" si="250"/>
        <v>331141</v>
      </c>
      <c r="AN86" s="74">
        <f t="shared" si="250"/>
        <v>334532</v>
      </c>
      <c r="AO86" s="74">
        <f t="shared" ref="AO86:AZ86" si="251">AO85+AO78</f>
        <v>345173</v>
      </c>
      <c r="AP86" s="74">
        <f t="shared" si="251"/>
        <v>375319</v>
      </c>
      <c r="AQ86" s="74">
        <f t="shared" si="251"/>
        <v>375319</v>
      </c>
      <c r="AR86" s="74">
        <f t="shared" si="251"/>
        <v>406794</v>
      </c>
      <c r="AS86" s="74">
        <f t="shared" si="251"/>
        <v>367502</v>
      </c>
      <c r="AT86" s="74">
        <f t="shared" si="251"/>
        <v>349197</v>
      </c>
      <c r="AU86" s="74">
        <f t="shared" si="251"/>
        <v>365725</v>
      </c>
      <c r="AV86" s="74">
        <f t="shared" si="251"/>
        <v>365725</v>
      </c>
      <c r="AW86" s="74">
        <f t="shared" si="251"/>
        <v>373719</v>
      </c>
      <c r="AX86" s="74">
        <f t="shared" si="251"/>
        <v>341998</v>
      </c>
      <c r="AY86" s="74">
        <f t="shared" si="251"/>
        <v>322239</v>
      </c>
      <c r="AZ86" s="74">
        <f t="shared" si="251"/>
        <v>366575.32442508242</v>
      </c>
      <c r="BA86" s="325">
        <f>BA85+BA78</f>
        <v>366575.32442508242</v>
      </c>
      <c r="BB86" s="74">
        <f t="shared" ref="BB86:BC86" si="252">BB85+BB78</f>
        <v>372969.18401893444</v>
      </c>
      <c r="BC86" s="74">
        <f t="shared" si="252"/>
        <v>376193.45397816668</v>
      </c>
      <c r="BD86" s="74">
        <f t="shared" si="250"/>
        <v>360536.82043906045</v>
      </c>
      <c r="BE86" s="74">
        <f t="shared" ref="BE86" si="253">BE85+BE78</f>
        <v>415432.26962167665</v>
      </c>
      <c r="BF86" s="325">
        <f>BF85+BF78</f>
        <v>415432.26962167665</v>
      </c>
      <c r="BG86" s="74">
        <f t="shared" ref="BG86:BJ86" si="254">BG85+BG78</f>
        <v>409624.91139550391</v>
      </c>
      <c r="BH86" s="74">
        <f t="shared" si="254"/>
        <v>432664.19486345036</v>
      </c>
      <c r="BI86" s="74">
        <f t="shared" si="254"/>
        <v>399886.89304886828</v>
      </c>
      <c r="BJ86" s="74">
        <f t="shared" si="254"/>
        <v>480831.64841442276</v>
      </c>
      <c r="BK86" s="325">
        <f>BK85+BK78</f>
        <v>480831.64841442276</v>
      </c>
      <c r="BL86" s="74">
        <f t="shared" ref="BL86:BO86" si="255">BL85+BL78</f>
        <v>454478.25363320392</v>
      </c>
      <c r="BM86" s="74">
        <f t="shared" si="255"/>
        <v>504070.65495631821</v>
      </c>
      <c r="BN86" s="74">
        <f t="shared" si="255"/>
        <v>447118.54264590109</v>
      </c>
      <c r="BO86" s="74">
        <f t="shared" si="255"/>
        <v>560063.86627981311</v>
      </c>
      <c r="BP86" s="325">
        <f>BP85+BP78</f>
        <v>560063.86627981311</v>
      </c>
      <c r="BQ86" s="74">
        <f t="shared" ref="BQ86:BT86" si="256">BQ85+BQ78</f>
        <v>512231.25931531284</v>
      </c>
      <c r="BR86" s="74">
        <f t="shared" si="256"/>
        <v>591044.68993451749</v>
      </c>
      <c r="BS86" s="74">
        <f t="shared" si="256"/>
        <v>507385.38627985434</v>
      </c>
      <c r="BT86" s="74">
        <f t="shared" si="256"/>
        <v>656918.27573445207</v>
      </c>
      <c r="BU86" s="325">
        <f>BU85+BU78</f>
        <v>656918.27573445207</v>
      </c>
    </row>
    <row r="87" spans="2:91" x14ac:dyDescent="0.3">
      <c r="B87" s="88"/>
      <c r="C87" s="92"/>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f t="shared" ref="AF87:BU87" si="257">AF86-AF67</f>
        <v>0</v>
      </c>
      <c r="AG87" s="49">
        <f t="shared" si="257"/>
        <v>0</v>
      </c>
      <c r="AH87" s="49">
        <f t="shared" si="257"/>
        <v>0</v>
      </c>
      <c r="AI87" s="49">
        <f t="shared" si="257"/>
        <v>0</v>
      </c>
      <c r="AJ87" s="49">
        <f t="shared" si="257"/>
        <v>0</v>
      </c>
      <c r="AK87" s="49">
        <f t="shared" si="257"/>
        <v>0</v>
      </c>
      <c r="AL87" s="49">
        <f t="shared" si="257"/>
        <v>0</v>
      </c>
      <c r="AM87" s="49">
        <f t="shared" si="257"/>
        <v>0</v>
      </c>
      <c r="AN87" s="49">
        <f t="shared" si="257"/>
        <v>0</v>
      </c>
      <c r="AO87" s="49"/>
      <c r="AP87" s="49"/>
      <c r="AQ87" s="49"/>
      <c r="AR87" s="49"/>
      <c r="AS87" s="49"/>
      <c r="AT87" s="49"/>
      <c r="AU87" s="49"/>
      <c r="AV87" s="49"/>
      <c r="AW87" s="49"/>
      <c r="AX87" s="49"/>
      <c r="AY87" s="49"/>
      <c r="AZ87" s="49">
        <f t="shared" ref="AZ87" si="258">AZ86-AZ67</f>
        <v>0</v>
      </c>
      <c r="BA87" s="49">
        <f t="shared" si="257"/>
        <v>0</v>
      </c>
      <c r="BB87" s="49">
        <f t="shared" si="257"/>
        <v>0</v>
      </c>
      <c r="BC87" s="49">
        <f t="shared" si="257"/>
        <v>0</v>
      </c>
      <c r="BD87" s="49">
        <f t="shared" si="257"/>
        <v>0</v>
      </c>
      <c r="BE87" s="49">
        <f t="shared" si="257"/>
        <v>0</v>
      </c>
      <c r="BF87" s="49">
        <f t="shared" si="257"/>
        <v>0</v>
      </c>
      <c r="BG87" s="49">
        <f t="shared" si="257"/>
        <v>0</v>
      </c>
      <c r="BH87" s="49">
        <f t="shared" si="257"/>
        <v>0</v>
      </c>
      <c r="BI87" s="49">
        <f t="shared" si="257"/>
        <v>0</v>
      </c>
      <c r="BJ87" s="49">
        <f t="shared" si="257"/>
        <v>0</v>
      </c>
      <c r="BK87" s="49">
        <f t="shared" si="257"/>
        <v>0</v>
      </c>
      <c r="BL87" s="49">
        <f t="shared" si="257"/>
        <v>0</v>
      </c>
      <c r="BM87" s="49">
        <f t="shared" si="257"/>
        <v>0</v>
      </c>
      <c r="BN87" s="49">
        <f t="shared" si="257"/>
        <v>0</v>
      </c>
      <c r="BO87" s="49">
        <f t="shared" si="257"/>
        <v>0</v>
      </c>
      <c r="BP87" s="49">
        <f t="shared" si="257"/>
        <v>0</v>
      </c>
      <c r="BQ87" s="49">
        <f t="shared" si="257"/>
        <v>0</v>
      </c>
      <c r="BR87" s="49">
        <f t="shared" si="257"/>
        <v>0</v>
      </c>
      <c r="BS87" s="49">
        <f t="shared" si="257"/>
        <v>0</v>
      </c>
      <c r="BT87" s="49">
        <f t="shared" si="257"/>
        <v>0</v>
      </c>
      <c r="BU87" s="49">
        <f t="shared" si="257"/>
        <v>0</v>
      </c>
    </row>
    <row r="88" spans="2:91" ht="15.6" x14ac:dyDescent="0.3">
      <c r="B88" s="366" t="s">
        <v>50</v>
      </c>
      <c r="C88" s="367"/>
      <c r="D88" s="111" t="s">
        <v>108</v>
      </c>
      <c r="E88" s="111" t="s">
        <v>109</v>
      </c>
      <c r="F88" s="111" t="s">
        <v>110</v>
      </c>
      <c r="G88" s="111" t="s">
        <v>111</v>
      </c>
      <c r="H88" s="111" t="s">
        <v>111</v>
      </c>
      <c r="I88" s="111" t="s">
        <v>107</v>
      </c>
      <c r="J88" s="111" t="s">
        <v>117</v>
      </c>
      <c r="K88" s="111" t="s">
        <v>118</v>
      </c>
      <c r="L88" s="111" t="s">
        <v>119</v>
      </c>
      <c r="M88" s="111" t="s">
        <v>119</v>
      </c>
      <c r="N88" s="111" t="s">
        <v>125</v>
      </c>
      <c r="O88" s="111" t="s">
        <v>126</v>
      </c>
      <c r="P88" s="111" t="s">
        <v>127</v>
      </c>
      <c r="Q88" s="111" t="s">
        <v>128</v>
      </c>
      <c r="R88" s="111" t="s">
        <v>128</v>
      </c>
      <c r="S88" s="111" t="s">
        <v>134</v>
      </c>
      <c r="T88" s="111" t="s">
        <v>135</v>
      </c>
      <c r="U88" s="111" t="s">
        <v>136</v>
      </c>
      <c r="V88" s="111" t="s">
        <v>86</v>
      </c>
      <c r="W88" s="111" t="s">
        <v>86</v>
      </c>
      <c r="X88" s="111" t="s">
        <v>85</v>
      </c>
      <c r="Y88" s="111" t="s">
        <v>84</v>
      </c>
      <c r="Z88" s="111" t="s">
        <v>83</v>
      </c>
      <c r="AA88" s="111" t="s">
        <v>82</v>
      </c>
      <c r="AB88" s="111" t="s">
        <v>82</v>
      </c>
      <c r="AC88" s="111" t="s">
        <v>87</v>
      </c>
      <c r="AD88" s="111" t="s">
        <v>88</v>
      </c>
      <c r="AE88" s="111" t="s">
        <v>89</v>
      </c>
      <c r="AF88" s="111" t="s">
        <v>90</v>
      </c>
      <c r="AG88" s="111" t="s">
        <v>90</v>
      </c>
      <c r="AH88" s="111" t="s">
        <v>92</v>
      </c>
      <c r="AI88" s="111" t="s">
        <v>93</v>
      </c>
      <c r="AJ88" s="111" t="s">
        <v>94</v>
      </c>
      <c r="AK88" s="111" t="s">
        <v>95</v>
      </c>
      <c r="AL88" s="111" t="s">
        <v>95</v>
      </c>
      <c r="AM88" s="111" t="s">
        <v>91</v>
      </c>
      <c r="AN88" s="111" t="s">
        <v>96</v>
      </c>
      <c r="AO88" s="111" t="s">
        <v>97</v>
      </c>
      <c r="AP88" s="111" t="s">
        <v>98</v>
      </c>
      <c r="AQ88" s="111" t="s">
        <v>98</v>
      </c>
      <c r="AR88" s="111" t="s">
        <v>99</v>
      </c>
      <c r="AS88" s="111" t="s">
        <v>100</v>
      </c>
      <c r="AT88" s="111" t="s">
        <v>101</v>
      </c>
      <c r="AU88" s="111" t="s">
        <v>102</v>
      </c>
      <c r="AV88" s="111" t="s">
        <v>102</v>
      </c>
      <c r="AW88" s="111" t="s">
        <v>103</v>
      </c>
      <c r="AX88" s="111" t="s">
        <v>104</v>
      </c>
      <c r="AY88" s="111" t="s">
        <v>105</v>
      </c>
      <c r="AZ88" s="135" t="s">
        <v>106</v>
      </c>
      <c r="BA88" s="135" t="s">
        <v>106</v>
      </c>
      <c r="BB88" s="135" t="s">
        <v>207</v>
      </c>
      <c r="BC88" s="135" t="s">
        <v>208</v>
      </c>
      <c r="BD88" s="135" t="s">
        <v>209</v>
      </c>
      <c r="BE88" s="135" t="s">
        <v>210</v>
      </c>
      <c r="BF88" s="135" t="s">
        <v>210</v>
      </c>
      <c r="BG88" s="135" t="s">
        <v>223</v>
      </c>
      <c r="BH88" s="135" t="s">
        <v>224</v>
      </c>
      <c r="BI88" s="135" t="s">
        <v>225</v>
      </c>
      <c r="BJ88" s="135" t="s">
        <v>106</v>
      </c>
      <c r="BK88" s="135" t="s">
        <v>226</v>
      </c>
      <c r="BL88" s="135" t="s">
        <v>302</v>
      </c>
      <c r="BM88" s="135" t="s">
        <v>303</v>
      </c>
      <c r="BN88" s="135" t="s">
        <v>304</v>
      </c>
      <c r="BO88" s="135" t="s">
        <v>305</v>
      </c>
      <c r="BP88" s="135" t="s">
        <v>305</v>
      </c>
      <c r="BQ88" s="135" t="s">
        <v>312</v>
      </c>
      <c r="BR88" s="135" t="s">
        <v>314</v>
      </c>
      <c r="BS88" s="135" t="s">
        <v>316</v>
      </c>
      <c r="BT88" s="135" t="s">
        <v>307</v>
      </c>
      <c r="BU88" s="136" t="s">
        <v>307</v>
      </c>
    </row>
    <row r="89" spans="2:91" ht="16.2" x14ac:dyDescent="0.45">
      <c r="B89" s="368"/>
      <c r="C89" s="369"/>
      <c r="D89" s="112" t="s">
        <v>112</v>
      </c>
      <c r="E89" s="112" t="s">
        <v>113</v>
      </c>
      <c r="F89" s="112" t="s">
        <v>114</v>
      </c>
      <c r="G89" s="112" t="s">
        <v>115</v>
      </c>
      <c r="H89" s="112" t="s">
        <v>116</v>
      </c>
      <c r="I89" s="112" t="s">
        <v>120</v>
      </c>
      <c r="J89" s="112" t="s">
        <v>121</v>
      </c>
      <c r="K89" s="112" t="s">
        <v>122</v>
      </c>
      <c r="L89" s="112" t="s">
        <v>123</v>
      </c>
      <c r="M89" s="112" t="s">
        <v>124</v>
      </c>
      <c r="N89" s="112" t="s">
        <v>129</v>
      </c>
      <c r="O89" s="112" t="s">
        <v>130</v>
      </c>
      <c r="P89" s="112" t="s">
        <v>131</v>
      </c>
      <c r="Q89" s="112" t="s">
        <v>132</v>
      </c>
      <c r="R89" s="112" t="s">
        <v>133</v>
      </c>
      <c r="S89" s="112" t="s">
        <v>137</v>
      </c>
      <c r="T89" s="112" t="s">
        <v>138</v>
      </c>
      <c r="U89" s="112" t="s">
        <v>139</v>
      </c>
      <c r="V89" s="112" t="s">
        <v>140</v>
      </c>
      <c r="W89" s="112" t="s">
        <v>0</v>
      </c>
      <c r="X89" s="112" t="s">
        <v>40</v>
      </c>
      <c r="Y89" s="112" t="s">
        <v>41</v>
      </c>
      <c r="Z89" s="112" t="s">
        <v>42</v>
      </c>
      <c r="AA89" s="112" t="s">
        <v>43</v>
      </c>
      <c r="AB89" s="112" t="s">
        <v>6</v>
      </c>
      <c r="AC89" s="112" t="s">
        <v>186</v>
      </c>
      <c r="AD89" s="112" t="s">
        <v>189</v>
      </c>
      <c r="AE89" s="112" t="s">
        <v>191</v>
      </c>
      <c r="AF89" s="112" t="s">
        <v>193</v>
      </c>
      <c r="AG89" s="112" t="s">
        <v>205</v>
      </c>
      <c r="AH89" s="112" t="s">
        <v>215</v>
      </c>
      <c r="AI89" s="112" t="s">
        <v>216</v>
      </c>
      <c r="AJ89" s="112" t="s">
        <v>217</v>
      </c>
      <c r="AK89" s="112" t="s">
        <v>221</v>
      </c>
      <c r="AL89" s="112" t="s">
        <v>222</v>
      </c>
      <c r="AM89" s="112" t="s">
        <v>231</v>
      </c>
      <c r="AN89" s="112" t="s">
        <v>279</v>
      </c>
      <c r="AO89" s="296" t="s">
        <v>319</v>
      </c>
      <c r="AP89" s="296" t="s">
        <v>320</v>
      </c>
      <c r="AQ89" s="296" t="s">
        <v>321</v>
      </c>
      <c r="AR89" s="296" t="s">
        <v>322</v>
      </c>
      <c r="AS89" s="296" t="s">
        <v>323</v>
      </c>
      <c r="AT89" s="296" t="s">
        <v>324</v>
      </c>
      <c r="AU89" s="296" t="s">
        <v>325</v>
      </c>
      <c r="AV89" s="296" t="s">
        <v>326</v>
      </c>
      <c r="AW89" s="296" t="s">
        <v>327</v>
      </c>
      <c r="AX89" s="296" t="s">
        <v>328</v>
      </c>
      <c r="AY89" s="296" t="s">
        <v>329</v>
      </c>
      <c r="AZ89" s="137" t="s">
        <v>58</v>
      </c>
      <c r="BA89" s="137" t="s">
        <v>194</v>
      </c>
      <c r="BB89" s="137" t="s">
        <v>206</v>
      </c>
      <c r="BC89" s="137" t="s">
        <v>211</v>
      </c>
      <c r="BD89" s="137" t="s">
        <v>212</v>
      </c>
      <c r="BE89" s="137" t="s">
        <v>213</v>
      </c>
      <c r="BF89" s="137" t="s">
        <v>214</v>
      </c>
      <c r="BG89" s="137" t="s">
        <v>227</v>
      </c>
      <c r="BH89" s="137" t="s">
        <v>228</v>
      </c>
      <c r="BI89" s="137" t="s">
        <v>229</v>
      </c>
      <c r="BJ89" s="137" t="s">
        <v>58</v>
      </c>
      <c r="BK89" s="137" t="s">
        <v>230</v>
      </c>
      <c r="BL89" s="137" t="s">
        <v>227</v>
      </c>
      <c r="BM89" s="137" t="s">
        <v>309</v>
      </c>
      <c r="BN89" s="137" t="s">
        <v>310</v>
      </c>
      <c r="BO89" s="137" t="s">
        <v>311</v>
      </c>
      <c r="BP89" s="137" t="s">
        <v>306</v>
      </c>
      <c r="BQ89" s="137" t="s">
        <v>313</v>
      </c>
      <c r="BR89" s="137" t="s">
        <v>315</v>
      </c>
      <c r="BS89" s="137" t="s">
        <v>317</v>
      </c>
      <c r="BT89" s="137" t="s">
        <v>318</v>
      </c>
      <c r="BU89" s="138" t="s">
        <v>308</v>
      </c>
    </row>
    <row r="90" spans="2:91" s="33" customFormat="1" hidden="1" outlineLevel="1" x14ac:dyDescent="0.3">
      <c r="B90" s="206" t="s">
        <v>262</v>
      </c>
      <c r="C90" s="208"/>
      <c r="D90" s="55"/>
      <c r="E90" s="326"/>
      <c r="F90" s="326"/>
      <c r="G90" s="326"/>
      <c r="H90" s="246"/>
      <c r="I90" s="327">
        <f>(I55+I62)/(G55+G62)-1</f>
        <v>0.23202515723270434</v>
      </c>
      <c r="J90" s="327">
        <f>(J55+J62)/(I55+I62)-1</f>
        <v>1.6662242460131038E-2</v>
      </c>
      <c r="K90" s="327">
        <f>(K55+K62)/(J55+J62)-1</f>
        <v>0.28673000060254283</v>
      </c>
      <c r="L90" s="327">
        <f>(L55+L62)/(K55+K62)-1</f>
        <v>0.12003434012331216</v>
      </c>
      <c r="M90" s="246"/>
      <c r="N90" s="327">
        <f>(N55+N62)/(L55+L62)-1</f>
        <v>0.21651452860427844</v>
      </c>
      <c r="O90" s="327">
        <f>(O55+O62)/(N55+N62)-1</f>
        <v>0.14622355111065288</v>
      </c>
      <c r="P90" s="327">
        <f>(P55+P62)/(O55+O62)-1</f>
        <v>9.2159312378192082E-2</v>
      </c>
      <c r="Q90" s="327">
        <f>(Q55+Q62)/(P55+P62)-1</f>
        <v>1.1246751345217687E-2</v>
      </c>
      <c r="R90" s="246"/>
      <c r="S90" s="327">
        <f>(S55+S62)/(Q55+Q62)-1</f>
        <v>9.4593004841409867E-2</v>
      </c>
      <c r="T90" s="327">
        <f>(T55+T62)/(S55+S62)-1</f>
        <v>9.6529373832239251E-2</v>
      </c>
      <c r="U90" s="327">
        <f>(U55+U62)/(T55+T62)-1</f>
        <v>2.0643273971983067E-2</v>
      </c>
      <c r="V90" s="327">
        <f>(V55+V62)/(U55+U62)-1</f>
        <v>-2.1200839169104424E-2</v>
      </c>
      <c r="W90" s="246"/>
      <c r="X90" s="327">
        <f>(X55+X62)/(V55+V62)-1</f>
        <v>9.2549546421940798E-2</v>
      </c>
      <c r="Y90" s="327">
        <f>(Y55+Y62)/(X55+X62)-1</f>
        <v>-9.0664179877732898E-2</v>
      </c>
      <c r="Z90" s="327">
        <f>(Z55+Z62)/(Y55+Y62)-1</f>
        <v>0.15096475235490736</v>
      </c>
      <c r="AA90" s="327">
        <f>(AA55+AA62)/(Z55+Z62)-1</f>
        <v>-6.6779748272425499E-2</v>
      </c>
      <c r="AB90" s="246"/>
      <c r="AC90" s="327">
        <f>(AC55+AC62)/(AA55+AA62)-1</f>
        <v>0.12081049542063016</v>
      </c>
      <c r="AD90" s="327">
        <f>(AD55+AD62)/(AC55+AC62)-1</f>
        <v>0.12981694504565322</v>
      </c>
      <c r="AE90" s="327">
        <f>(AE55+AE62)/(AD55+AD62)-1</f>
        <v>4.7355487294052034E-2</v>
      </c>
      <c r="AF90" s="327">
        <f>(AF55+AF62)/(AE55+AE62)-1</f>
        <v>-1.5906873070298477E-2</v>
      </c>
      <c r="AG90" s="246"/>
      <c r="AH90" s="327">
        <f>(AH55+AH62)/(AF55+AF62)-1</f>
        <v>7.8592871154075317E-2</v>
      </c>
      <c r="AI90" s="327">
        <f>(AI55+AI62)/(AH55+AH62)-1</f>
        <v>6.2115046470736068E-2</v>
      </c>
      <c r="AJ90" s="327">
        <f>(AJ55+AJ62)/(AI55+AI62)-1</f>
        <v>8.8404741407854814E-3</v>
      </c>
      <c r="AK90" s="327">
        <f>(AK55+AK62)/(AJ55+AJ62)-1</f>
        <v>1.7901098540436866E-2</v>
      </c>
      <c r="AL90" s="246"/>
      <c r="AM90" s="327">
        <f>(AM55+AM62)/(AK55+AK62)-1</f>
        <v>5.8120414000856657E-2</v>
      </c>
      <c r="AN90" s="327">
        <f>(AN55+AN62)/(AM55+AM62)-1</f>
        <v>5.2085373869814822E-2</v>
      </c>
      <c r="AO90" s="327">
        <f>(AO55+AO62)/(AN55+AN62)-1</f>
        <v>5.217556809718582E-3</v>
      </c>
      <c r="AP90" s="327">
        <f>(AP55+AP62)/(AO55+AO62)-1</f>
        <v>2.3301570314268716E-2</v>
      </c>
      <c r="AQ90" s="246"/>
      <c r="AR90" s="327">
        <f>(AR55+AR62)/(AP55+AP62)-1</f>
        <v>3.6201861580171135E-2</v>
      </c>
      <c r="AS90" s="327">
        <f>(AS55+AS62)/(AR55+AR62)-1</f>
        <v>-0.1375705534808972</v>
      </c>
      <c r="AT90" s="327">
        <f>(AT55+AT62)/(AS55+AS62)-1</f>
        <v>-4.6789127098083916E-2</v>
      </c>
      <c r="AU90" s="327">
        <f>(AU55+AU62)/(AT55+AT62)-1</f>
        <v>-2.7624048504996113E-3</v>
      </c>
      <c r="AV90" s="246"/>
      <c r="AW90" s="327">
        <f>(AW55+AW62)/(AU55+AU62)-1</f>
        <v>-5.1721933641748818E-2</v>
      </c>
      <c r="AX90" s="327">
        <f>(AX55+AX62)/(AW55+AW62)-1</f>
        <v>-6.4120361123317204E-2</v>
      </c>
      <c r="AY90" s="327">
        <f>(AY55+AY62)/(AX55+AX62)-1</f>
        <v>-0.14588924518335533</v>
      </c>
      <c r="AZ90" s="327">
        <v>0.01</v>
      </c>
      <c r="BA90" s="246"/>
      <c r="BB90" s="327">
        <v>0.06</v>
      </c>
      <c r="BC90" s="327">
        <v>0.03</v>
      </c>
      <c r="BD90" s="327">
        <v>0.01</v>
      </c>
      <c r="BE90" s="327">
        <v>0.01</v>
      </c>
      <c r="BF90" s="246"/>
      <c r="BG90" s="327">
        <v>0.06</v>
      </c>
      <c r="BH90" s="327">
        <v>0.03</v>
      </c>
      <c r="BI90" s="327">
        <v>0.01</v>
      </c>
      <c r="BJ90" s="327">
        <v>0.01</v>
      </c>
      <c r="BK90" s="246"/>
      <c r="BL90" s="327">
        <v>0.06</v>
      </c>
      <c r="BM90" s="327">
        <v>0.03</v>
      </c>
      <c r="BN90" s="327">
        <v>0.01</v>
      </c>
      <c r="BO90" s="327">
        <v>0.01</v>
      </c>
      <c r="BP90" s="246"/>
      <c r="BQ90" s="327">
        <v>0.06</v>
      </c>
      <c r="BR90" s="327">
        <v>0.03</v>
      </c>
      <c r="BS90" s="327">
        <v>0.01</v>
      </c>
      <c r="BT90" s="327">
        <v>0.01</v>
      </c>
      <c r="BU90" s="246"/>
      <c r="BV90" s="195"/>
      <c r="BW90" s="195"/>
      <c r="BX90" s="195"/>
      <c r="BY90" s="195"/>
      <c r="BZ90" s="195"/>
      <c r="CA90" s="195"/>
      <c r="CB90" s="195"/>
      <c r="CC90" s="195"/>
      <c r="CD90" s="195"/>
      <c r="CE90" s="195"/>
      <c r="CF90" s="195"/>
      <c r="CG90" s="195"/>
      <c r="CH90" s="195"/>
      <c r="CI90" s="195"/>
      <c r="CJ90" s="195"/>
      <c r="CK90" s="195"/>
      <c r="CL90" s="195"/>
      <c r="CM90" s="195"/>
    </row>
    <row r="91" spans="2:91" s="33" customFormat="1" hidden="1" outlineLevel="1" x14ac:dyDescent="0.3">
      <c r="B91" s="212" t="s">
        <v>263</v>
      </c>
      <c r="C91" s="214"/>
      <c r="D91" s="328"/>
      <c r="E91" s="329"/>
      <c r="F91" s="329"/>
      <c r="G91" s="329"/>
      <c r="H91" s="247"/>
      <c r="I91" s="330">
        <f>+I55/(I55+I62)</f>
        <v>0.3316725542645948</v>
      </c>
      <c r="J91" s="330">
        <f>+J55/(J55+J62)</f>
        <v>0.26624354777159615</v>
      </c>
      <c r="K91" s="330">
        <f>+K55/(K55+K62)</f>
        <v>0.25449153203777414</v>
      </c>
      <c r="L91" s="330">
        <f>+L55/(L55+L62)</f>
        <v>0.22489025155041462</v>
      </c>
      <c r="M91" s="247"/>
      <c r="N91" s="330">
        <f>+N55/(N55+N62)</f>
        <v>0.22735448098887628</v>
      </c>
      <c r="O91" s="330">
        <f>+O55/(O55+O62)</f>
        <v>0.18406876218080057</v>
      </c>
      <c r="P91" s="330">
        <f>+P55/(P55+P62)</f>
        <v>0.1803598228339251</v>
      </c>
      <c r="Q91" s="330">
        <f>+Q55/(Q55+Q62)</f>
        <v>0.16635446359893216</v>
      </c>
      <c r="R91" s="247"/>
      <c r="S91" s="330">
        <f>+S55/(S55+S62)</f>
        <v>0.19565469005770597</v>
      </c>
      <c r="T91" s="330">
        <f>+T55/(T55+T62)</f>
        <v>0.20420103442556206</v>
      </c>
      <c r="U91" s="330">
        <f>+U55/(U55+U62)</f>
        <v>0.23164317584138522</v>
      </c>
      <c r="V91" s="330">
        <f>+V55/(V55+V62)</f>
        <v>0.19838945827232796</v>
      </c>
      <c r="W91" s="247"/>
      <c r="X91" s="330">
        <f>+X55/(X55+X62)</f>
        <v>0.18398093461817427</v>
      </c>
      <c r="Y91" s="330">
        <f>+Y55/(Y55+Y62)</f>
        <v>0.17016864175022789</v>
      </c>
      <c r="Z91" s="330">
        <f>+Z55/(Z55+Z62)</f>
        <v>0.16386712691320215</v>
      </c>
      <c r="AA91" s="330">
        <f>+AA55/(AA55+AA62)</f>
        <v>7.9444110470667281E-2</v>
      </c>
      <c r="AB91" s="247"/>
      <c r="AC91" s="330">
        <f>+AC55/(AC55+AC62)</f>
        <v>8.1936180013503543E-2</v>
      </c>
      <c r="AD91" s="330">
        <f>+AD55/(AD55+AD62)</f>
        <v>0.10392069254398213</v>
      </c>
      <c r="AE91" s="330">
        <f>+AE55/(AE55+AE62)</f>
        <v>0.10336534615979395</v>
      </c>
      <c r="AF91" s="330">
        <f>+AF55/(AF55+AF62)</f>
        <v>0.1109804601562754</v>
      </c>
      <c r="AG91" s="247"/>
      <c r="AH91" s="330">
        <f>+AH55/(AH55+AH62)</f>
        <v>0.10743531775935694</v>
      </c>
      <c r="AI91" s="330">
        <f>+AI55/(AI55+AI62)</f>
        <v>0.15972925161058396</v>
      </c>
      <c r="AJ91" s="330">
        <f>+AJ55/(AJ55+AJ62)</f>
        <v>0.20404345400242871</v>
      </c>
      <c r="AK91" s="330">
        <f>+AK55/(AK55+AK62)</f>
        <v>0.21497367584672572</v>
      </c>
      <c r="AL91" s="247"/>
      <c r="AM91" s="330">
        <f>+AM55/(AM55+AM62)</f>
        <v>0.19189096243671616</v>
      </c>
      <c r="AN91" s="330">
        <f>+AN55/(AN55+AN62)</f>
        <v>0.21492527432515185</v>
      </c>
      <c r="AO91" s="330">
        <f>+AO55/(AO55+AO62)</f>
        <v>0.23951100043219659</v>
      </c>
      <c r="AP91" s="330">
        <f>+AP55/(AP55+AP62)</f>
        <v>0.21677674714206416</v>
      </c>
      <c r="AQ91" s="247"/>
      <c r="AR91" s="330">
        <f>+AR55/(AR55+AR62)</f>
        <v>0.19278277679867706</v>
      </c>
      <c r="AS91" s="330">
        <f>+AS55/(AS55+AS62)</f>
        <v>0.19301246359720389</v>
      </c>
      <c r="AT91" s="330">
        <f>+AT55/(AT55+AT62)</f>
        <v>0.1841556013070661</v>
      </c>
      <c r="AU91" s="330">
        <f>+AU55/(AU55+AU62)</f>
        <v>0.19124283218190513</v>
      </c>
      <c r="AV91" s="247"/>
      <c r="AW91" s="330">
        <f>+AW55/(AW55+AW62)</f>
        <v>0.20800543282866615</v>
      </c>
      <c r="AX91" s="330">
        <f>+AX55/(AX55+AX62)</f>
        <v>0.22464692166916547</v>
      </c>
      <c r="AY91" s="330">
        <f>+AY55/(AY55+AY62)</f>
        <v>0.27538730634682657</v>
      </c>
      <c r="AZ91" s="330">
        <f>AVERAGE(AY91,AX91,AW91,AU91)</f>
        <v>0.22482062325664082</v>
      </c>
      <c r="BA91" s="247"/>
      <c r="BB91" s="330">
        <f>AVERAGE(AY91,AZ91,AX91,AW91)</f>
        <v>0.23321507102532474</v>
      </c>
      <c r="BC91" s="330">
        <f>AVERAGE(BB91,AZ91,AY91,AX91)</f>
        <v>0.23951748057448938</v>
      </c>
      <c r="BD91" s="330">
        <f>AVERAGE(BC91,BB91,AZ91,AY91)</f>
        <v>0.2432351203008204</v>
      </c>
      <c r="BE91" s="330">
        <f>AVERAGE(BD91,BC91,BB91,AZ91)</f>
        <v>0.23519707378931881</v>
      </c>
      <c r="BF91" s="247"/>
      <c r="BG91" s="330">
        <f>AVERAGE(BD91,BE91,BC91,BB91)</f>
        <v>0.23779118642248831</v>
      </c>
      <c r="BH91" s="330">
        <f>AVERAGE(BG91,BE91,BD91,BC91)</f>
        <v>0.23893521527177922</v>
      </c>
      <c r="BI91" s="330">
        <f>AVERAGE(BH91,BG91,BE91,BD91)</f>
        <v>0.23878964894610169</v>
      </c>
      <c r="BJ91" s="330">
        <f>AVERAGE(BI91,BH91,BG91,BE91)</f>
        <v>0.23767828110742201</v>
      </c>
      <c r="BK91" s="247"/>
      <c r="BL91" s="330">
        <f>AVERAGE(BI91,BJ91,BH91,BG91)</f>
        <v>0.23829858293694781</v>
      </c>
      <c r="BM91" s="330">
        <f>AVERAGE(BL91,BJ91,BI91,BH91)</f>
        <v>0.23842543206556266</v>
      </c>
      <c r="BN91" s="330">
        <f>AVERAGE(BM91,BL91,BJ91,BI91)</f>
        <v>0.23829798626400855</v>
      </c>
      <c r="BO91" s="330">
        <f>AVERAGE(BN91,BM91,BL91,BJ91)</f>
        <v>0.23817507059348525</v>
      </c>
      <c r="BP91" s="247"/>
      <c r="BQ91" s="330">
        <f>AVERAGE(BN91,BO91,BM91,BL91)</f>
        <v>0.23829926796500109</v>
      </c>
      <c r="BR91" s="330">
        <f>AVERAGE(BQ91,BO91,BN91,BM91)</f>
        <v>0.23829943922201438</v>
      </c>
      <c r="BS91" s="330">
        <f>AVERAGE(BR91,BQ91,BO91,BN91)</f>
        <v>0.23826794101112733</v>
      </c>
      <c r="BT91" s="330">
        <f>AVERAGE(BS91,BR91,BQ91,BO91)</f>
        <v>0.23826042969790701</v>
      </c>
      <c r="BU91" s="247"/>
      <c r="BV91" s="195"/>
      <c r="BW91" s="195"/>
      <c r="BX91" s="195"/>
      <c r="BY91" s="195"/>
      <c r="BZ91" s="195"/>
      <c r="CA91" s="195"/>
      <c r="CB91" s="195"/>
      <c r="CC91" s="195"/>
      <c r="CD91" s="195"/>
      <c r="CE91" s="195"/>
      <c r="CF91" s="195"/>
      <c r="CG91" s="195"/>
      <c r="CH91" s="195"/>
      <c r="CI91" s="195"/>
      <c r="CJ91" s="195"/>
      <c r="CK91" s="195"/>
      <c r="CL91" s="195"/>
      <c r="CM91" s="195"/>
    </row>
    <row r="92" spans="2:91" s="61" customFormat="1" hidden="1" outlineLevel="1" x14ac:dyDescent="0.3">
      <c r="B92" s="209" t="s">
        <v>264</v>
      </c>
      <c r="C92" s="248"/>
      <c r="D92" s="250">
        <v>92</v>
      </c>
      <c r="E92" s="251">
        <v>90</v>
      </c>
      <c r="F92" s="251">
        <v>91</v>
      </c>
      <c r="G92" s="251">
        <v>92</v>
      </c>
      <c r="H92" s="252"/>
      <c r="I92" s="251">
        <v>92</v>
      </c>
      <c r="J92" s="251">
        <v>90</v>
      </c>
      <c r="K92" s="251">
        <v>91</v>
      </c>
      <c r="L92" s="251">
        <v>92</v>
      </c>
      <c r="M92" s="252"/>
      <c r="N92" s="251">
        <v>92</v>
      </c>
      <c r="O92" s="251">
        <v>91</v>
      </c>
      <c r="P92" s="251">
        <v>91</v>
      </c>
      <c r="Q92" s="251">
        <v>92</v>
      </c>
      <c r="R92" s="252"/>
      <c r="S92" s="251">
        <v>92</v>
      </c>
      <c r="T92" s="251">
        <v>90</v>
      </c>
      <c r="U92" s="251">
        <v>91</v>
      </c>
      <c r="V92" s="251">
        <v>92</v>
      </c>
      <c r="W92" s="252"/>
      <c r="X92" s="251">
        <v>92</v>
      </c>
      <c r="Y92" s="251">
        <v>90</v>
      </c>
      <c r="Z92" s="251">
        <v>91</v>
      </c>
      <c r="AA92" s="251">
        <v>92</v>
      </c>
      <c r="AB92" s="252"/>
      <c r="AC92" s="251">
        <v>92</v>
      </c>
      <c r="AD92" s="251">
        <v>90</v>
      </c>
      <c r="AE92" s="251">
        <v>91</v>
      </c>
      <c r="AF92" s="251">
        <v>92</v>
      </c>
      <c r="AG92" s="252"/>
      <c r="AH92" s="251">
        <v>92</v>
      </c>
      <c r="AI92" s="251">
        <v>91</v>
      </c>
      <c r="AJ92" s="251">
        <v>91</v>
      </c>
      <c r="AK92" s="251">
        <v>92</v>
      </c>
      <c r="AL92" s="252"/>
      <c r="AM92" s="251">
        <v>92</v>
      </c>
      <c r="AN92" s="251">
        <v>90</v>
      </c>
      <c r="AO92" s="251">
        <v>91</v>
      </c>
      <c r="AP92" s="251">
        <v>92</v>
      </c>
      <c r="AQ92" s="252"/>
      <c r="AR92" s="251">
        <v>92</v>
      </c>
      <c r="AS92" s="251">
        <v>90</v>
      </c>
      <c r="AT92" s="251">
        <v>91</v>
      </c>
      <c r="AU92" s="251">
        <v>92</v>
      </c>
      <c r="AV92" s="252"/>
      <c r="AW92" s="251">
        <v>92</v>
      </c>
      <c r="AX92" s="251">
        <v>90</v>
      </c>
      <c r="AY92" s="251">
        <v>91</v>
      </c>
      <c r="AZ92" s="251">
        <v>92</v>
      </c>
      <c r="BA92" s="252"/>
      <c r="BB92" s="251">
        <v>92</v>
      </c>
      <c r="BC92" s="251">
        <v>90</v>
      </c>
      <c r="BD92" s="251">
        <v>91</v>
      </c>
      <c r="BE92" s="251">
        <v>92</v>
      </c>
      <c r="BF92" s="252"/>
      <c r="BG92" s="251">
        <v>92</v>
      </c>
      <c r="BH92" s="251">
        <v>90</v>
      </c>
      <c r="BI92" s="251">
        <v>91</v>
      </c>
      <c r="BJ92" s="251">
        <v>92</v>
      </c>
      <c r="BK92" s="252"/>
      <c r="BL92" s="251">
        <v>92</v>
      </c>
      <c r="BM92" s="251">
        <v>91</v>
      </c>
      <c r="BN92" s="251">
        <v>91</v>
      </c>
      <c r="BO92" s="251">
        <v>92</v>
      </c>
      <c r="BP92" s="252"/>
      <c r="BQ92" s="251">
        <v>92</v>
      </c>
      <c r="BR92" s="251">
        <v>90</v>
      </c>
      <c r="BS92" s="251">
        <v>91</v>
      </c>
      <c r="BT92" s="251">
        <v>92</v>
      </c>
      <c r="BU92" s="252"/>
      <c r="BV92" s="231"/>
      <c r="BW92" s="231"/>
      <c r="BX92" s="231"/>
      <c r="BY92" s="231"/>
      <c r="BZ92" s="231"/>
      <c r="CA92" s="231"/>
      <c r="CB92" s="231"/>
      <c r="CC92" s="231"/>
      <c r="CD92" s="231"/>
      <c r="CE92" s="231"/>
      <c r="CF92" s="231"/>
      <c r="CG92" s="231"/>
      <c r="CH92" s="231"/>
      <c r="CI92" s="231"/>
      <c r="CJ92" s="231"/>
      <c r="CK92" s="231"/>
      <c r="CL92" s="231"/>
      <c r="CM92" s="231"/>
    </row>
    <row r="93" spans="2:91" s="132" customFormat="1" ht="16.2" hidden="1" outlineLevel="1" x14ac:dyDescent="0.45">
      <c r="B93" s="360" t="s">
        <v>297</v>
      </c>
      <c r="C93" s="361"/>
      <c r="D93" s="331"/>
      <c r="E93" s="332"/>
      <c r="F93" s="332"/>
      <c r="G93" s="196">
        <f>G11/(AVERAGE(G59,F59))</f>
        <v>3.4838446918273145</v>
      </c>
      <c r="H93" s="194"/>
      <c r="I93" s="196">
        <f>I11/(AVERAGE(I59,G59))</f>
        <v>3.5510204081632653</v>
      </c>
      <c r="J93" s="196">
        <f>J11/(AVERAGE(J59,I59))</f>
        <v>2.8487776025236595</v>
      </c>
      <c r="K93" s="196">
        <f>K11/(AVERAGE(K59,J59))</f>
        <v>3.1218826176636041</v>
      </c>
      <c r="L93" s="196">
        <f>L11/(AVERAGE(L59,K59))</f>
        <v>2.8829905265853033</v>
      </c>
      <c r="M93" s="194"/>
      <c r="N93" s="196">
        <f>N11/(AVERAGE(N59,L59))</f>
        <v>3.6872392461516328</v>
      </c>
      <c r="O93" s="196">
        <f>O11/(AVERAGE(O59,N59))</f>
        <v>2.8880330509067993</v>
      </c>
      <c r="P93" s="196">
        <f>P11/(AVERAGE(P59,O59))</f>
        <v>2.9965589467384799</v>
      </c>
      <c r="Q93" s="196">
        <f>Q11/(AVERAGE(Q59,P59))</f>
        <v>2.994515031590641</v>
      </c>
      <c r="R93" s="194"/>
      <c r="S93" s="196">
        <f>S11/(AVERAGE(S59,Q59))</f>
        <v>3.7803141597920669</v>
      </c>
      <c r="T93" s="196">
        <f>T11/(AVERAGE(T59,S59))</f>
        <v>3.3671855695576971</v>
      </c>
      <c r="U93" s="196">
        <f>U11/(AVERAGE(U59,T59))</f>
        <v>4.1043622308117058</v>
      </c>
      <c r="V93" s="196">
        <f>V11/(AVERAGE(V59,U59))</f>
        <v>3.8839792643791657</v>
      </c>
      <c r="W93" s="194"/>
      <c r="X93" s="196">
        <f>X11/(AVERAGE(X59,V59))</f>
        <v>3.8569347790904676</v>
      </c>
      <c r="Y93" s="196">
        <f>Y11/(AVERAGE(Y59,X59))</f>
        <v>3.2362425516999651</v>
      </c>
      <c r="Z93" s="196">
        <f>Z11/(AVERAGE(Z59,Y59))</f>
        <v>3.7290725375831757</v>
      </c>
      <c r="AA93" s="196">
        <f>AA11/(AVERAGE(AA59,Z59))</f>
        <v>3.3030609663546673</v>
      </c>
      <c r="AB93" s="194"/>
      <c r="AC93" s="196">
        <f>AC11/(AVERAGE(AC59,AA59))</f>
        <v>3.8962911491357595</v>
      </c>
      <c r="AD93" s="196">
        <f>AD11/(AVERAGE(AD59,AC59))</f>
        <v>3.3473643184254116</v>
      </c>
      <c r="AE93" s="196">
        <f>AE11/(AVERAGE(AE59,AD59))</f>
        <v>3.5632293403191238</v>
      </c>
      <c r="AF93" s="196">
        <f>AF11/(AVERAGE(AF59,AE59))</f>
        <v>2.6879423385871215</v>
      </c>
      <c r="AG93" s="194"/>
      <c r="AH93" s="196">
        <f>AH11/(AVERAGE(AH59,AF59))</f>
        <v>3.6125109291789208</v>
      </c>
      <c r="AI93" s="196">
        <f>AI11/(AVERAGE(AI59,AH59))</f>
        <v>3.180812957483258</v>
      </c>
      <c r="AJ93" s="196">
        <f>AJ11/(AVERAGE(AJ59,AI59))</f>
        <v>3.5183274140588354</v>
      </c>
      <c r="AK93" s="196">
        <f>AK11/(AVERAGE(AK59,AJ59))</f>
        <v>2.7824462223925646</v>
      </c>
      <c r="AL93" s="194"/>
      <c r="AM93" s="196">
        <f>AM11/(AVERAGE(AM59,AK59))</f>
        <v>3.5081012197342072</v>
      </c>
      <c r="AN93" s="196">
        <f>AN11/(AVERAGE(AN59,AM59))</f>
        <v>2.8148825861543152</v>
      </c>
      <c r="AO93" s="196">
        <f>AO11/(AVERAGE(AO59,AN59))</f>
        <v>2.8983701858195787</v>
      </c>
      <c r="AP93" s="196">
        <f>AP11/(AVERAGE(AP59,AO59))</f>
        <v>2.3293378995433791</v>
      </c>
      <c r="AQ93" s="194"/>
      <c r="AR93" s="196">
        <f>AR11/(AVERAGE(AR59,AP59))</f>
        <v>2.4031552432719079</v>
      </c>
      <c r="AS93" s="196">
        <f>AS11/(AVERAGE(AS59,AR59))</f>
        <v>2.1222181582871453</v>
      </c>
      <c r="AT93" s="196">
        <f>AT11/(AVERAGE(AT59,AS59))</f>
        <v>3.2283874772693761</v>
      </c>
      <c r="AU93" s="196">
        <f>AU11/(AVERAGE(AU59,AT59))</f>
        <v>2.0390838411430972</v>
      </c>
      <c r="AV93" s="194"/>
      <c r="AW93" s="196">
        <f>AW11/(AVERAGE(AW59,AU59))</f>
        <v>2.3384250665354593</v>
      </c>
      <c r="AX93" s="196">
        <f>AX11/(AVERAGE(AX59,AW59))</f>
        <v>2.4051566601322389</v>
      </c>
      <c r="AY93" s="196">
        <f>AY11/(AVERAGE(AY59,AX59))</f>
        <v>2.8557336621454992</v>
      </c>
      <c r="AZ93" s="333">
        <f t="shared" ref="AZ93:AZ94" si="259">AY93*(AU93/AT93)</f>
        <v>1.8037117310387247</v>
      </c>
      <c r="BA93" s="194"/>
      <c r="BB93" s="333">
        <f>AZ93*(AW93/AU93)</f>
        <v>2.0684999015540835</v>
      </c>
      <c r="BC93" s="333">
        <f t="shared" ref="BC93:BE94" si="260">BB93*(AX93/AW93)</f>
        <v>2.127528645626688</v>
      </c>
      <c r="BD93" s="333">
        <f t="shared" si="260"/>
        <v>2.5260953979442271</v>
      </c>
      <c r="BE93" s="333">
        <f t="shared" si="260"/>
        <v>1.5955087000556543</v>
      </c>
      <c r="BF93" s="194"/>
      <c r="BG93" s="333">
        <f>BE93*(BB93/AZ93)</f>
        <v>1.829732286041748</v>
      </c>
      <c r="BH93" s="333">
        <f t="shared" ref="BH93:BH94" si="261">BG93*(BC93/BB93)</f>
        <v>1.8819473230127401</v>
      </c>
      <c r="BI93" s="333">
        <f t="shared" ref="BI93:BI94" si="262">BH93*(BD93/BC93)</f>
        <v>2.2345073856505473</v>
      </c>
      <c r="BJ93" s="333">
        <f t="shared" ref="BJ93:BJ94" si="263">BI93*(BE93/BD93)</f>
        <v>1.4113386125660397</v>
      </c>
      <c r="BK93" s="194"/>
      <c r="BL93" s="333">
        <f>BJ93*(BG93/BE93)</f>
        <v>1.6185256939428603</v>
      </c>
      <c r="BM93" s="333">
        <f t="shared" ref="BM93:BM94" si="264">BL93*(BH93/BG93)</f>
        <v>1.6647135322361608</v>
      </c>
      <c r="BN93" s="333">
        <f t="shared" ref="BN93:BN94" si="265">BM93*(BI93/BH93)</f>
        <v>1.9765774723275451</v>
      </c>
      <c r="BO93" s="333">
        <f t="shared" ref="BO93:BO94" si="266">BN93*(BJ93/BI93)</f>
        <v>1.2484273380962156</v>
      </c>
      <c r="BP93" s="194"/>
      <c r="BQ93" s="333">
        <f>BO93*(BL93/BJ93)</f>
        <v>1.4316987473726233</v>
      </c>
      <c r="BR93" s="333">
        <f t="shared" ref="BR93:BR94" si="267">BQ93*(BM93/BL93)</f>
        <v>1.4725551084893114</v>
      </c>
      <c r="BS93" s="333">
        <f t="shared" ref="BS93:BS94" si="268">BR93*(BN93/BM93)</f>
        <v>1.7484204926784417</v>
      </c>
      <c r="BT93" s="333">
        <f t="shared" ref="BT93:BT94" si="269">BS93*(BO93/BN93)</f>
        <v>1.1043209649541661</v>
      </c>
      <c r="BU93" s="194"/>
      <c r="BV93" s="195"/>
      <c r="BW93" s="195"/>
      <c r="BX93" s="195"/>
      <c r="BY93" s="195"/>
      <c r="BZ93" s="195"/>
      <c r="CA93" s="195"/>
      <c r="CB93" s="195"/>
      <c r="CC93" s="195"/>
      <c r="CD93" s="195"/>
      <c r="CE93" s="195"/>
      <c r="CF93" s="195"/>
      <c r="CG93" s="195"/>
      <c r="CH93" s="195"/>
      <c r="CI93" s="195"/>
      <c r="CJ93" s="195"/>
      <c r="CK93" s="195"/>
      <c r="CL93" s="195"/>
      <c r="CM93" s="195"/>
    </row>
    <row r="94" spans="2:91" hidden="1" outlineLevel="1" x14ac:dyDescent="0.3">
      <c r="B94" s="360" t="s">
        <v>52</v>
      </c>
      <c r="C94" s="393"/>
      <c r="D94" s="249"/>
      <c r="E94" s="251">
        <f>E11/(AVERAGE(D57,E57))</f>
        <v>12.971993410214168</v>
      </c>
      <c r="F94" s="251">
        <f>F11/(AVERAGE(E57,F57))</f>
        <v>12.106329113924051</v>
      </c>
      <c r="G94" s="251">
        <f>G11/(AVERAGE(F57,G57))</f>
        <v>12.87606623181134</v>
      </c>
      <c r="H94" s="252"/>
      <c r="I94" s="251">
        <f>I11/(AVERAGE(G57,I57))</f>
        <v>16.986570247933884</v>
      </c>
      <c r="J94" s="251">
        <f>J11/(AVERAGE(I57,J57))</f>
        <v>15.92176308539945</v>
      </c>
      <c r="K94" s="251">
        <f>K11/(AVERAGE(J57,K57))</f>
        <v>18.305662451896648</v>
      </c>
      <c r="L94" s="251">
        <f>L11/(AVERAGE(K57,L57))</f>
        <v>20.288288288288289</v>
      </c>
      <c r="M94" s="252"/>
      <c r="N94" s="251">
        <f>N11/(AVERAGE(L57,N57))</f>
        <v>25.477137176938371</v>
      </c>
      <c r="O94" s="251">
        <f>O11/(AVERAGE(N57,O57))</f>
        <v>17.640718562874252</v>
      </c>
      <c r="P94" s="251">
        <f>P11/(AVERAGE(O57,P57))</f>
        <v>18.011690647482013</v>
      </c>
      <c r="Q94" s="251">
        <f>Q11/(AVERAGE(P57,Q57))</f>
        <v>22.545739675901725</v>
      </c>
      <c r="R94" s="252"/>
      <c r="S94" s="251">
        <f>S11/(AVERAGE(Q57,S57))</f>
        <v>29.788067675868209</v>
      </c>
      <c r="T94" s="251">
        <f>T11/(AVERAGE(S57,T57))</f>
        <v>20.188148148148148</v>
      </c>
      <c r="U94" s="251">
        <f>U11/(AVERAGE(T57,U57))</f>
        <v>15.159075458871516</v>
      </c>
      <c r="V94" s="251">
        <f>V11/(AVERAGE(U57,V57))</f>
        <v>13.638254839641721</v>
      </c>
      <c r="W94" s="252"/>
      <c r="X94" s="251">
        <f>X11/(AVERAGE(V57,X57))</f>
        <v>18.398353062274833</v>
      </c>
      <c r="Y94" s="251">
        <f>Y11/(AVERAGE(X57,Y57))</f>
        <v>14.021260440394837</v>
      </c>
      <c r="Z94" s="251">
        <f>Z11/(AVERAGE(Y57,Z57))</f>
        <v>13.261466549810109</v>
      </c>
      <c r="AA94" s="251">
        <f>AA11/(AVERAGE(Z57,AA57))</f>
        <v>14.096626180836708</v>
      </c>
      <c r="AB94" s="252"/>
      <c r="AC94" s="251">
        <f>AC11/(AVERAGE(AA57,AC57))</f>
        <v>20.417842512517069</v>
      </c>
      <c r="AD94" s="251">
        <f>AD11/(AVERAGE(AC57,AD57))</f>
        <v>14.684334259457149</v>
      </c>
      <c r="AE94" s="251">
        <f>AE11/(AVERAGE(AD57,AE57))</f>
        <v>13.485353762956287</v>
      </c>
      <c r="AF94" s="251">
        <f>AF11/(AVERAGE(AE57,AF57))</f>
        <v>14.098383056251423</v>
      </c>
      <c r="AG94" s="252"/>
      <c r="AH94" s="251">
        <f>AH11/(AVERAGE(AF57,AH57))</f>
        <v>18.937083333333334</v>
      </c>
      <c r="AI94" s="251">
        <f>AI11/(AVERAGE(AH57,AI57))</f>
        <v>12.948436179205411</v>
      </c>
      <c r="AJ94" s="251">
        <f>AJ11/(AVERAGE(AI57,AJ57))</f>
        <v>12.768482490272374</v>
      </c>
      <c r="AK94" s="251">
        <f>AK11/(AVERAGE(AJ57,AK57))</f>
        <v>14.65505929851123</v>
      </c>
      <c r="AL94" s="252"/>
      <c r="AM94" s="251">
        <f>AM11/(AVERAGE(AK57,AM57))</f>
        <v>19.890586292320396</v>
      </c>
      <c r="AN94" s="251">
        <f>AN11/(AVERAGE(AM57,AN57))</f>
        <v>11.492351476342938</v>
      </c>
      <c r="AO94" s="251">
        <f>AO11/(AVERAGE(AN57,AO57))</f>
        <v>9.2206076618229851</v>
      </c>
      <c r="AP94" s="251">
        <f>AP11/(AVERAGE(AO57,AP57))</f>
        <v>8.1609798775153113</v>
      </c>
      <c r="AQ94" s="252"/>
      <c r="AR94" s="251">
        <f>AR11/(AVERAGE(AP57,AR57))</f>
        <v>11.72509702457956</v>
      </c>
      <c r="AS94" s="251">
        <f>AS11/(AVERAGE(AR57,AS57))</f>
        <v>6.2426549697922704</v>
      </c>
      <c r="AT94" s="251">
        <f>AT11/(AVERAGE(AS57,AT57))</f>
        <v>4.8307103985880273</v>
      </c>
      <c r="AU94" s="251">
        <f>AU11/(AVERAGE(AT57,AU57))</f>
        <v>7.8479579458147999</v>
      </c>
      <c r="AV94" s="252"/>
      <c r="AW94" s="251">
        <f>AW11/(AVERAGE(AU57,AW57))</f>
        <v>11.690295169946333</v>
      </c>
      <c r="AX94" s="251">
        <f>AX11/(AVERAGE(AW57,AX57))</f>
        <v>7.3326580226904374</v>
      </c>
      <c r="AY94" s="251">
        <f>AY11/(AVERAGE(AX57,AY57))</f>
        <v>8.1519601893433666</v>
      </c>
      <c r="AZ94" s="333">
        <f t="shared" si="259"/>
        <v>13.243650615160632</v>
      </c>
      <c r="BA94" s="252"/>
      <c r="BB94" s="333">
        <f>AZ94*(AW94/AU94)</f>
        <v>19.727703166584053</v>
      </c>
      <c r="BC94" s="333">
        <f t="shared" si="260"/>
        <v>12.374067445755708</v>
      </c>
      <c r="BD94" s="333">
        <f t="shared" si="260"/>
        <v>13.756662984405597</v>
      </c>
      <c r="BE94" s="333">
        <f t="shared" si="260"/>
        <v>22.349034338286657</v>
      </c>
      <c r="BF94" s="252"/>
      <c r="BG94" s="333">
        <f>BE94*(BB94/AZ94)</f>
        <v>33.291056091497914</v>
      </c>
      <c r="BH94" s="333">
        <f t="shared" si="261"/>
        <v>20.881588187843864</v>
      </c>
      <c r="BI94" s="333">
        <f t="shared" si="262"/>
        <v>23.214757195932616</v>
      </c>
      <c r="BJ94" s="333">
        <f t="shared" si="263"/>
        <v>37.714626455196466</v>
      </c>
      <c r="BK94" s="252"/>
      <c r="BL94" s="333">
        <f>BJ94*(BG94/BE94)</f>
        <v>56.17959710406403</v>
      </c>
      <c r="BM94" s="333">
        <f t="shared" si="264"/>
        <v>35.23826964400957</v>
      </c>
      <c r="BN94" s="333">
        <f t="shared" si="265"/>
        <v>39.175558220552809</v>
      </c>
      <c r="BO94" s="333">
        <f t="shared" si="266"/>
        <v>63.644496989217565</v>
      </c>
      <c r="BP94" s="252"/>
      <c r="BQ94" s="333">
        <f>BO94*(BL94/BJ94)</f>
        <v>94.804656304700316</v>
      </c>
      <c r="BR94" s="333">
        <f t="shared" si="267"/>
        <v>59.465574952138837</v>
      </c>
      <c r="BS94" s="333">
        <f t="shared" si="268"/>
        <v>66.109860591641961</v>
      </c>
      <c r="BT94" s="333">
        <f t="shared" si="269"/>
        <v>107.40188562711889</v>
      </c>
      <c r="BU94" s="252"/>
      <c r="BV94" s="195"/>
      <c r="BW94" s="195"/>
      <c r="BX94" s="195"/>
      <c r="BY94" s="195"/>
      <c r="BZ94" s="195"/>
      <c r="CA94" s="195"/>
      <c r="CB94" s="195"/>
      <c r="CC94" s="195"/>
      <c r="CD94" s="195"/>
      <c r="CE94" s="195"/>
      <c r="CF94" s="195"/>
      <c r="CG94" s="195"/>
      <c r="CH94" s="195"/>
      <c r="CI94" s="195"/>
      <c r="CJ94" s="195"/>
      <c r="CK94" s="195"/>
      <c r="CL94" s="195"/>
      <c r="CM94" s="195"/>
    </row>
    <row r="95" spans="2:91" s="61" customFormat="1" hidden="1" outlineLevel="1" x14ac:dyDescent="0.3">
      <c r="B95" s="370" t="s">
        <v>265</v>
      </c>
      <c r="C95" s="371"/>
      <c r="D95" s="249"/>
      <c r="E95" s="251">
        <f>E92/E94</f>
        <v>6.9380238760477519</v>
      </c>
      <c r="F95" s="251">
        <f t="shared" ref="F95:G95" si="270">F92/F94</f>
        <v>7.5167294019238806</v>
      </c>
      <c r="G95" s="251">
        <f t="shared" si="270"/>
        <v>7.1450393578053149</v>
      </c>
      <c r="H95" s="197"/>
      <c r="I95" s="251">
        <f t="shared" ref="I95:L95" si="271">I92/I94</f>
        <v>5.4160433011007729</v>
      </c>
      <c r="J95" s="251">
        <f t="shared" si="271"/>
        <v>5.65264032112949</v>
      </c>
      <c r="K95" s="251">
        <f t="shared" si="271"/>
        <v>4.9711394077722382</v>
      </c>
      <c r="L95" s="251">
        <f t="shared" si="271"/>
        <v>4.534635879218472</v>
      </c>
      <c r="M95" s="197"/>
      <c r="N95" s="251">
        <f t="shared" ref="N95" si="272">N92/N94</f>
        <v>3.6110807647288334</v>
      </c>
      <c r="O95" s="251">
        <f t="shared" ref="O95" si="273">O92/O94</f>
        <v>5.1585200271554648</v>
      </c>
      <c r="P95" s="251">
        <f t="shared" ref="P95" si="274">P92/P94</f>
        <v>5.0522742024065108</v>
      </c>
      <c r="Q95" s="251">
        <f t="shared" ref="Q95" si="275">Q92/Q94</f>
        <v>4.0805935543705081</v>
      </c>
      <c r="R95" s="197"/>
      <c r="S95" s="251">
        <f t="shared" ref="S95" si="276">S92/S94</f>
        <v>3.0884849934234127</v>
      </c>
      <c r="T95" s="251">
        <f t="shared" ref="T95" si="277">T92/T94</f>
        <v>4.4580612020253909</v>
      </c>
      <c r="U95" s="251">
        <f t="shared" ref="U95" si="278">U92/U94</f>
        <v>6.0030046190412127</v>
      </c>
      <c r="V95" s="251">
        <f t="shared" ref="V95" si="279">V92/V94</f>
        <v>6.7457311130884285</v>
      </c>
      <c r="W95" s="197"/>
      <c r="X95" s="251">
        <f t="shared" ref="X95" si="280">X92/X94</f>
        <v>5.0004475774868524</v>
      </c>
      <c r="Y95" s="251">
        <f t="shared" ref="Y95" si="281">Y92/Y94</f>
        <v>6.4188237842521394</v>
      </c>
      <c r="Z95" s="251">
        <f t="shared" ref="Z95" si="282">Z92/Z94</f>
        <v>6.8619861655725423</v>
      </c>
      <c r="AA95" s="251">
        <f t="shared" ref="AA95" si="283">AA92/AA94</f>
        <v>6.526384314926859</v>
      </c>
      <c r="AB95" s="197"/>
      <c r="AC95" s="251">
        <f t="shared" ref="AC95" si="284">AC92/AC94</f>
        <v>4.5058629452940391</v>
      </c>
      <c r="AD95" s="251">
        <f t="shared" ref="AD95" si="285">AD92/AD94</f>
        <v>6.1289806136112244</v>
      </c>
      <c r="AE95" s="251">
        <f t="shared" ref="AE95" si="286">AE92/AE94</f>
        <v>6.7480617564496725</v>
      </c>
      <c r="AF95" s="251">
        <f t="shared" ref="AF95" si="287">AF92/AF94</f>
        <v>6.5255710270409981</v>
      </c>
      <c r="AG95" s="197"/>
      <c r="AH95" s="251">
        <f t="shared" ref="AH95" si="288">AH92/AH94</f>
        <v>4.8581926995093401</v>
      </c>
      <c r="AI95" s="251">
        <f t="shared" ref="AI95" si="289">AI92/AI94</f>
        <v>7.0278757017887452</v>
      </c>
      <c r="AJ95" s="251">
        <f t="shared" ref="AJ95" si="290">AJ92/AJ94</f>
        <v>7.1269236629590118</v>
      </c>
      <c r="AK95" s="251">
        <f t="shared" ref="AK95" si="291">AK92/AK94</f>
        <v>6.2776955129308858</v>
      </c>
      <c r="AL95" s="197"/>
      <c r="AM95" s="251">
        <f t="shared" ref="AM95:AP95" si="292">AM92/AM94</f>
        <v>4.6253035806953813</v>
      </c>
      <c r="AN95" s="251">
        <f t="shared" si="292"/>
        <v>7.8312954650982824</v>
      </c>
      <c r="AO95" s="251">
        <f t="shared" si="292"/>
        <v>9.8691977077363902</v>
      </c>
      <c r="AP95" s="251">
        <f t="shared" si="292"/>
        <v>11.273156089193824</v>
      </c>
      <c r="AQ95" s="197"/>
      <c r="AR95" s="251">
        <f t="shared" ref="AR95:AU95" si="293">AR92/AR94</f>
        <v>7.8464169470954932</v>
      </c>
      <c r="AS95" s="251">
        <f t="shared" si="293"/>
        <v>14.416942860930664</v>
      </c>
      <c r="AT95" s="251">
        <f t="shared" si="293"/>
        <v>18.837809036658143</v>
      </c>
      <c r="AU95" s="251">
        <f t="shared" si="293"/>
        <v>11.722794723825226</v>
      </c>
      <c r="AV95" s="197"/>
      <c r="AW95" s="251">
        <f t="shared" ref="AW95:AZ95" si="294">AW92/AW94</f>
        <v>7.8697756269247687</v>
      </c>
      <c r="AX95" s="251">
        <f t="shared" si="294"/>
        <v>12.273857545449522</v>
      </c>
      <c r="AY95" s="251">
        <f t="shared" si="294"/>
        <v>11.162959323447085</v>
      </c>
      <c r="AZ95" s="334">
        <f t="shared" si="294"/>
        <v>6.9467250891293713</v>
      </c>
      <c r="BA95" s="197"/>
      <c r="BB95" s="334">
        <f t="shared" ref="BB95:BE95" si="295">BB92/BB94</f>
        <v>4.6634927149469192</v>
      </c>
      <c r="BC95" s="334">
        <f t="shared" si="295"/>
        <v>7.273275371621633</v>
      </c>
      <c r="BD95" s="334">
        <f t="shared" si="295"/>
        <v>6.6149763284276579</v>
      </c>
      <c r="BE95" s="334">
        <f t="shared" si="295"/>
        <v>4.1165089554850534</v>
      </c>
      <c r="BF95" s="197"/>
      <c r="BG95" s="334">
        <f t="shared" ref="BG95:BJ95" si="296">BG92/BG94</f>
        <v>2.7635050010773181</v>
      </c>
      <c r="BH95" s="334">
        <f t="shared" si="296"/>
        <v>4.3100169963313979</v>
      </c>
      <c r="BI95" s="334">
        <f t="shared" si="296"/>
        <v>3.9199203865006962</v>
      </c>
      <c r="BJ95" s="334">
        <f t="shared" si="296"/>
        <v>2.4393719001643164</v>
      </c>
      <c r="BK95" s="197"/>
      <c r="BL95" s="334">
        <f t="shared" ref="BL95:BO95" si="297">BL92/BL94</f>
        <v>1.6376051937429206</v>
      </c>
      <c r="BM95" s="334">
        <f t="shared" si="297"/>
        <v>2.5824196511155821</v>
      </c>
      <c r="BN95" s="334">
        <f t="shared" si="297"/>
        <v>2.3228769195242345</v>
      </c>
      <c r="BO95" s="334">
        <f t="shared" si="297"/>
        <v>1.4455295328296227</v>
      </c>
      <c r="BP95" s="197"/>
      <c r="BQ95" s="334">
        <f t="shared" ref="BQ95:BT95" si="298">BQ92/BQ94</f>
        <v>0.97041647094119299</v>
      </c>
      <c r="BR95" s="334">
        <f t="shared" si="298"/>
        <v>1.5134806999249053</v>
      </c>
      <c r="BS95" s="334">
        <f t="shared" si="298"/>
        <v>1.376496625247835</v>
      </c>
      <c r="BT95" s="334">
        <f t="shared" si="298"/>
        <v>0.85659576145067307</v>
      </c>
      <c r="BU95" s="197"/>
      <c r="BV95" s="231"/>
      <c r="BW95" s="231"/>
      <c r="BX95" s="231"/>
      <c r="BY95" s="231"/>
      <c r="BZ95" s="231"/>
      <c r="CA95" s="231"/>
      <c r="CB95" s="231"/>
      <c r="CC95" s="231"/>
      <c r="CD95" s="231"/>
      <c r="CE95" s="231"/>
      <c r="CF95" s="231"/>
      <c r="CG95" s="231"/>
      <c r="CH95" s="231"/>
      <c r="CI95" s="231"/>
      <c r="CJ95" s="231"/>
      <c r="CK95" s="231"/>
      <c r="CL95" s="231"/>
      <c r="CM95" s="231"/>
    </row>
    <row r="96" spans="2:91" hidden="1" outlineLevel="1" x14ac:dyDescent="0.3">
      <c r="B96" s="360" t="s">
        <v>51</v>
      </c>
      <c r="C96" s="393"/>
      <c r="D96" s="249"/>
      <c r="E96" s="253">
        <f>E10/(AVERAGE(E56,D56))</f>
        <v>4.5177376171352073</v>
      </c>
      <c r="F96" s="253">
        <f>F10/(AVERAGE(F56,E56))</f>
        <v>4.9581556924048638</v>
      </c>
      <c r="G96" s="253">
        <f>G10/(AVERAGE(G56,F56))</f>
        <v>4.5423690967958024</v>
      </c>
      <c r="H96" s="197"/>
      <c r="I96" s="196">
        <f>I10/(AVERAGE(I56,G56))</f>
        <v>4.6356938545549102</v>
      </c>
      <c r="J96" s="253">
        <f>J10/(AVERAGE(J56,I56))</f>
        <v>4.1720084566596194</v>
      </c>
      <c r="K96" s="253">
        <f>K10/(AVERAGE(K56,J56))</f>
        <v>4.8018487394957985</v>
      </c>
      <c r="L96" s="253">
        <f>L10/(AVERAGE(L56,K56))</f>
        <v>4.9289512684160055</v>
      </c>
      <c r="M96" s="197"/>
      <c r="N96" s="196">
        <f>N10/(AVERAGE(N56,L56))</f>
        <v>6.4805930484649279</v>
      </c>
      <c r="O96" s="253">
        <f>O10/(AVERAGE(O56,N56))</f>
        <v>4.9068369646882042</v>
      </c>
      <c r="P96" s="253">
        <f>P10/(AVERAGE(P56,O56))</f>
        <v>4.7653581876318114</v>
      </c>
      <c r="Q96" s="253">
        <f>Q10/(AVERAGE(Q56,P56))</f>
        <v>3.8700166783235597</v>
      </c>
      <c r="R96" s="197"/>
      <c r="S96" s="196">
        <f>S10/(AVERAGE(S56,Q56))</f>
        <v>4.8394886363636367</v>
      </c>
      <c r="T96" s="253">
        <f>T10/(AVERAGE(T56,S56))</f>
        <v>4.6679156407236917</v>
      </c>
      <c r="U96" s="253">
        <f>U10/(AVERAGE(U56,T56))</f>
        <v>4.4367267474722096</v>
      </c>
      <c r="V96" s="253">
        <f>V10/(AVERAGE(V56,U56))</f>
        <v>3.4157057563465658</v>
      </c>
      <c r="W96" s="197"/>
      <c r="X96" s="196">
        <f>X10/(AVERAGE(X56,V56))</f>
        <v>4.219031572778551</v>
      </c>
      <c r="Y96" s="253">
        <f>Y10/(AVERAGE(Y56,X56))</f>
        <v>3.8197489539748952</v>
      </c>
      <c r="Z96" s="253">
        <f>Z10/(AVERAGE(Z56,Y56))</f>
        <v>3.654041390081999</v>
      </c>
      <c r="AA96" s="253">
        <f>AA10/(AVERAGE(AA56,Z56))</f>
        <v>2.9823704333050127</v>
      </c>
      <c r="AB96" s="197"/>
      <c r="AC96" s="196">
        <f>AC10/(AVERAGE(AC56,AA56))</f>
        <v>4.3664725335830727</v>
      </c>
      <c r="AD96" s="196">
        <f>AD10/(AVERAGE(AD56,AC56))</f>
        <v>4.2014919968132105</v>
      </c>
      <c r="AE96" s="196">
        <f>AE10/(AVERAGE(AE56,AD56))</f>
        <v>4.6632197414806109</v>
      </c>
      <c r="AF96" s="196">
        <f>AF10/(AVERAGE(AF56,AE56))</f>
        <v>3.7841948638818472</v>
      </c>
      <c r="AG96" s="197"/>
      <c r="AH96" s="196">
        <f>AH10/(AVERAGE(AH56,AF56))</f>
        <v>5.0917388094758742</v>
      </c>
      <c r="AI96" s="196">
        <f>AI10/(AVERAGE(AI56,AH56))</f>
        <v>4.0153284091811612</v>
      </c>
      <c r="AJ96" s="196">
        <f>AJ10/(AVERAGE(AJ56,AI56))</f>
        <v>3.5382366453660778</v>
      </c>
      <c r="AK96" s="196">
        <f>AK10/(AVERAGE(AK56,AJ56))</f>
        <v>3.4113877967088975</v>
      </c>
      <c r="AL96" s="197"/>
      <c r="AM96" s="196">
        <f>AM10/(AVERAGE(AM56,AK56))</f>
        <v>5.2565160511220688</v>
      </c>
      <c r="AN96" s="196">
        <f>AN10/(AVERAGE(AN56,AM56))</f>
        <v>4.126696832579186</v>
      </c>
      <c r="AO96" s="196">
        <f>AO10/(AVERAGE(AO56,AN56))</f>
        <v>3.7874718491950956</v>
      </c>
      <c r="AP96" s="196">
        <f>AP10/(AVERAGE(AP56,AO56))</f>
        <v>3.4736563934859443</v>
      </c>
      <c r="AQ96" s="197"/>
      <c r="AR96" s="196">
        <f>AR10/(AVERAGE(AR56,AP56))</f>
        <v>4.2742411773248774</v>
      </c>
      <c r="AS96" s="196">
        <f>AS10/(AVERAGE(AS56,AR56))</f>
        <v>3.2378455672068638</v>
      </c>
      <c r="AT96" s="196">
        <f>AT10/(AVERAGE(AT56,AS56))</f>
        <v>3.7473617560151964</v>
      </c>
      <c r="AU96" s="196">
        <f>AU10/(AVERAGE(AU56,AT56))</f>
        <v>3.3735585947975331</v>
      </c>
      <c r="AV96" s="197"/>
      <c r="AW96" s="196">
        <f>AW10/(AVERAGE(AW56,AU56))</f>
        <v>4.0864697186341274</v>
      </c>
      <c r="AX96" s="196">
        <f>AX10/(AVERAGE(AX56,AW56))</f>
        <v>3.4988842651227308</v>
      </c>
      <c r="AY96" s="196">
        <f>AY10/(AVERAGE(AY56,AX56))</f>
        <v>3.6813874730612666</v>
      </c>
      <c r="AZ96" s="333">
        <f>AY96*(AU96/AT96)</f>
        <v>3.3141653139279792</v>
      </c>
      <c r="BA96" s="197"/>
      <c r="BB96" s="333">
        <f>AZ96*(AW96/AU96)</f>
        <v>4.0145252608920705</v>
      </c>
      <c r="BC96" s="333">
        <f>BB96*(AX96/AW96)</f>
        <v>3.4372845596340023</v>
      </c>
      <c r="BD96" s="333">
        <f>BC96*(AY96/AX96)</f>
        <v>3.6165747022042933</v>
      </c>
      <c r="BE96" s="333">
        <f>BD96*(AZ96/AY96)</f>
        <v>3.2558176831378072</v>
      </c>
      <c r="BF96" s="197"/>
      <c r="BG96" s="333">
        <f>BE96*(BB96/AZ96)</f>
        <v>3.9438474233273748</v>
      </c>
      <c r="BH96" s="333">
        <f>BG96*(BC96/BB96)</f>
        <v>3.3767693494954401</v>
      </c>
      <c r="BI96" s="333">
        <f>BH96*(BD96/BC96)</f>
        <v>3.552902994410335</v>
      </c>
      <c r="BJ96" s="333">
        <f>BI96*(BE96/BD96)</f>
        <v>3.1984972932050897</v>
      </c>
      <c r="BK96" s="197"/>
      <c r="BL96" s="333">
        <f>BJ96*(BG96/BE96)</f>
        <v>3.8744139064228289</v>
      </c>
      <c r="BM96" s="333">
        <f>BL96*(BH96/BG96)</f>
        <v>3.317319541593609</v>
      </c>
      <c r="BN96" s="333">
        <f>BM96*(BI96/BH96)</f>
        <v>3.4903522606614943</v>
      </c>
      <c r="BO96" s="333">
        <f>BN96*(BJ96/BI96)</f>
        <v>3.1421860590119746</v>
      </c>
      <c r="BP96" s="197"/>
      <c r="BQ96" s="333">
        <f>BO96*(BL96/BJ96)</f>
        <v>3.8062028032559994</v>
      </c>
      <c r="BR96" s="333">
        <f>BQ96*(BM96/BL96)</f>
        <v>3.2589163789594187</v>
      </c>
      <c r="BS96" s="333">
        <f>BR96*(BN96/BM96)</f>
        <v>3.428902765617643</v>
      </c>
      <c r="BT96" s="333">
        <f>BS96*(BO96/BN96)</f>
        <v>3.0868662138386624</v>
      </c>
      <c r="BU96" s="197"/>
      <c r="BV96" s="195"/>
      <c r="BW96" s="195"/>
      <c r="BX96" s="195"/>
      <c r="BY96" s="195"/>
      <c r="BZ96" s="195"/>
      <c r="CA96" s="195"/>
      <c r="CB96" s="195"/>
      <c r="CC96" s="195"/>
      <c r="CD96" s="195"/>
      <c r="CE96" s="195"/>
      <c r="CF96" s="195"/>
      <c r="CG96" s="195"/>
      <c r="CH96" s="195"/>
      <c r="CI96" s="195"/>
      <c r="CJ96" s="195"/>
      <c r="CK96" s="195"/>
      <c r="CL96" s="195"/>
      <c r="CM96" s="195"/>
    </row>
    <row r="97" spans="2:91" s="61" customFormat="1" hidden="1" outlineLevel="1" x14ac:dyDescent="0.3">
      <c r="B97" s="370" t="s">
        <v>266</v>
      </c>
      <c r="C97" s="371"/>
      <c r="D97" s="249"/>
      <c r="E97" s="251">
        <f>E92/E96</f>
        <v>19.921475664864065</v>
      </c>
      <c r="F97" s="251">
        <f t="shared" ref="F97:G97" si="299">F92/F96</f>
        <v>18.353598726114647</v>
      </c>
      <c r="G97" s="251">
        <f t="shared" si="299"/>
        <v>20.253748218060267</v>
      </c>
      <c r="H97" s="197"/>
      <c r="I97" s="251">
        <f t="shared" ref="I97:L97" si="300">I92/I96</f>
        <v>19.846004263116562</v>
      </c>
      <c r="J97" s="251">
        <f t="shared" si="300"/>
        <v>21.572343616978149</v>
      </c>
      <c r="K97" s="251">
        <f t="shared" si="300"/>
        <v>18.951034265513982</v>
      </c>
      <c r="L97" s="251">
        <f t="shared" si="300"/>
        <v>18.665228157056951</v>
      </c>
      <c r="M97" s="197"/>
      <c r="N97" s="251">
        <f t="shared" ref="N97" si="301">N92/N96</f>
        <v>14.196231627565666</v>
      </c>
      <c r="O97" s="251">
        <f t="shared" ref="O97" si="302">O92/O96</f>
        <v>18.54555198285102</v>
      </c>
      <c r="P97" s="251">
        <f t="shared" ref="P97" si="303">P92/P96</f>
        <v>19.096151100705253</v>
      </c>
      <c r="Q97" s="251">
        <f t="shared" ref="Q97" si="304">Q92/Q96</f>
        <v>23.772507368069842</v>
      </c>
      <c r="R97" s="197"/>
      <c r="S97" s="251">
        <f t="shared" ref="S97" si="305">S92/S96</f>
        <v>19.010272967420015</v>
      </c>
      <c r="T97" s="251">
        <f t="shared" ref="T97" si="306">T92/T96</f>
        <v>19.280554090314883</v>
      </c>
      <c r="U97" s="251">
        <f t="shared" ref="U97" si="307">U92/U96</f>
        <v>20.510616312317755</v>
      </c>
      <c r="V97" s="251">
        <f t="shared" ref="V97" si="308">V92/V96</f>
        <v>26.934404355251921</v>
      </c>
      <c r="W97" s="197"/>
      <c r="X97" s="251">
        <f t="shared" ref="X97" si="309">X92/X96</f>
        <v>21.805952008889815</v>
      </c>
      <c r="Y97" s="251">
        <f t="shared" ref="Y97" si="310">Y92/Y96</f>
        <v>23.561757875827016</v>
      </c>
      <c r="Z97" s="251">
        <f t="shared" ref="Z97" si="311">Z92/Z96</f>
        <v>24.903932464201755</v>
      </c>
      <c r="AA97" s="251">
        <f t="shared" ref="AA97" si="312">AA92/AA96</f>
        <v>30.847945303041094</v>
      </c>
      <c r="AB97" s="197"/>
      <c r="AC97" s="251">
        <f t="shared" ref="AC97" si="313">AC92/AC96</f>
        <v>21.069639003203793</v>
      </c>
      <c r="AD97" s="251">
        <f t="shared" ref="AD97" si="314">AD92/AD96</f>
        <v>21.420961903120151</v>
      </c>
      <c r="AE97" s="251">
        <f t="shared" ref="AE97" si="315">AE92/AE96</f>
        <v>19.514413869569601</v>
      </c>
      <c r="AF97" s="251">
        <f t="shared" ref="AF97" si="316">AF92/AF96</f>
        <v>24.311644434088659</v>
      </c>
      <c r="AG97" s="197"/>
      <c r="AH97" s="251">
        <f t="shared" ref="AH97" si="317">AH92/AH96</f>
        <v>18.068483762125684</v>
      </c>
      <c r="AI97" s="251">
        <f t="shared" ref="AI97" si="318">AI92/AI96</f>
        <v>22.663152481357674</v>
      </c>
      <c r="AJ97" s="251">
        <f t="shared" ref="AJ97" si="319">AJ92/AJ96</f>
        <v>25.719025921903771</v>
      </c>
      <c r="AK97" s="251">
        <f t="shared" ref="AK97" si="320">AK92/AK96</f>
        <v>26.968496542303424</v>
      </c>
      <c r="AL97" s="197"/>
      <c r="AM97" s="251">
        <f t="shared" ref="AM97:AP97" si="321">AM92/AM96</f>
        <v>17.502086763410805</v>
      </c>
      <c r="AN97" s="251">
        <f t="shared" si="321"/>
        <v>21.809210526315788</v>
      </c>
      <c r="AO97" s="251">
        <f t="shared" si="321"/>
        <v>24.026581219168428</v>
      </c>
      <c r="AP97" s="251">
        <f t="shared" si="321"/>
        <v>26.48506057551494</v>
      </c>
      <c r="AQ97" s="197"/>
      <c r="AR97" s="251">
        <f t="shared" ref="AR97:AU97" si="322">AR92/AR96</f>
        <v>21.524288448687894</v>
      </c>
      <c r="AS97" s="251">
        <f t="shared" si="322"/>
        <v>27.796260856764317</v>
      </c>
      <c r="AT97" s="251">
        <f t="shared" si="322"/>
        <v>24.283751056040551</v>
      </c>
      <c r="AU97" s="251">
        <f t="shared" si="322"/>
        <v>27.270906200317963</v>
      </c>
      <c r="AV97" s="197"/>
      <c r="AW97" s="251">
        <f t="shared" ref="AW97:AZ97" si="323">AW92/AW96</f>
        <v>22.513319890878901</v>
      </c>
      <c r="AX97" s="251">
        <f t="shared" si="323"/>
        <v>25.722485564078255</v>
      </c>
      <c r="AY97" s="251">
        <f t="shared" si="323"/>
        <v>24.718941069337841</v>
      </c>
      <c r="AZ97" s="334">
        <f t="shared" si="323"/>
        <v>27.75962913297187</v>
      </c>
      <c r="BA97" s="197"/>
      <c r="BB97" s="334">
        <f t="shared" ref="BB97:BE97" si="324">BB92/BB96</f>
        <v>22.916781940875524</v>
      </c>
      <c r="BC97" s="334">
        <f t="shared" si="324"/>
        <v>26.183459192445529</v>
      </c>
      <c r="BD97" s="334">
        <f t="shared" si="324"/>
        <v>25.161930139182726</v>
      </c>
      <c r="BE97" s="334">
        <f t="shared" si="324"/>
        <v>28.257110487628605</v>
      </c>
      <c r="BF97" s="197"/>
      <c r="BG97" s="334">
        <f t="shared" ref="BG97:BJ97" si="325">BG92/BG96</f>
        <v>23.327474449399656</v>
      </c>
      <c r="BH97" s="334">
        <f t="shared" si="325"/>
        <v>26.652693946492935</v>
      </c>
      <c r="BI97" s="334">
        <f t="shared" si="325"/>
        <v>25.612858032760055</v>
      </c>
      <c r="BJ97" s="334">
        <f t="shared" si="325"/>
        <v>28.763507224297314</v>
      </c>
      <c r="BK97" s="197"/>
      <c r="BL97" s="334">
        <f t="shared" ref="BL97:BO97" si="326">BL92/BL96</f>
        <v>23.745526993769701</v>
      </c>
      <c r="BM97" s="334">
        <f t="shared" si="326"/>
        <v>27.43178607276538</v>
      </c>
      <c r="BN97" s="334">
        <f t="shared" si="326"/>
        <v>26.071867022027629</v>
      </c>
      <c r="BO97" s="334">
        <f t="shared" si="326"/>
        <v>29.278979115873355</v>
      </c>
      <c r="BP97" s="197"/>
      <c r="BQ97" s="334">
        <f t="shared" ref="BQ97:BT97" si="327">BQ92/BQ96</f>
        <v>24.171071473464053</v>
      </c>
      <c r="BR97" s="334">
        <f t="shared" si="327"/>
        <v>27.616541676573259</v>
      </c>
      <c r="BS97" s="334">
        <f t="shared" si="327"/>
        <v>26.539101928604357</v>
      </c>
      <c r="BT97" s="334">
        <f t="shared" si="327"/>
        <v>29.803688798548123</v>
      </c>
      <c r="BU97" s="197"/>
      <c r="BV97" s="231"/>
      <c r="BW97" s="231"/>
      <c r="BX97" s="231"/>
      <c r="BY97" s="231"/>
      <c r="BZ97" s="231"/>
      <c r="CA97" s="231"/>
      <c r="CB97" s="231"/>
      <c r="CC97" s="231"/>
      <c r="CD97" s="231"/>
      <c r="CE97" s="231"/>
      <c r="CF97" s="231"/>
      <c r="CG97" s="231"/>
      <c r="CH97" s="231"/>
      <c r="CI97" s="231"/>
      <c r="CJ97" s="231"/>
      <c r="CK97" s="231"/>
      <c r="CL97" s="231"/>
      <c r="CM97" s="231"/>
    </row>
    <row r="98" spans="2:91" s="61" customFormat="1" hidden="1" outlineLevel="1" x14ac:dyDescent="0.3">
      <c r="B98" s="370" t="s">
        <v>267</v>
      </c>
      <c r="C98" s="371"/>
      <c r="D98" s="249"/>
      <c r="E98" s="253">
        <f>E11/(AVERAGE(E70,D70))</f>
        <v>1.2932577810626591</v>
      </c>
      <c r="F98" s="253">
        <f>F11/(AVERAGE(F70,E70))</f>
        <v>1.3532366466218606</v>
      </c>
      <c r="G98" s="253">
        <f>G11/(AVERAGE(G70,F70))</f>
        <v>1.2527826596367897</v>
      </c>
      <c r="H98" s="197"/>
      <c r="I98" s="196">
        <f>I11/(AVERAGE(I70,G70))</f>
        <v>1.249658002735978</v>
      </c>
      <c r="J98" s="253">
        <f>J11/(AVERAGE(J70,I70))</f>
        <v>1.0315188291986437</v>
      </c>
      <c r="K98" s="253">
        <f>K11/(AVERAGE(K70,J70))</f>
        <v>1.1488407397184655</v>
      </c>
      <c r="L98" s="253">
        <f>L11/(AVERAGE(L70,K70))</f>
        <v>1.1296903217176109</v>
      </c>
      <c r="M98" s="197"/>
      <c r="N98" s="196">
        <f>N11/(AVERAGE(N70,L70))</f>
        <v>1.5602836879432624</v>
      </c>
      <c r="O98" s="253">
        <f>O11/(AVERAGE(O70,N70))</f>
        <v>1.1706403269754768</v>
      </c>
      <c r="P98" s="253">
        <f>P11/(AVERAGE(P70,O70))</f>
        <v>1.184482095863272</v>
      </c>
      <c r="Q98" s="253">
        <f>Q11/(AVERAGE(Q70,P70))</f>
        <v>1.1355079904167653</v>
      </c>
      <c r="R98" s="197"/>
      <c r="S98" s="196">
        <f>S11/(AVERAGE(S70,Q70))</f>
        <v>1.4063439345847435</v>
      </c>
      <c r="T98" s="253">
        <f>T11/(AVERAGE(T70,S70))</f>
        <v>1.3194868070685064</v>
      </c>
      <c r="U98" s="253">
        <f>U11/(AVERAGE(U70,T70))</f>
        <v>1.4656894965163665</v>
      </c>
      <c r="V98" s="253">
        <f>V11/(AVERAGE(V70,U70))</f>
        <v>1.2459942454399071</v>
      </c>
      <c r="W98" s="197"/>
      <c r="X98" s="196">
        <f>X11/(AVERAGE(X70,V70))</f>
        <v>1.3761139447598885</v>
      </c>
      <c r="Y98" s="253">
        <f>Y11/(AVERAGE(Y70,X70))</f>
        <v>1.1421797039297348</v>
      </c>
      <c r="Z98" s="253">
        <f>Z11/(AVERAGE(Z70,Y70))</f>
        <v>1.1507009049659054</v>
      </c>
      <c r="AA98" s="253">
        <f>AA11/(AVERAGE(AA70,Z70))</f>
        <v>1.0295085844946876</v>
      </c>
      <c r="AB98" s="197"/>
      <c r="AC98" s="196">
        <f>AC11/(AVERAGE(AC70,AA70))</f>
        <v>1.3155417393726996</v>
      </c>
      <c r="AD98" s="196">
        <f>AD11/(AVERAGE(AD70,AC70))</f>
        <v>1.1234139960758667</v>
      </c>
      <c r="AE98" s="196">
        <f>AE11/(AVERAGE(AE70,AD70))</f>
        <v>1.2058106501722645</v>
      </c>
      <c r="AF98" s="253">
        <f>AF11/(AVERAGE(AF70,AE70))</f>
        <v>0.9990639726292686</v>
      </c>
      <c r="AG98" s="197"/>
      <c r="AH98" s="253">
        <f>AH11/(AVERAGE(AH70,AF70))</f>
        <v>1.321153454841429</v>
      </c>
      <c r="AI98" s="196">
        <f>AI11/(AVERAGE(AI70,AH70))</f>
        <v>1.0489984591679506</v>
      </c>
      <c r="AJ98" s="196">
        <f>AJ11/(AVERAGE(AJ70,AI70))</f>
        <v>1.0211607281779991</v>
      </c>
      <c r="AK98" s="196">
        <f>AK11/(AVERAGE(AK70,AJ70))</f>
        <v>0.91300383575426025</v>
      </c>
      <c r="AL98" s="197"/>
      <c r="AM98" s="253">
        <f>AM11/(AVERAGE(AM70,AK70))</f>
        <v>1.2710411060102369</v>
      </c>
      <c r="AN98" s="196">
        <f>AN11/(AVERAGE(AN70,AM70))</f>
        <v>0.96313522054767975</v>
      </c>
      <c r="AO98" s="196">
        <f>AO11/(AVERAGE(AO70,AN70))</f>
        <v>0.92315831239254065</v>
      </c>
      <c r="AP98" s="196">
        <f>AP11/(AVERAGE(AP70,AO70))</f>
        <v>0.80648189318709551</v>
      </c>
      <c r="AQ98" s="197"/>
      <c r="AR98" s="253">
        <f>AR11/(AVERAGE(AR70,AP70))</f>
        <v>0.97079458021671994</v>
      </c>
      <c r="AS98" s="196">
        <f>AS11/(AVERAGE(AS70,AR70))</f>
        <v>0.77526311461930608</v>
      </c>
      <c r="AT98" s="196">
        <f>AT11/(AVERAGE(AT70,AS70))</f>
        <v>0.90230769230769226</v>
      </c>
      <c r="AU98" s="196">
        <f>AU11/(AVERAGE(AU70,AT70))</f>
        <v>0.82257329645994259</v>
      </c>
      <c r="AV98" s="197"/>
      <c r="AW98" s="253">
        <f>AW11/(AVERAGE(AW70,AU70))</f>
        <v>1.0436909194358213</v>
      </c>
      <c r="AX98" s="196">
        <f>AX11/(AVERAGE(AX70,AW70))</f>
        <v>0.96858274459430527</v>
      </c>
      <c r="AY98" s="196">
        <f>AY11/(AVERAGE(AY70,AX70))</f>
        <v>1.1277074448436817</v>
      </c>
      <c r="AZ98" s="333">
        <f>AY98*(AU98/AT98)</f>
        <v>1.0280551060969583</v>
      </c>
      <c r="BA98" s="197"/>
      <c r="BB98" s="333">
        <f>AZ98*(AW98/AU98)</f>
        <v>1.3044087177771353</v>
      </c>
      <c r="BC98" s="333">
        <f>BB98*(AX98/AW98)</f>
        <v>1.2105382469172734</v>
      </c>
      <c r="BD98" s="333">
        <f>BC98*(AY98/AX98)</f>
        <v>1.409412877666347</v>
      </c>
      <c r="BE98" s="333">
        <f>BD98*(AZ98/AY98)</f>
        <v>1.2848670212375373</v>
      </c>
      <c r="BF98" s="197"/>
      <c r="BG98" s="333">
        <f>BE98*(BB98/AZ98)</f>
        <v>1.630254773063222</v>
      </c>
      <c r="BH98" s="333">
        <f>BG98*(BC98/BB98)</f>
        <v>1.5129351162076869</v>
      </c>
      <c r="BI98" s="333">
        <f>BH98*(BD98/BC98)</f>
        <v>1.7614893550756741</v>
      </c>
      <c r="BJ98" s="333">
        <f>BI98*(BE98/BD98)</f>
        <v>1.6058314894533712</v>
      </c>
      <c r="BK98" s="197"/>
      <c r="BL98" s="333">
        <f>BJ98*(BG98/BE98)</f>
        <v>2.0374983614219477</v>
      </c>
      <c r="BM98" s="333">
        <f>BL98*(BH98/BG98)</f>
        <v>1.8908718263825268</v>
      </c>
      <c r="BN98" s="333">
        <f>BM98*(BI98/BH98)</f>
        <v>2.2015158206745551</v>
      </c>
      <c r="BO98" s="333">
        <f>BN98*(BJ98/BI98)</f>
        <v>2.006974052487025</v>
      </c>
      <c r="BP98" s="197"/>
      <c r="BQ98" s="333">
        <f>BO98*(BL98/BJ98)</f>
        <v>2.546472883497044</v>
      </c>
      <c r="BR98" s="333">
        <f>BQ98*(BM98/BL98)</f>
        <v>2.3632185052120787</v>
      </c>
      <c r="BS98" s="333">
        <f>BR98*(BN98/BM98)</f>
        <v>2.7514625022937733</v>
      </c>
      <c r="BT98" s="333">
        <f>BS98*(BO98/BN98)</f>
        <v>2.5083234908585039</v>
      </c>
      <c r="BU98" s="197"/>
      <c r="BV98" s="231"/>
      <c r="BW98" s="231"/>
      <c r="BX98" s="231"/>
      <c r="BY98" s="231"/>
      <c r="BZ98" s="231"/>
      <c r="CA98" s="231"/>
      <c r="CB98" s="231"/>
      <c r="CC98" s="231"/>
      <c r="CD98" s="231"/>
      <c r="CE98" s="231"/>
      <c r="CF98" s="231"/>
      <c r="CG98" s="231"/>
      <c r="CH98" s="231"/>
      <c r="CI98" s="231"/>
      <c r="CJ98" s="231"/>
      <c r="CK98" s="231"/>
      <c r="CL98" s="231"/>
      <c r="CM98" s="231"/>
    </row>
    <row r="99" spans="2:91" hidden="1" outlineLevel="1" x14ac:dyDescent="0.3">
      <c r="B99" s="360" t="s">
        <v>53</v>
      </c>
      <c r="C99" s="393"/>
      <c r="D99" s="254"/>
      <c r="E99" s="125">
        <f>E92/E98</f>
        <v>69.59169418338837</v>
      </c>
      <c r="F99" s="125">
        <f t="shared" ref="F99:G99" si="328">F92/F98</f>
        <v>67.246183605186118</v>
      </c>
      <c r="G99" s="125">
        <f t="shared" si="328"/>
        <v>73.436520925882633</v>
      </c>
      <c r="H99" s="255"/>
      <c r="I99" s="125">
        <f t="shared" ref="I99:L99" si="329">I92/I98</f>
        <v>73.620142309797487</v>
      </c>
      <c r="J99" s="125">
        <f t="shared" si="329"/>
        <v>87.249982697764537</v>
      </c>
      <c r="K99" s="125">
        <f t="shared" si="329"/>
        <v>79.21028289987386</v>
      </c>
      <c r="L99" s="125">
        <f t="shared" si="329"/>
        <v>81.438247483718172</v>
      </c>
      <c r="M99" s="255"/>
      <c r="N99" s="125">
        <f t="shared" ref="N99" si="330">N92/N98</f>
        <v>58.963636363636361</v>
      </c>
      <c r="O99" s="125">
        <f t="shared" ref="O99" si="331">O92/O98</f>
        <v>77.735234215885953</v>
      </c>
      <c r="P99" s="125">
        <f t="shared" ref="P99" si="332">P92/P98</f>
        <v>76.826826102151884</v>
      </c>
      <c r="Q99" s="125">
        <f t="shared" ref="Q99" si="333">Q92/Q98</f>
        <v>81.021006260143764</v>
      </c>
      <c r="R99" s="255"/>
      <c r="S99" s="125">
        <f t="shared" ref="S99" si="334">S92/S98</f>
        <v>65.417852445294741</v>
      </c>
      <c r="T99" s="125">
        <f t="shared" ref="T99" si="335">T92/T98</f>
        <v>68.208336390988478</v>
      </c>
      <c r="U99" s="125">
        <f t="shared" ref="U99" si="336">U92/U98</f>
        <v>62.086820036772949</v>
      </c>
      <c r="V99" s="125">
        <f t="shared" ref="V99" si="337">V92/V98</f>
        <v>73.836617092496084</v>
      </c>
      <c r="W99" s="255"/>
      <c r="X99" s="125">
        <f t="shared" ref="X99" si="338">X92/X98</f>
        <v>66.854928947073958</v>
      </c>
      <c r="Y99" s="125">
        <f t="shared" ref="Y99" si="339">Y92/Y98</f>
        <v>78.796707462363273</v>
      </c>
      <c r="Z99" s="125">
        <f t="shared" ref="Z99" si="340">Z92/Z98</f>
        <v>79.082235537736267</v>
      </c>
      <c r="AA99" s="125">
        <f t="shared" ref="AA99" si="341">AA92/AA98</f>
        <v>89.363023665466798</v>
      </c>
      <c r="AB99" s="255"/>
      <c r="AC99" s="125">
        <f t="shared" ref="AC99" si="342">AC92/AC98</f>
        <v>69.933166882161487</v>
      </c>
      <c r="AD99" s="125">
        <f t="shared" ref="AD99" si="343">AD92/AD98</f>
        <v>80.112941724398894</v>
      </c>
      <c r="AE99" s="125">
        <f t="shared" ref="AE99" si="344">AE92/AE98</f>
        <v>75.467902018446722</v>
      </c>
      <c r="AF99" s="125">
        <f t="shared" ref="AF99" si="345">AF92/AF98</f>
        <v>92.086195199172934</v>
      </c>
      <c r="AG99" s="255"/>
      <c r="AH99" s="125">
        <f t="shared" ref="AH99" si="346">AH92/AH98</f>
        <v>69.636119606592004</v>
      </c>
      <c r="AI99" s="125">
        <f t="shared" ref="AI99" si="347">AI92/AI98</f>
        <v>86.749412455934205</v>
      </c>
      <c r="AJ99" s="125">
        <f t="shared" ref="AJ99" si="348">AJ92/AJ98</f>
        <v>89.1142770074661</v>
      </c>
      <c r="AK99" s="125">
        <f t="shared" ref="AK99" si="349">AK92/AK98</f>
        <v>100.76627983057267</v>
      </c>
      <c r="AL99" s="255"/>
      <c r="AM99" s="125">
        <f t="shared" ref="AM99:AP99" si="350">AM92/AM98</f>
        <v>72.381608718214849</v>
      </c>
      <c r="AN99" s="125">
        <f t="shared" si="350"/>
        <v>93.444822782850949</v>
      </c>
      <c r="AO99" s="125">
        <f t="shared" si="350"/>
        <v>98.574641833810887</v>
      </c>
      <c r="AP99" s="125">
        <f t="shared" si="350"/>
        <v>114.07571673609409</v>
      </c>
      <c r="AQ99" s="255"/>
      <c r="AR99" s="125">
        <f t="shared" ref="AR99:AU99" si="351">AR92/AR98</f>
        <v>94.767731376767614</v>
      </c>
      <c r="AS99" s="125">
        <f t="shared" si="351"/>
        <v>116.08961951478192</v>
      </c>
      <c r="AT99" s="125">
        <f t="shared" si="351"/>
        <v>100.85251491901109</v>
      </c>
      <c r="AU99" s="125">
        <f t="shared" si="351"/>
        <v>111.84413643858203</v>
      </c>
      <c r="AV99" s="255"/>
      <c r="AW99" s="125">
        <f t="shared" ref="AW99:AZ99" si="352">AW92/AW98</f>
        <v>88.148702155741304</v>
      </c>
      <c r="AX99" s="125">
        <f t="shared" si="352"/>
        <v>92.919268387025483</v>
      </c>
      <c r="AY99" s="125">
        <f t="shared" si="352"/>
        <v>80.694687630278139</v>
      </c>
      <c r="AZ99" s="299">
        <f t="shared" si="352"/>
        <v>89.489366332978719</v>
      </c>
      <c r="BA99" s="255"/>
      <c r="BB99" s="299">
        <f t="shared" ref="BB99:BE99" si="353">BB92/BB98</f>
        <v>70.530040735068638</v>
      </c>
      <c r="BC99" s="299">
        <f t="shared" si="353"/>
        <v>74.34709331092327</v>
      </c>
      <c r="BD99" s="299">
        <f t="shared" si="353"/>
        <v>64.56589225342853</v>
      </c>
      <c r="BE99" s="299">
        <f t="shared" si="353"/>
        <v>71.602740578856896</v>
      </c>
      <c r="BF99" s="255"/>
      <c r="BG99" s="299">
        <f t="shared" ref="BG99:BJ99" si="354">BG92/BG98</f>
        <v>56.432897188905947</v>
      </c>
      <c r="BH99" s="299">
        <f t="shared" si="354"/>
        <v>59.487018997611344</v>
      </c>
      <c r="BI99" s="299">
        <f t="shared" si="354"/>
        <v>51.660828796828362</v>
      </c>
      <c r="BJ99" s="299">
        <f t="shared" si="354"/>
        <v>57.291191886713477</v>
      </c>
      <c r="BK99" s="255"/>
      <c r="BL99" s="299">
        <f t="shared" ref="BL99:BO99" si="355">BL92/BL98</f>
        <v>45.153410545957058</v>
      </c>
      <c r="BM99" s="299">
        <f t="shared" si="355"/>
        <v>48.125948427765373</v>
      </c>
      <c r="BN99" s="299">
        <f t="shared" si="355"/>
        <v>41.335156052667912</v>
      </c>
      <c r="BO99" s="299">
        <f t="shared" si="355"/>
        <v>45.840154179369875</v>
      </c>
      <c r="BP99" s="255"/>
      <c r="BQ99" s="299">
        <f t="shared" ref="BQ99:BT99" si="356">BQ92/BQ98</f>
        <v>36.128403564092693</v>
      </c>
      <c r="BR99" s="299">
        <f t="shared" si="356"/>
        <v>38.083655743853136</v>
      </c>
      <c r="BS99" s="299">
        <f t="shared" si="356"/>
        <v>33.073320070376134</v>
      </c>
      <c r="BT99" s="299">
        <f t="shared" si="356"/>
        <v>36.677884784514731</v>
      </c>
      <c r="BU99" s="255"/>
      <c r="BV99" s="195"/>
      <c r="BW99" s="195"/>
      <c r="BX99" s="195"/>
      <c r="BY99" s="195"/>
      <c r="BZ99" s="195"/>
      <c r="CA99" s="195"/>
      <c r="CB99" s="195"/>
      <c r="CC99" s="195"/>
      <c r="CD99" s="195"/>
      <c r="CE99" s="195"/>
      <c r="CF99" s="195"/>
      <c r="CG99" s="195"/>
      <c r="CH99" s="195"/>
      <c r="CI99" s="195"/>
      <c r="CJ99" s="195"/>
      <c r="CK99" s="195"/>
      <c r="CL99" s="195"/>
      <c r="CM99" s="195"/>
    </row>
    <row r="100" spans="2:91" s="61" customFormat="1" hidden="1" outlineLevel="1" x14ac:dyDescent="0.3">
      <c r="B100" s="370" t="s">
        <v>268</v>
      </c>
      <c r="C100" s="371"/>
      <c r="D100" s="254"/>
      <c r="E100" s="125">
        <f>E95+E97-E99</f>
        <v>-42.732194642476557</v>
      </c>
      <c r="F100" s="125">
        <f>F95+F97-F99</f>
        <v>-41.375855477147589</v>
      </c>
      <c r="G100" s="125">
        <f>G95+G97-G99</f>
        <v>-46.037733350017049</v>
      </c>
      <c r="H100" s="255"/>
      <c r="I100" s="125">
        <f>I95+I97-I99</f>
        <v>-48.358094745580154</v>
      </c>
      <c r="J100" s="125">
        <f>J95+J97-J99</f>
        <v>-60.024998759656896</v>
      </c>
      <c r="K100" s="125">
        <f>K95+K97-K99</f>
        <v>-55.288109226587636</v>
      </c>
      <c r="L100" s="125">
        <f>L95+L97-L99</f>
        <v>-58.23838344744275</v>
      </c>
      <c r="M100" s="255"/>
      <c r="N100" s="125">
        <f>N95+N97-N99</f>
        <v>-41.156323971341862</v>
      </c>
      <c r="O100" s="125">
        <f>O95+O97-O99</f>
        <v>-54.031162205879468</v>
      </c>
      <c r="P100" s="125">
        <f>P95+P97-P99</f>
        <v>-52.678400799040119</v>
      </c>
      <c r="Q100" s="125">
        <f>Q95+Q97-Q99</f>
        <v>-53.167905337703417</v>
      </c>
      <c r="R100" s="255"/>
      <c r="S100" s="125">
        <f>S95+S97-S99</f>
        <v>-43.319094484451313</v>
      </c>
      <c r="T100" s="125">
        <f>T95+T97-T99</f>
        <v>-44.469721098648208</v>
      </c>
      <c r="U100" s="125">
        <f>U95+U97-U99</f>
        <v>-35.573199105413977</v>
      </c>
      <c r="V100" s="125">
        <f>V95+V97-V99</f>
        <v>-40.156481624155731</v>
      </c>
      <c r="W100" s="255"/>
      <c r="X100" s="125">
        <f>X95+X97-X99</f>
        <v>-40.048529360697287</v>
      </c>
      <c r="Y100" s="125">
        <f>Y95+Y97-Y99</f>
        <v>-48.81612580228412</v>
      </c>
      <c r="Z100" s="125">
        <f>Z95+Z97-Z99</f>
        <v>-47.316316907961969</v>
      </c>
      <c r="AA100" s="125">
        <f>AA95+AA97-AA99</f>
        <v>-51.988694047498846</v>
      </c>
      <c r="AB100" s="255"/>
      <c r="AC100" s="125">
        <f>AC95+AC97-AC99</f>
        <v>-44.357664933663656</v>
      </c>
      <c r="AD100" s="125">
        <f>AD95+AD97-AD99</f>
        <v>-52.562999207667517</v>
      </c>
      <c r="AE100" s="125">
        <f>AE95+AE97-AE99</f>
        <v>-49.205426392427448</v>
      </c>
      <c r="AF100" s="125">
        <f>AF95+AF97-AF99</f>
        <v>-61.248979738043275</v>
      </c>
      <c r="AG100" s="255"/>
      <c r="AH100" s="125">
        <f>AH95+AH97-AH99</f>
        <v>-46.709443144956978</v>
      </c>
      <c r="AI100" s="125">
        <f>AI95+AI97-AI99</f>
        <v>-57.058384272787791</v>
      </c>
      <c r="AJ100" s="125">
        <f>AJ95+AJ97-AJ99</f>
        <v>-56.268327422603321</v>
      </c>
      <c r="AK100" s="125">
        <f>AK95+AK97-AK99</f>
        <v>-67.520087775338368</v>
      </c>
      <c r="AL100" s="255"/>
      <c r="AM100" s="125">
        <f>AM95+AM97-AM99</f>
        <v>-50.25421837410866</v>
      </c>
      <c r="AN100" s="125">
        <f>AN95+AN97-AN99</f>
        <v>-63.804316791436875</v>
      </c>
      <c r="AO100" s="125">
        <f>AO95+AO97-AO99</f>
        <v>-64.678862906906062</v>
      </c>
      <c r="AP100" s="125">
        <f>AP95+AP97-AP99</f>
        <v>-76.317500071385325</v>
      </c>
      <c r="AQ100" s="255"/>
      <c r="AR100" s="125">
        <f>AR95+AR97-AR99</f>
        <v>-65.397025980984225</v>
      </c>
      <c r="AS100" s="125">
        <f>AS95+AS97-AS99</f>
        <v>-73.876415797086935</v>
      </c>
      <c r="AT100" s="125">
        <f>AT95+AT97-AT99</f>
        <v>-57.730954826312392</v>
      </c>
      <c r="AU100" s="125">
        <f>AU95+AU97-AU99</f>
        <v>-72.850435514438828</v>
      </c>
      <c r="AV100" s="255"/>
      <c r="AW100" s="125">
        <f>AW95+AW97-AW99</f>
        <v>-57.765606637937637</v>
      </c>
      <c r="AX100" s="125">
        <f>AX95+AX97-AX99</f>
        <v>-54.922925277497704</v>
      </c>
      <c r="AY100" s="125">
        <f>AY95+AY97-AY99</f>
        <v>-44.812787237493211</v>
      </c>
      <c r="AZ100" s="299">
        <f>AZ95+AZ97-AZ99</f>
        <v>-54.783012110877479</v>
      </c>
      <c r="BA100" s="255"/>
      <c r="BB100" s="299">
        <f>BB95+BB97-BB99</f>
        <v>-42.949766079246196</v>
      </c>
      <c r="BC100" s="299">
        <f>BC95+BC97-BC99</f>
        <v>-40.890358746856108</v>
      </c>
      <c r="BD100" s="299">
        <f>BD95+BD97-BD99</f>
        <v>-32.788985785818141</v>
      </c>
      <c r="BE100" s="299">
        <f>BE95+BE97-BE99</f>
        <v>-39.229121135743235</v>
      </c>
      <c r="BF100" s="255"/>
      <c r="BG100" s="299">
        <f>BG95+BG97-BG99</f>
        <v>-30.341917738428975</v>
      </c>
      <c r="BH100" s="299">
        <f>BH95+BH97-BH99</f>
        <v>-28.52430805478701</v>
      </c>
      <c r="BI100" s="299">
        <f>BI95+BI97-BI99</f>
        <v>-22.128050377567611</v>
      </c>
      <c r="BJ100" s="299">
        <f>BJ95+BJ97-BJ99</f>
        <v>-26.088312762251846</v>
      </c>
      <c r="BK100" s="255"/>
      <c r="BL100" s="299">
        <f>BL95+BL97-BL99</f>
        <v>-19.770278358444436</v>
      </c>
      <c r="BM100" s="299">
        <f>BM95+BM97-BM99</f>
        <v>-18.11174270388441</v>
      </c>
      <c r="BN100" s="299">
        <f>BN95+BN97-BN99</f>
        <v>-12.94041211111605</v>
      </c>
      <c r="BO100" s="299">
        <f>BO95+BO97-BO99</f>
        <v>-15.115645530666896</v>
      </c>
      <c r="BP100" s="255"/>
      <c r="BQ100" s="299">
        <f>BQ95+BQ97-BQ99</f>
        <v>-10.986915619687448</v>
      </c>
      <c r="BR100" s="299">
        <f>BR95+BR97-BR99</f>
        <v>-8.9536333673549713</v>
      </c>
      <c r="BS100" s="299">
        <f>BS95+BS97-BS99</f>
        <v>-5.1577215165239423</v>
      </c>
      <c r="BT100" s="299">
        <f>BT95+BT97-BT99</f>
        <v>-6.0176002245159346</v>
      </c>
      <c r="BU100" s="255"/>
      <c r="BV100" s="231"/>
      <c r="BW100" s="231"/>
      <c r="BX100" s="231"/>
      <c r="BY100" s="231"/>
      <c r="BZ100" s="231"/>
      <c r="CA100" s="231"/>
      <c r="CB100" s="231"/>
      <c r="CC100" s="231"/>
      <c r="CD100" s="231"/>
      <c r="CE100" s="231"/>
      <c r="CF100" s="231"/>
      <c r="CG100" s="231"/>
      <c r="CH100" s="231"/>
      <c r="CI100" s="231"/>
      <c r="CJ100" s="231"/>
      <c r="CK100" s="231"/>
      <c r="CL100" s="231"/>
      <c r="CM100" s="231"/>
    </row>
    <row r="101" spans="2:91" s="61" customFormat="1" hidden="1" outlineLevel="1" x14ac:dyDescent="0.3">
      <c r="B101" s="232" t="s">
        <v>282</v>
      </c>
      <c r="C101" s="277"/>
      <c r="D101" s="233"/>
      <c r="E101" s="234"/>
      <c r="F101" s="234"/>
      <c r="G101" s="234"/>
      <c r="H101" s="235"/>
      <c r="I101" s="236">
        <f>(+I75+I72)/(I10+E10+F10+G10)</f>
        <v>6.2359896700444395E-2</v>
      </c>
      <c r="J101" s="236">
        <f>(+J75+J72)/(J10+F10+G10+I10)</f>
        <v>5.512801454528822E-2</v>
      </c>
      <c r="K101" s="236">
        <f>(+K75+K72)/(K10+G10+J10+I10)</f>
        <v>5.381671019317797E-2</v>
      </c>
      <c r="L101" s="236">
        <f>(+L75+L72)/(L10+K10+I10+J10)</f>
        <v>5.3367698546868791E-2</v>
      </c>
      <c r="M101" s="237"/>
      <c r="N101" s="236">
        <f>(+N75+N72)/(N10+J10+K10+L10)</f>
        <v>5.5326538434461559E-2</v>
      </c>
      <c r="O101" s="236">
        <f>(+O75+O72)/(O10+K10+L10+N10)</f>
        <v>5.4039055914582745E-2</v>
      </c>
      <c r="P101" s="236">
        <f>(+P75+P72)/(P10+L10+O10+N10)</f>
        <v>5.6124506088218694E-2</v>
      </c>
      <c r="Q101" s="236">
        <f>(+Q75+Q72)/(Q10+P10+N10+O10)</f>
        <v>5.4955657218800316E-2</v>
      </c>
      <c r="R101" s="237"/>
      <c r="S101" s="236">
        <f>(+S75+S72)/(S10+O10+P10+Q10)</f>
        <v>6.2008537407324198E-2</v>
      </c>
      <c r="T101" s="236">
        <f>(+T75+T72)/(T10+P10+Q10+S10)</f>
        <v>5.9974926672343644E-2</v>
      </c>
      <c r="U101" s="236">
        <f>(+U75+U72)/(U10+Q10+T10+S10)</f>
        <v>5.9059998583268401E-2</v>
      </c>
      <c r="V101" s="236">
        <f>(+V75+V72)/(V10+U10+S10+T10)</f>
        <v>5.8861389035164705E-2</v>
      </c>
      <c r="W101" s="237"/>
      <c r="X101" s="236">
        <f>(+X75+X72)/(X10+T10+U10+V10)</f>
        <v>6.5681180743942247E-2</v>
      </c>
      <c r="Y101" s="236">
        <f>(+Y75+Y72)/(Y10+U10+V10+X10)</f>
        <v>6.5180219842644924E-2</v>
      </c>
      <c r="Z101" s="236">
        <f>(+Z75+Z72)/(Z10+V10+Y10+X10)</f>
        <v>6.4296299622777081E-2</v>
      </c>
      <c r="AA101" s="236">
        <f>(+AA75+AA72)/(AA10+Z10+X10+Y10)</f>
        <v>6.3032358653136028E-2</v>
      </c>
      <c r="AB101" s="237"/>
      <c r="AC101" s="236">
        <f>(+AC75+AC72)/(AC10+Y10+Z10+AA10)</f>
        <v>6.23973973973974E-2</v>
      </c>
      <c r="AD101" s="236">
        <f>(+AD75+AD72)/(AD10+Z10+AA10+AC10)</f>
        <v>5.8987387115627531E-2</v>
      </c>
      <c r="AE101" s="236">
        <f>(+AE75+AE72)/(AE10+AA10+AD10+AC10)</f>
        <v>5.5996112990723775E-2</v>
      </c>
      <c r="AF101" s="236">
        <f>(+AF75+AF72)/(AF10+AE10+AC10+AD10)</f>
        <v>5.3757781913869457E-2</v>
      </c>
      <c r="AG101" s="237"/>
      <c r="AH101" s="236">
        <f>(+AH75+AH72)/(AH10+AD10+AE10+AF10)</f>
        <v>5.334314943741808E-2</v>
      </c>
      <c r="AI101" s="236">
        <f>(+AI75+AI72)/(AI10+AE10+AF10+AH10)</f>
        <v>5.618036785549476E-2</v>
      </c>
      <c r="AJ101" s="236">
        <f>(+AJ75+AJ72)/(AJ10+AF10+AI10+AH10)</f>
        <v>5.1823067983730389E-2</v>
      </c>
      <c r="AK101" s="236">
        <f>(+AK75+AK72)/(AK10+AJ10+AH10+AI10)</f>
        <v>5.1057554523996122E-2</v>
      </c>
      <c r="AL101" s="237"/>
      <c r="AM101" s="236">
        <f>(+AM75+AM72)/(AM10+AI10+AJ10+AK10)</f>
        <v>5.0669820922619867E-2</v>
      </c>
      <c r="AN101" s="236">
        <f>(+AN75+AN72)/(AN10+AJ10+AK10+AM10)</f>
        <v>4.8939248923826416E-2</v>
      </c>
      <c r="AO101" s="236">
        <f>(+AO75+AO72)/(AO10+AK10+AN10+AM10)</f>
        <v>4.7390014630414257E-2</v>
      </c>
      <c r="AP101" s="236">
        <f>(+AP75+AP72)/(AP10+AO10+AM10+AN10)</f>
        <v>4.5298690421141714E-2</v>
      </c>
      <c r="AQ101" s="237"/>
      <c r="AR101" s="236">
        <f>(+AR75+AR72)/(AR10+AN10+AO10+AP10)</f>
        <v>4.6722915342676523E-2</v>
      </c>
      <c r="AS101" s="236">
        <f>(+AS75+AS72)/(AS10+AO10+AP10+AR10)</f>
        <v>4.3901591240698902E-2</v>
      </c>
      <c r="AT101" s="236">
        <f>(+AT75+AT72)/(AT10+AP10+AS10+AR10)</f>
        <v>4.0274371851422394E-2</v>
      </c>
      <c r="AU101" s="236">
        <f>(+AU75+AU72)/(AU10+AT10+AR10+AS10)</f>
        <v>3.8931455787947815E-2</v>
      </c>
      <c r="AV101" s="237"/>
      <c r="AW101" s="236">
        <f>(+AW75+AW72)/(AW10+AS10+AT10+AU10)</f>
        <v>2.119933336391297E-2</v>
      </c>
      <c r="AX101" s="236">
        <f>(+AX75+AX72)/(AX10+AT10+AU10+AW10)</f>
        <v>2.1401214747185579E-2</v>
      </c>
      <c r="AY101" s="236">
        <f>(+AY75+AY72)/(AY10+AU10+AX10+AW10)</f>
        <v>2.0977941119698574E-2</v>
      </c>
      <c r="AZ101" s="335">
        <v>0.05</v>
      </c>
      <c r="BA101" s="238"/>
      <c r="BB101" s="335">
        <v>0.05</v>
      </c>
      <c r="BC101" s="335">
        <v>0.05</v>
      </c>
      <c r="BD101" s="335">
        <v>0.05</v>
      </c>
      <c r="BE101" s="335">
        <v>0.05</v>
      </c>
      <c r="BF101" s="238"/>
      <c r="BG101" s="335">
        <v>0.05</v>
      </c>
      <c r="BH101" s="335">
        <v>0.05</v>
      </c>
      <c r="BI101" s="335">
        <v>0.05</v>
      </c>
      <c r="BJ101" s="335">
        <v>0.05</v>
      </c>
      <c r="BK101" s="238"/>
      <c r="BL101" s="335">
        <v>0.05</v>
      </c>
      <c r="BM101" s="335">
        <v>0.05</v>
      </c>
      <c r="BN101" s="335">
        <v>0.05</v>
      </c>
      <c r="BO101" s="335">
        <v>0.05</v>
      </c>
      <c r="BP101" s="238"/>
      <c r="BQ101" s="335">
        <v>0.05</v>
      </c>
      <c r="BR101" s="335">
        <v>0.05</v>
      </c>
      <c r="BS101" s="335">
        <v>0.05</v>
      </c>
      <c r="BT101" s="335">
        <v>0.05</v>
      </c>
      <c r="BU101" s="238"/>
      <c r="BV101" s="231"/>
      <c r="BW101" s="231"/>
      <c r="BX101" s="231"/>
      <c r="BY101" s="231"/>
      <c r="BZ101" s="231"/>
      <c r="CA101" s="231"/>
      <c r="CB101" s="231"/>
      <c r="CC101" s="231"/>
      <c r="CD101" s="231"/>
      <c r="CE101" s="231"/>
      <c r="CF101" s="231"/>
      <c r="CG101" s="231"/>
      <c r="CH101" s="231"/>
      <c r="CI101" s="231"/>
      <c r="CJ101" s="231"/>
      <c r="CK101" s="231"/>
      <c r="CL101" s="231"/>
      <c r="CM101" s="231"/>
    </row>
    <row r="102" spans="2:91" s="61" customFormat="1" hidden="1" outlineLevel="1" x14ac:dyDescent="0.3">
      <c r="B102" s="239" t="s">
        <v>261</v>
      </c>
      <c r="C102" s="278"/>
      <c r="D102" s="240"/>
      <c r="E102" s="241"/>
      <c r="F102" s="241"/>
      <c r="G102" s="241"/>
      <c r="H102" s="242"/>
      <c r="I102" s="243">
        <f>I72/(I72+I75)</f>
        <v>0.74437670800924949</v>
      </c>
      <c r="J102" s="243">
        <f>J72/(J72+J75)</f>
        <v>0.74486621032980704</v>
      </c>
      <c r="K102" s="243">
        <f>K72/(K72+K75)</f>
        <v>0.73939618447860711</v>
      </c>
      <c r="L102" s="243">
        <f>L72/(L72+L75)</f>
        <v>0.70815302059892682</v>
      </c>
      <c r="M102" s="244"/>
      <c r="N102" s="243">
        <f>N72/(N72+N75)</f>
        <v>0.69079598473066595</v>
      </c>
      <c r="O102" s="243">
        <f>O72/(O72+O75)</f>
        <v>0.68204861562459373</v>
      </c>
      <c r="P102" s="243">
        <f>P72/(P72+P75)</f>
        <v>0.69707854406130265</v>
      </c>
      <c r="Q102" s="243">
        <f>Q72/(Q72+Q75)</f>
        <v>0.6921288222299733</v>
      </c>
      <c r="R102" s="244"/>
      <c r="S102" s="243">
        <f>S72/(S72+S75)</f>
        <v>0.71229925577751663</v>
      </c>
      <c r="T102" s="243">
        <f>T72/(T72+T75)</f>
        <v>0.71632814040623149</v>
      </c>
      <c r="U102" s="243">
        <f>U72/(U72+U75)</f>
        <v>0.73293353323338328</v>
      </c>
      <c r="V102" s="243">
        <f>V72/(V72+V75)</f>
        <v>0.73906560636182905</v>
      </c>
      <c r="W102" s="244"/>
      <c r="X102" s="243">
        <f>X72/(X72+X75)</f>
        <v>0.73127406370318515</v>
      </c>
      <c r="Y102" s="243">
        <f>Y72/(Y72+Y75)</f>
        <v>0.72424612166637614</v>
      </c>
      <c r="Z102" s="243">
        <f>Z72/(Z72+Z75)</f>
        <v>0.73301903265234858</v>
      </c>
      <c r="AA102" s="243">
        <f>AA72/(AA72+AA75)</f>
        <v>0.73693803159173754</v>
      </c>
      <c r="AB102" s="244"/>
      <c r="AC102" s="243">
        <f>AC72/(AC72+AC75)</f>
        <v>0.72086307852731213</v>
      </c>
      <c r="AD102" s="243">
        <f>AD72/(AD72+AD75)</f>
        <v>0.71466240511386336</v>
      </c>
      <c r="AE102" s="243">
        <f>AE72/(AE72+AE75)</f>
        <v>0.7234516796688425</v>
      </c>
      <c r="AF102" s="243">
        <f>AF72/(AF72+AF75)</f>
        <v>0.71155682903533901</v>
      </c>
      <c r="AG102" s="244"/>
      <c r="AH102" s="243">
        <f>AH72/(AH72+AH75)</f>
        <v>0.71711208615875544</v>
      </c>
      <c r="AI102" s="243">
        <f>AI72/(AI72+AI75)</f>
        <v>0.74012360165845259</v>
      </c>
      <c r="AJ102" s="243">
        <f>AJ72/(AJ72+AJ75)</f>
        <v>0.73160476524176599</v>
      </c>
      <c r="AK102" s="243">
        <f>AK72/(AK72+AK75)</f>
        <v>0.73387829246139868</v>
      </c>
      <c r="AL102" s="244"/>
      <c r="AM102" s="243">
        <f>AM72/(AM72+AM75)</f>
        <v>0.71380745566413317</v>
      </c>
      <c r="AN102" s="243">
        <f>AN72/(AN72+AN75)</f>
        <v>0.71202150338307535</v>
      </c>
      <c r="AO102" s="243">
        <f>AO72/(AO72+AO75)</f>
        <v>0.71827794561933533</v>
      </c>
      <c r="AP102" s="243">
        <f>AP72/(AP72+AP75)</f>
        <v>0.72688751926040063</v>
      </c>
      <c r="AQ102" s="244"/>
      <c r="AR102" s="243">
        <f>AR72/(AR72+AR75)</f>
        <v>0.71982102908277401</v>
      </c>
      <c r="AS102" s="243">
        <f>AS72/(AS72+AS75)</f>
        <v>0.71579819554409874</v>
      </c>
      <c r="AT102" s="243">
        <f>AT72/(AT72+AT75)</f>
        <v>0.72006614142593128</v>
      </c>
      <c r="AU102" s="243">
        <f>AU72/(AU72+AU75)</f>
        <v>0.72949709864603485</v>
      </c>
      <c r="AV102" s="244"/>
      <c r="AW102" s="243">
        <f>AW72/(AW72+AW75)</f>
        <v>1</v>
      </c>
      <c r="AX102" s="243">
        <f>AX72/(AX72+AX75)</f>
        <v>1</v>
      </c>
      <c r="AY102" s="243">
        <f>AY72/(AY72+AY75)</f>
        <v>1</v>
      </c>
      <c r="AZ102" s="336">
        <v>0.71</v>
      </c>
      <c r="BA102" s="245"/>
      <c r="BB102" s="336">
        <v>0.71</v>
      </c>
      <c r="BC102" s="336">
        <v>0.71</v>
      </c>
      <c r="BD102" s="336">
        <v>0.71</v>
      </c>
      <c r="BE102" s="336">
        <v>0.71</v>
      </c>
      <c r="BF102" s="245"/>
      <c r="BG102" s="336">
        <v>0.71</v>
      </c>
      <c r="BH102" s="336">
        <v>0.71</v>
      </c>
      <c r="BI102" s="336">
        <v>0.71</v>
      </c>
      <c r="BJ102" s="336">
        <v>0.71</v>
      </c>
      <c r="BK102" s="245"/>
      <c r="BL102" s="336">
        <v>0.71</v>
      </c>
      <c r="BM102" s="336">
        <v>0.71</v>
      </c>
      <c r="BN102" s="336">
        <v>0.71</v>
      </c>
      <c r="BO102" s="336">
        <v>0.71</v>
      </c>
      <c r="BP102" s="245"/>
      <c r="BQ102" s="336">
        <v>0.71</v>
      </c>
      <c r="BR102" s="336">
        <v>0.71</v>
      </c>
      <c r="BS102" s="336">
        <v>0.71</v>
      </c>
      <c r="BT102" s="336">
        <v>0.71</v>
      </c>
      <c r="BU102" s="245"/>
      <c r="BV102" s="231"/>
      <c r="BW102" s="231"/>
      <c r="BX102" s="231"/>
      <c r="BY102" s="231"/>
      <c r="BZ102" s="231"/>
      <c r="CA102" s="231"/>
      <c r="CB102" s="231"/>
      <c r="CC102" s="231"/>
      <c r="CD102" s="231"/>
      <c r="CE102" s="231"/>
      <c r="CF102" s="231"/>
      <c r="CG102" s="231"/>
      <c r="CH102" s="231"/>
      <c r="CI102" s="231"/>
      <c r="CJ102" s="231"/>
      <c r="CK102" s="231"/>
      <c r="CL102" s="231"/>
      <c r="CM102" s="231"/>
    </row>
    <row r="103" spans="2:91" s="33" customFormat="1" hidden="1" outlineLevel="1" x14ac:dyDescent="0.3">
      <c r="B103" s="370" t="s">
        <v>283</v>
      </c>
      <c r="C103" s="374"/>
      <c r="D103" s="230"/>
      <c r="E103" s="230">
        <f>E114/((E63+E65+D63+D65)/2)</f>
        <v>6.0648603116664326E-2</v>
      </c>
      <c r="F103" s="230">
        <f>F114/((F63+F65+E63+E65)/2)</f>
        <v>6.7616099071207428E-2</v>
      </c>
      <c r="G103" s="230">
        <f>G114/((G63+G65+F63+F65)/2)</f>
        <v>6.986621363346783E-2</v>
      </c>
      <c r="H103" s="31" t="s">
        <v>55</v>
      </c>
      <c r="I103" s="230">
        <f>I114/((I63+I65+G63+G65)/2)</f>
        <v>6.1913043478260869E-2</v>
      </c>
      <c r="J103" s="230">
        <f>J114/((J63+J65+I63+I65)/2)</f>
        <v>6.6067894656720957E-2</v>
      </c>
      <c r="K103" s="230">
        <f>K114/((K63+K65+J63+J65)/2)</f>
        <v>6.5593890631392329E-2</v>
      </c>
      <c r="L103" s="230">
        <f>L114/((L63+L65+K63+K65)/2)</f>
        <v>5.6471322344131873E-2</v>
      </c>
      <c r="M103" s="31" t="s">
        <v>55</v>
      </c>
      <c r="N103" s="230">
        <f>N114/((N63+N65+L63+L65)/2)</f>
        <v>6.3802486615636478E-2</v>
      </c>
      <c r="O103" s="230">
        <f>O114/((O63+O65+N63+N65)/2)</f>
        <v>6.2344664897426176E-2</v>
      </c>
      <c r="P103" s="230">
        <f>P114/((P63+P65+O63+O65)/2)</f>
        <v>6.1246195034290532E-2</v>
      </c>
      <c r="Q103" s="230">
        <f>Q114/((Q63+Q65+P63+P65)/2)</f>
        <v>5.6882755421547027E-2</v>
      </c>
      <c r="R103" s="31" t="s">
        <v>55</v>
      </c>
      <c r="S103" s="230">
        <f>S114/((S63+S65+Q63+Q65)/2)</f>
        <v>8.0283114256825078E-2</v>
      </c>
      <c r="T103" s="230">
        <f>T114/((T63+T65+S63+S65)/2)</f>
        <v>8.6667008144240124E-2</v>
      </c>
      <c r="U103" s="230">
        <f>U114/((U63+U65+T63+T65)/2)</f>
        <v>8.5035891772501385E-2</v>
      </c>
      <c r="V103" s="230">
        <f>V114/((V63+V65+U63+U65)/2)</f>
        <v>8.6018911617136234E-2</v>
      </c>
      <c r="W103" s="31" t="s">
        <v>55</v>
      </c>
      <c r="X103" s="230">
        <f>X114/((X63+X65+V63+V65)/2)</f>
        <v>0.10622011939854839</v>
      </c>
      <c r="Y103" s="230">
        <f>Y114/((Y63+Y65+X63+X65)/2)</f>
        <v>9.766827980642323E-2</v>
      </c>
      <c r="Z103" s="230">
        <f>Z114/((Z63+Z65+Y63+Y65)/2)</f>
        <v>9.6336633663366339E-2</v>
      </c>
      <c r="AA103" s="230">
        <f>AA114/((AA63+AA65+Z63+Z65)/2)</f>
        <v>8.5389652630209464E-2</v>
      </c>
      <c r="AB103" s="31" t="s">
        <v>55</v>
      </c>
      <c r="AC103" s="230">
        <f>AC114/((AC63+AC65+AA63+AA65)/2)</f>
        <v>0.10398158617347762</v>
      </c>
      <c r="AD103" s="230">
        <f>AD114/((AD63+AD65+AC63+AC65)/2)</f>
        <v>0.10123739126883653</v>
      </c>
      <c r="AE103" s="230">
        <f>AE114/((AE63+AE65+AD63+AD65)/2)</f>
        <v>0.12551892551892552</v>
      </c>
      <c r="AF103" s="230">
        <f>AF114/((AF63+AF65+AE63+AE65)/2)</f>
        <v>0.1216174062231927</v>
      </c>
      <c r="AG103" s="337"/>
      <c r="AH103" s="230">
        <f>AH114/((AH63+AH65+AF63+AF65)/2)</f>
        <v>0.11234502167794934</v>
      </c>
      <c r="AI103" s="230">
        <f>AI114/((AI63+AI65+AH63+AH65)/2)</f>
        <v>9.2997935047869351E-2</v>
      </c>
      <c r="AJ103" s="230">
        <f>AJ114/((AJ63+AJ65+AI63+AI65)/2)</f>
        <v>9.0214285714285719E-2</v>
      </c>
      <c r="AK103" s="230">
        <f>AK114/((AK63+AK65+AJ63+AJ65)/2)</f>
        <v>8.612472536758492E-2</v>
      </c>
      <c r="AL103" s="338"/>
      <c r="AM103" s="230">
        <f>AM114/((AM63+AM65+AK63+AK65)/2)</f>
        <v>0.10027864504649679</v>
      </c>
      <c r="AN103" s="230">
        <f>AN114/((AN63+AN65+AM63+AM65)/2)</f>
        <v>7.8866380330751801E-2</v>
      </c>
      <c r="AO103" s="230">
        <f>AO114/((AO63+AO65+AN63+AN65)/2)</f>
        <v>7.654039993496993E-2</v>
      </c>
      <c r="AP103" s="230">
        <f>AP114/((AP63+AP65+AO63+AO65)/2)</f>
        <v>7.3262450044977959E-2</v>
      </c>
      <c r="AQ103" s="338"/>
      <c r="AR103" s="230">
        <f>AR114/((AR63+AR65+AP63+AP65)/2)</f>
        <v>7.6346493484821087E-2</v>
      </c>
      <c r="AS103" s="230">
        <f>AS114/((AS63+AS65+AR63+AR65)/2)</f>
        <v>7.7258303363655592E-2</v>
      </c>
      <c r="AT103" s="230">
        <f>AT114/((AT63+AT65+AS63+AS65)/2)</f>
        <v>7.2820176517200866E-2</v>
      </c>
      <c r="AU103" s="230">
        <f>AU114/((AU63+AU65+AT63+AT65)/2)</f>
        <v>6.9351934626861914E-2</v>
      </c>
      <c r="AV103" s="338"/>
      <c r="AW103" s="230">
        <f>AW114/((AW63+AW65+AU63+AU65)/2)</f>
        <v>8.3929741288735621E-2</v>
      </c>
      <c r="AX103" s="230">
        <f>AX114/((AX63+AX65+AW63+AW65)/2)</f>
        <v>7.7607444187738531E-2</v>
      </c>
      <c r="AY103" s="230">
        <f>AY114/((AY63+AY65+AX63+AX65)/2)</f>
        <v>7.6798198528449116E-2</v>
      </c>
      <c r="AZ103" s="339">
        <f>AVERAGE(AY103,AX103,AW103,AU103)</f>
        <v>7.6921829657946292E-2</v>
      </c>
      <c r="BA103" s="337"/>
      <c r="BB103" s="339">
        <f>AVERAGE(AZ103,AY103,AX103,AW103)</f>
        <v>7.8814303415717379E-2</v>
      </c>
      <c r="BC103" s="339">
        <f>AVERAGE(BB103,AZ103,AY103,AX103)</f>
        <v>7.7535443947462826E-2</v>
      </c>
      <c r="BD103" s="339">
        <f>AVERAGE(BC103,BB103,AZ103,AY103)</f>
        <v>7.75174438873939E-2</v>
      </c>
      <c r="BE103" s="339">
        <f>AVERAGE(BD103,BC103,BB103,AZ103)</f>
        <v>7.7697255227130099E-2</v>
      </c>
      <c r="BF103" s="337"/>
      <c r="BG103" s="339">
        <f>AVERAGE(BE103,BD103,BC103,BB103)</f>
        <v>7.7891111619426051E-2</v>
      </c>
      <c r="BH103" s="339">
        <f>AVERAGE(BG103,BE103,BD103,BC103)</f>
        <v>7.7660313670353212E-2</v>
      </c>
      <c r="BI103" s="339">
        <f>AVERAGE(BH103,BG103,BE103,BD103)</f>
        <v>7.7691531101075822E-2</v>
      </c>
      <c r="BJ103" s="339">
        <f>AVERAGE(BI103,BH103,BG103,BE103)</f>
        <v>7.7735052904496296E-2</v>
      </c>
      <c r="BK103" s="337"/>
      <c r="BL103" s="339">
        <f>AVERAGE(BJ103,BI103,BH103,BG103)</f>
        <v>7.7744502323837839E-2</v>
      </c>
      <c r="BM103" s="339">
        <f>AVERAGE(BL103,BJ103,BI103,BH103)</f>
        <v>7.7707849999940792E-2</v>
      </c>
      <c r="BN103" s="339">
        <f>AVERAGE(BM103,BL103,BJ103,BI103)</f>
        <v>7.7719734082337677E-2</v>
      </c>
      <c r="BO103" s="339">
        <f>AVERAGE(BN103,BM103,BL103,BJ103)</f>
        <v>7.7726784827653148E-2</v>
      </c>
      <c r="BP103" s="337"/>
      <c r="BQ103" s="339">
        <f>AVERAGE(BO103,BN103,BM103,BL103)</f>
        <v>7.7724717808442367E-2</v>
      </c>
      <c r="BR103" s="339">
        <f>AVERAGE(BQ103,BO103,BN103,BM103)</f>
        <v>7.77197716795935E-2</v>
      </c>
      <c r="BS103" s="339">
        <f>AVERAGE(BR103,BQ103,BO103,BN103)</f>
        <v>7.7722752099506673E-2</v>
      </c>
      <c r="BT103" s="339">
        <f>AVERAGE(BS103,BR103,BQ103,BO103)</f>
        <v>7.7723506603798925E-2</v>
      </c>
      <c r="BU103" s="337"/>
    </row>
    <row r="104" spans="2:91" hidden="1" outlineLevel="1" x14ac:dyDescent="0.3">
      <c r="B104" s="370" t="s">
        <v>253</v>
      </c>
      <c r="C104" s="371"/>
      <c r="D104" s="254"/>
      <c r="E104" s="198">
        <f>(E76+E73)/E85</f>
        <v>0.1153552912473315</v>
      </c>
      <c r="F104" s="198">
        <f>(F76+F73)/F85</f>
        <v>0.11553895757463292</v>
      </c>
      <c r="G104" s="198">
        <f>(G76+G73)/G85</f>
        <v>0.11573308781988241</v>
      </c>
      <c r="H104" s="255"/>
      <c r="I104" s="198">
        <f>(I76+I73)/I85</f>
        <v>0.12923938096806059</v>
      </c>
      <c r="J104" s="198">
        <f>(J76+J73)/J85</f>
        <v>0.12801535533614197</v>
      </c>
      <c r="K104" s="198">
        <f>(K76+K73)/K85</f>
        <v>0.13193833552052839</v>
      </c>
      <c r="L104" s="198">
        <f>(L76+L73)/L85</f>
        <v>0.13182797102395091</v>
      </c>
      <c r="M104" s="255"/>
      <c r="N104" s="198">
        <f>(N76+N73)/N85</f>
        <v>0.13139893841472894</v>
      </c>
      <c r="O104" s="198">
        <f>(O76+O73)/O85</f>
        <v>0.13613924174130226</v>
      </c>
      <c r="P104" s="198">
        <f>(P76+P73)/P85</f>
        <v>0.13924435773987437</v>
      </c>
      <c r="Q104" s="198">
        <f>(Q76+Q73)/Q85</f>
        <v>0.14096946112850012</v>
      </c>
      <c r="R104" s="255"/>
      <c r="S104" s="198">
        <f>(S76+S73)/S85</f>
        <v>0.14861087116988361</v>
      </c>
      <c r="T104" s="198">
        <f>(T76+T73)/T85</f>
        <v>0.1540187467709794</v>
      </c>
      <c r="U104" s="198">
        <f>(U76+U73)/U85</f>
        <v>0.13747426106976668</v>
      </c>
      <c r="V104" s="198">
        <f>(V76+V73)/V85</f>
        <v>0.13727347044492469</v>
      </c>
      <c r="W104" s="255"/>
      <c r="X104" s="198">
        <f>(X76+X73)/X85</f>
        <v>0.13078714413497425</v>
      </c>
      <c r="Y104" s="198">
        <f>(Y76+Y73)/Y85</f>
        <v>0.14113946696178201</v>
      </c>
      <c r="Z104" s="198">
        <f>(Z76+Z73)/Z85</f>
        <v>0.25665619315362992</v>
      </c>
      <c r="AA104" s="198">
        <f>(AA76+AA73)/AA85</f>
        <v>0.31641370901951643</v>
      </c>
      <c r="AB104" s="255"/>
      <c r="AC104" s="198">
        <f>(AC76+AC73)/AC85</f>
        <v>0.29517222366372597</v>
      </c>
      <c r="AD104" s="198">
        <f>(AD76+AD73)/AD85</f>
        <v>0.34006945413391626</v>
      </c>
      <c r="AE104" s="198">
        <f>(AE76+AE73)/AE85</f>
        <v>0.43299887807633858</v>
      </c>
      <c r="AF104" s="198">
        <f>(AF76+AF73)/AF85</f>
        <v>0.54008629718067946</v>
      </c>
      <c r="AG104" s="255"/>
      <c r="AH104" s="198">
        <f>(AH76+AH73)/AH85</f>
        <v>0.49087450396438681</v>
      </c>
      <c r="AI104" s="198">
        <f>(AI76+AI73)/AI85</f>
        <v>0.61224771380608167</v>
      </c>
      <c r="AJ104" s="198">
        <f>(AJ76+AJ73)/AJ85</f>
        <v>0.6712053800744423</v>
      </c>
      <c r="AK104" s="198">
        <f>(AK76+AK73)/AK85</f>
        <v>0.67861737713354486</v>
      </c>
      <c r="AL104" s="255"/>
      <c r="AM104" s="198">
        <f>(AM76+AM73)/AM85</f>
        <v>0.66129617040561972</v>
      </c>
      <c r="AN104" s="198">
        <f>(AN76+AN73)/AN85</f>
        <v>0.73478915887292851</v>
      </c>
      <c r="AO104" s="198">
        <f>(AO76+AO73)/AO85</f>
        <v>0.81811591466868039</v>
      </c>
      <c r="AP104" s="198">
        <f>(AP76+AP73)/AP85</f>
        <v>0.86298089476079287</v>
      </c>
      <c r="AQ104" s="255"/>
      <c r="AR104" s="198">
        <f>(AR76+AR73)/AR85</f>
        <v>0.87304474354310657</v>
      </c>
      <c r="AS104" s="198">
        <f>(AS76+AS73)/AS85</f>
        <v>0.96029256451078993</v>
      </c>
      <c r="AT104" s="198">
        <f>(AT76+AT73)/AT85</f>
        <v>0.99696387093406647</v>
      </c>
      <c r="AU104" s="198">
        <f>(AU76+AU73)/AU85</f>
        <v>1.0684666859548098</v>
      </c>
      <c r="AV104" s="255"/>
      <c r="AW104" s="198">
        <f>(AW76+AW73)/AW85</f>
        <v>0.97317884165168123</v>
      </c>
      <c r="AX104" s="198">
        <f>(AX76+AX73)/AX85</f>
        <v>1.0639523899489893</v>
      </c>
      <c r="AY104" s="198">
        <f>(AY76+AY73)/AY85</f>
        <v>1.1240150949655801</v>
      </c>
      <c r="AZ104" s="339">
        <f>AVERAGE(AY104,AX104,AW104,AU104)</f>
        <v>1.0574032531302651</v>
      </c>
      <c r="BA104" s="255"/>
      <c r="BB104" s="339">
        <f>AVERAGE(AZ104,AY104,AX104,AW104)</f>
        <v>1.054637394924129</v>
      </c>
      <c r="BC104" s="339">
        <f>AVERAGE(BB104,AZ104,AY104,AX104)</f>
        <v>1.0750020332422408</v>
      </c>
      <c r="BD104" s="339">
        <f>AVERAGE(BC104,BB104,AZ104,AY104)</f>
        <v>1.0777644440655538</v>
      </c>
      <c r="BE104" s="339">
        <f>AVERAGE(BD104,BC104,BB104,AZ104)</f>
        <v>1.0662017813405473</v>
      </c>
      <c r="BF104" s="255"/>
      <c r="BG104" s="339">
        <f>AVERAGE(BE104,BD104,BC104,BB104)</f>
        <v>1.0684014133931177</v>
      </c>
      <c r="BH104" s="339">
        <f>AVERAGE(BG104,BE104,BD104,BC104)</f>
        <v>1.071842418010365</v>
      </c>
      <c r="BI104" s="339">
        <f>AVERAGE(BH104,BG104,BE104,BD104)</f>
        <v>1.0710525142023961</v>
      </c>
      <c r="BJ104" s="339">
        <f>AVERAGE(BI104,BH104,BG104,BE104)</f>
        <v>1.0693745317366066</v>
      </c>
      <c r="BK104" s="255"/>
      <c r="BL104" s="339">
        <f>AVERAGE(BJ104,BI104,BH104,BG104)</f>
        <v>1.0701677193356214</v>
      </c>
      <c r="BM104" s="339">
        <f>AVERAGE(BL104,BJ104,BI104,BH104)</f>
        <v>1.0706092958212472</v>
      </c>
      <c r="BN104" s="339">
        <f>AVERAGE(BM104,BL104,BJ104,BI104)</f>
        <v>1.0703010152739678</v>
      </c>
      <c r="BO104" s="339">
        <f>AVERAGE(BN104,BM104,BL104,BJ104)</f>
        <v>1.0701131405418609</v>
      </c>
      <c r="BP104" s="255"/>
      <c r="BQ104" s="339">
        <f>AVERAGE(BO104,BN104,BM104,BL104)</f>
        <v>1.0702977927431743</v>
      </c>
      <c r="BR104" s="339">
        <f>AVERAGE(BQ104,BO104,BN104,BM104)</f>
        <v>1.0703303110950624</v>
      </c>
      <c r="BS104" s="339">
        <f>AVERAGE(BR104,BQ104,BO104,BN104)</f>
        <v>1.0702605649135164</v>
      </c>
      <c r="BT104" s="339">
        <f>AVERAGE(BS104,BR104,BQ104,BO104)</f>
        <v>1.0702504523234035</v>
      </c>
      <c r="BU104" s="255"/>
      <c r="BV104" s="195"/>
      <c r="BW104" s="195"/>
      <c r="BX104" s="195"/>
      <c r="BY104" s="195"/>
      <c r="BZ104" s="195"/>
      <c r="CA104" s="195"/>
      <c r="CB104" s="195"/>
      <c r="CC104" s="195"/>
      <c r="CD104" s="195"/>
      <c r="CE104" s="195"/>
      <c r="CF104" s="195"/>
      <c r="CG104" s="195"/>
      <c r="CH104" s="195"/>
      <c r="CI104" s="195"/>
      <c r="CJ104" s="195"/>
      <c r="CK104" s="195"/>
      <c r="CL104" s="195"/>
      <c r="CM104" s="195"/>
    </row>
    <row r="105" spans="2:91" s="132" customFormat="1" hidden="1" outlineLevel="1" x14ac:dyDescent="0.3">
      <c r="B105" s="209" t="s">
        <v>275</v>
      </c>
      <c r="C105" s="210"/>
      <c r="D105" s="254"/>
      <c r="E105" s="340"/>
      <c r="F105" s="198">
        <f>(F73+F76)/(E73+E76)-1</f>
        <v>9.7378277153558068E-2</v>
      </c>
      <c r="G105" s="198">
        <f>(G73+G76)/(F73+F76)-1</f>
        <v>0.11041959445894389</v>
      </c>
      <c r="H105" s="255"/>
      <c r="I105" s="198">
        <f>(I73+I76)/(G73+G76)-1</f>
        <v>0.27734586873983003</v>
      </c>
      <c r="J105" s="198">
        <f>(J73+J76)/(I73+I76)-1</f>
        <v>0.11394196744515206</v>
      </c>
      <c r="K105" s="198">
        <f>(K73+K76)/(J73+J76)-1</f>
        <v>0.16251588310038123</v>
      </c>
      <c r="L105" s="198">
        <f>(L73+L76)/(K73+K76)-1</f>
        <v>0.10394578642474595</v>
      </c>
      <c r="M105" s="255"/>
      <c r="N105" s="198">
        <f>(N73+N76)/(L73+L76)-1</f>
        <v>0.17158415841584151</v>
      </c>
      <c r="O105" s="198">
        <f>(O73+O76)/(N73+N76)-1</f>
        <v>0.17924448576016228</v>
      </c>
      <c r="P105" s="198">
        <f>(P73+P76)/(O73+O76)-1</f>
        <v>0.11509244661029094</v>
      </c>
      <c r="Q105" s="198">
        <f>(Q73+Q76)/(P73+P76)-1</f>
        <v>7.0951156812339322E-2</v>
      </c>
      <c r="R105" s="255"/>
      <c r="S105" s="198">
        <f>(S73+S76)/(Q73+Q76)-1</f>
        <v>0.13568170907345167</v>
      </c>
      <c r="T105" s="198">
        <f>(T73+T76)/(S73+S76)-1</f>
        <v>0.10266842800528408</v>
      </c>
      <c r="U105" s="198">
        <f>(U73+U76)/(T73+T76)-1</f>
        <v>-0.18736821928311287</v>
      </c>
      <c r="V105" s="198">
        <f>(V73+V76)/(U73+U76)-1</f>
        <v>1.1793843613627786E-4</v>
      </c>
      <c r="W105" s="255"/>
      <c r="X105" s="198">
        <f>(X73+X76)/(V73+V76)-1</f>
        <v>5.8962264150919097E-5</v>
      </c>
      <c r="Y105" s="198">
        <f>(Y73+Y76)/(X73+X76)-1</f>
        <v>5.8958787807261714E-5</v>
      </c>
      <c r="Z105" s="198">
        <f>(Z73+Z76)/(Y73+Y76)-1</f>
        <v>0.82997288055653806</v>
      </c>
      <c r="AA105" s="198">
        <f>(AA73+AA76)/(Z73+Z76)-1</f>
        <v>0.13708118556701021</v>
      </c>
      <c r="AB105" s="255"/>
      <c r="AC105" s="198">
        <f>(AC73+AC76)/(AA73+AA76)-1</f>
        <v>3.1392548519620256E-2</v>
      </c>
      <c r="AD105" s="198">
        <f>(AD73+AD76)/(AC73+AC76)-1</f>
        <v>0.20514792736862342</v>
      </c>
      <c r="AE105" s="198">
        <f>(AE73+AE76)/(AD73+AD76)-1</f>
        <v>0.24040938205192486</v>
      </c>
      <c r="AF105" s="198">
        <f>(AF73+AF76)/(AE73+AE76)-1</f>
        <v>0.18457128156124814</v>
      </c>
      <c r="AG105" s="255"/>
      <c r="AH105" s="198">
        <f>(AH73+AH76)/(AF73+AF76)-1</f>
        <v>-2.3254010114486023E-2</v>
      </c>
      <c r="AI105" s="198">
        <f>(AI73+AI76)/(AH73+AH76)-1</f>
        <v>0.26855454790908939</v>
      </c>
      <c r="AJ105" s="198">
        <f>(AJ73+AJ76)/(AI73+AI76)-1</f>
        <v>6.3388922275640969E-2</v>
      </c>
      <c r="AK105" s="198">
        <f>(AK73+AK76)/(AJ73+AJ76)-1</f>
        <v>2.4689468417024685E-2</v>
      </c>
      <c r="AL105" s="255"/>
      <c r="AM105" s="198">
        <f>(AM73+AM76)/(AK73+AK76)-1</f>
        <v>5.940343781597468E-3</v>
      </c>
      <c r="AN105" s="198">
        <f>(AN73+AN76)/(AM73+AM76)-1</f>
        <v>0.12533552639093526</v>
      </c>
      <c r="AO105" s="198">
        <f>(AO73+AO76)/(AN73+AN76)-1</f>
        <v>9.9642719392623036E-2</v>
      </c>
      <c r="AP105" s="198">
        <f>(AP73+AP76)/(AO73+AO76)-1</f>
        <v>6.7759532578295811E-2</v>
      </c>
      <c r="AQ105" s="255"/>
      <c r="AR105" s="198">
        <f>(AR73+AR76)/(AP73+AP76)-1</f>
        <v>5.8091286307053958E-2</v>
      </c>
      <c r="AS105" s="198">
        <f>(AS73+AS76)/(AR73+AR76)-1</f>
        <v>-4.5751633986927942E-3</v>
      </c>
      <c r="AT105" s="198">
        <f>(AT73+AT76)/(AS73+AS76)-1</f>
        <v>-5.9422193040052473E-2</v>
      </c>
      <c r="AU105" s="198">
        <f>(AU73+AU76)/(AT73+AT76)-1</f>
        <v>-1.0209424083769125E-3</v>
      </c>
      <c r="AV105" s="255"/>
      <c r="AW105" s="198">
        <f>(AW73+AW76)/(AU73+AU76)-1</f>
        <v>2.1575255714822994E-3</v>
      </c>
      <c r="AX105" s="198">
        <f>(AX73+AX76)/(AW73+AW76)-1</f>
        <v>-1.8303843807199516E-2</v>
      </c>
      <c r="AY105" s="198">
        <f>(AY73+AY76)/(AX73+AX76)-1</f>
        <v>-3.7396785936251398E-2</v>
      </c>
      <c r="AZ105" s="339">
        <f>(AZ73+AZ76)/(AY73+AY76)-1</f>
        <v>-6.5749638799300625E-3</v>
      </c>
      <c r="BA105" s="255"/>
      <c r="BB105" s="339">
        <f>(BB73+BB76)/(AZ73+AZ76)-1</f>
        <v>5.4781361905426484E-2</v>
      </c>
      <c r="BC105" s="339">
        <f>(BC73+BC76)/(BB73+BB76)-1</f>
        <v>4.0165952100064795E-2</v>
      </c>
      <c r="BD105" s="339">
        <f>(BD73+BD76)/(BC73+BC76)-1</f>
        <v>8.5674582304364755E-3</v>
      </c>
      <c r="BE105" s="339">
        <f>(BE73+BE76)/(BD73+BD76)-1</f>
        <v>3.6375417639246344E-2</v>
      </c>
      <c r="BF105" s="255"/>
      <c r="BG105" s="339">
        <f>(BG73+BG76)/(BE73+BE76)-1</f>
        <v>5.9011006364657614E-2</v>
      </c>
      <c r="BH105" s="339">
        <f>(BH73+BH76)/(BG73+BG76)-1</f>
        <v>2.6981547747987555E-2</v>
      </c>
      <c r="BI105" s="339">
        <f>(BI73+BI76)/(BH73+BH76)-1</f>
        <v>1.28205949769713E-2</v>
      </c>
      <c r="BJ105" s="339">
        <f>(BJ73+BJ76)/(BI73+BI76)-1</f>
        <v>5.6864739712187529E-2</v>
      </c>
      <c r="BK105" s="255"/>
      <c r="BL105" s="339">
        <f>(BL73+BL76)/(BJ73+BJ76)-1</f>
        <v>5.1741781677995258E-2</v>
      </c>
      <c r="BM105" s="339">
        <f>(BM73+BM76)/(BL73+BL76)-1</f>
        <v>2.3183239402228883E-2</v>
      </c>
      <c r="BN105" s="339">
        <f>(BN73+BN76)/(BM73+BM76)-1</f>
        <v>1.7160905932616544E-2</v>
      </c>
      <c r="BO105" s="339">
        <f>(BO73+BO76)/(BN73+BN76)-1</f>
        <v>6.4582391983715182E-2</v>
      </c>
      <c r="BP105" s="255"/>
      <c r="BQ105" s="339">
        <f>(BQ73+BQ76)/(BO73+BO76)-1</f>
        <v>4.7765250554695271E-2</v>
      </c>
      <c r="BR105" s="339">
        <f>(BR73+BR76)/(BQ73+BQ76)-1</f>
        <v>2.347218349267699E-2</v>
      </c>
      <c r="BS105" s="339">
        <f>(BS73+BS76)/(BR73+BR76)-1</f>
        <v>2.1440807639321546E-2</v>
      </c>
      <c r="BT105" s="339">
        <f>(BT73+BT76)/(BS73+BS76)-1</f>
        <v>7.0530825064855307E-2</v>
      </c>
      <c r="BU105" s="255"/>
      <c r="BV105" s="195"/>
      <c r="BW105" s="195"/>
      <c r="BX105" s="195"/>
      <c r="BY105" s="195"/>
      <c r="BZ105" s="195"/>
      <c r="CA105" s="195"/>
      <c r="CB105" s="195"/>
      <c r="CC105" s="195"/>
      <c r="CD105" s="195"/>
      <c r="CE105" s="195"/>
      <c r="CF105" s="195"/>
      <c r="CG105" s="195"/>
      <c r="CH105" s="195"/>
      <c r="CI105" s="195"/>
      <c r="CJ105" s="195"/>
      <c r="CK105" s="195"/>
      <c r="CL105" s="195"/>
      <c r="CM105" s="195"/>
    </row>
    <row r="106" spans="2:91" s="123" customFormat="1" hidden="1" outlineLevel="1" x14ac:dyDescent="0.3">
      <c r="B106" s="190" t="s">
        <v>255</v>
      </c>
      <c r="C106" s="191"/>
      <c r="D106" s="224"/>
      <c r="E106" s="225"/>
      <c r="F106" s="225"/>
      <c r="G106" s="226"/>
      <c r="H106" s="225"/>
      <c r="I106" s="224"/>
      <c r="J106" s="225"/>
      <c r="K106" s="225"/>
      <c r="L106" s="226"/>
      <c r="M106" s="225"/>
      <c r="N106" s="224"/>
      <c r="O106" s="225"/>
      <c r="P106" s="225"/>
      <c r="Q106" s="226"/>
      <c r="R106" s="225"/>
      <c r="S106" s="224"/>
      <c r="T106" s="225"/>
      <c r="U106" s="225"/>
      <c r="V106" s="226"/>
      <c r="W106" s="225"/>
      <c r="X106" s="224"/>
      <c r="Y106" s="225"/>
      <c r="Z106" s="225">
        <f>Z73/(Z73+Z76)</f>
        <v>6.4755154639175264E-2</v>
      </c>
      <c r="AA106" s="226">
        <f>AA73/(AA73+AA76)</f>
        <v>0.17872219861170138</v>
      </c>
      <c r="AB106" s="225"/>
      <c r="AC106" s="199">
        <f>AC73/(AC73+AC76)</f>
        <v>0.10710655715188308</v>
      </c>
      <c r="AD106" s="341">
        <f>AD73/(AD73+AD76)</f>
        <v>8.6594789268537309E-2</v>
      </c>
      <c r="AE106" s="341">
        <f>AE73/(AE73+AE76)</f>
        <v>0.12861553162556508</v>
      </c>
      <c r="AF106" s="342">
        <f>AF73/(AF73+AF76)</f>
        <v>0.17062765660389068</v>
      </c>
      <c r="AG106" s="225"/>
      <c r="AH106" s="199">
        <f>AH73/(AH73+AH76)</f>
        <v>0.15499579117894635</v>
      </c>
      <c r="AI106" s="341">
        <f>AI73/(AI73+AI76)</f>
        <v>0.13143529647435898</v>
      </c>
      <c r="AJ106" s="341">
        <f>AJ73/(AJ73+AJ76)</f>
        <v>0.18833225407664686</v>
      </c>
      <c r="AK106" s="342">
        <f>AK73/(AK73+AK76)</f>
        <v>0.1333417593528817</v>
      </c>
      <c r="AL106" s="225"/>
      <c r="AM106" s="199">
        <f>AM73/(AM73+AM76)</f>
        <v>0.15981907274783264</v>
      </c>
      <c r="AN106" s="341">
        <f>AN73/(AN73+AN76)</f>
        <v>0.14200889141511541</v>
      </c>
      <c r="AO106" s="341">
        <f>AO73/(AO73+AO76)</f>
        <v>0.17052954153167374</v>
      </c>
      <c r="AP106" s="342">
        <f>AP73/(AP73+AP76)</f>
        <v>0.15969052558782848</v>
      </c>
      <c r="AQ106" s="225"/>
      <c r="AR106" s="199">
        <f>AR73/(AR73+AR76)</f>
        <v>0.1509640522875817</v>
      </c>
      <c r="AS106" s="341">
        <f>AS73/(AS73+AS76)</f>
        <v>0.16807288246881155</v>
      </c>
      <c r="AT106" s="341">
        <f>AT73/(AT73+AT76)</f>
        <v>0.15246073298429319</v>
      </c>
      <c r="AU106" s="342">
        <f>AU73/(AU73+AU76)</f>
        <v>0.18123214800450721</v>
      </c>
      <c r="AV106" s="225"/>
      <c r="AW106" s="199">
        <f>AW73/(AW73+AW76)</f>
        <v>0.18949708010110694</v>
      </c>
      <c r="AX106" s="341">
        <f>AX73/(AX73+AX76)</f>
        <v>0.19913877297345289</v>
      </c>
      <c r="AY106" s="341">
        <f>AY73/(AY73+AY76)</f>
        <v>0.21658765149698389</v>
      </c>
      <c r="AZ106" s="342">
        <f>AVERAGE(AY106,AX106,AW106,AU106)</f>
        <v>0.19661391314401272</v>
      </c>
      <c r="BA106" s="341"/>
      <c r="BB106" s="199">
        <f>AVERAGE(AZ106,AY106,AX106,AW106)</f>
        <v>0.20045935442888912</v>
      </c>
      <c r="BC106" s="341">
        <f>AVERAGE(BB106,AZ106,AY106,AX106)</f>
        <v>0.20319992301083467</v>
      </c>
      <c r="BD106" s="341">
        <f>AVERAGE(BC106,BB106,AZ106,AY106)</f>
        <v>0.2042152105201801</v>
      </c>
      <c r="BE106" s="342">
        <f>AVERAGE(BD106,BC106,BB106,AZ106)</f>
        <v>0.20112210027597915</v>
      </c>
      <c r="BF106" s="341"/>
      <c r="BG106" s="199">
        <f>AVERAGE(BE106,BD106,BC106,BB106)</f>
        <v>0.20224914705897074</v>
      </c>
      <c r="BH106" s="341">
        <f>AVERAGE(BG106,BE106,BD106,BC106)</f>
        <v>0.20269659521649117</v>
      </c>
      <c r="BI106" s="341">
        <f>AVERAGE(BH106,BG106,BE106,BD106)</f>
        <v>0.20257076326790527</v>
      </c>
      <c r="BJ106" s="342">
        <f>AVERAGE(BI106,BH106,BG106,BE106)</f>
        <v>0.20215965145483655</v>
      </c>
      <c r="BK106" s="341"/>
      <c r="BL106" s="199">
        <f>AVERAGE(BJ106,BI106,BH106,BG106)</f>
        <v>0.20241903924955096</v>
      </c>
      <c r="BM106" s="341">
        <f>AVERAGE(BL106,BJ106,BI106,BH106)</f>
        <v>0.202461512297196</v>
      </c>
      <c r="BN106" s="341">
        <f>AVERAGE(BM106,BL106,BJ106,BI106)</f>
        <v>0.2024027415673722</v>
      </c>
      <c r="BO106" s="342">
        <f>AVERAGE(BN106,BM106,BL106,BJ106)</f>
        <v>0.20236073614223893</v>
      </c>
      <c r="BP106" s="341"/>
      <c r="BQ106" s="199">
        <f>AVERAGE(BO106,BN106,BM106,BL106)</f>
        <v>0.20241100731408954</v>
      </c>
      <c r="BR106" s="341">
        <f>AVERAGE(BQ106,BO106,BN106,BM106)</f>
        <v>0.20240899933022416</v>
      </c>
      <c r="BS106" s="341">
        <f>AVERAGE(BR106,BQ106,BO106,BN106)</f>
        <v>0.20239587108848123</v>
      </c>
      <c r="BT106" s="342">
        <f>AVERAGE(BS106,BR106,BQ106,BO106)</f>
        <v>0.20239415346875847</v>
      </c>
      <c r="BU106" s="343"/>
    </row>
    <row r="107" spans="2:91" collapsed="1" x14ac:dyDescent="0.3">
      <c r="B107" s="88"/>
      <c r="C107" s="89"/>
      <c r="AB107" s="182"/>
      <c r="AC107" s="23"/>
      <c r="AG107" s="182"/>
      <c r="AL107" s="193"/>
      <c r="AM107" s="193"/>
      <c r="AN107" s="229"/>
      <c r="AO107" s="229"/>
      <c r="AP107" s="229"/>
      <c r="AQ107" s="229"/>
      <c r="AR107" s="229"/>
      <c r="AS107" s="229"/>
      <c r="AT107" s="229"/>
      <c r="AU107" s="229"/>
      <c r="AV107" s="229"/>
      <c r="AW107" s="229"/>
      <c r="AX107" s="229"/>
      <c r="AY107" s="229"/>
    </row>
    <row r="108" spans="2:91" ht="15.6" x14ac:dyDescent="0.3">
      <c r="B108" s="366" t="s">
        <v>78</v>
      </c>
      <c r="C108" s="367"/>
      <c r="D108" s="111" t="s">
        <v>108</v>
      </c>
      <c r="E108" s="111" t="s">
        <v>109</v>
      </c>
      <c r="F108" s="111" t="s">
        <v>110</v>
      </c>
      <c r="G108" s="111" t="s">
        <v>111</v>
      </c>
      <c r="H108" s="111" t="s">
        <v>111</v>
      </c>
      <c r="I108" s="111" t="s">
        <v>107</v>
      </c>
      <c r="J108" s="111" t="s">
        <v>117</v>
      </c>
      <c r="K108" s="111" t="s">
        <v>118</v>
      </c>
      <c r="L108" s="111" t="s">
        <v>119</v>
      </c>
      <c r="M108" s="111" t="s">
        <v>119</v>
      </c>
      <c r="N108" s="111" t="s">
        <v>125</v>
      </c>
      <c r="O108" s="111" t="s">
        <v>126</v>
      </c>
      <c r="P108" s="111" t="s">
        <v>127</v>
      </c>
      <c r="Q108" s="111" t="s">
        <v>128</v>
      </c>
      <c r="R108" s="111" t="s">
        <v>128</v>
      </c>
      <c r="S108" s="111" t="s">
        <v>134</v>
      </c>
      <c r="T108" s="111" t="s">
        <v>135</v>
      </c>
      <c r="U108" s="111" t="s">
        <v>136</v>
      </c>
      <c r="V108" s="111" t="s">
        <v>86</v>
      </c>
      <c r="W108" s="111" t="s">
        <v>86</v>
      </c>
      <c r="X108" s="111" t="s">
        <v>85</v>
      </c>
      <c r="Y108" s="111" t="s">
        <v>84</v>
      </c>
      <c r="Z108" s="111" t="s">
        <v>83</v>
      </c>
      <c r="AA108" s="111" t="s">
        <v>82</v>
      </c>
      <c r="AB108" s="111" t="s">
        <v>82</v>
      </c>
      <c r="AC108" s="111" t="s">
        <v>87</v>
      </c>
      <c r="AD108" s="111" t="s">
        <v>88</v>
      </c>
      <c r="AE108" s="111" t="s">
        <v>89</v>
      </c>
      <c r="AF108" s="111" t="s">
        <v>90</v>
      </c>
      <c r="AG108" s="111" t="s">
        <v>90</v>
      </c>
      <c r="AH108" s="111" t="s">
        <v>92</v>
      </c>
      <c r="AI108" s="111" t="s">
        <v>93</v>
      </c>
      <c r="AJ108" s="111" t="s">
        <v>94</v>
      </c>
      <c r="AK108" s="111" t="s">
        <v>95</v>
      </c>
      <c r="AL108" s="111" t="s">
        <v>95</v>
      </c>
      <c r="AM108" s="111" t="s">
        <v>91</v>
      </c>
      <c r="AN108" s="111" t="s">
        <v>96</v>
      </c>
      <c r="AO108" s="111" t="s">
        <v>97</v>
      </c>
      <c r="AP108" s="111" t="s">
        <v>98</v>
      </c>
      <c r="AQ108" s="111" t="s">
        <v>98</v>
      </c>
      <c r="AR108" s="111" t="s">
        <v>99</v>
      </c>
      <c r="AS108" s="111" t="s">
        <v>100</v>
      </c>
      <c r="AT108" s="111" t="s">
        <v>101</v>
      </c>
      <c r="AU108" s="111" t="s">
        <v>102</v>
      </c>
      <c r="AV108" s="111" t="s">
        <v>102</v>
      </c>
      <c r="AW108" s="111" t="s">
        <v>103</v>
      </c>
      <c r="AX108" s="111" t="s">
        <v>104</v>
      </c>
      <c r="AY108" s="111" t="s">
        <v>105</v>
      </c>
      <c r="AZ108" s="135" t="s">
        <v>106</v>
      </c>
      <c r="BA108" s="135" t="s">
        <v>106</v>
      </c>
      <c r="BB108" s="135" t="s">
        <v>207</v>
      </c>
      <c r="BC108" s="135" t="s">
        <v>208</v>
      </c>
      <c r="BD108" s="135" t="s">
        <v>209</v>
      </c>
      <c r="BE108" s="135" t="s">
        <v>210</v>
      </c>
      <c r="BF108" s="135" t="s">
        <v>210</v>
      </c>
      <c r="BG108" s="135" t="s">
        <v>223</v>
      </c>
      <c r="BH108" s="135" t="s">
        <v>224</v>
      </c>
      <c r="BI108" s="135" t="s">
        <v>225</v>
      </c>
      <c r="BJ108" s="135" t="s">
        <v>106</v>
      </c>
      <c r="BK108" s="135" t="s">
        <v>226</v>
      </c>
      <c r="BL108" s="135" t="s">
        <v>302</v>
      </c>
      <c r="BM108" s="135" t="s">
        <v>303</v>
      </c>
      <c r="BN108" s="135" t="s">
        <v>304</v>
      </c>
      <c r="BO108" s="135" t="s">
        <v>305</v>
      </c>
      <c r="BP108" s="135" t="s">
        <v>305</v>
      </c>
      <c r="BQ108" s="135" t="s">
        <v>312</v>
      </c>
      <c r="BR108" s="135" t="s">
        <v>314</v>
      </c>
      <c r="BS108" s="135" t="s">
        <v>316</v>
      </c>
      <c r="BT108" s="135" t="s">
        <v>307</v>
      </c>
      <c r="BU108" s="136" t="s">
        <v>307</v>
      </c>
    </row>
    <row r="109" spans="2:91" ht="16.2" x14ac:dyDescent="0.45">
      <c r="B109" s="202" t="s">
        <v>10</v>
      </c>
      <c r="C109" s="203"/>
      <c r="D109" s="112" t="s">
        <v>112</v>
      </c>
      <c r="E109" s="112" t="s">
        <v>113</v>
      </c>
      <c r="F109" s="112" t="s">
        <v>114</v>
      </c>
      <c r="G109" s="112" t="s">
        <v>115</v>
      </c>
      <c r="H109" s="112" t="s">
        <v>116</v>
      </c>
      <c r="I109" s="112" t="s">
        <v>120</v>
      </c>
      <c r="J109" s="112" t="s">
        <v>121</v>
      </c>
      <c r="K109" s="112" t="s">
        <v>122</v>
      </c>
      <c r="L109" s="112" t="s">
        <v>123</v>
      </c>
      <c r="M109" s="112" t="s">
        <v>124</v>
      </c>
      <c r="N109" s="112" t="s">
        <v>129</v>
      </c>
      <c r="O109" s="112" t="s">
        <v>130</v>
      </c>
      <c r="P109" s="112" t="s">
        <v>131</v>
      </c>
      <c r="Q109" s="112" t="s">
        <v>132</v>
      </c>
      <c r="R109" s="112" t="s">
        <v>133</v>
      </c>
      <c r="S109" s="112" t="s">
        <v>137</v>
      </c>
      <c r="T109" s="112" t="s">
        <v>138</v>
      </c>
      <c r="U109" s="112" t="s">
        <v>139</v>
      </c>
      <c r="V109" s="112" t="s">
        <v>140</v>
      </c>
      <c r="W109" s="112" t="s">
        <v>0</v>
      </c>
      <c r="X109" s="112" t="s">
        <v>40</v>
      </c>
      <c r="Y109" s="112" t="s">
        <v>41</v>
      </c>
      <c r="Z109" s="112" t="s">
        <v>42</v>
      </c>
      <c r="AA109" s="112" t="s">
        <v>43</v>
      </c>
      <c r="AB109" s="112" t="s">
        <v>6</v>
      </c>
      <c r="AC109" s="112" t="s">
        <v>186</v>
      </c>
      <c r="AD109" s="112" t="s">
        <v>189</v>
      </c>
      <c r="AE109" s="112" t="s">
        <v>191</v>
      </c>
      <c r="AF109" s="112" t="s">
        <v>193</v>
      </c>
      <c r="AG109" s="112" t="s">
        <v>205</v>
      </c>
      <c r="AH109" s="112" t="s">
        <v>215</v>
      </c>
      <c r="AI109" s="112" t="s">
        <v>216</v>
      </c>
      <c r="AJ109" s="112" t="s">
        <v>217</v>
      </c>
      <c r="AK109" s="112" t="s">
        <v>221</v>
      </c>
      <c r="AL109" s="112" t="s">
        <v>222</v>
      </c>
      <c r="AM109" s="112" t="s">
        <v>231</v>
      </c>
      <c r="AN109" s="112" t="s">
        <v>279</v>
      </c>
      <c r="AO109" s="296" t="s">
        <v>319</v>
      </c>
      <c r="AP109" s="296" t="s">
        <v>320</v>
      </c>
      <c r="AQ109" s="296" t="s">
        <v>321</v>
      </c>
      <c r="AR109" s="296" t="s">
        <v>322</v>
      </c>
      <c r="AS109" s="296" t="s">
        <v>323</v>
      </c>
      <c r="AT109" s="296" t="s">
        <v>324</v>
      </c>
      <c r="AU109" s="296" t="s">
        <v>325</v>
      </c>
      <c r="AV109" s="296" t="s">
        <v>326</v>
      </c>
      <c r="AW109" s="296" t="s">
        <v>327</v>
      </c>
      <c r="AX109" s="296" t="s">
        <v>328</v>
      </c>
      <c r="AY109" s="296" t="s">
        <v>329</v>
      </c>
      <c r="AZ109" s="137" t="s">
        <v>58</v>
      </c>
      <c r="BA109" s="137" t="s">
        <v>194</v>
      </c>
      <c r="BB109" s="137" t="s">
        <v>206</v>
      </c>
      <c r="BC109" s="137" t="s">
        <v>211</v>
      </c>
      <c r="BD109" s="137" t="s">
        <v>212</v>
      </c>
      <c r="BE109" s="137" t="s">
        <v>213</v>
      </c>
      <c r="BF109" s="137" t="s">
        <v>214</v>
      </c>
      <c r="BG109" s="137" t="s">
        <v>227</v>
      </c>
      <c r="BH109" s="137" t="s">
        <v>228</v>
      </c>
      <c r="BI109" s="137" t="s">
        <v>229</v>
      </c>
      <c r="BJ109" s="137" t="s">
        <v>58</v>
      </c>
      <c r="BK109" s="137" t="s">
        <v>230</v>
      </c>
      <c r="BL109" s="137" t="s">
        <v>227</v>
      </c>
      <c r="BM109" s="137" t="s">
        <v>309</v>
      </c>
      <c r="BN109" s="137" t="s">
        <v>310</v>
      </c>
      <c r="BO109" s="137" t="s">
        <v>311</v>
      </c>
      <c r="BP109" s="137" t="s">
        <v>306</v>
      </c>
      <c r="BQ109" s="137" t="s">
        <v>313</v>
      </c>
      <c r="BR109" s="137" t="s">
        <v>315</v>
      </c>
      <c r="BS109" s="137" t="s">
        <v>317</v>
      </c>
      <c r="BT109" s="137" t="s">
        <v>318</v>
      </c>
      <c r="BU109" s="138" t="s">
        <v>308</v>
      </c>
    </row>
    <row r="110" spans="2:91" hidden="1" outlineLevel="1" x14ac:dyDescent="0.3">
      <c r="B110" s="383" t="s">
        <v>27</v>
      </c>
      <c r="C110" s="384"/>
      <c r="D110" s="21"/>
      <c r="E110" s="5"/>
      <c r="F110" s="5"/>
      <c r="G110" s="22"/>
      <c r="H110" s="4"/>
      <c r="I110" s="21"/>
      <c r="J110" s="5"/>
      <c r="K110" s="5"/>
      <c r="L110" s="22"/>
      <c r="M110" s="4"/>
      <c r="N110" s="21"/>
      <c r="O110" s="5"/>
      <c r="P110" s="5"/>
      <c r="Q110" s="22"/>
      <c r="R110" s="4"/>
      <c r="S110" s="21"/>
      <c r="T110" s="5"/>
      <c r="U110" s="5"/>
      <c r="V110" s="22"/>
      <c r="W110" s="4"/>
      <c r="X110" s="21"/>
      <c r="Y110" s="5"/>
      <c r="Z110" s="5"/>
      <c r="AA110" s="22"/>
      <c r="AB110" s="4"/>
      <c r="AC110" s="12"/>
      <c r="AD110" s="14"/>
      <c r="AE110" s="10"/>
      <c r="AF110" s="10"/>
      <c r="AG110" s="15"/>
      <c r="AH110" s="12"/>
      <c r="AI110" s="14"/>
      <c r="AJ110" s="10"/>
      <c r="AK110" s="10"/>
      <c r="AL110" s="15"/>
      <c r="AM110" s="12"/>
      <c r="AN110" s="14"/>
      <c r="AO110" s="14"/>
      <c r="AP110" s="14"/>
      <c r="AQ110" s="15"/>
      <c r="AR110" s="14"/>
      <c r="AS110" s="14"/>
      <c r="AT110" s="14"/>
      <c r="AU110" s="14"/>
      <c r="AV110" s="15"/>
      <c r="AW110" s="14"/>
      <c r="AX110" s="14"/>
      <c r="AY110" s="14"/>
      <c r="AZ110" s="10"/>
      <c r="BA110" s="15"/>
      <c r="BB110" s="12"/>
      <c r="BC110" s="14"/>
      <c r="BD110" s="10"/>
      <c r="BE110" s="10"/>
      <c r="BF110" s="15"/>
      <c r="BG110" s="12"/>
      <c r="BH110" s="14"/>
      <c r="BI110" s="10"/>
      <c r="BJ110" s="10"/>
      <c r="BK110" s="15"/>
      <c r="BL110" s="12"/>
      <c r="BM110" s="14"/>
      <c r="BN110" s="10"/>
      <c r="BO110" s="10"/>
      <c r="BP110" s="15"/>
      <c r="BQ110" s="12"/>
      <c r="BR110" s="14"/>
      <c r="BS110" s="10"/>
      <c r="BT110" s="10"/>
      <c r="BU110" s="15"/>
    </row>
    <row r="111" spans="2:91" hidden="1" outlineLevel="1" x14ac:dyDescent="0.3">
      <c r="B111" s="370" t="s">
        <v>28</v>
      </c>
      <c r="C111" s="374"/>
      <c r="D111" s="36">
        <f>D24</f>
        <v>3378</v>
      </c>
      <c r="E111" s="37">
        <f>E24</f>
        <v>3074</v>
      </c>
      <c r="F111" s="37">
        <f>F24</f>
        <v>3253</v>
      </c>
      <c r="G111" s="84">
        <f>G24</f>
        <v>4308</v>
      </c>
      <c r="H111" s="85">
        <f t="shared" ref="H111:H126" si="357">SUM(D111:G111)</f>
        <v>14013</v>
      </c>
      <c r="I111" s="36">
        <f>I24</f>
        <v>6004</v>
      </c>
      <c r="J111" s="37">
        <f>J24</f>
        <v>5987</v>
      </c>
      <c r="K111" s="37">
        <f>K24</f>
        <v>7308</v>
      </c>
      <c r="L111" s="84">
        <f>L24</f>
        <v>6623</v>
      </c>
      <c r="M111" s="85">
        <f>SUM(I111:L111)</f>
        <v>25922</v>
      </c>
      <c r="N111" s="36">
        <f t="shared" ref="N111:AN111" si="358">N24</f>
        <v>13064</v>
      </c>
      <c r="O111" s="37">
        <f t="shared" si="358"/>
        <v>11622</v>
      </c>
      <c r="P111" s="37">
        <f t="shared" si="358"/>
        <v>8824</v>
      </c>
      <c r="Q111" s="84">
        <f t="shared" si="358"/>
        <v>8223</v>
      </c>
      <c r="R111" s="85">
        <f t="shared" si="358"/>
        <v>41733</v>
      </c>
      <c r="S111" s="36">
        <f t="shared" si="358"/>
        <v>13078</v>
      </c>
      <c r="T111" s="37">
        <f t="shared" si="358"/>
        <v>9547</v>
      </c>
      <c r="U111" s="37">
        <f t="shared" si="358"/>
        <v>6900</v>
      </c>
      <c r="V111" s="84">
        <f t="shared" si="358"/>
        <v>7512</v>
      </c>
      <c r="W111" s="85">
        <f t="shared" si="358"/>
        <v>37037</v>
      </c>
      <c r="X111" s="36">
        <f t="shared" si="358"/>
        <v>13072</v>
      </c>
      <c r="Y111" s="37">
        <f t="shared" si="358"/>
        <v>10223</v>
      </c>
      <c r="Z111" s="37">
        <f t="shared" si="358"/>
        <v>7748</v>
      </c>
      <c r="AA111" s="84">
        <f t="shared" si="358"/>
        <v>8467</v>
      </c>
      <c r="AB111" s="85">
        <f t="shared" si="358"/>
        <v>39510</v>
      </c>
      <c r="AC111" s="36">
        <f t="shared" si="358"/>
        <v>18024</v>
      </c>
      <c r="AD111" s="37">
        <f t="shared" si="358"/>
        <v>13569</v>
      </c>
      <c r="AE111" s="37">
        <f t="shared" si="358"/>
        <v>10677</v>
      </c>
      <c r="AF111" s="37">
        <f t="shared" si="358"/>
        <v>11124</v>
      </c>
      <c r="AG111" s="85">
        <f t="shared" si="358"/>
        <v>53394</v>
      </c>
      <c r="AH111" s="36">
        <f t="shared" si="358"/>
        <v>18361</v>
      </c>
      <c r="AI111" s="37">
        <f t="shared" si="358"/>
        <v>10516</v>
      </c>
      <c r="AJ111" s="37">
        <f t="shared" si="358"/>
        <v>7796</v>
      </c>
      <c r="AK111" s="37">
        <f t="shared" si="358"/>
        <v>9014</v>
      </c>
      <c r="AL111" s="85">
        <f t="shared" si="358"/>
        <v>45687</v>
      </c>
      <c r="AM111" s="36">
        <f t="shared" si="358"/>
        <v>17891</v>
      </c>
      <c r="AN111" s="37">
        <f t="shared" si="358"/>
        <v>11029</v>
      </c>
      <c r="AO111" s="37">
        <f t="shared" ref="AO111:AY111" si="359">AO24</f>
        <v>8717</v>
      </c>
      <c r="AP111" s="37">
        <f t="shared" si="359"/>
        <v>10714</v>
      </c>
      <c r="AQ111" s="85">
        <f>AQ24</f>
        <v>48351</v>
      </c>
      <c r="AR111" s="37">
        <f t="shared" si="359"/>
        <v>20065</v>
      </c>
      <c r="AS111" s="37">
        <f t="shared" si="359"/>
        <v>13822</v>
      </c>
      <c r="AT111" s="37">
        <f t="shared" si="359"/>
        <v>11519</v>
      </c>
      <c r="AU111" s="37">
        <f t="shared" si="359"/>
        <v>14125</v>
      </c>
      <c r="AV111" s="85">
        <f>AV24</f>
        <v>59531</v>
      </c>
      <c r="AW111" s="37">
        <f t="shared" si="359"/>
        <v>19965</v>
      </c>
      <c r="AX111" s="37">
        <f t="shared" si="359"/>
        <v>11909</v>
      </c>
      <c r="AY111" s="37">
        <f t="shared" si="359"/>
        <v>10368</v>
      </c>
      <c r="AZ111" s="37">
        <f t="shared" ref="AZ111:BU111" si="360">AZ24</f>
        <v>12611.984878444235</v>
      </c>
      <c r="BA111" s="85">
        <f t="shared" si="360"/>
        <v>54853.9848784442</v>
      </c>
      <c r="BB111" s="36">
        <f t="shared" si="360"/>
        <v>16118.374166398193</v>
      </c>
      <c r="BC111" s="37">
        <f t="shared" si="360"/>
        <v>11308.274901203265</v>
      </c>
      <c r="BD111" s="37">
        <f t="shared" si="360"/>
        <v>10811.712028174978</v>
      </c>
      <c r="BE111" s="37">
        <f t="shared" si="360"/>
        <v>14309.564466370241</v>
      </c>
      <c r="BF111" s="85">
        <f t="shared" si="360"/>
        <v>52547.925562146629</v>
      </c>
      <c r="BG111" s="36">
        <f t="shared" si="360"/>
        <v>16764.41040097416</v>
      </c>
      <c r="BH111" s="37">
        <f t="shared" si="360"/>
        <v>11868.265886803991</v>
      </c>
      <c r="BI111" s="37">
        <f t="shared" si="360"/>
        <v>11750.649513364853</v>
      </c>
      <c r="BJ111" s="37">
        <f t="shared" si="360"/>
        <v>16199.125689062994</v>
      </c>
      <c r="BK111" s="85">
        <f t="shared" si="360"/>
        <v>56582.451490206011</v>
      </c>
      <c r="BL111" s="36">
        <f t="shared" si="360"/>
        <v>16945.746989894458</v>
      </c>
      <c r="BM111" s="37">
        <f t="shared" si="360"/>
        <v>12074.554024432588</v>
      </c>
      <c r="BN111" s="37">
        <f t="shared" si="360"/>
        <v>12456.883858946805</v>
      </c>
      <c r="BO111" s="37">
        <f t="shared" si="360"/>
        <v>17997.986081927709</v>
      </c>
      <c r="BP111" s="85">
        <f t="shared" si="360"/>
        <v>59475.170955201567</v>
      </c>
      <c r="BQ111" s="36">
        <f t="shared" si="360"/>
        <v>17432.068706933525</v>
      </c>
      <c r="BR111" s="37">
        <f t="shared" si="360"/>
        <v>12541.233974816461</v>
      </c>
      <c r="BS111" s="37">
        <f t="shared" si="360"/>
        <v>13400.214641998798</v>
      </c>
      <c r="BT111" s="37">
        <f t="shared" si="360"/>
        <v>20211.252967337736</v>
      </c>
      <c r="BU111" s="85">
        <f t="shared" si="360"/>
        <v>63584.770291086541</v>
      </c>
    </row>
    <row r="112" spans="2:91" s="132" customFormat="1" hidden="1" outlineLevel="1" x14ac:dyDescent="0.3">
      <c r="B112" s="370" t="s">
        <v>257</v>
      </c>
      <c r="C112" s="374"/>
      <c r="D112" s="36"/>
      <c r="E112" s="37"/>
      <c r="F112" s="37"/>
      <c r="G112" s="84"/>
      <c r="H112" s="85"/>
      <c r="I112" s="36"/>
      <c r="J112" s="37"/>
      <c r="K112" s="37"/>
      <c r="L112" s="84"/>
      <c r="M112" s="85"/>
      <c r="N112" s="36"/>
      <c r="O112" s="37"/>
      <c r="P112" s="37"/>
      <c r="Q112" s="84"/>
      <c r="R112" s="85"/>
      <c r="S112" s="36"/>
      <c r="T112" s="37"/>
      <c r="U112" s="37"/>
      <c r="V112" s="84"/>
      <c r="W112" s="85"/>
      <c r="X112" s="36"/>
      <c r="Y112" s="37"/>
      <c r="Z112" s="37"/>
      <c r="AA112" s="84"/>
      <c r="AB112" s="85"/>
      <c r="AC112" s="36"/>
      <c r="AD112" s="37"/>
      <c r="AE112" s="37"/>
      <c r="AF112" s="37"/>
      <c r="AG112" s="85"/>
      <c r="AH112" s="36"/>
      <c r="AI112" s="37"/>
      <c r="AJ112" s="37"/>
      <c r="AK112" s="37"/>
      <c r="AL112" s="85"/>
      <c r="AM112" s="36"/>
      <c r="AN112" s="37"/>
      <c r="AO112" s="37"/>
      <c r="AP112" s="37"/>
      <c r="AQ112" s="85"/>
      <c r="AR112" s="37"/>
      <c r="AS112" s="37"/>
      <c r="AT112" s="37"/>
      <c r="AU112" s="37"/>
      <c r="AV112" s="85"/>
      <c r="AW112" s="37"/>
      <c r="AX112" s="37"/>
      <c r="AY112" s="37"/>
      <c r="AZ112" s="37"/>
      <c r="BA112" s="85"/>
      <c r="BB112" s="36">
        <v>225.5</v>
      </c>
      <c r="BC112" s="37">
        <v>225.5</v>
      </c>
      <c r="BD112" s="37">
        <v>225.5</v>
      </c>
      <c r="BE112" s="37">
        <v>225.5</v>
      </c>
      <c r="BF112" s="85"/>
      <c r="BG112" s="36">
        <f>449/4</f>
        <v>112.25</v>
      </c>
      <c r="BH112" s="37">
        <f t="shared" ref="BH112:BJ112" si="361">449/4</f>
        <v>112.25</v>
      </c>
      <c r="BI112" s="37">
        <f t="shared" si="361"/>
        <v>112.25</v>
      </c>
      <c r="BJ112" s="37">
        <f t="shared" si="361"/>
        <v>112.25</v>
      </c>
      <c r="BK112" s="85"/>
      <c r="BL112" s="36">
        <v>63.75</v>
      </c>
      <c r="BM112" s="37">
        <v>63.75</v>
      </c>
      <c r="BN112" s="37">
        <v>63.75</v>
      </c>
      <c r="BO112" s="37">
        <v>63.75</v>
      </c>
      <c r="BP112" s="85"/>
      <c r="BQ112" s="36">
        <v>43.75</v>
      </c>
      <c r="BR112" s="37">
        <v>43.75</v>
      </c>
      <c r="BS112" s="37">
        <v>43.75</v>
      </c>
      <c r="BT112" s="37">
        <v>43.75</v>
      </c>
      <c r="BU112" s="85"/>
    </row>
    <row r="113" spans="2:73" s="132" customFormat="1" ht="16.2" hidden="1" outlineLevel="1" x14ac:dyDescent="0.45">
      <c r="B113" s="200" t="s">
        <v>260</v>
      </c>
      <c r="C113" s="201"/>
      <c r="D113" s="164"/>
      <c r="E113" s="165"/>
      <c r="F113" s="165"/>
      <c r="G113" s="166"/>
      <c r="H113" s="167"/>
      <c r="I113" s="164"/>
      <c r="J113" s="165"/>
      <c r="K113" s="165"/>
      <c r="L113" s="166"/>
      <c r="M113" s="167"/>
      <c r="N113" s="164"/>
      <c r="O113" s="165"/>
      <c r="P113" s="165"/>
      <c r="Q113" s="166"/>
      <c r="R113" s="167"/>
      <c r="S113" s="164"/>
      <c r="T113" s="165"/>
      <c r="U113" s="165"/>
      <c r="V113" s="166"/>
      <c r="W113" s="167"/>
      <c r="X113" s="164"/>
      <c r="Y113" s="165"/>
      <c r="Z113" s="165"/>
      <c r="AA113" s="166"/>
      <c r="AB113" s="167"/>
      <c r="AC113" s="164"/>
      <c r="AD113" s="165"/>
      <c r="AE113" s="165"/>
      <c r="AF113" s="165"/>
      <c r="AG113" s="167"/>
      <c r="AH113" s="164"/>
      <c r="AI113" s="165"/>
      <c r="AJ113" s="165"/>
      <c r="AK113" s="165"/>
      <c r="AL113" s="167">
        <f>AL114-AL112</f>
        <v>10505</v>
      </c>
      <c r="AM113" s="164">
        <f>AM114-AM112</f>
        <v>2987</v>
      </c>
      <c r="AN113" s="165">
        <f t="shared" ref="AN113:AZ113" si="362">AN114-AN112</f>
        <v>2332</v>
      </c>
      <c r="AO113" s="344">
        <f>7673-AN113-AM113</f>
        <v>2354</v>
      </c>
      <c r="AP113" s="344">
        <f>10157-AO113-AN113-AM113</f>
        <v>2484</v>
      </c>
      <c r="AQ113" s="167"/>
      <c r="AR113" s="165">
        <f t="shared" si="362"/>
        <v>2745</v>
      </c>
      <c r="AS113" s="165">
        <f t="shared" si="362"/>
        <v>2739</v>
      </c>
      <c r="AT113" s="165">
        <f t="shared" si="362"/>
        <v>2665</v>
      </c>
      <c r="AU113" s="165">
        <f t="shared" si="362"/>
        <v>2754</v>
      </c>
      <c r="AV113" s="167"/>
      <c r="AW113" s="165">
        <f t="shared" si="362"/>
        <v>3395</v>
      </c>
      <c r="AX113" s="165">
        <f t="shared" si="362"/>
        <v>3040</v>
      </c>
      <c r="AY113" s="165">
        <f t="shared" si="362"/>
        <v>2933</v>
      </c>
      <c r="AZ113" s="165">
        <f t="shared" si="362"/>
        <v>2895.0299810064666</v>
      </c>
      <c r="BA113" s="167"/>
      <c r="BB113" s="164">
        <f>BB114-BB112</f>
        <v>2674.1940811872255</v>
      </c>
      <c r="BC113" s="165">
        <f t="shared" ref="BC113" si="363">BC114-BC112</f>
        <v>2569.8078979071579</v>
      </c>
      <c r="BD113" s="165">
        <f t="shared" ref="BD113" si="364">BD114-BD112</f>
        <v>2516.6889020820668</v>
      </c>
      <c r="BE113" s="165">
        <f t="shared" ref="BE113" si="365">BE114-BE112</f>
        <v>2477.2270259681131</v>
      </c>
      <c r="BF113" s="167"/>
      <c r="BG113" s="164">
        <f>BG114-BG112</f>
        <v>2555.7554981719081</v>
      </c>
      <c r="BH113" s="165">
        <f t="shared" ref="BH113" si="366">BH114-BH112</f>
        <v>2511.5707808952043</v>
      </c>
      <c r="BI113" s="165">
        <f t="shared" ref="BI113" si="367">BI114-BI112</f>
        <v>2480.5928341094259</v>
      </c>
      <c r="BJ113" s="165">
        <f t="shared" ref="BJ113" si="368">BJ114-BJ112</f>
        <v>2454.2514721785365</v>
      </c>
      <c r="BK113" s="167"/>
      <c r="BL113" s="164">
        <f>BL114-BL112</f>
        <v>2478.9648060887548</v>
      </c>
      <c r="BM113" s="165">
        <f t="shared" ref="BM113" si="369">BM114-BM112</f>
        <v>2457.2411617189996</v>
      </c>
      <c r="BN113" s="165">
        <f t="shared" ref="BN113" si="370">BN114-BN112</f>
        <v>2440.338200694147</v>
      </c>
      <c r="BO113" s="165">
        <f t="shared" ref="BO113" si="371">BO114-BO112</f>
        <v>2426.3214824363044</v>
      </c>
      <c r="BP113" s="167"/>
      <c r="BQ113" s="164">
        <f>BQ114-BQ112</f>
        <v>2434.8049040716905</v>
      </c>
      <c r="BR113" s="165">
        <f t="shared" ref="BR113" si="372">BR114-BR112</f>
        <v>2425.8099898767505</v>
      </c>
      <c r="BS113" s="165">
        <f t="shared" ref="BS113" si="373">BS114-BS112</f>
        <v>2419.4849219438088</v>
      </c>
      <c r="BT113" s="165">
        <f t="shared" ref="BT113" si="374">BT114-BT112</f>
        <v>2415.3415481322636</v>
      </c>
      <c r="BU113" s="167"/>
    </row>
    <row r="114" spans="2:73" s="133" customFormat="1" hidden="1" outlineLevel="1" x14ac:dyDescent="0.3">
      <c r="B114" s="372" t="s">
        <v>256</v>
      </c>
      <c r="C114" s="373"/>
      <c r="D114" s="75">
        <v>209</v>
      </c>
      <c r="E114" s="73">
        <v>216</v>
      </c>
      <c r="F114" s="73">
        <v>273</v>
      </c>
      <c r="G114" s="86">
        <v>329</v>
      </c>
      <c r="H114" s="87">
        <f t="shared" si="357"/>
        <v>1027</v>
      </c>
      <c r="I114" s="75">
        <v>356</v>
      </c>
      <c r="J114" s="73">
        <v>434</v>
      </c>
      <c r="K114" s="73">
        <v>481</v>
      </c>
      <c r="L114" s="86">
        <v>543</v>
      </c>
      <c r="M114" s="87">
        <f t="shared" ref="M114:M126" si="375">SUM(I114:L114)</f>
        <v>1814</v>
      </c>
      <c r="N114" s="75">
        <v>721</v>
      </c>
      <c r="O114" s="73">
        <f>1461-N114</f>
        <v>740</v>
      </c>
      <c r="P114" s="73">
        <v>835</v>
      </c>
      <c r="Q114" s="86">
        <v>981</v>
      </c>
      <c r="R114" s="87">
        <f t="shared" ref="R114:R126" si="376">SUM(N114:Q114)</f>
        <v>3277</v>
      </c>
      <c r="S114" s="75">
        <v>1588</v>
      </c>
      <c r="T114" s="73">
        <v>1692</v>
      </c>
      <c r="U114" s="73">
        <v>1694</v>
      </c>
      <c r="V114" s="86">
        <v>1783</v>
      </c>
      <c r="W114" s="87">
        <f t="shared" ref="W114:W126" si="377">SUM(S114:V114)</f>
        <v>6757</v>
      </c>
      <c r="X114" s="75">
        <v>2144</v>
      </c>
      <c r="Y114" s="73">
        <v>1887</v>
      </c>
      <c r="Z114" s="73">
        <v>1946</v>
      </c>
      <c r="AA114" s="86">
        <v>1969</v>
      </c>
      <c r="AB114" s="87">
        <f t="shared" ref="AB114:AB126" si="378">SUM(X114:AA114)</f>
        <v>7946</v>
      </c>
      <c r="AC114" s="75">
        <v>2575</v>
      </c>
      <c r="AD114" s="345">
        <f>5054-AC114</f>
        <v>2479</v>
      </c>
      <c r="AE114" s="345">
        <f>8138-AD114-AC114</f>
        <v>3084</v>
      </c>
      <c r="AF114" s="345">
        <f>11257-AE114-AD114-AC114</f>
        <v>3119</v>
      </c>
      <c r="AG114" s="87">
        <f>SUM(AC114:AF114)</f>
        <v>11257</v>
      </c>
      <c r="AH114" s="75">
        <v>2954</v>
      </c>
      <c r="AI114" s="73">
        <f>5431-AH114</f>
        <v>2477</v>
      </c>
      <c r="AJ114" s="73">
        <f>7957-AI114-AH114</f>
        <v>2526</v>
      </c>
      <c r="AK114" s="73">
        <f>10505-AJ114-AI114-AH114</f>
        <v>2548</v>
      </c>
      <c r="AL114" s="87">
        <f t="shared" ref="AL114:AL126" si="379">SUM(AH114:AK114)</f>
        <v>10505</v>
      </c>
      <c r="AM114" s="75">
        <v>2987</v>
      </c>
      <c r="AN114" s="73">
        <f>5319-AM114</f>
        <v>2332</v>
      </c>
      <c r="AO114" s="345">
        <f t="shared" ref="AO114:AP114" si="380">SUM(AO112:AO113)</f>
        <v>2354</v>
      </c>
      <c r="AP114" s="345">
        <f t="shared" si="380"/>
        <v>2484</v>
      </c>
      <c r="AQ114" s="87">
        <f>SUM(AM114:AP114)</f>
        <v>10157</v>
      </c>
      <c r="AR114" s="73">
        <v>2745</v>
      </c>
      <c r="AS114" s="73">
        <f>5484-AR114</f>
        <v>2739</v>
      </c>
      <c r="AT114" s="73">
        <f>8149-AS114-AR114</f>
        <v>2665</v>
      </c>
      <c r="AU114" s="73">
        <f>10903-AT114-AS114-AR114</f>
        <v>2754</v>
      </c>
      <c r="AV114" s="87">
        <f>SUM(AR114:AU114)</f>
        <v>10903</v>
      </c>
      <c r="AW114" s="73">
        <v>3395</v>
      </c>
      <c r="AX114" s="73">
        <f>6435-AW114</f>
        <v>3040</v>
      </c>
      <c r="AY114" s="73">
        <f>9368-AX114-AW114</f>
        <v>2933</v>
      </c>
      <c r="AZ114" s="73">
        <f>((AY63+AY65))*AZ103</f>
        <v>2895.0299810064666</v>
      </c>
      <c r="BA114" s="87">
        <f>SUM(AW114:AZ114)</f>
        <v>12263.029981006466</v>
      </c>
      <c r="BB114" s="75">
        <f>((AZ63+AZ65))*BB103</f>
        <v>2899.6940811872255</v>
      </c>
      <c r="BC114" s="75">
        <f>((BB63+BB65))*BC103</f>
        <v>2795.3078979071579</v>
      </c>
      <c r="BD114" s="73">
        <f>((BC63+BC65))*BD103</f>
        <v>2742.1889020820668</v>
      </c>
      <c r="BE114" s="73">
        <f>((BD63+BD65))*BE103</f>
        <v>2702.7270259681131</v>
      </c>
      <c r="BF114" s="87">
        <f>SUM(BB114:BE114)</f>
        <v>11139.917907144563</v>
      </c>
      <c r="BG114" s="75">
        <f>((BE63+BE65))*BG103</f>
        <v>2668.0054981719081</v>
      </c>
      <c r="BH114" s="73">
        <f>((BG63+BG65))*BH103</f>
        <v>2623.8207808952043</v>
      </c>
      <c r="BI114" s="73">
        <f>((BH63+BH65))*BI103</f>
        <v>2592.8428341094259</v>
      </c>
      <c r="BJ114" s="73">
        <f>((BI63+BI65))*BJ103</f>
        <v>2566.5014721785365</v>
      </c>
      <c r="BK114" s="87">
        <f>SUM(BG114:BJ114)</f>
        <v>10451.170585355074</v>
      </c>
      <c r="BL114" s="75">
        <f>((BJ63+BJ65))*BL103</f>
        <v>2542.7148060887548</v>
      </c>
      <c r="BM114" s="73">
        <f>((BL63+BL65))*BM103</f>
        <v>2520.9911617189996</v>
      </c>
      <c r="BN114" s="73">
        <f>((BM63+BM65))*BN103</f>
        <v>2504.088200694147</v>
      </c>
      <c r="BO114" s="73">
        <f>((BN63+BN65))*BO103</f>
        <v>2490.0714824363044</v>
      </c>
      <c r="BP114" s="87">
        <f>SUM(BL114:BO114)</f>
        <v>10057.865650938205</v>
      </c>
      <c r="BQ114" s="75">
        <f>((BO63+BO65))*BQ103</f>
        <v>2478.5549040716905</v>
      </c>
      <c r="BR114" s="73">
        <f>((BQ63+BQ65))*BR103</f>
        <v>2469.5599898767505</v>
      </c>
      <c r="BS114" s="73">
        <f>((BR63+BR65))*BS103</f>
        <v>2463.2349219438088</v>
      </c>
      <c r="BT114" s="73">
        <f>((BS63+BS65))*BT103</f>
        <v>2459.0915481322636</v>
      </c>
      <c r="BU114" s="87">
        <f>SUM(BQ114:BT114)</f>
        <v>9870.4413640245148</v>
      </c>
    </row>
    <row r="115" spans="2:73" hidden="1" outlineLevel="1" x14ac:dyDescent="0.3">
      <c r="B115" s="370" t="s">
        <v>157</v>
      </c>
      <c r="C115" s="374"/>
      <c r="D115" s="36">
        <v>205</v>
      </c>
      <c r="E115" s="37">
        <v>231</v>
      </c>
      <c r="F115" s="37">
        <v>219</v>
      </c>
      <c r="G115" s="84">
        <v>224</v>
      </c>
      <c r="H115" s="85">
        <f t="shared" si="357"/>
        <v>879</v>
      </c>
      <c r="I115" s="36">
        <v>299</v>
      </c>
      <c r="J115" s="37">
        <v>287</v>
      </c>
      <c r="K115" s="37">
        <v>284</v>
      </c>
      <c r="L115" s="84">
        <v>298</v>
      </c>
      <c r="M115" s="85">
        <f t="shared" si="375"/>
        <v>1168</v>
      </c>
      <c r="N115" s="36">
        <v>420</v>
      </c>
      <c r="O115" s="37">
        <f>844-N115</f>
        <v>424</v>
      </c>
      <c r="P115" s="37">
        <v>448</v>
      </c>
      <c r="Q115" s="84">
        <v>448</v>
      </c>
      <c r="R115" s="85">
        <f t="shared" si="376"/>
        <v>1740</v>
      </c>
      <c r="S115" s="36">
        <v>545</v>
      </c>
      <c r="T115" s="37">
        <v>575</v>
      </c>
      <c r="U115" s="37">
        <f>1698-T115-S115</f>
        <v>578</v>
      </c>
      <c r="V115" s="84">
        <v>555</v>
      </c>
      <c r="W115" s="85">
        <f t="shared" si="377"/>
        <v>2253</v>
      </c>
      <c r="X115" s="36">
        <v>681</v>
      </c>
      <c r="Y115" s="37">
        <v>696</v>
      </c>
      <c r="Z115" s="37">
        <v>724</v>
      </c>
      <c r="AA115" s="84">
        <v>762</v>
      </c>
      <c r="AB115" s="85">
        <f t="shared" si="378"/>
        <v>2863</v>
      </c>
      <c r="AC115" s="36">
        <v>888</v>
      </c>
      <c r="AD115" s="150">
        <f>1815-AC115</f>
        <v>927</v>
      </c>
      <c r="AE115" s="150">
        <f>2671-AD115-AC115</f>
        <v>856</v>
      </c>
      <c r="AF115" s="150">
        <f>3586-AE115-AD115-AC115</f>
        <v>915</v>
      </c>
      <c r="AG115" s="85">
        <f>SUM(AC115:AF115)</f>
        <v>3586</v>
      </c>
      <c r="AH115" s="36">
        <v>1078</v>
      </c>
      <c r="AI115" s="37">
        <f>2126-AH115</f>
        <v>1048</v>
      </c>
      <c r="AJ115" s="37">
        <f>3180-AI115-AH115</f>
        <v>1054</v>
      </c>
      <c r="AK115" s="37">
        <f>4210-AJ115-AI115-AH115</f>
        <v>1030</v>
      </c>
      <c r="AL115" s="85">
        <f t="shared" si="379"/>
        <v>4210</v>
      </c>
      <c r="AM115" s="36">
        <v>1256</v>
      </c>
      <c r="AN115" s="37">
        <f>2473-AM115</f>
        <v>1217</v>
      </c>
      <c r="AO115" s="150">
        <f>3666-AN115-AM115</f>
        <v>1193</v>
      </c>
      <c r="AP115" s="150">
        <f>4840-AO115-AN115-AM115</f>
        <v>1174</v>
      </c>
      <c r="AQ115" s="85">
        <f>SUM(AM115:AP115)</f>
        <v>4840</v>
      </c>
      <c r="AR115" s="37">
        <v>1296</v>
      </c>
      <c r="AS115" s="37">
        <f>2644-AR115</f>
        <v>1348</v>
      </c>
      <c r="AT115" s="37">
        <f>3995-AS115-AR115</f>
        <v>1351</v>
      </c>
      <c r="AU115" s="37">
        <f>5340-AT115-AS115-AR115</f>
        <v>1345</v>
      </c>
      <c r="AV115" s="85">
        <f>SUM(AR115:AU115)</f>
        <v>5340</v>
      </c>
      <c r="AW115" s="37">
        <v>1559</v>
      </c>
      <c r="AX115" s="37">
        <f>3073-AW115</f>
        <v>1514</v>
      </c>
      <c r="AY115" s="37">
        <f>4569-AX115-AW115</f>
        <v>1496</v>
      </c>
      <c r="AZ115" s="37">
        <f>AZ10*AZ166</f>
        <v>1315.088247681163</v>
      </c>
      <c r="BA115" s="85">
        <f>SUM(AW115:AZ115)</f>
        <v>5884.088247681163</v>
      </c>
      <c r="BB115" s="36">
        <f>BB10*BB166</f>
        <v>1400.4240907307126</v>
      </c>
      <c r="BC115" s="37">
        <f>BC10*BC166</f>
        <v>1371.0374216929927</v>
      </c>
      <c r="BD115" s="37">
        <f>BD10*BD166</f>
        <v>1547.2618904800338</v>
      </c>
      <c r="BE115" s="37">
        <f>BE10*BE166</f>
        <v>1799.8468587986642</v>
      </c>
      <c r="BF115" s="85">
        <f>SUM(BB115:BE115)</f>
        <v>6118.5702617024035</v>
      </c>
      <c r="BG115" s="36">
        <f>BG10*BG166</f>
        <v>1456.408520710514</v>
      </c>
      <c r="BH115" s="37">
        <f>BH10*BH166</f>
        <v>1441.9028685096152</v>
      </c>
      <c r="BI115" s="37">
        <f>BI10*BI166</f>
        <v>1685.6528390908611</v>
      </c>
      <c r="BJ115" s="37">
        <f>BJ10*BJ166</f>
        <v>2042.1791100148696</v>
      </c>
      <c r="BK115" s="85">
        <f>SUM(BG115:BJ115)</f>
        <v>6626.1433383258591</v>
      </c>
      <c r="BL115" s="36">
        <f>BL10*BL166</f>
        <v>1472.437045945491</v>
      </c>
      <c r="BM115" s="37">
        <f>BM10*BM166</f>
        <v>1466.3929037673045</v>
      </c>
      <c r="BN115" s="37">
        <f>BN10*BN166</f>
        <v>1789.4546422382311</v>
      </c>
      <c r="BO115" s="37">
        <f>BO10*BO166</f>
        <v>2275.1691701925156</v>
      </c>
      <c r="BP115" s="85">
        <f>SUM(BL115:BO115)</f>
        <v>7003.453762143542</v>
      </c>
      <c r="BQ115" s="36">
        <f>BQ10*BQ166</f>
        <v>1516.1847321528739</v>
      </c>
      <c r="BR115" s="37">
        <f>BR10*BR166</f>
        <v>1524.5616500438077</v>
      </c>
      <c r="BS115" s="37">
        <f>BS10*BS166</f>
        <v>1930.2878580229774</v>
      </c>
      <c r="BT115" s="37">
        <f>BT10*BT166</f>
        <v>2563.5611091201736</v>
      </c>
      <c r="BU115" s="85">
        <f>SUM(BQ115:BT115)</f>
        <v>7534.5953493398329</v>
      </c>
    </row>
    <row r="116" spans="2:73" hidden="1" outlineLevel="1" x14ac:dyDescent="0.3">
      <c r="B116" s="370" t="s">
        <v>29</v>
      </c>
      <c r="C116" s="374"/>
      <c r="D116" s="36">
        <v>425</v>
      </c>
      <c r="E116" s="37">
        <f>893-D116</f>
        <v>468</v>
      </c>
      <c r="F116" s="37">
        <f>1298-E116-D116</f>
        <v>405</v>
      </c>
      <c r="G116" s="84">
        <f>1440-F116-E116-D116</f>
        <v>142</v>
      </c>
      <c r="H116" s="85">
        <f t="shared" si="357"/>
        <v>1440</v>
      </c>
      <c r="I116" s="36">
        <v>823</v>
      </c>
      <c r="J116" s="37">
        <f>1563-I116</f>
        <v>740</v>
      </c>
      <c r="K116" s="37">
        <f>2232-J116-I116</f>
        <v>669</v>
      </c>
      <c r="L116" s="84">
        <f>2868-K116-J116-I116</f>
        <v>636</v>
      </c>
      <c r="M116" s="85">
        <f>SUM(I116:L116)</f>
        <v>2868</v>
      </c>
      <c r="N116" s="36">
        <v>1456</v>
      </c>
      <c r="O116" s="37">
        <f>2915-N116</f>
        <v>1459</v>
      </c>
      <c r="P116" s="37">
        <f>4066-O116-N116</f>
        <v>1151</v>
      </c>
      <c r="Q116" s="84">
        <f>4405-P116-O116-N116</f>
        <v>339</v>
      </c>
      <c r="R116" s="85">
        <f>SUM(N116:Q116)</f>
        <v>4405</v>
      </c>
      <c r="S116" s="36">
        <v>1179</v>
      </c>
      <c r="T116" s="37">
        <f>1957-S116</f>
        <v>778</v>
      </c>
      <c r="U116" s="37">
        <f>2524-T116-S116</f>
        <v>567</v>
      </c>
      <c r="V116" s="84">
        <f>1141-U116-T116-S116</f>
        <v>-1383</v>
      </c>
      <c r="W116" s="85">
        <f>SUM(S116:V116)</f>
        <v>1141</v>
      </c>
      <c r="X116" s="36">
        <v>1253</v>
      </c>
      <c r="Y116" s="37">
        <f>2059-X116</f>
        <v>806</v>
      </c>
      <c r="Z116" s="37">
        <f>3154-Y116-X116</f>
        <v>1095</v>
      </c>
      <c r="AA116" s="84">
        <f>2347-Z116-Y116-X116</f>
        <v>-807</v>
      </c>
      <c r="AB116" s="85">
        <f>SUM(X116:AA116)</f>
        <v>2347</v>
      </c>
      <c r="AC116" s="36">
        <v>2197</v>
      </c>
      <c r="AD116" s="150">
        <f>1879-AC116</f>
        <v>-318</v>
      </c>
      <c r="AE116" s="150">
        <f>2820-AD116-AC116</f>
        <v>941</v>
      </c>
      <c r="AF116" s="150">
        <f>1382-AE116-AD116-AC116</f>
        <v>-1438</v>
      </c>
      <c r="AG116" s="85">
        <f>SUM(AC116:AF116)</f>
        <v>1382</v>
      </c>
      <c r="AH116" s="36">
        <v>1592</v>
      </c>
      <c r="AI116" s="37">
        <f>3092-AH116</f>
        <v>1500</v>
      </c>
      <c r="AJ116" s="37">
        <f>5191-AI116-AH116</f>
        <v>2099</v>
      </c>
      <c r="AK116" s="37">
        <f>4938-AJ116-AI116-AH116</f>
        <v>-253</v>
      </c>
      <c r="AL116" s="85">
        <f>SUM(AH116:AK116)</f>
        <v>4938</v>
      </c>
      <c r="AM116" s="36">
        <v>1452</v>
      </c>
      <c r="AN116" s="37">
        <f>2822-AM116</f>
        <v>1370</v>
      </c>
      <c r="AO116" s="150">
        <f>4764-AN116-AM116</f>
        <v>1942</v>
      </c>
      <c r="AP116" s="150">
        <f>5966-AO116-AN116-AM116</f>
        <v>1202</v>
      </c>
      <c r="AQ116" s="85">
        <f>SUM(AM116:AP116)</f>
        <v>5966</v>
      </c>
      <c r="AR116" s="37">
        <v>-33737</v>
      </c>
      <c r="AS116" s="37">
        <f>-34235-AR116</f>
        <v>-498</v>
      </c>
      <c r="AT116" s="37">
        <f>-33109-AS116-AR116</f>
        <v>1126</v>
      </c>
      <c r="AU116" s="37">
        <f>-32590-AT116-AS116-AR116</f>
        <v>519</v>
      </c>
      <c r="AV116" s="85">
        <f>SUM(AR116:AU116)</f>
        <v>-32590</v>
      </c>
      <c r="AW116" s="37">
        <v>53</v>
      </c>
      <c r="AX116" s="37">
        <f>-124-AW116</f>
        <v>-177</v>
      </c>
      <c r="AY116" s="37">
        <f>-38-AX116-AW116</f>
        <v>86</v>
      </c>
      <c r="AZ116" s="37"/>
      <c r="BA116" s="85">
        <f>SUM(AW116:AZ116)</f>
        <v>-38</v>
      </c>
      <c r="BB116" s="36"/>
      <c r="BC116" s="37"/>
      <c r="BD116" s="37"/>
      <c r="BE116" s="37"/>
      <c r="BF116" s="85">
        <f>SUM(BB116:BE116)</f>
        <v>0</v>
      </c>
      <c r="BG116" s="36"/>
      <c r="BH116" s="37"/>
      <c r="BI116" s="37"/>
      <c r="BJ116" s="37"/>
      <c r="BK116" s="85">
        <f>SUM(BG116:BJ116)</f>
        <v>0</v>
      </c>
      <c r="BL116" s="36"/>
      <c r="BM116" s="37"/>
      <c r="BN116" s="37"/>
      <c r="BO116" s="37"/>
      <c r="BP116" s="85">
        <f>SUM(BL116:BO116)</f>
        <v>0</v>
      </c>
      <c r="BQ116" s="36"/>
      <c r="BR116" s="37"/>
      <c r="BS116" s="37"/>
      <c r="BT116" s="37"/>
      <c r="BU116" s="85">
        <f>SUM(BQ116:BT116)</f>
        <v>0</v>
      </c>
    </row>
    <row r="117" spans="2:73" hidden="1" outlineLevel="1" x14ac:dyDescent="0.3">
      <c r="B117" s="370" t="s">
        <v>30</v>
      </c>
      <c r="C117" s="374"/>
      <c r="D117" s="36">
        <v>6</v>
      </c>
      <c r="E117" s="37">
        <f>0-D117</f>
        <v>-6</v>
      </c>
      <c r="F117" s="37">
        <f>-E117-D117</f>
        <v>0</v>
      </c>
      <c r="G117" s="84">
        <v>0</v>
      </c>
      <c r="H117" s="85">
        <f t="shared" si="357"/>
        <v>0</v>
      </c>
      <c r="I117" s="36"/>
      <c r="J117" s="37"/>
      <c r="K117" s="37"/>
      <c r="L117" s="84"/>
      <c r="M117" s="85">
        <f t="shared" si="375"/>
        <v>0</v>
      </c>
      <c r="N117" s="36"/>
      <c r="O117" s="37"/>
      <c r="P117" s="37"/>
      <c r="Q117" s="84"/>
      <c r="R117" s="85">
        <f t="shared" si="376"/>
        <v>0</v>
      </c>
      <c r="S117" s="36">
        <v>0</v>
      </c>
      <c r="T117" s="37"/>
      <c r="U117" s="37"/>
      <c r="V117" s="84"/>
      <c r="W117" s="85">
        <f t="shared" si="377"/>
        <v>0</v>
      </c>
      <c r="X117" s="36"/>
      <c r="Y117" s="37"/>
      <c r="Z117" s="37"/>
      <c r="AA117" s="84"/>
      <c r="AB117" s="85">
        <f t="shared" si="378"/>
        <v>0</v>
      </c>
      <c r="AC117" s="36"/>
      <c r="AD117" s="37"/>
      <c r="AE117" s="37"/>
      <c r="AF117" s="37"/>
      <c r="AG117" s="85">
        <f>SUM(AC117:AF117)</f>
        <v>0</v>
      </c>
      <c r="AH117" s="36"/>
      <c r="AI117" s="37"/>
      <c r="AJ117" s="37"/>
      <c r="AK117" s="37"/>
      <c r="AL117" s="85">
        <f t="shared" si="379"/>
        <v>0</v>
      </c>
      <c r="AM117" s="36">
        <v>-274</v>
      </c>
      <c r="AN117" s="37">
        <f>-209-AM117</f>
        <v>65</v>
      </c>
      <c r="AO117" s="150">
        <f>-142-AN117-AM117</f>
        <v>67</v>
      </c>
      <c r="AP117" s="150">
        <f>-166-AO117-AN117-AM117</f>
        <v>-24</v>
      </c>
      <c r="AQ117" s="85">
        <f>SUM(AM117:AP117)</f>
        <v>-166</v>
      </c>
      <c r="AR117" s="37">
        <v>-11</v>
      </c>
      <c r="AS117" s="37">
        <f>-151-AR117</f>
        <v>-140</v>
      </c>
      <c r="AT117" s="37">
        <f>-410-AS117-AR117</f>
        <v>-259</v>
      </c>
      <c r="AU117" s="37">
        <f>-444-AT117-AS117-AR117</f>
        <v>-34</v>
      </c>
      <c r="AV117" s="85">
        <f>SUM(AR117:AU117)</f>
        <v>-444</v>
      </c>
      <c r="AW117" s="37">
        <v>-54</v>
      </c>
      <c r="AX117" s="37">
        <f>-215-AW117</f>
        <v>-161</v>
      </c>
      <c r="AY117" s="37">
        <f>-340-AX117-AW117</f>
        <v>-125</v>
      </c>
      <c r="AZ117" s="37"/>
      <c r="BA117" s="85">
        <f>SUM(AW117:AZ117)</f>
        <v>-340</v>
      </c>
      <c r="BB117" s="36"/>
      <c r="BC117" s="37"/>
      <c r="BD117" s="37"/>
      <c r="BE117" s="37"/>
      <c r="BF117" s="85">
        <f>SUM(BB117:BE117)</f>
        <v>0</v>
      </c>
      <c r="BG117" s="36"/>
      <c r="BH117" s="37"/>
      <c r="BI117" s="37"/>
      <c r="BJ117" s="37"/>
      <c r="BK117" s="85">
        <f>SUM(BG117:BJ117)</f>
        <v>0</v>
      </c>
      <c r="BL117" s="36"/>
      <c r="BM117" s="37"/>
      <c r="BN117" s="37"/>
      <c r="BO117" s="37"/>
      <c r="BP117" s="85">
        <f>SUM(BL117:BO117)</f>
        <v>0</v>
      </c>
      <c r="BQ117" s="36"/>
      <c r="BR117" s="37"/>
      <c r="BS117" s="37"/>
      <c r="BT117" s="37"/>
      <c r="BU117" s="85">
        <f>SUM(BQ117:BT117)</f>
        <v>0</v>
      </c>
    </row>
    <row r="118" spans="2:73" ht="7.5" hidden="1" customHeight="1" outlineLevel="1" x14ac:dyDescent="0.3">
      <c r="B118" s="385"/>
      <c r="C118" s="386"/>
      <c r="D118" s="36"/>
      <c r="E118" s="37"/>
      <c r="F118" s="37"/>
      <c r="G118" s="84"/>
      <c r="H118" s="85">
        <f t="shared" si="357"/>
        <v>0</v>
      </c>
      <c r="I118" s="36"/>
      <c r="J118" s="37"/>
      <c r="K118" s="37"/>
      <c r="L118" s="84"/>
      <c r="M118" s="85">
        <f t="shared" si="375"/>
        <v>0</v>
      </c>
      <c r="N118" s="36"/>
      <c r="O118" s="37"/>
      <c r="P118" s="37"/>
      <c r="Q118" s="84"/>
      <c r="R118" s="85">
        <f t="shared" si="376"/>
        <v>0</v>
      </c>
      <c r="S118" s="36">
        <v>0</v>
      </c>
      <c r="T118" s="37"/>
      <c r="U118" s="37"/>
      <c r="V118" s="84"/>
      <c r="W118" s="85">
        <f t="shared" si="377"/>
        <v>0</v>
      </c>
      <c r="X118" s="36"/>
      <c r="Y118" s="37"/>
      <c r="Z118" s="37"/>
      <c r="AA118" s="84"/>
      <c r="AB118" s="85"/>
      <c r="AC118" s="36"/>
      <c r="AD118" s="37"/>
      <c r="AE118" s="37"/>
      <c r="AF118" s="37"/>
      <c r="AG118" s="85"/>
      <c r="AH118" s="36"/>
      <c r="AI118" s="37"/>
      <c r="AJ118" s="37"/>
      <c r="AK118" s="37"/>
      <c r="AL118" s="85"/>
      <c r="AM118" s="36"/>
      <c r="AN118" s="37"/>
      <c r="AO118" s="150"/>
      <c r="AP118" s="150"/>
      <c r="AQ118" s="85"/>
      <c r="AR118" s="37"/>
      <c r="AS118" s="37"/>
      <c r="AT118" s="37"/>
      <c r="AU118" s="37"/>
      <c r="AV118" s="85"/>
      <c r="AW118" s="37"/>
      <c r="AX118" s="37"/>
      <c r="AY118" s="37"/>
      <c r="AZ118" s="37"/>
      <c r="BA118" s="85"/>
      <c r="BB118" s="36"/>
      <c r="BC118" s="37"/>
      <c r="BD118" s="37"/>
      <c r="BE118" s="37"/>
      <c r="BF118" s="85"/>
      <c r="BG118" s="36"/>
      <c r="BH118" s="37"/>
      <c r="BI118" s="37"/>
      <c r="BJ118" s="37"/>
      <c r="BK118" s="85"/>
      <c r="BL118" s="36"/>
      <c r="BM118" s="37"/>
      <c r="BN118" s="37"/>
      <c r="BO118" s="37"/>
      <c r="BP118" s="85"/>
      <c r="BQ118" s="36"/>
      <c r="BR118" s="37"/>
      <c r="BS118" s="37"/>
      <c r="BT118" s="37"/>
      <c r="BU118" s="85"/>
    </row>
    <row r="119" spans="2:73" hidden="1" outlineLevel="1" x14ac:dyDescent="0.3">
      <c r="B119" s="383" t="s">
        <v>39</v>
      </c>
      <c r="C119" s="384"/>
      <c r="D119" s="36"/>
      <c r="E119" s="37"/>
      <c r="F119" s="37"/>
      <c r="G119" s="84"/>
      <c r="H119" s="85"/>
      <c r="I119" s="36"/>
      <c r="J119" s="37"/>
      <c r="K119" s="37"/>
      <c r="L119" s="84"/>
      <c r="M119" s="85"/>
      <c r="N119" s="36"/>
      <c r="O119" s="37"/>
      <c r="P119" s="37"/>
      <c r="Q119" s="84"/>
      <c r="R119" s="85"/>
      <c r="S119" s="36"/>
      <c r="T119" s="37"/>
      <c r="U119" s="37"/>
      <c r="V119" s="84"/>
      <c r="W119" s="85"/>
      <c r="X119" s="36"/>
      <c r="Y119" s="37"/>
      <c r="Z119" s="37"/>
      <c r="AA119" s="84"/>
      <c r="AB119" s="85"/>
      <c r="AC119" s="36"/>
      <c r="AD119" s="37"/>
      <c r="AE119" s="37"/>
      <c r="AF119" s="37"/>
      <c r="AG119" s="85"/>
      <c r="AH119" s="36"/>
      <c r="AI119" s="37"/>
      <c r="AJ119" s="37"/>
      <c r="AK119" s="37"/>
      <c r="AL119" s="85"/>
      <c r="AM119" s="36"/>
      <c r="AN119" s="37"/>
      <c r="AO119" s="150"/>
      <c r="AP119" s="150"/>
      <c r="AQ119" s="85"/>
      <c r="AR119" s="37"/>
      <c r="AS119" s="37"/>
      <c r="AT119" s="37"/>
      <c r="AU119" s="37"/>
      <c r="AV119" s="85"/>
      <c r="AW119" s="37"/>
      <c r="AX119" s="37"/>
      <c r="AY119" s="37"/>
      <c r="AZ119" s="37"/>
      <c r="BA119" s="85"/>
      <c r="BB119" s="36"/>
      <c r="BC119" s="37"/>
      <c r="BD119" s="37"/>
      <c r="BE119" s="37"/>
      <c r="BF119" s="85"/>
      <c r="BG119" s="36"/>
      <c r="BH119" s="37"/>
      <c r="BI119" s="37"/>
      <c r="BJ119" s="37"/>
      <c r="BK119" s="85"/>
      <c r="BL119" s="36"/>
      <c r="BM119" s="37"/>
      <c r="BN119" s="37"/>
      <c r="BO119" s="37"/>
      <c r="BP119" s="85"/>
      <c r="BQ119" s="36"/>
      <c r="BR119" s="37"/>
      <c r="BS119" s="37"/>
      <c r="BT119" s="37"/>
      <c r="BU119" s="85"/>
    </row>
    <row r="120" spans="2:73" hidden="1" outlineLevel="1" x14ac:dyDescent="0.3">
      <c r="B120" s="360" t="s">
        <v>158</v>
      </c>
      <c r="C120" s="361"/>
      <c r="D120" s="36">
        <v>271</v>
      </c>
      <c r="E120" s="37">
        <f>482-D120</f>
        <v>211</v>
      </c>
      <c r="F120" s="37">
        <f>-79-E120-D120</f>
        <v>-561</v>
      </c>
      <c r="G120" s="84">
        <f>-2142-F120-E120-D120</f>
        <v>-2063</v>
      </c>
      <c r="H120" s="85">
        <f t="shared" si="357"/>
        <v>-2142</v>
      </c>
      <c r="I120" s="36">
        <v>-517</v>
      </c>
      <c r="J120" s="37">
        <f>-288-I120</f>
        <v>229</v>
      </c>
      <c r="K120" s="37">
        <f>-592-J120-I120</f>
        <v>-304</v>
      </c>
      <c r="L120" s="84">
        <f>143-K120-J120-I120</f>
        <v>735</v>
      </c>
      <c r="M120" s="85">
        <f t="shared" si="375"/>
        <v>143</v>
      </c>
      <c r="N120" s="36">
        <v>-3561</v>
      </c>
      <c r="O120" s="37">
        <f>-1663-N120</f>
        <v>1898</v>
      </c>
      <c r="P120" s="37">
        <f>-2278-O120-N120</f>
        <v>-615</v>
      </c>
      <c r="Q120" s="84">
        <f>-5551-P120-O120-N120</f>
        <v>-3273</v>
      </c>
      <c r="R120" s="85">
        <f t="shared" si="376"/>
        <v>-5551</v>
      </c>
      <c r="S120" s="36">
        <v>-668</v>
      </c>
      <c r="T120" s="37">
        <f>3846-S120</f>
        <v>4514</v>
      </c>
      <c r="U120" s="37">
        <f>2091-T120-S120</f>
        <v>-1755</v>
      </c>
      <c r="V120" s="84">
        <f>-2172-U120-T120-S120</f>
        <v>-4263</v>
      </c>
      <c r="W120" s="85">
        <f t="shared" si="377"/>
        <v>-2172</v>
      </c>
      <c r="X120" s="36">
        <v>-1098</v>
      </c>
      <c r="Y120" s="37">
        <f>3401-X120</f>
        <v>4499</v>
      </c>
      <c r="Z120" s="37">
        <f>2314-Y120-X120</f>
        <v>-1087</v>
      </c>
      <c r="AA120" s="84">
        <f>-4232-Z120-Y120-X120</f>
        <v>-6546</v>
      </c>
      <c r="AB120" s="85">
        <f t="shared" si="378"/>
        <v>-4232</v>
      </c>
      <c r="AC120" s="36">
        <f>-(AC56-AB56)</f>
        <v>751</v>
      </c>
      <c r="AD120" s="150">
        <f>-(AD56-AC56)</f>
        <v>5804</v>
      </c>
      <c r="AE120" s="150">
        <f>7090-AD120-AC120</f>
        <v>535</v>
      </c>
      <c r="AF120" s="150">
        <f>611-AE120-AD120-AC120</f>
        <v>-6479</v>
      </c>
      <c r="AG120" s="85">
        <f t="shared" ref="AG120:AG126" si="381">SUM(AC120:AF120)</f>
        <v>611</v>
      </c>
      <c r="AH120" s="36">
        <v>3896</v>
      </c>
      <c r="AI120" s="37">
        <f>4620-AH120</f>
        <v>724</v>
      </c>
      <c r="AJ120" s="37">
        <f>5135-AI120-AH120</f>
        <v>515</v>
      </c>
      <c r="AK120" s="37">
        <f>1095-AJ120-AI120-AH120</f>
        <v>-4040</v>
      </c>
      <c r="AL120" s="85">
        <f t="shared" si="379"/>
        <v>1095</v>
      </c>
      <c r="AM120" s="36">
        <v>1697</v>
      </c>
      <c r="AN120" s="37">
        <f>4183-AM120</f>
        <v>2486</v>
      </c>
      <c r="AO120" s="150">
        <f>3381-AN120-AM120</f>
        <v>-802</v>
      </c>
      <c r="AP120" s="150">
        <f>-2093-AO120-AN120-AM120</f>
        <v>-5474</v>
      </c>
      <c r="AQ120" s="85">
        <f t="shared" ref="AQ120:AQ126" si="382">SUM(AM120:AP120)</f>
        <v>-2093</v>
      </c>
      <c r="AR120" s="37">
        <v>-5570</v>
      </c>
      <c r="AS120" s="37">
        <f>3523-AR120</f>
        <v>9093</v>
      </c>
      <c r="AT120" s="37">
        <f>3756-AS120-AR120</f>
        <v>233</v>
      </c>
      <c r="AU120" s="37">
        <f>-5322-AT120-AS120-AR120</f>
        <v>-9078</v>
      </c>
      <c r="AV120" s="85">
        <f t="shared" ref="AV120:AV126" si="383">SUM(AR120:AU120)</f>
        <v>-5322</v>
      </c>
      <c r="AW120" s="37">
        <v>5130</v>
      </c>
      <c r="AX120" s="37">
        <f>8094-AW120</f>
        <v>2964</v>
      </c>
      <c r="AY120" s="37">
        <f>9013-AX120-AW120</f>
        <v>919</v>
      </c>
      <c r="AZ120" s="37">
        <f t="shared" ref="AZ120:BE121" si="384">-(AZ56-AY56)</f>
        <v>-12550.4065939996</v>
      </c>
      <c r="BA120" s="85">
        <f t="shared" ref="BA120:BA126" si="385">SUM(AW120:AZ120)</f>
        <v>-3537.4065939995999</v>
      </c>
      <c r="BB120" s="36">
        <f t="shared" si="384"/>
        <v>9791.9035249222725</v>
      </c>
      <c r="BC120" s="37">
        <f t="shared" si="384"/>
        <v>-1642.3048566248035</v>
      </c>
      <c r="BD120" s="37">
        <f t="shared" si="384"/>
        <v>4808.9195252351528</v>
      </c>
      <c r="BE120" s="37">
        <f t="shared" si="384"/>
        <v>-19567.837953816404</v>
      </c>
      <c r="BF120" s="85">
        <f t="shared" ref="BF120:BF126" si="386">SUM(BB120:BE120)</f>
        <v>-6609.3197602837827</v>
      </c>
      <c r="BG120" s="36">
        <f t="shared" ref="BG120:BJ121" si="387">-(BG56-BF56)</f>
        <v>20454.674780900379</v>
      </c>
      <c r="BH120" s="37">
        <f t="shared" si="387"/>
        <v>-12250.040907512535</v>
      </c>
      <c r="BI120" s="37">
        <f t="shared" si="387"/>
        <v>14399.104837260158</v>
      </c>
      <c r="BJ120" s="37">
        <f t="shared" si="387"/>
        <v>-32930.816187494973</v>
      </c>
      <c r="BK120" s="85">
        <f t="shared" ref="BK120:BK126" si="388">SUM(BG120:BJ120)</f>
        <v>-10327.077476846971</v>
      </c>
      <c r="BL120" s="36">
        <f t="shared" ref="BL120:BO121" si="389">-(BL56-BK56)</f>
        <v>39764.453285731943</v>
      </c>
      <c r="BM120" s="37">
        <f t="shared" si="389"/>
        <v>-31551.87662326025</v>
      </c>
      <c r="BN120" s="37">
        <f t="shared" si="389"/>
        <v>32151.173413091579</v>
      </c>
      <c r="BO120" s="37">
        <f t="shared" si="389"/>
        <v>-55081.047548204937</v>
      </c>
      <c r="BP120" s="85">
        <f t="shared" ref="BP120:BP126" si="390">SUM(BL120:BO120)</f>
        <v>-14717.297472641665</v>
      </c>
      <c r="BQ120" s="36">
        <f t="shared" ref="BQ120:BT121" si="391">-(BQ56-BP56)</f>
        <v>66910.983140367316</v>
      </c>
      <c r="BR120" s="37">
        <f t="shared" si="391"/>
        <v>-58701.09241090923</v>
      </c>
      <c r="BS120" s="37">
        <f t="shared" si="391"/>
        <v>57797.913816577959</v>
      </c>
      <c r="BT120" s="37">
        <f t="shared" si="391"/>
        <v>-85990.016579142772</v>
      </c>
      <c r="BU120" s="85">
        <f t="shared" ref="BU120:BU126" si="392">SUM(BQ120:BT120)</f>
        <v>-19982.212033106727</v>
      </c>
    </row>
    <row r="121" spans="2:73" hidden="1" outlineLevel="1" x14ac:dyDescent="0.3">
      <c r="B121" s="360" t="s">
        <v>11</v>
      </c>
      <c r="C121" s="361"/>
      <c r="D121" s="36">
        <v>-121</v>
      </c>
      <c r="E121" s="37">
        <f>-183-D121</f>
        <v>-62</v>
      </c>
      <c r="F121" s="37">
        <f>-487-E121-D121</f>
        <v>-304</v>
      </c>
      <c r="G121" s="84">
        <f>-596-F121-E121-D121</f>
        <v>-109</v>
      </c>
      <c r="H121" s="85">
        <f t="shared" si="357"/>
        <v>-596</v>
      </c>
      <c r="I121" s="36">
        <v>166</v>
      </c>
      <c r="J121" s="37">
        <f>121-I121</f>
        <v>-45</v>
      </c>
      <c r="K121" s="37">
        <f>162-J121-I121</f>
        <v>41</v>
      </c>
      <c r="L121" s="84">
        <f>275-K121-J121-I121</f>
        <v>113</v>
      </c>
      <c r="M121" s="85">
        <f t="shared" si="375"/>
        <v>275</v>
      </c>
      <c r="N121" s="36">
        <v>-460</v>
      </c>
      <c r="O121" s="37">
        <f>-326-N121</f>
        <v>134</v>
      </c>
      <c r="P121" s="37">
        <f>-346-O121-N121</f>
        <v>-20</v>
      </c>
      <c r="Q121" s="84">
        <f>-15-P121-O121-N121</f>
        <v>331</v>
      </c>
      <c r="R121" s="85">
        <f t="shared" si="376"/>
        <v>-15</v>
      </c>
      <c r="S121" s="36">
        <v>-664</v>
      </c>
      <c r="T121" s="37">
        <f>-454-S121</f>
        <v>210</v>
      </c>
      <c r="U121" s="37">
        <f>-906-T121-S121</f>
        <v>-452</v>
      </c>
      <c r="V121" s="84">
        <f>-973-U121-T121-S121</f>
        <v>-67</v>
      </c>
      <c r="W121" s="85">
        <f t="shared" si="377"/>
        <v>-973</v>
      </c>
      <c r="X121" s="36">
        <v>-358</v>
      </c>
      <c r="Y121" s="37">
        <f>-65-X121</f>
        <v>293</v>
      </c>
      <c r="Z121" s="37">
        <f>170-Y121-X121</f>
        <v>235</v>
      </c>
      <c r="AA121" s="84">
        <f>-76-Z121-Y121-X121</f>
        <v>-246</v>
      </c>
      <c r="AB121" s="85">
        <f t="shared" si="378"/>
        <v>-76</v>
      </c>
      <c r="AC121" s="36">
        <f>-(AC57-AB57)</f>
        <v>-172</v>
      </c>
      <c r="AD121" s="150">
        <f>-(AD57-AC57)</f>
        <v>-113</v>
      </c>
      <c r="AE121" s="150">
        <f>69-AD121-AC121</f>
        <v>354</v>
      </c>
      <c r="AF121" s="150">
        <f>-238-AE121-AD121-AC121</f>
        <v>-307</v>
      </c>
      <c r="AG121" s="85">
        <f t="shared" si="381"/>
        <v>-238</v>
      </c>
      <c r="AH121" s="36">
        <v>-102</v>
      </c>
      <c r="AI121" s="37">
        <f>68-AH121</f>
        <v>170</v>
      </c>
      <c r="AJ121" s="37">
        <f>518-AI121-AH121</f>
        <v>450</v>
      </c>
      <c r="AK121" s="37">
        <f>217-AJ121-AI121-AH121</f>
        <v>-301</v>
      </c>
      <c r="AL121" s="85">
        <f t="shared" si="379"/>
        <v>217</v>
      </c>
      <c r="AM121" s="36">
        <v>-580</v>
      </c>
      <c r="AN121" s="37">
        <f>-778-AM121</f>
        <v>-198</v>
      </c>
      <c r="AO121" s="150">
        <f>-1014-AN121-AM121</f>
        <v>-236</v>
      </c>
      <c r="AP121" s="150">
        <f>-2723-AO121-AN121-AM121</f>
        <v>-1709</v>
      </c>
      <c r="AQ121" s="85">
        <f t="shared" si="382"/>
        <v>-2723</v>
      </c>
      <c r="AR121" s="37">
        <v>434</v>
      </c>
      <c r="AS121" s="37">
        <f>-2807-AR121</f>
        <v>-3241</v>
      </c>
      <c r="AT121" s="37">
        <f>-1114-AS121-AR121</f>
        <v>1693</v>
      </c>
      <c r="AU121" s="37">
        <f>828-AT121-AS121-AR121</f>
        <v>1942</v>
      </c>
      <c r="AV121" s="85">
        <f t="shared" si="383"/>
        <v>828</v>
      </c>
      <c r="AW121" s="37">
        <v>-1076</v>
      </c>
      <c r="AX121" s="37">
        <f>-1006-AW121</f>
        <v>70</v>
      </c>
      <c r="AY121" s="37">
        <f>496-AX121-AW121</f>
        <v>1502</v>
      </c>
      <c r="AZ121" s="37">
        <f t="shared" si="384"/>
        <v>402.16328642730969</v>
      </c>
      <c r="BA121" s="85">
        <f t="shared" si="385"/>
        <v>898.16328642730969</v>
      </c>
      <c r="BB121" s="36">
        <f t="shared" si="384"/>
        <v>403.41171082634719</v>
      </c>
      <c r="BC121" s="37">
        <f t="shared" si="384"/>
        <v>-1045.5657338347246</v>
      </c>
      <c r="BD121" s="37">
        <f t="shared" si="384"/>
        <v>1892.2921148836922</v>
      </c>
      <c r="BE121" s="37">
        <f t="shared" si="384"/>
        <v>-824.2004326951037</v>
      </c>
      <c r="BF121" s="85">
        <f t="shared" si="386"/>
        <v>425.93765918021109</v>
      </c>
      <c r="BG121" s="36">
        <f t="shared" si="387"/>
        <v>1662.9070741572759</v>
      </c>
      <c r="BH121" s="37">
        <f t="shared" si="387"/>
        <v>-2101.2882690559441</v>
      </c>
      <c r="BI121" s="37">
        <f t="shared" si="387"/>
        <v>2510.4530642000918</v>
      </c>
      <c r="BJ121" s="37">
        <f t="shared" si="387"/>
        <v>-1934.193012327512</v>
      </c>
      <c r="BK121" s="85">
        <f t="shared" si="388"/>
        <v>137.87885697391175</v>
      </c>
      <c r="BL121" s="36">
        <f t="shared" si="389"/>
        <v>2746.5428081724858</v>
      </c>
      <c r="BM121" s="37">
        <f t="shared" si="389"/>
        <v>-3022.746224742682</v>
      </c>
      <c r="BN121" s="37">
        <f t="shared" si="389"/>
        <v>3178.9476804145279</v>
      </c>
      <c r="BO121" s="37">
        <f t="shared" si="389"/>
        <v>-2904.9271970501222</v>
      </c>
      <c r="BP121" s="85">
        <f t="shared" si="390"/>
        <v>-2.1829332057905049</v>
      </c>
      <c r="BQ121" s="36">
        <f t="shared" si="391"/>
        <v>3542.8088906588828</v>
      </c>
      <c r="BR121" s="37">
        <f t="shared" si="391"/>
        <v>-3724.9611757637849</v>
      </c>
      <c r="BS121" s="37">
        <f t="shared" si="391"/>
        <v>3771.4293489971164</v>
      </c>
      <c r="BT121" s="37">
        <f t="shared" si="391"/>
        <v>-3649.7335837677288</v>
      </c>
      <c r="BU121" s="85">
        <f t="shared" si="392"/>
        <v>-60.456519875514459</v>
      </c>
    </row>
    <row r="122" spans="2:73" hidden="1" outlineLevel="1" x14ac:dyDescent="0.3">
      <c r="B122" s="360" t="s">
        <v>159</v>
      </c>
      <c r="C122" s="361"/>
      <c r="D122" s="23">
        <v>0</v>
      </c>
      <c r="E122" s="37">
        <v>-47</v>
      </c>
      <c r="F122" s="37">
        <f>-1256-E122-D122</f>
        <v>-1209</v>
      </c>
      <c r="G122" s="84">
        <f>-2718-F122-E122-D122</f>
        <v>-1462</v>
      </c>
      <c r="H122" s="85">
        <f t="shared" si="357"/>
        <v>-2718</v>
      </c>
      <c r="I122" s="36">
        <v>-433</v>
      </c>
      <c r="J122" s="37">
        <f>-883-I122</f>
        <v>-450</v>
      </c>
      <c r="K122" s="37">
        <f>-955-J122-I122</f>
        <v>-72</v>
      </c>
      <c r="L122" s="84">
        <f>-1934-K122-J122-I122</f>
        <v>-979</v>
      </c>
      <c r="M122" s="85">
        <f t="shared" si="375"/>
        <v>-1934</v>
      </c>
      <c r="N122" s="36">
        <v>-1206</v>
      </c>
      <c r="O122" s="37">
        <f>-379-N122</f>
        <v>827</v>
      </c>
      <c r="P122" s="37">
        <f>-293-O122-N122</f>
        <v>86</v>
      </c>
      <c r="Q122" s="84">
        <f>-1414-P122-O122-N122</f>
        <v>-1121</v>
      </c>
      <c r="R122" s="85">
        <f t="shared" si="376"/>
        <v>-1414</v>
      </c>
      <c r="S122" s="36">
        <v>-2174</v>
      </c>
      <c r="T122" s="37">
        <f>1510-S122</f>
        <v>3684</v>
      </c>
      <c r="U122" s="37">
        <f>3148-T122-S122</f>
        <v>1638</v>
      </c>
      <c r="V122" s="84">
        <f>223-U122-T122-S122</f>
        <v>-2925</v>
      </c>
      <c r="W122" s="85">
        <f t="shared" si="377"/>
        <v>223</v>
      </c>
      <c r="X122" s="36">
        <v>-3459</v>
      </c>
      <c r="Y122" s="37">
        <f>1419-X122</f>
        <v>4878</v>
      </c>
      <c r="Z122" s="37">
        <f>1486-Y122-X122</f>
        <v>67</v>
      </c>
      <c r="AA122" s="84">
        <f>-2220-Z122-Y122-X122</f>
        <v>-3706</v>
      </c>
      <c r="AB122" s="85">
        <f t="shared" si="378"/>
        <v>-2220</v>
      </c>
      <c r="AC122" s="36">
        <f>-(AC59-AB59)</f>
        <v>-3508</v>
      </c>
      <c r="AD122" s="150">
        <f>-(AD59-AC59)</f>
        <v>6008</v>
      </c>
      <c r="AE122" s="150">
        <f>222-AD122-AC122</f>
        <v>-2278</v>
      </c>
      <c r="AF122" s="150">
        <f>-3735-AE122-AD122-AC122</f>
        <v>-3957</v>
      </c>
      <c r="AG122" s="85">
        <f t="shared" si="381"/>
        <v>-3735</v>
      </c>
      <c r="AH122" s="36">
        <v>1826</v>
      </c>
      <c r="AI122" s="37">
        <f>5899-AH122</f>
        <v>4073</v>
      </c>
      <c r="AJ122" s="37">
        <f>6166-AI122-AH122</f>
        <v>267</v>
      </c>
      <c r="AK122" s="37">
        <f>-51-AJ122-AI122-AH122</f>
        <v>-6217</v>
      </c>
      <c r="AL122" s="85">
        <f t="shared" si="379"/>
        <v>-51</v>
      </c>
      <c r="AM122" s="36">
        <v>-375</v>
      </c>
      <c r="AN122" s="37">
        <f>4512-AM122</f>
        <v>4887</v>
      </c>
      <c r="AO122" s="150">
        <f>3312-AN122-AM122</f>
        <v>-1200</v>
      </c>
      <c r="AP122" s="150">
        <f>-4254-AO122-AN122-AM122</f>
        <v>-7566</v>
      </c>
      <c r="AQ122" s="85">
        <f t="shared" si="382"/>
        <v>-4254</v>
      </c>
      <c r="AR122" s="37">
        <v>-9660</v>
      </c>
      <c r="AS122" s="37">
        <f>9715-AR122</f>
        <v>19375</v>
      </c>
      <c r="AT122" s="37">
        <f>5536-AS122-AR122</f>
        <v>-4179</v>
      </c>
      <c r="AU122" s="37">
        <f>-8010-AT122-AS122-AR122</f>
        <v>-13546</v>
      </c>
      <c r="AV122" s="85">
        <f t="shared" si="383"/>
        <v>-8010</v>
      </c>
      <c r="AW122" s="37">
        <v>6905</v>
      </c>
      <c r="AX122" s="37">
        <f>14616-AW122</f>
        <v>7711</v>
      </c>
      <c r="AY122" s="37">
        <f>13483-AX122-AW122</f>
        <v>-1133</v>
      </c>
      <c r="AZ122" s="37">
        <f>-(AZ59-AY59)</f>
        <v>-21662.931668117119</v>
      </c>
      <c r="BA122" s="85">
        <f t="shared" si="385"/>
        <v>-8179.9316681171185</v>
      </c>
      <c r="BB122" s="36">
        <f>-(BB59-BA59)</f>
        <v>15501.677186624642</v>
      </c>
      <c r="BC122" s="37">
        <f>-(BC59-BB59)</f>
        <v>1237.5448899092735</v>
      </c>
      <c r="BD122" s="37">
        <f>-(BD59-BC59)</f>
        <v>5649.152024919691</v>
      </c>
      <c r="BE122" s="37">
        <f>-(BE59-BD59)</f>
        <v>-36044.831752937105</v>
      </c>
      <c r="BF122" s="85">
        <f t="shared" si="386"/>
        <v>-13656.457651483499</v>
      </c>
      <c r="BG122" s="36">
        <f>-(BG59-BF59)</f>
        <v>33595.226511105975</v>
      </c>
      <c r="BH122" s="37">
        <f>-(BH59-BG59)</f>
        <v>-14388.263079589589</v>
      </c>
      <c r="BI122" s="37">
        <f>-(BI59-BH59)</f>
        <v>21344.65162187293</v>
      </c>
      <c r="BJ122" s="37">
        <f>-(BJ59-BI59)</f>
        <v>-61807.425864212462</v>
      </c>
      <c r="BK122" s="85">
        <f t="shared" si="388"/>
        <v>-21255.810810823146</v>
      </c>
      <c r="BL122" s="36">
        <f>-(BL59-BK59)</f>
        <v>67288.403254923236</v>
      </c>
      <c r="BM122" s="37">
        <f>-(BM59-BL59)</f>
        <v>-45623.285431537297</v>
      </c>
      <c r="BN122" s="37">
        <f>-(BN59-BM59)</f>
        <v>51829.669206195191</v>
      </c>
      <c r="BO122" s="37">
        <f>-(BO59-BN59)</f>
        <v>-104900.56215692281</v>
      </c>
      <c r="BP122" s="85">
        <f t="shared" si="390"/>
        <v>-31405.77512734168</v>
      </c>
      <c r="BQ122" s="36">
        <f>-(BQ59-BP59)</f>
        <v>118529.9206938627</v>
      </c>
      <c r="BR122" s="37">
        <f>-(BR59-BQ59)</f>
        <v>-93859.810545888395</v>
      </c>
      <c r="BS122" s="37">
        <f>-(BS59-BR59)</f>
        <v>99272.699883619804</v>
      </c>
      <c r="BT122" s="37">
        <f>-(BT59-BS59)</f>
        <v>-169190.4541208822</v>
      </c>
      <c r="BU122" s="85">
        <f t="shared" si="392"/>
        <v>-45247.644089288093</v>
      </c>
    </row>
    <row r="123" spans="2:73" hidden="1" outlineLevel="1" x14ac:dyDescent="0.3">
      <c r="B123" s="360" t="s">
        <v>174</v>
      </c>
      <c r="C123" s="361"/>
      <c r="D123" s="36">
        <f>-517+47</f>
        <v>-470</v>
      </c>
      <c r="E123" s="37">
        <f>-619-D123-47</f>
        <v>-196</v>
      </c>
      <c r="F123" s="37">
        <f>-1001-E123-D123</f>
        <v>-335</v>
      </c>
      <c r="G123" s="84">
        <f>-1610-F123-E123-D123</f>
        <v>-609</v>
      </c>
      <c r="H123" s="85">
        <f t="shared" si="357"/>
        <v>-1610</v>
      </c>
      <c r="I123" s="36">
        <v>-558</v>
      </c>
      <c r="J123" s="37">
        <f>-1886-I123</f>
        <v>-1328</v>
      </c>
      <c r="K123" s="37">
        <f>-1551-J123-I123</f>
        <v>335</v>
      </c>
      <c r="L123" s="84">
        <f>-1391-K123-J123-I123</f>
        <v>160</v>
      </c>
      <c r="M123" s="85">
        <f t="shared" si="375"/>
        <v>-1391</v>
      </c>
      <c r="N123" s="36">
        <v>-962</v>
      </c>
      <c r="O123" s="37">
        <f>-1510-N123</f>
        <v>-548</v>
      </c>
      <c r="P123" s="37">
        <f>-3238-O123-N123</f>
        <v>-1728</v>
      </c>
      <c r="Q123" s="84">
        <f>-3162-P123-O123-N123</f>
        <v>76</v>
      </c>
      <c r="R123" s="85">
        <f t="shared" si="376"/>
        <v>-3162</v>
      </c>
      <c r="S123" s="36">
        <v>413</v>
      </c>
      <c r="T123" s="37">
        <f>1269-S123</f>
        <v>856</v>
      </c>
      <c r="U123" s="37">
        <f>484-T123-S123</f>
        <v>-785</v>
      </c>
      <c r="V123" s="84">
        <f>1080-U123-T123-S123</f>
        <v>596</v>
      </c>
      <c r="W123" s="85">
        <f t="shared" si="377"/>
        <v>1080</v>
      </c>
      <c r="X123" s="36">
        <v>-319</v>
      </c>
      <c r="Y123" s="37">
        <f>14-X123</f>
        <v>333</v>
      </c>
      <c r="Z123" s="37">
        <f>931-Y123-X123</f>
        <v>917</v>
      </c>
      <c r="AA123" s="84">
        <f>167-Z123-Y123-X123</f>
        <v>-764</v>
      </c>
      <c r="AB123" s="85">
        <f t="shared" si="378"/>
        <v>167</v>
      </c>
      <c r="AC123" s="36">
        <v>-1648</v>
      </c>
      <c r="AD123" s="150">
        <f>2448-AC123</f>
        <v>4096</v>
      </c>
      <c r="AE123" s="150">
        <f>2286-AD123-AC123</f>
        <v>-162</v>
      </c>
      <c r="AF123" s="150">
        <f>-179-AE123-AD123-AC123</f>
        <v>-2465</v>
      </c>
      <c r="AG123" s="85">
        <f t="shared" si="381"/>
        <v>-179</v>
      </c>
      <c r="AH123" s="36">
        <v>-893</v>
      </c>
      <c r="AI123" s="37">
        <f>300-AH123</f>
        <v>1193</v>
      </c>
      <c r="AJ123" s="37">
        <f>1143-AI123-AH123</f>
        <v>843</v>
      </c>
      <c r="AK123" s="37">
        <f>1090-AJ123-AI123-AH123</f>
        <v>-53</v>
      </c>
      <c r="AL123" s="85">
        <f t="shared" si="379"/>
        <v>1090</v>
      </c>
      <c r="AM123" s="36">
        <v>-1446</v>
      </c>
      <c r="AN123" s="37">
        <f>-896-AM123</f>
        <v>550</v>
      </c>
      <c r="AO123" s="150">
        <f>-3229-AN123-AM123</f>
        <v>-2333</v>
      </c>
      <c r="AP123" s="150">
        <f>-5318-AO123-AN123-AM123</f>
        <v>-2089</v>
      </c>
      <c r="AQ123" s="85">
        <f t="shared" si="382"/>
        <v>-5318</v>
      </c>
      <c r="AR123" s="37">
        <v>-197</v>
      </c>
      <c r="AS123" s="37">
        <f>-1053-AR123</f>
        <v>-856</v>
      </c>
      <c r="AT123" s="37">
        <f>-65-AS123-AR123</f>
        <v>988</v>
      </c>
      <c r="AU123" s="37">
        <f>-423-AT123-AS123-AR123</f>
        <v>-358</v>
      </c>
      <c r="AV123" s="85">
        <f t="shared" si="383"/>
        <v>-423</v>
      </c>
      <c r="AW123" s="37">
        <v>-886</v>
      </c>
      <c r="AX123" s="37">
        <f>-717-AW123</f>
        <v>169</v>
      </c>
      <c r="AY123" s="37">
        <f>693-AX123-AW123</f>
        <v>1410</v>
      </c>
      <c r="AZ123" s="37">
        <f>-(AZ58-AY58)-(AZ60-AY60)-(AZ66-AY66)</f>
        <v>730.46896945488879</v>
      </c>
      <c r="BA123" s="85">
        <f t="shared" si="385"/>
        <v>1423.4689694548888</v>
      </c>
      <c r="BB123" s="36">
        <f>-(BB58-BA58)-(BB60-BA60)-(BB66-BA66)</f>
        <v>-18793.635116274199</v>
      </c>
      <c r="BC123" s="37">
        <f>-(BC58-BB58)-(BC60-BB60)-(BC66-BB66)</f>
        <v>434.3788843570328</v>
      </c>
      <c r="BD123" s="37">
        <f>-(BD58-BC58)-(BD60-BC60)-(BD66-BC66)</f>
        <v>2738.7734188308696</v>
      </c>
      <c r="BE123" s="37">
        <f>-(BE58-BD58)-(BE60-BD60)-(BE66-BD66)</f>
        <v>870.40550405643808</v>
      </c>
      <c r="BF123" s="85">
        <f t="shared" si="386"/>
        <v>-14750.077309029859</v>
      </c>
      <c r="BG123" s="36">
        <f>-(BG58-BF58)-(BG60-BF60)-(BG66-BF66)</f>
        <v>-27847.564390879234</v>
      </c>
      <c r="BH123" s="37">
        <f>-(BH58-BG58)-(BH60-BG60)-(BH66-BG66)</f>
        <v>462.06040582012793</v>
      </c>
      <c r="BI123" s="37">
        <f>-(BI58-BH58)-(BI60-BH60)-(BI66-BH66)</f>
        <v>3231.4402746535889</v>
      </c>
      <c r="BJ123" s="37">
        <f>-(BJ58-BI58)-(BJ60-BI60)-(BJ66-BI66)</f>
        <v>1113.5468718985849</v>
      </c>
      <c r="BK123" s="85">
        <f t="shared" si="388"/>
        <v>-23040.516838506934</v>
      </c>
      <c r="BL123" s="36">
        <f>-(BL58-BK58)-(BL60-BK60)-(BL66-BK66)</f>
        <v>-41383.749708519521</v>
      </c>
      <c r="BM123" s="37">
        <f>-(BM58-BL58)-(BM60-BL60)-(BM66-BL66)</f>
        <v>532.50974981645413</v>
      </c>
      <c r="BN123" s="37">
        <f>-(BN58-BM58)-(BN60-BM60)-(BN66-BM66)</f>
        <v>4100.3358363149646</v>
      </c>
      <c r="BO123" s="37">
        <f>-(BO58-BN58)-(BO60-BN60)-(BO66-BN66)</f>
        <v>1505.2574360065155</v>
      </c>
      <c r="BP123" s="85">
        <f t="shared" si="390"/>
        <v>-35245.646686381588</v>
      </c>
      <c r="BQ123" s="36">
        <f>-(BQ58-BP58)-(BQ60-BP60)-(BQ66-BP66)</f>
        <v>-61601.901853510557</v>
      </c>
      <c r="BR123" s="37">
        <f>-(BR58-BQ58)-(BR60-BQ60)-(BR66-BQ66)</f>
        <v>662.18879621628639</v>
      </c>
      <c r="BS123" s="37">
        <f>-(BS58-BR58)-(BS60-BR60)-(BS66-BR66)</f>
        <v>5509.4871503718541</v>
      </c>
      <c r="BT123" s="37">
        <f>-(BT58-BS58)-(BT60-BS60)-(BT66-BS66)</f>
        <v>2114.0567969600543</v>
      </c>
      <c r="BU123" s="85">
        <f t="shared" si="392"/>
        <v>-53316.169109962364</v>
      </c>
    </row>
    <row r="124" spans="2:73" hidden="1" outlineLevel="1" x14ac:dyDescent="0.3">
      <c r="B124" s="360" t="s">
        <v>148</v>
      </c>
      <c r="C124" s="361"/>
      <c r="D124" s="36">
        <v>956</v>
      </c>
      <c r="E124" s="37">
        <f>-18-D124</f>
        <v>-974</v>
      </c>
      <c r="F124" s="37">
        <f>2812-E124-D124</f>
        <v>2830</v>
      </c>
      <c r="G124" s="84">
        <f>6307-F124-E124-D124</f>
        <v>3495</v>
      </c>
      <c r="H124" s="85">
        <f t="shared" si="357"/>
        <v>6307</v>
      </c>
      <c r="I124" s="36">
        <v>2346</v>
      </c>
      <c r="J124" s="37">
        <f>1626-I124</f>
        <v>-720</v>
      </c>
      <c r="K124" s="37">
        <f>2480-J124-I124</f>
        <v>854</v>
      </c>
      <c r="L124" s="84">
        <f>2515-K124-J124-I124</f>
        <v>35</v>
      </c>
      <c r="M124" s="85">
        <f t="shared" si="375"/>
        <v>2515</v>
      </c>
      <c r="N124" s="36">
        <v>4314</v>
      </c>
      <c r="O124" s="37">
        <f>2809-N124</f>
        <v>-1505</v>
      </c>
      <c r="P124" s="37">
        <f>2450-O124-N124</f>
        <v>-359</v>
      </c>
      <c r="Q124" s="84">
        <f>4467-P124-O124-N124</f>
        <v>2017</v>
      </c>
      <c r="R124" s="85">
        <f t="shared" si="376"/>
        <v>4467</v>
      </c>
      <c r="S124" s="36">
        <v>6145</v>
      </c>
      <c r="T124" s="37">
        <f>-4422-S124</f>
        <v>-10567</v>
      </c>
      <c r="U124" s="37">
        <f>-4740-T124-S124</f>
        <v>-318</v>
      </c>
      <c r="V124" s="84">
        <f>2340-U124-T124-S124</f>
        <v>7080</v>
      </c>
      <c r="W124" s="85">
        <f t="shared" si="377"/>
        <v>2340</v>
      </c>
      <c r="X124" s="36">
        <v>8191</v>
      </c>
      <c r="Y124" s="37">
        <f>-2375-X124</f>
        <v>-10566</v>
      </c>
      <c r="Z124" s="37">
        <f>-2531-Y124-X124</f>
        <v>-156</v>
      </c>
      <c r="AA124" s="84">
        <f>5938-Z124-Y124-X124</f>
        <v>8469</v>
      </c>
      <c r="AB124" s="85">
        <f t="shared" si="378"/>
        <v>5938</v>
      </c>
      <c r="AC124" s="36">
        <v>9003</v>
      </c>
      <c r="AD124" s="150">
        <f>-5428-AC124</f>
        <v>-14431</v>
      </c>
      <c r="AE124" s="150">
        <f>-3263-AD124-AC124</f>
        <v>2165</v>
      </c>
      <c r="AF124" s="150">
        <f>5400-AE124-AD124-AC124</f>
        <v>8663</v>
      </c>
      <c r="AG124" s="85">
        <f t="shared" si="381"/>
        <v>5400</v>
      </c>
      <c r="AH124" s="36">
        <v>-852</v>
      </c>
      <c r="AI124" s="37">
        <f>-9475-AH124</f>
        <v>-8623</v>
      </c>
      <c r="AJ124" s="37">
        <f>-9622-AI124-AH124</f>
        <v>-147</v>
      </c>
      <c r="AK124" s="37">
        <f>1791-AJ124-AI124-AH124</f>
        <v>11413</v>
      </c>
      <c r="AL124" s="85">
        <f t="shared" si="379"/>
        <v>1791</v>
      </c>
      <c r="AM124" s="36">
        <v>2460</v>
      </c>
      <c r="AN124" s="37">
        <f>-6862-AM124</f>
        <v>-9322</v>
      </c>
      <c r="AO124" s="150">
        <f>-5212-AN124-AM124</f>
        <v>1650</v>
      </c>
      <c r="AP124" s="150">
        <f>8966-AO124-AN124-AM124</f>
        <v>14178</v>
      </c>
      <c r="AQ124" s="85">
        <f t="shared" si="382"/>
        <v>8966</v>
      </c>
      <c r="AR124" s="37">
        <v>12602</v>
      </c>
      <c r="AS124" s="37">
        <f>-12004-AR124</f>
        <v>-24606</v>
      </c>
      <c r="AT124" s="37">
        <f>-10410-AS124-AR124</f>
        <v>1594</v>
      </c>
      <c r="AU124" s="37">
        <f>9175-AT124-AS124-AR124</f>
        <v>19585</v>
      </c>
      <c r="AV124" s="85">
        <f t="shared" si="383"/>
        <v>9175</v>
      </c>
      <c r="AW124" s="37">
        <v>-8501</v>
      </c>
      <c r="AX124" s="37">
        <f>-20024-AW124</f>
        <v>-11523</v>
      </c>
      <c r="AY124" s="37">
        <f>-19804-AX124-AW124</f>
        <v>220</v>
      </c>
      <c r="AZ124" s="37">
        <f>AZ70-AY70</f>
        <v>23029.054185526358</v>
      </c>
      <c r="BA124" s="85">
        <f t="shared" si="385"/>
        <v>3225.0541855263582</v>
      </c>
      <c r="BB124" s="36">
        <f>BB70-BA70</f>
        <v>-21072.637326533833</v>
      </c>
      <c r="BC124" s="37">
        <f>BC70-BB70</f>
        <v>665.10726762198465</v>
      </c>
      <c r="BD124" s="37">
        <f>BD70-BC70</f>
        <v>-11764.618273095708</v>
      </c>
      <c r="BE124" s="37">
        <f>BE70-BD70</f>
        <v>33625.999127568633</v>
      </c>
      <c r="BF124" s="85">
        <f t="shared" si="386"/>
        <v>1453.8507955610767</v>
      </c>
      <c r="BG124" s="36">
        <f>BG70-BF70</f>
        <v>-37951.207523848017</v>
      </c>
      <c r="BH124" s="37">
        <f>BH70-BG70</f>
        <v>21558.366472715614</v>
      </c>
      <c r="BI124" s="37">
        <f>BI70-BH70</f>
        <v>-29336.359208168215</v>
      </c>
      <c r="BJ124" s="37">
        <f>BJ70-BI70</f>
        <v>51053.310772934492</v>
      </c>
      <c r="BK124" s="85">
        <f t="shared" si="388"/>
        <v>5324.1105136338738</v>
      </c>
      <c r="BL124" s="36">
        <f>BL70-BK70</f>
        <v>-61829.892231044199</v>
      </c>
      <c r="BM124" s="37">
        <f>BM70-BL70</f>
        <v>48822.047751891034</v>
      </c>
      <c r="BN124" s="37">
        <f>BN70-BM70</f>
        <v>-53542.813943847039</v>
      </c>
      <c r="BO124" s="37">
        <f>BO70-BN70</f>
        <v>74795.280630647641</v>
      </c>
      <c r="BP124" s="85">
        <f t="shared" si="390"/>
        <v>8244.6222076474369</v>
      </c>
      <c r="BQ124" s="36">
        <f>BQ70-BP70</f>
        <v>-88183.322881547443</v>
      </c>
      <c r="BR124" s="37">
        <f>BR70-BQ70</f>
        <v>77808.801418764459</v>
      </c>
      <c r="BS124" s="37">
        <f>BS70-BR70</f>
        <v>-80540.108852556805</v>
      </c>
      <c r="BT124" s="37">
        <f>BT70-BS70</f>
        <v>101172.26355153458</v>
      </c>
      <c r="BU124" s="85">
        <f t="shared" si="392"/>
        <v>10257.633236194786</v>
      </c>
    </row>
    <row r="125" spans="2:73" hidden="1" outlineLevel="1" x14ac:dyDescent="0.3">
      <c r="B125" s="360" t="s">
        <v>150</v>
      </c>
      <c r="C125" s="361"/>
      <c r="D125" s="36">
        <v>606</v>
      </c>
      <c r="E125" s="37">
        <f>577-D125</f>
        <v>-29</v>
      </c>
      <c r="F125" s="37">
        <f>806-E125-D125</f>
        <v>229</v>
      </c>
      <c r="G125" s="84">
        <f>1217-F125-E125-D125</f>
        <v>411</v>
      </c>
      <c r="H125" s="85">
        <f t="shared" si="357"/>
        <v>1217</v>
      </c>
      <c r="I125" s="36">
        <v>634</v>
      </c>
      <c r="J125" s="37">
        <f>698-I125</f>
        <v>64</v>
      </c>
      <c r="K125" s="37">
        <f>1276-J125-I125</f>
        <v>578</v>
      </c>
      <c r="L125" s="84">
        <f>1654-K125-J125-I125</f>
        <v>378</v>
      </c>
      <c r="M125" s="85">
        <f t="shared" si="375"/>
        <v>1654</v>
      </c>
      <c r="N125" s="36">
        <v>1296</v>
      </c>
      <c r="O125" s="37">
        <f>1916-N125</f>
        <v>620</v>
      </c>
      <c r="P125" s="37">
        <f>2575-O125-N125</f>
        <v>659</v>
      </c>
      <c r="Q125" s="84">
        <f>2824-P125-O125-N125</f>
        <v>249</v>
      </c>
      <c r="R125" s="85">
        <f t="shared" si="376"/>
        <v>2824</v>
      </c>
      <c r="S125" s="36">
        <v>1611</v>
      </c>
      <c r="T125" s="37">
        <f>1541-S125</f>
        <v>-70</v>
      </c>
      <c r="U125" s="37">
        <f>1404-T125-S125</f>
        <v>-137</v>
      </c>
      <c r="V125" s="84">
        <f>1459-U125-T125-S125</f>
        <v>55</v>
      </c>
      <c r="W125" s="85">
        <f t="shared" si="377"/>
        <v>1459</v>
      </c>
      <c r="X125" s="36">
        <v>1368</v>
      </c>
      <c r="Y125" s="37">
        <f>1414-X125</f>
        <v>46</v>
      </c>
      <c r="Z125" s="37">
        <f>1394-Y125-X125</f>
        <v>-20</v>
      </c>
      <c r="AA125" s="84">
        <f>1460-Z125-Y125-X125</f>
        <v>66</v>
      </c>
      <c r="AB125" s="85">
        <f t="shared" si="378"/>
        <v>1460</v>
      </c>
      <c r="AC125" s="36">
        <v>945</v>
      </c>
      <c r="AD125" s="150">
        <f>993-AC125</f>
        <v>48</v>
      </c>
      <c r="AE125" s="150">
        <f>1040-AD125-AC125</f>
        <v>47</v>
      </c>
      <c r="AF125" s="150">
        <f>1042-AE125-AD125-AC125</f>
        <v>2</v>
      </c>
      <c r="AG125" s="85">
        <f t="shared" si="381"/>
        <v>1042</v>
      </c>
      <c r="AH125" s="36">
        <v>-29</v>
      </c>
      <c r="AI125" s="37">
        <f>219-AH125</f>
        <v>248</v>
      </c>
      <c r="AJ125" s="37">
        <f>-1148-AI125-AH125</f>
        <v>-1367</v>
      </c>
      <c r="AK125" s="37">
        <f>-1554-AJ125-AI125-AH125</f>
        <v>-406</v>
      </c>
      <c r="AL125" s="85">
        <f t="shared" si="379"/>
        <v>-1554</v>
      </c>
      <c r="AM125" s="36">
        <v>42</v>
      </c>
      <c r="AN125" s="37">
        <f>-221-AM125</f>
        <v>-263</v>
      </c>
      <c r="AO125" s="150">
        <f>-418-AN125-AM125</f>
        <v>-197</v>
      </c>
      <c r="AP125" s="150">
        <f>-626-AO125-AN125-AM125</f>
        <v>-208</v>
      </c>
      <c r="AQ125" s="85">
        <f t="shared" si="382"/>
        <v>-626</v>
      </c>
      <c r="AR125" s="37">
        <v>569</v>
      </c>
      <c r="AS125" s="37">
        <f>394-AR125</f>
        <v>-175</v>
      </c>
      <c r="AT125" s="37">
        <f>-73-AS125-AR125</f>
        <v>-467</v>
      </c>
      <c r="AU125" s="37">
        <f>-44-AT125-AS125-AR125</f>
        <v>29</v>
      </c>
      <c r="AV125" s="85">
        <f t="shared" si="383"/>
        <v>-44</v>
      </c>
      <c r="AW125" s="37">
        <v>-370</v>
      </c>
      <c r="AX125" s="37">
        <f>-540-AW125</f>
        <v>-170</v>
      </c>
      <c r="AY125" s="37">
        <f>-776-AX125-AW125</f>
        <v>-236</v>
      </c>
      <c r="AZ125" s="37">
        <f>AZ72-AY72</f>
        <v>3931.6054548006778</v>
      </c>
      <c r="BA125" s="85">
        <f t="shared" si="385"/>
        <v>3155.6054548006778</v>
      </c>
      <c r="BB125" s="37">
        <f>BB72-BA72</f>
        <v>114.18595130876747</v>
      </c>
      <c r="BC125" s="37">
        <f>BC72-BB72</f>
        <v>103.65987644894449</v>
      </c>
      <c r="BD125" s="37">
        <f>BD72-BC72</f>
        <v>162.52756083174245</v>
      </c>
      <c r="BE125" s="37">
        <f>BE72-BD72</f>
        <v>316.06914040581796</v>
      </c>
      <c r="BF125" s="85">
        <f t="shared" si="386"/>
        <v>696.44252899527237</v>
      </c>
      <c r="BG125" s="36">
        <f>BG72-BF72</f>
        <v>124.21545401768344</v>
      </c>
      <c r="BH125" s="37">
        <f>BH72-BG72</f>
        <v>111.80992719955793</v>
      </c>
      <c r="BI125" s="37">
        <f>BI72-BH72</f>
        <v>185.39164813903335</v>
      </c>
      <c r="BJ125" s="37">
        <f>BJ72-BI72</f>
        <v>366.07637949682066</v>
      </c>
      <c r="BK125" s="85">
        <f t="shared" si="388"/>
        <v>787.49340885309539</v>
      </c>
      <c r="BL125" s="36">
        <f>BL72-BK72</f>
        <v>35.563290365105786</v>
      </c>
      <c r="BM125" s="37">
        <f>BM72-BL72</f>
        <v>38.639833406577964</v>
      </c>
      <c r="BN125" s="37">
        <f>BN72-BM72</f>
        <v>139.05524572572176</v>
      </c>
      <c r="BO125" s="37">
        <f>BO72-BN72</f>
        <v>351.96370792793277</v>
      </c>
      <c r="BP125" s="85">
        <f t="shared" si="390"/>
        <v>565.22207742533828</v>
      </c>
      <c r="BQ125" s="36">
        <f>BQ72-BP72</f>
        <v>97.065178772631043</v>
      </c>
      <c r="BR125" s="37">
        <f>BR72-BQ72</f>
        <v>91.777355236261428</v>
      </c>
      <c r="BS125" s="37">
        <f>BS72-BR72</f>
        <v>188.66336454183147</v>
      </c>
      <c r="BT125" s="37">
        <f>BT72-BS72</f>
        <v>435.6559077417769</v>
      </c>
      <c r="BU125" s="85">
        <f t="shared" si="392"/>
        <v>813.16180629250084</v>
      </c>
    </row>
    <row r="126" spans="2:73" ht="16.2" hidden="1" outlineLevel="1" x14ac:dyDescent="0.45">
      <c r="B126" s="360" t="s">
        <v>160</v>
      </c>
      <c r="C126" s="361"/>
      <c r="D126" s="164">
        <v>316</v>
      </c>
      <c r="E126" s="165">
        <f>-287-D126</f>
        <v>-603</v>
      </c>
      <c r="F126" s="165">
        <f>-239-E126-D126</f>
        <v>48</v>
      </c>
      <c r="G126" s="166">
        <f>778-F126-E126-D126</f>
        <v>1017</v>
      </c>
      <c r="H126" s="167">
        <f t="shared" si="357"/>
        <v>778</v>
      </c>
      <c r="I126" s="164">
        <v>653</v>
      </c>
      <c r="J126" s="165">
        <f>1674-I126</f>
        <v>1021</v>
      </c>
      <c r="K126" s="165">
        <f>2608-J126-I126</f>
        <v>934</v>
      </c>
      <c r="L126" s="166">
        <f>4495-K126-J126-I126</f>
        <v>1887</v>
      </c>
      <c r="M126" s="167">
        <f t="shared" si="375"/>
        <v>4495</v>
      </c>
      <c r="N126" s="164">
        <v>2472</v>
      </c>
      <c r="O126" s="165">
        <f>778-N126</f>
        <v>-1694</v>
      </c>
      <c r="P126" s="165">
        <f>1686-O126-N126</f>
        <v>908</v>
      </c>
      <c r="Q126" s="166">
        <f>2552-P126-O126-N126</f>
        <v>866</v>
      </c>
      <c r="R126" s="167">
        <f t="shared" si="376"/>
        <v>2552</v>
      </c>
      <c r="S126" s="164">
        <v>2373</v>
      </c>
      <c r="T126" s="165">
        <f>3658-S126</f>
        <v>1285</v>
      </c>
      <c r="U126" s="165">
        <f>3556-T126-S126</f>
        <v>-102</v>
      </c>
      <c r="V126" s="166">
        <f>4521-U126-T126-S126</f>
        <v>965</v>
      </c>
      <c r="W126" s="167">
        <f t="shared" si="377"/>
        <v>4521</v>
      </c>
      <c r="X126" s="164">
        <v>1195</v>
      </c>
      <c r="Y126" s="165">
        <f>1638-X126</f>
        <v>443</v>
      </c>
      <c r="Z126" s="165">
        <f>424-Y126-X126</f>
        <v>-1214</v>
      </c>
      <c r="AA126" s="166">
        <f>6010-Z126-Y126-X126</f>
        <v>5586</v>
      </c>
      <c r="AB126" s="167">
        <f t="shared" si="378"/>
        <v>6010</v>
      </c>
      <c r="AC126" s="164">
        <v>4667</v>
      </c>
      <c r="AD126" s="344">
        <f>5679-AC126</f>
        <v>1012</v>
      </c>
      <c r="AE126" s="344">
        <f>4448-AD126-AC126</f>
        <v>-1231</v>
      </c>
      <c r="AF126" s="344">
        <f>8746-AE126-AD126-AC126</f>
        <v>4298</v>
      </c>
      <c r="AG126" s="167">
        <f t="shared" si="381"/>
        <v>8746</v>
      </c>
      <c r="AH126" s="164">
        <v>-368</v>
      </c>
      <c r="AI126" s="165">
        <f>-2093-AH126</f>
        <v>-1725</v>
      </c>
      <c r="AJ126" s="165">
        <f>-5495-AI126-AH126</f>
        <v>-3402</v>
      </c>
      <c r="AK126" s="165">
        <f>-2104-AJ126-AI126-AH126</f>
        <v>3391</v>
      </c>
      <c r="AL126" s="167">
        <f t="shared" si="379"/>
        <v>-2104</v>
      </c>
      <c r="AM126" s="164">
        <v>1946</v>
      </c>
      <c r="AN126" s="165">
        <f>316-AM126</f>
        <v>-1630</v>
      </c>
      <c r="AO126" s="344">
        <f>-2476-AN126-AM126</f>
        <v>-2792</v>
      </c>
      <c r="AP126" s="344">
        <f>1125-AO126-AN126-AM126</f>
        <v>3601</v>
      </c>
      <c r="AQ126" s="167">
        <f t="shared" si="382"/>
        <v>1125</v>
      </c>
      <c r="AR126" s="165">
        <v>39757</v>
      </c>
      <c r="AS126" s="165">
        <f>38026-AR126</f>
        <v>-1731</v>
      </c>
      <c r="AT126" s="165">
        <f>36250-AS126-AR126</f>
        <v>-1776</v>
      </c>
      <c r="AU126" s="165">
        <f>38490-AT126-AS126-AR126</f>
        <v>2240</v>
      </c>
      <c r="AV126" s="167">
        <f t="shared" si="383"/>
        <v>38490</v>
      </c>
      <c r="AW126" s="165">
        <v>570</v>
      </c>
      <c r="AX126" s="165">
        <f>-3273-AW126</f>
        <v>-3843</v>
      </c>
      <c r="AY126" s="165">
        <f>-8753-AX126-AW126</f>
        <v>-5480</v>
      </c>
      <c r="AZ126" s="165">
        <f>(AZ71-AY71)+(AZ77-AY77)</f>
        <v>8860.955567155288</v>
      </c>
      <c r="BA126" s="167">
        <f t="shared" si="385"/>
        <v>107.95556715528801</v>
      </c>
      <c r="BB126" s="164">
        <f>(BB71-BA71)+(BB77-BA77)</f>
        <v>15543.743802163546</v>
      </c>
      <c r="BC126" s="165">
        <f>(BC71-BB71)+(BC77-BB77)</f>
        <v>-4353.9879036794227</v>
      </c>
      <c r="BD126" s="165">
        <f>(BD71-BC71)+(BD77-BC77)</f>
        <v>-5790.9402744971958</v>
      </c>
      <c r="BE126" s="165">
        <f>(BE71-BD71)+(BE77-BD77)</f>
        <v>11223.729927280423</v>
      </c>
      <c r="BF126" s="167">
        <f t="shared" si="386"/>
        <v>16622.545551267351</v>
      </c>
      <c r="BG126" s="164">
        <f>(BG71-BF71)+(BG77-BF77)</f>
        <v>18096.429276040079</v>
      </c>
      <c r="BH126" s="165">
        <f>(BH71-BG71)+(BH77-BG77)</f>
        <v>-5105.5941889990354</v>
      </c>
      <c r="BI126" s="165">
        <f>(BI71-BH71)+(BI77-BH77)</f>
        <v>-7124.7269166274564</v>
      </c>
      <c r="BJ126" s="165">
        <f>(BJ71-BI71)+(BJ77-BI77)</f>
        <v>14204.800929580473</v>
      </c>
      <c r="BK126" s="167">
        <f t="shared" si="388"/>
        <v>20070.90909999406</v>
      </c>
      <c r="BL126" s="164">
        <f>(BL71-BK71)+(BL77-BK77)</f>
        <v>21133.653875129472</v>
      </c>
      <c r="BM126" s="165">
        <f>(BM71-BL71)+(BM77-BL77)</f>
        <v>-6006.7088755685254</v>
      </c>
      <c r="BN126" s="165">
        <f>(BN71-BM71)+(BN77-BM77)</f>
        <v>-8783.3012576441397</v>
      </c>
      <c r="BO126" s="165">
        <f>(BO71-BN71)+(BO77-BN77)</f>
        <v>17964.61347097953</v>
      </c>
      <c r="BP126" s="167">
        <f t="shared" si="390"/>
        <v>24308.257212896337</v>
      </c>
      <c r="BQ126" s="164">
        <f>(BQ71-BP71)+(BQ77-BP77)</f>
        <v>24759.612225864796</v>
      </c>
      <c r="BR126" s="165">
        <f>(BR71-BQ71)+(BR77-BQ77)</f>
        <v>-7090.5895785043977</v>
      </c>
      <c r="BS126" s="165">
        <f>(BS71-BR71)+(BS77-BR77)</f>
        <v>-10848.097760681412</v>
      </c>
      <c r="BT126" s="165">
        <f>(BT71-BS71)+(BT77-BS77)</f>
        <v>22705.088291276101</v>
      </c>
      <c r="BU126" s="167">
        <f t="shared" si="392"/>
        <v>29526.013177955087</v>
      </c>
    </row>
    <row r="127" spans="2:73" hidden="1" outlineLevel="1" x14ac:dyDescent="0.3">
      <c r="B127" s="375" t="s">
        <v>31</v>
      </c>
      <c r="C127" s="376"/>
      <c r="D127" s="75">
        <f t="shared" ref="D127:AK127" si="393">D111+SUM(D114:D126)</f>
        <v>5781</v>
      </c>
      <c r="E127" s="73">
        <f t="shared" si="393"/>
        <v>2283</v>
      </c>
      <c r="F127" s="73">
        <f t="shared" si="393"/>
        <v>4848</v>
      </c>
      <c r="G127" s="86">
        <f t="shared" si="393"/>
        <v>5683</v>
      </c>
      <c r="H127" s="87">
        <f t="shared" si="393"/>
        <v>18595</v>
      </c>
      <c r="I127" s="75">
        <f t="shared" si="393"/>
        <v>9773</v>
      </c>
      <c r="J127" s="73">
        <f t="shared" si="393"/>
        <v>6219</v>
      </c>
      <c r="K127" s="73">
        <f t="shared" si="393"/>
        <v>11108</v>
      </c>
      <c r="L127" s="86">
        <f t="shared" si="393"/>
        <v>10429</v>
      </c>
      <c r="M127" s="87">
        <f t="shared" si="393"/>
        <v>37529</v>
      </c>
      <c r="N127" s="75">
        <f t="shared" si="393"/>
        <v>17554</v>
      </c>
      <c r="O127" s="73">
        <f t="shared" si="393"/>
        <v>13977</v>
      </c>
      <c r="P127" s="73">
        <f t="shared" si="393"/>
        <v>10189</v>
      </c>
      <c r="Q127" s="86">
        <f t="shared" si="393"/>
        <v>9136</v>
      </c>
      <c r="R127" s="87">
        <f t="shared" si="393"/>
        <v>50856</v>
      </c>
      <c r="S127" s="75">
        <f t="shared" si="393"/>
        <v>23426</v>
      </c>
      <c r="T127" s="73">
        <f t="shared" si="393"/>
        <v>12504</v>
      </c>
      <c r="U127" s="73">
        <f t="shared" si="393"/>
        <v>7828</v>
      </c>
      <c r="V127" s="86">
        <f t="shared" si="393"/>
        <v>9908</v>
      </c>
      <c r="W127" s="87">
        <f t="shared" si="393"/>
        <v>53666</v>
      </c>
      <c r="X127" s="75">
        <f t="shared" si="393"/>
        <v>22670</v>
      </c>
      <c r="Y127" s="73">
        <f t="shared" si="393"/>
        <v>13538</v>
      </c>
      <c r="Z127" s="73">
        <f t="shared" si="393"/>
        <v>10255</v>
      </c>
      <c r="AA127" s="86">
        <f t="shared" si="393"/>
        <v>13250</v>
      </c>
      <c r="AB127" s="87">
        <f t="shared" si="393"/>
        <v>59713</v>
      </c>
      <c r="AC127" s="75">
        <f t="shared" si="393"/>
        <v>33722</v>
      </c>
      <c r="AD127" s="73">
        <f t="shared" si="393"/>
        <v>19081</v>
      </c>
      <c r="AE127" s="73">
        <f t="shared" si="393"/>
        <v>14988</v>
      </c>
      <c r="AF127" s="73">
        <f t="shared" si="393"/>
        <v>13475</v>
      </c>
      <c r="AG127" s="87">
        <f t="shared" si="393"/>
        <v>81266</v>
      </c>
      <c r="AH127" s="75">
        <f t="shared" si="393"/>
        <v>27463</v>
      </c>
      <c r="AI127" s="73">
        <f t="shared" si="393"/>
        <v>11601</v>
      </c>
      <c r="AJ127" s="73">
        <f t="shared" si="393"/>
        <v>10634</v>
      </c>
      <c r="AK127" s="73">
        <f t="shared" si="393"/>
        <v>16126</v>
      </c>
      <c r="AL127" s="87">
        <f>AL111+SUM(AL114:AL126)</f>
        <v>65824</v>
      </c>
      <c r="AM127" s="75">
        <f t="shared" ref="AM127:BT127" si="394">AM111+SUM(AM114:AM126)</f>
        <v>27056</v>
      </c>
      <c r="AN127" s="73">
        <f t="shared" si="394"/>
        <v>12523</v>
      </c>
      <c r="AO127" s="345">
        <f t="shared" ref="AO127:AP127" si="395">AO111+SUM(AO114:AO126)</f>
        <v>8363</v>
      </c>
      <c r="AP127" s="345">
        <f t="shared" si="395"/>
        <v>16283</v>
      </c>
      <c r="AQ127" s="87">
        <f t="shared" ref="AQ127" si="396">AQ111+SUM(AQ114:AQ126)</f>
        <v>64225</v>
      </c>
      <c r="AR127" s="73">
        <f t="shared" si="394"/>
        <v>28293</v>
      </c>
      <c r="AS127" s="73">
        <f t="shared" si="394"/>
        <v>15130</v>
      </c>
      <c r="AT127" s="73">
        <f t="shared" si="394"/>
        <v>14488</v>
      </c>
      <c r="AU127" s="73">
        <f t="shared" si="394"/>
        <v>19523</v>
      </c>
      <c r="AV127" s="87">
        <f t="shared" ref="AV127" si="397">AV111+SUM(AV114:AV126)</f>
        <v>77434</v>
      </c>
      <c r="AW127" s="73">
        <f t="shared" si="394"/>
        <v>26690</v>
      </c>
      <c r="AX127" s="73">
        <f t="shared" si="394"/>
        <v>11503</v>
      </c>
      <c r="AY127" s="73">
        <f t="shared" si="394"/>
        <v>11960</v>
      </c>
      <c r="AZ127" s="73">
        <f t="shared" ref="AZ127" si="398">AZ111+SUM(AZ114:AZ126)</f>
        <v>19563.012308379668</v>
      </c>
      <c r="BA127" s="87">
        <f t="shared" ref="BA127" si="399">BA111+SUM(BA114:BA126)</f>
        <v>69716.012308379635</v>
      </c>
      <c r="BB127" s="75">
        <f t="shared" si="394"/>
        <v>21907.142071353672</v>
      </c>
      <c r="BC127" s="73">
        <f t="shared" si="394"/>
        <v>10873.4526450017</v>
      </c>
      <c r="BD127" s="73">
        <f t="shared" si="394"/>
        <v>12797.268917845322</v>
      </c>
      <c r="BE127" s="73">
        <f t="shared" si="394"/>
        <v>8411.4719109997241</v>
      </c>
      <c r="BF127" s="87">
        <f t="shared" ref="BF127" si="400">BF111+SUM(BF114:BF126)</f>
        <v>53989.335545200367</v>
      </c>
      <c r="BG127" s="75">
        <f t="shared" si="394"/>
        <v>29023.505601350727</v>
      </c>
      <c r="BH127" s="73">
        <f t="shared" si="394"/>
        <v>4221.0398967870078</v>
      </c>
      <c r="BI127" s="73">
        <f t="shared" si="394"/>
        <v>21239.100507895277</v>
      </c>
      <c r="BJ127" s="73">
        <f t="shared" si="394"/>
        <v>-9126.8938388681872</v>
      </c>
      <c r="BK127" s="87">
        <f t="shared" ref="BK127" si="401">BK111+SUM(BK114:BK126)</f>
        <v>45356.752167164836</v>
      </c>
      <c r="BL127" s="75">
        <f t="shared" si="394"/>
        <v>48715.873416687231</v>
      </c>
      <c r="BM127" s="73">
        <f t="shared" si="394"/>
        <v>-20749.481730075793</v>
      </c>
      <c r="BN127" s="73">
        <f t="shared" si="394"/>
        <v>45823.492882129991</v>
      </c>
      <c r="BO127" s="73">
        <f t="shared" si="394"/>
        <v>-45506.194922059731</v>
      </c>
      <c r="BP127" s="87">
        <f t="shared" ref="BP127" si="402">BP111+SUM(BP114:BP126)</f>
        <v>28283.689646681698</v>
      </c>
      <c r="BQ127" s="75">
        <f t="shared" si="394"/>
        <v>85481.973737626395</v>
      </c>
      <c r="BR127" s="73">
        <f t="shared" si="394"/>
        <v>-68278.330526111793</v>
      </c>
      <c r="BS127" s="73">
        <f t="shared" si="394"/>
        <v>92945.724372835946</v>
      </c>
      <c r="BT127" s="73">
        <f t="shared" si="394"/>
        <v>-107169.23411169002</v>
      </c>
      <c r="BU127" s="87">
        <f t="shared" ref="BU127" si="403">BU111+SUM(BU114:BU126)</f>
        <v>2980.1334726605637</v>
      </c>
    </row>
    <row r="128" spans="2:73" ht="12.75" hidden="1" customHeight="1" outlineLevel="1" x14ac:dyDescent="0.3">
      <c r="B128" s="385"/>
      <c r="C128" s="386"/>
      <c r="D128" s="36"/>
      <c r="E128" s="37"/>
      <c r="F128" s="37"/>
      <c r="G128" s="84"/>
      <c r="H128" s="85"/>
      <c r="I128" s="36"/>
      <c r="J128" s="37"/>
      <c r="K128" s="37"/>
      <c r="L128" s="84"/>
      <c r="M128" s="85"/>
      <c r="N128" s="36"/>
      <c r="O128" s="37"/>
      <c r="P128" s="37"/>
      <c r="Q128" s="84"/>
      <c r="R128" s="85"/>
      <c r="S128" s="36"/>
      <c r="T128" s="37"/>
      <c r="U128" s="37"/>
      <c r="V128" s="84"/>
      <c r="W128" s="85"/>
      <c r="X128" s="36"/>
      <c r="Y128" s="37"/>
      <c r="Z128" s="37"/>
      <c r="AA128" s="84"/>
      <c r="AB128" s="85"/>
      <c r="AC128" s="36"/>
      <c r="AD128" s="37"/>
      <c r="AE128" s="37"/>
      <c r="AF128" s="37"/>
      <c r="AG128" s="85"/>
      <c r="AH128" s="36"/>
      <c r="AI128" s="37"/>
      <c r="AJ128" s="37"/>
      <c r="AK128" s="37"/>
      <c r="AL128" s="85"/>
      <c r="AM128" s="36"/>
      <c r="AN128" s="37"/>
      <c r="AO128" s="150"/>
      <c r="AP128" s="150"/>
      <c r="AQ128" s="85"/>
      <c r="AR128" s="37"/>
      <c r="AS128" s="37"/>
      <c r="AT128" s="37"/>
      <c r="AU128" s="37"/>
      <c r="AV128" s="85"/>
      <c r="AW128" s="37"/>
      <c r="AX128" s="37"/>
      <c r="AY128" s="37"/>
      <c r="AZ128" s="37"/>
      <c r="BA128" s="85"/>
      <c r="BB128" s="36"/>
      <c r="BC128" s="37"/>
      <c r="BD128" s="37"/>
      <c r="BE128" s="37"/>
      <c r="BF128" s="85"/>
      <c r="BG128" s="36"/>
      <c r="BH128" s="37"/>
      <c r="BI128" s="37"/>
      <c r="BJ128" s="37"/>
      <c r="BK128" s="85"/>
      <c r="BL128" s="36"/>
      <c r="BM128" s="37"/>
      <c r="BN128" s="37"/>
      <c r="BO128" s="37"/>
      <c r="BP128" s="85"/>
      <c r="BQ128" s="36"/>
      <c r="BR128" s="37"/>
      <c r="BS128" s="37"/>
      <c r="BT128" s="37"/>
      <c r="BU128" s="85"/>
    </row>
    <row r="129" spans="2:73" hidden="1" outlineLevel="1" x14ac:dyDescent="0.3">
      <c r="B129" s="383" t="s">
        <v>32</v>
      </c>
      <c r="C129" s="384"/>
      <c r="D129" s="36"/>
      <c r="E129" s="37"/>
      <c r="F129" s="37"/>
      <c r="G129" s="84"/>
      <c r="H129" s="85"/>
      <c r="I129" s="36"/>
      <c r="J129" s="37"/>
      <c r="K129" s="37"/>
      <c r="L129" s="84"/>
      <c r="M129" s="85"/>
      <c r="N129" s="36"/>
      <c r="O129" s="37"/>
      <c r="P129" s="37"/>
      <c r="Q129" s="84"/>
      <c r="R129" s="85"/>
      <c r="S129" s="36"/>
      <c r="T129" s="37"/>
      <c r="U129" s="37"/>
      <c r="V129" s="84"/>
      <c r="W129" s="85"/>
      <c r="X129" s="36"/>
      <c r="Y129" s="37"/>
      <c r="Z129" s="37"/>
      <c r="AA129" s="84"/>
      <c r="AB129" s="85"/>
      <c r="AC129" s="36"/>
      <c r="AD129" s="37"/>
      <c r="AE129" s="37"/>
      <c r="AF129" s="37"/>
      <c r="AG129" s="85"/>
      <c r="AH129" s="36"/>
      <c r="AI129" s="37"/>
      <c r="AJ129" s="37"/>
      <c r="AK129" s="37"/>
      <c r="AL129" s="85"/>
      <c r="AM129" s="36"/>
      <c r="AN129" s="37"/>
      <c r="AO129" s="150"/>
      <c r="AP129" s="150"/>
      <c r="AQ129" s="85"/>
      <c r="AR129" s="37"/>
      <c r="AS129" s="37"/>
      <c r="AT129" s="37"/>
      <c r="AU129" s="37"/>
      <c r="AV129" s="85"/>
      <c r="AW129" s="37"/>
      <c r="AX129" s="37"/>
      <c r="AY129" s="37"/>
      <c r="AZ129" s="37"/>
      <c r="BA129" s="85"/>
      <c r="BB129" s="36"/>
      <c r="BC129" s="37"/>
      <c r="BD129" s="37"/>
      <c r="BE129" s="37"/>
      <c r="BF129" s="85"/>
      <c r="BG129" s="36"/>
      <c r="BH129" s="37"/>
      <c r="BI129" s="37"/>
      <c r="BJ129" s="37"/>
      <c r="BK129" s="85"/>
      <c r="BL129" s="36"/>
      <c r="BM129" s="37"/>
      <c r="BN129" s="37"/>
      <c r="BO129" s="37"/>
      <c r="BP129" s="85"/>
      <c r="BQ129" s="36"/>
      <c r="BR129" s="37"/>
      <c r="BS129" s="37"/>
      <c r="BT129" s="37"/>
      <c r="BU129" s="85"/>
    </row>
    <row r="130" spans="2:73" hidden="1" outlineLevel="1" x14ac:dyDescent="0.3">
      <c r="B130" s="370" t="s">
        <v>161</v>
      </c>
      <c r="C130" s="374"/>
      <c r="D130" s="36">
        <v>-12922</v>
      </c>
      <c r="E130" s="37">
        <f>-25061-D130</f>
        <v>-12139</v>
      </c>
      <c r="F130" s="37">
        <f>-41318-E130-D130</f>
        <v>-16257</v>
      </c>
      <c r="G130" s="84">
        <f>-57793-F130-E130-D130</f>
        <v>-16475</v>
      </c>
      <c r="H130" s="85">
        <f t="shared" ref="H130:H136" si="404">SUM(D130:G130)</f>
        <v>-57793</v>
      </c>
      <c r="I130" s="36">
        <v>-19575</v>
      </c>
      <c r="J130" s="37">
        <f>-42260-I130</f>
        <v>-22685</v>
      </c>
      <c r="K130" s="37">
        <f>-75133-J130-I130</f>
        <v>-32873</v>
      </c>
      <c r="L130" s="84">
        <f>-102317-K130-J130-I130</f>
        <v>-27184</v>
      </c>
      <c r="M130" s="85">
        <f t="shared" ref="M130:M136" si="405">SUM(I130:L130)</f>
        <v>-102317</v>
      </c>
      <c r="N130" s="36">
        <v>-40175</v>
      </c>
      <c r="O130" s="37">
        <f>-85022-N130</f>
        <v>-44847</v>
      </c>
      <c r="P130" s="37">
        <f>-121091-O130-N130</f>
        <v>-36069</v>
      </c>
      <c r="Q130" s="84">
        <f>-151232-P130-O130-N130</f>
        <v>-30141</v>
      </c>
      <c r="R130" s="85">
        <f t="shared" ref="R130:R136" si="406">SUM(N130:Q130)</f>
        <v>-151232</v>
      </c>
      <c r="S130" s="36">
        <v>-37192</v>
      </c>
      <c r="T130" s="37">
        <f>-81163-S130</f>
        <v>-43971</v>
      </c>
      <c r="U130" s="37">
        <f>-122681-T130-S130</f>
        <v>-41518</v>
      </c>
      <c r="V130" s="84">
        <f>-148489-U130-T130-S130</f>
        <v>-25808</v>
      </c>
      <c r="W130" s="85">
        <f t="shared" ref="W130:W136" si="407">SUM(S130:V130)</f>
        <v>-148489</v>
      </c>
      <c r="X130" s="36">
        <v>-48397</v>
      </c>
      <c r="Y130" s="37">
        <f>-90360-X130</f>
        <v>-41963</v>
      </c>
      <c r="Z130" s="37">
        <f>-160662-Y130-X130</f>
        <v>-70302</v>
      </c>
      <c r="AA130" s="84">
        <f>-217128-Z130-Y130-X130</f>
        <v>-56466</v>
      </c>
      <c r="AB130" s="85">
        <f t="shared" ref="AB130:AB136" si="408">SUM(X130:AA130)</f>
        <v>-217128</v>
      </c>
      <c r="AC130" s="36">
        <v>-44915</v>
      </c>
      <c r="AD130" s="150">
        <f>-92523-AC130</f>
        <v>-47608</v>
      </c>
      <c r="AE130" s="150">
        <f>-137524-AD130-AC130</f>
        <v>-45001</v>
      </c>
      <c r="AF130" s="150">
        <f>-166402-AE130-AD130-AC130</f>
        <v>-28878</v>
      </c>
      <c r="AG130" s="85">
        <f t="shared" ref="AG130:AG136" si="409">SUM(AC130:AF130)</f>
        <v>-166402</v>
      </c>
      <c r="AH130" s="36">
        <v>-47836</v>
      </c>
      <c r="AI130" s="37">
        <f>-86242-AH130</f>
        <v>-38406</v>
      </c>
      <c r="AJ130" s="37">
        <f>-112068-AI130-AH130</f>
        <v>-25826</v>
      </c>
      <c r="AK130" s="37">
        <f>-142428-AJ130-AI130-AH130</f>
        <v>-30360</v>
      </c>
      <c r="AL130" s="85">
        <f t="shared" ref="AL130:AL136" si="410">SUM(AH130:AK130)</f>
        <v>-142428</v>
      </c>
      <c r="AM130" s="36">
        <v>-54272</v>
      </c>
      <c r="AN130" s="37">
        <f>-99821-AM130</f>
        <v>-45549</v>
      </c>
      <c r="AO130" s="150">
        <f>-123781-AN130-AM130</f>
        <v>-23960</v>
      </c>
      <c r="AP130" s="150">
        <f>-159486-AO130-AN130-AM130</f>
        <v>-35705</v>
      </c>
      <c r="AQ130" s="85">
        <f t="shared" ref="AQ130:AQ136" si="411">SUM(AM130:AP130)</f>
        <v>-159486</v>
      </c>
      <c r="AR130" s="37">
        <v>-41272</v>
      </c>
      <c r="AS130" s="37">
        <f>-48449-AR130</f>
        <v>-7177</v>
      </c>
      <c r="AT130" s="37">
        <f>-56133-AS130-AR130</f>
        <v>-7684</v>
      </c>
      <c r="AU130" s="37">
        <f>-71356-AT130-AS130-AR130</f>
        <v>-15223</v>
      </c>
      <c r="AV130" s="85">
        <f t="shared" ref="AV130:AV136" si="412">SUM(AR130:AU130)</f>
        <v>-71356</v>
      </c>
      <c r="AW130" s="37">
        <v>-7077</v>
      </c>
      <c r="AX130" s="37">
        <f>-13854-AW130</f>
        <v>-6777</v>
      </c>
      <c r="AY130" s="37">
        <f>-21902-AX130-AW130</f>
        <v>-8048</v>
      </c>
      <c r="AZ130" s="37">
        <f>-(AZ55-AY55)-(AZ62-AY62)</f>
        <v>-1600.7999999999956</v>
      </c>
      <c r="BA130" s="85">
        <f t="shared" ref="BA130:BA136" si="413">SUM(AW130:AZ130)</f>
        <v>-23502.799999999996</v>
      </c>
      <c r="BB130" s="36">
        <f>-(BB55-BA55)-(BB62-BA62)</f>
        <v>-9700.8480000000054</v>
      </c>
      <c r="BC130" s="37">
        <f>-(BC55-BB55)-(BC62-BB62)</f>
        <v>-5141.4494399999676</v>
      </c>
      <c r="BD130" s="37">
        <f>-(BD55-BC55)-(BD62-BC62)</f>
        <v>-1765.2309744000231</v>
      </c>
      <c r="BE130" s="37">
        <f>-(BE55-BD55)-(BE62-BD62)</f>
        <v>-1782.8832841440017</v>
      </c>
      <c r="BF130" s="85">
        <f t="shared" ref="BF130:BF136" si="414">SUM(BB130:BE130)</f>
        <v>-18390.411698543998</v>
      </c>
      <c r="BG130" s="36">
        <f>-(BG55-BF55)-(BG62-BF62)</f>
        <v>-10804.27270191264</v>
      </c>
      <c r="BH130" s="37">
        <f>-(BH55-BG55)-(BH62-BG62)</f>
        <v>-5726.264532013709</v>
      </c>
      <c r="BI130" s="37">
        <f>-(BI55-BH55)-(BI62-BH62)</f>
        <v>-1966.0174893246876</v>
      </c>
      <c r="BJ130" s="37">
        <f>-(BJ55-BI55)-(BJ62-BI62)</f>
        <v>-1985.6776642179539</v>
      </c>
      <c r="BK130" s="85">
        <f t="shared" ref="BK130:BK136" si="415">SUM(BG130:BJ130)</f>
        <v>-20482.23238746899</v>
      </c>
      <c r="BL130" s="36">
        <f>-(BL55-BK55)-(BL62-BK62)</f>
        <v>-12033.206645160797</v>
      </c>
      <c r="BM130" s="37">
        <f>-(BM55-BL55)-(BM62-BL62)</f>
        <v>-6377.5995219352189</v>
      </c>
      <c r="BN130" s="37">
        <f>-(BN55-BM55)-(BN62-BM62)</f>
        <v>-2189.6425025310891</v>
      </c>
      <c r="BO130" s="37">
        <f>-(BO55-BN55)-(BO62-BN62)</f>
        <v>-2211.5389275563866</v>
      </c>
      <c r="BP130" s="85">
        <f t="shared" ref="BP130:BP136" si="416">SUM(BL130:BO130)</f>
        <v>-22811.987597183492</v>
      </c>
      <c r="BQ130" s="36">
        <f>-(BQ55-BP55)-(BQ62-BP62)</f>
        <v>-13401.925900991795</v>
      </c>
      <c r="BR130" s="37">
        <f>-(BR55-BQ55)-(BR62-BQ62)</f>
        <v>-7103.0207275257053</v>
      </c>
      <c r="BS130" s="37">
        <f>-(BS55-BR55)-(BS62-BR62)</f>
        <v>-2438.7037831171474</v>
      </c>
      <c r="BT130" s="37">
        <f>-(BT55-BS55)-(BT62-BS62)</f>
        <v>-2463.0908209483096</v>
      </c>
      <c r="BU130" s="85">
        <f t="shared" ref="BU130:BU136" si="417">SUM(BQ130:BT130)</f>
        <v>-25406.741232582957</v>
      </c>
    </row>
    <row r="131" spans="2:73" hidden="1" outlineLevel="1" x14ac:dyDescent="0.3">
      <c r="B131" s="360" t="s">
        <v>162</v>
      </c>
      <c r="C131" s="361"/>
      <c r="D131" s="36">
        <v>6216</v>
      </c>
      <c r="E131" s="37">
        <f>13331-D131</f>
        <v>7115</v>
      </c>
      <c r="F131" s="37">
        <f>19758-E131-D131</f>
        <v>6427</v>
      </c>
      <c r="G131" s="84">
        <f>24930-F131-E131-D131</f>
        <v>5172</v>
      </c>
      <c r="H131" s="85">
        <f t="shared" si="404"/>
        <v>24930</v>
      </c>
      <c r="I131" s="36">
        <v>3279</v>
      </c>
      <c r="J131" s="37">
        <f>10211-I131</f>
        <v>6932</v>
      </c>
      <c r="K131" s="37">
        <f>16396-J131-I131</f>
        <v>6185</v>
      </c>
      <c r="L131" s="84">
        <f>20437-K131-J131-I131</f>
        <v>4041</v>
      </c>
      <c r="M131" s="85">
        <f t="shared" si="405"/>
        <v>20437</v>
      </c>
      <c r="N131" s="36">
        <v>3038</v>
      </c>
      <c r="O131" s="37">
        <f>7702-N131</f>
        <v>4664</v>
      </c>
      <c r="P131" s="37">
        <f>10344-O131-N131</f>
        <v>2642</v>
      </c>
      <c r="Q131" s="84">
        <f>13035-P131-O131-N131</f>
        <v>2691</v>
      </c>
      <c r="R131" s="85">
        <f t="shared" si="406"/>
        <v>13035</v>
      </c>
      <c r="S131" s="36">
        <v>3460</v>
      </c>
      <c r="T131" s="37">
        <f>9243-S131</f>
        <v>5783</v>
      </c>
      <c r="U131" s="37">
        <f>13963-T131-S131</f>
        <v>4720</v>
      </c>
      <c r="V131" s="84">
        <f>20317-U131-T131-S131</f>
        <v>6354</v>
      </c>
      <c r="W131" s="85">
        <f t="shared" si="407"/>
        <v>20317</v>
      </c>
      <c r="X131" s="36">
        <v>5556</v>
      </c>
      <c r="Y131" s="37">
        <f>10869-X131</f>
        <v>5313</v>
      </c>
      <c r="Z131" s="37">
        <f>15111-Y131-X131</f>
        <v>4242</v>
      </c>
      <c r="AA131" s="84">
        <f>18810-Z131-Y131-X131</f>
        <v>3699</v>
      </c>
      <c r="AB131" s="85">
        <f t="shared" si="408"/>
        <v>18810</v>
      </c>
      <c r="AC131" s="36">
        <v>2807</v>
      </c>
      <c r="AD131" s="150">
        <f>5871-AC131</f>
        <v>3064</v>
      </c>
      <c r="AE131" s="150">
        <f>9916-AD131-AC131</f>
        <v>4045</v>
      </c>
      <c r="AF131" s="150">
        <f>14538-AE131-AD131-AC131</f>
        <v>4622</v>
      </c>
      <c r="AG131" s="85">
        <f t="shared" si="409"/>
        <v>14538</v>
      </c>
      <c r="AH131" s="36">
        <v>3514</v>
      </c>
      <c r="AI131" s="37">
        <f>9148-AH131</f>
        <v>5634</v>
      </c>
      <c r="AJ131" s="37">
        <f>14915-AI131-AH131</f>
        <v>5767</v>
      </c>
      <c r="AK131" s="37">
        <f>21258-AJ131-AI131-AH131</f>
        <v>6343</v>
      </c>
      <c r="AL131" s="85">
        <f t="shared" si="410"/>
        <v>21258</v>
      </c>
      <c r="AM131" s="36">
        <v>6525</v>
      </c>
      <c r="AN131" s="37">
        <f>12429-AM131</f>
        <v>5904</v>
      </c>
      <c r="AO131" s="150">
        <f>19347-AN131-AM131</f>
        <v>6918</v>
      </c>
      <c r="AP131" s="150">
        <f>31775-AO131-AN131-AM131</f>
        <v>12428</v>
      </c>
      <c r="AQ131" s="85">
        <f t="shared" si="411"/>
        <v>31775</v>
      </c>
      <c r="AR131" s="37">
        <v>14048</v>
      </c>
      <c r="AS131" s="37">
        <f>31884-AR131</f>
        <v>17836</v>
      </c>
      <c r="AT131" s="37">
        <f>46290-AS131-AR131</f>
        <v>14406</v>
      </c>
      <c r="AU131" s="37">
        <f>55881-AT131-AS131-AR131</f>
        <v>9591</v>
      </c>
      <c r="AV131" s="85">
        <f t="shared" si="412"/>
        <v>55881</v>
      </c>
      <c r="AW131" s="37">
        <v>7203</v>
      </c>
      <c r="AX131" s="37">
        <f>16880-AW131</f>
        <v>9677</v>
      </c>
      <c r="AY131" s="37">
        <f>26783-AX131-AW131</f>
        <v>9903</v>
      </c>
      <c r="AZ131" s="37"/>
      <c r="BA131" s="85">
        <f t="shared" si="413"/>
        <v>26783</v>
      </c>
      <c r="BB131" s="36"/>
      <c r="BC131" s="37"/>
      <c r="BD131" s="37"/>
      <c r="BE131" s="37"/>
      <c r="BF131" s="85">
        <f t="shared" si="414"/>
        <v>0</v>
      </c>
      <c r="BG131" s="36"/>
      <c r="BH131" s="37"/>
      <c r="BI131" s="37"/>
      <c r="BJ131" s="37"/>
      <c r="BK131" s="85">
        <f t="shared" si="415"/>
        <v>0</v>
      </c>
      <c r="BL131" s="36"/>
      <c r="BM131" s="37"/>
      <c r="BN131" s="37"/>
      <c r="BO131" s="37"/>
      <c r="BP131" s="85">
        <f t="shared" si="416"/>
        <v>0</v>
      </c>
      <c r="BQ131" s="36"/>
      <c r="BR131" s="37"/>
      <c r="BS131" s="37"/>
      <c r="BT131" s="37"/>
      <c r="BU131" s="85">
        <f t="shared" si="417"/>
        <v>0</v>
      </c>
    </row>
    <row r="132" spans="2:73" hidden="1" outlineLevel="1" x14ac:dyDescent="0.3">
      <c r="B132" s="360" t="s">
        <v>163</v>
      </c>
      <c r="C132" s="361"/>
      <c r="D132" s="36">
        <v>3199</v>
      </c>
      <c r="E132" s="37">
        <f>8686-D132</f>
        <v>5487</v>
      </c>
      <c r="F132" s="37">
        <f>14048-E132-D132</f>
        <v>5362</v>
      </c>
      <c r="G132" s="84">
        <f>21788-F132-E132-D132</f>
        <v>7740</v>
      </c>
      <c r="H132" s="85">
        <f t="shared" si="404"/>
        <v>21788</v>
      </c>
      <c r="I132" s="36">
        <v>6853</v>
      </c>
      <c r="J132" s="37">
        <f>21705-I132</f>
        <v>14852</v>
      </c>
      <c r="K132" s="37">
        <f>34301-J132-I132</f>
        <v>12596</v>
      </c>
      <c r="L132" s="84">
        <f>49416-K132-J132-I132</f>
        <v>15115</v>
      </c>
      <c r="M132" s="85">
        <f t="shared" si="405"/>
        <v>49416</v>
      </c>
      <c r="N132" s="36">
        <v>21472</v>
      </c>
      <c r="O132" s="37">
        <f>49052-N132</f>
        <v>27580</v>
      </c>
      <c r="P132" s="37">
        <f>73140-O132-N132</f>
        <v>24088</v>
      </c>
      <c r="Q132" s="84">
        <f>99770-P132-O132-N132</f>
        <v>26630</v>
      </c>
      <c r="R132" s="85">
        <f t="shared" si="406"/>
        <v>99770</v>
      </c>
      <c r="S132" s="36">
        <v>23002</v>
      </c>
      <c r="T132" s="37">
        <f>49188-S132</f>
        <v>26186</v>
      </c>
      <c r="U132" s="37">
        <f>81734-T132-S132</f>
        <v>32546</v>
      </c>
      <c r="V132" s="84">
        <f>104130-U132-T132-S132</f>
        <v>22396</v>
      </c>
      <c r="W132" s="85">
        <f t="shared" si="407"/>
        <v>104130</v>
      </c>
      <c r="X132" s="36">
        <v>30302</v>
      </c>
      <c r="Y132" s="37">
        <f>80241-X132</f>
        <v>49939</v>
      </c>
      <c r="Z132" s="37">
        <f>126827-Y132-X132</f>
        <v>46586</v>
      </c>
      <c r="AA132" s="84">
        <f>189301-Z132-Y132-X132</f>
        <v>62474</v>
      </c>
      <c r="AB132" s="85">
        <f t="shared" si="408"/>
        <v>189301</v>
      </c>
      <c r="AC132" s="36">
        <v>24166</v>
      </c>
      <c r="AD132" s="150">
        <f>48924-AC132</f>
        <v>24758</v>
      </c>
      <c r="AE132" s="150">
        <f>80635-AD132-AC132</f>
        <v>31711</v>
      </c>
      <c r="AF132" s="150">
        <f>107447-AE132-AD132-AC132</f>
        <v>26812</v>
      </c>
      <c r="AG132" s="85">
        <f t="shared" si="409"/>
        <v>107447</v>
      </c>
      <c r="AH132" s="36">
        <v>28262</v>
      </c>
      <c r="AI132" s="37">
        <f>50051-AH132</f>
        <v>21789</v>
      </c>
      <c r="AJ132" s="37">
        <f>69926-AI132-AH132</f>
        <v>19875</v>
      </c>
      <c r="AK132" s="37">
        <f>90536-AJ132-AI132-AH132</f>
        <v>20610</v>
      </c>
      <c r="AL132" s="85">
        <f t="shared" si="410"/>
        <v>90536</v>
      </c>
      <c r="AM132" s="36">
        <v>32166</v>
      </c>
      <c r="AN132" s="37">
        <f>60454-AM132</f>
        <v>28288</v>
      </c>
      <c r="AO132" s="150">
        <f>76747-AN132-AM132</f>
        <v>16293</v>
      </c>
      <c r="AP132" s="150">
        <f>94564-AO132-AN132-AM132</f>
        <v>17817</v>
      </c>
      <c r="AQ132" s="85">
        <f t="shared" si="411"/>
        <v>94564</v>
      </c>
      <c r="AR132" s="37">
        <v>16801</v>
      </c>
      <c r="AS132" s="37">
        <f>38942-AR132</f>
        <v>22141</v>
      </c>
      <c r="AT132" s="37">
        <f>41614-AS132-AR132</f>
        <v>2672</v>
      </c>
      <c r="AU132" s="37">
        <f>47838-AT132-AS132-AR132</f>
        <v>6224</v>
      </c>
      <c r="AV132" s="85">
        <f t="shared" si="412"/>
        <v>47838</v>
      </c>
      <c r="AW132" s="37">
        <v>9723</v>
      </c>
      <c r="AX132" s="37">
        <f>22635-AW132</f>
        <v>12912</v>
      </c>
      <c r="AY132" s="37">
        <f>49516-AX132-AW132</f>
        <v>26881</v>
      </c>
      <c r="AZ132" s="37"/>
      <c r="BA132" s="85">
        <f t="shared" si="413"/>
        <v>49516</v>
      </c>
      <c r="BB132" s="36"/>
      <c r="BC132" s="37"/>
      <c r="BD132" s="37"/>
      <c r="BE132" s="37"/>
      <c r="BF132" s="85">
        <f t="shared" si="414"/>
        <v>0</v>
      </c>
      <c r="BG132" s="36"/>
      <c r="BH132" s="37"/>
      <c r="BI132" s="37"/>
      <c r="BJ132" s="37"/>
      <c r="BK132" s="85">
        <f t="shared" si="415"/>
        <v>0</v>
      </c>
      <c r="BL132" s="36"/>
      <c r="BM132" s="37"/>
      <c r="BN132" s="37"/>
      <c r="BO132" s="37"/>
      <c r="BP132" s="85">
        <f t="shared" si="416"/>
        <v>0</v>
      </c>
      <c r="BQ132" s="36"/>
      <c r="BR132" s="37"/>
      <c r="BS132" s="37"/>
      <c r="BT132" s="37"/>
      <c r="BU132" s="85">
        <f t="shared" si="417"/>
        <v>0</v>
      </c>
    </row>
    <row r="133" spans="2:73" hidden="1" outlineLevel="1" x14ac:dyDescent="0.3">
      <c r="B133" s="360" t="s">
        <v>164</v>
      </c>
      <c r="C133" s="361"/>
      <c r="D133" s="36">
        <v>0</v>
      </c>
      <c r="E133" s="37">
        <v>-325</v>
      </c>
      <c r="F133" s="37">
        <f>-615-E133</f>
        <v>-290</v>
      </c>
      <c r="G133" s="84">
        <f>-638-F133-E133-D133</f>
        <v>-23</v>
      </c>
      <c r="H133" s="85">
        <f t="shared" si="404"/>
        <v>-638</v>
      </c>
      <c r="I133" s="36">
        <v>0</v>
      </c>
      <c r="J133" s="37">
        <v>0</v>
      </c>
      <c r="K133" s="37">
        <v>0</v>
      </c>
      <c r="L133" s="84">
        <v>-244</v>
      </c>
      <c r="M133" s="85">
        <f t="shared" si="405"/>
        <v>-244</v>
      </c>
      <c r="N133" s="36">
        <v>0</v>
      </c>
      <c r="O133" s="37">
        <v>-350</v>
      </c>
      <c r="P133" s="37">
        <f>-350-O133</f>
        <v>0</v>
      </c>
      <c r="Q133" s="84">
        <f>-350-P133-O133-N133</f>
        <v>0</v>
      </c>
      <c r="R133" s="85">
        <f t="shared" si="406"/>
        <v>-350</v>
      </c>
      <c r="S133" s="36">
        <v>-284</v>
      </c>
      <c r="T133" s="37">
        <f>-299-S133</f>
        <v>-15</v>
      </c>
      <c r="U133" s="37">
        <f>-443-T133-S133</f>
        <v>-144</v>
      </c>
      <c r="V133" s="84">
        <f>-496-U133-T133-S133</f>
        <v>-53</v>
      </c>
      <c r="W133" s="85">
        <f t="shared" si="407"/>
        <v>-496</v>
      </c>
      <c r="X133" s="36">
        <v>-525</v>
      </c>
      <c r="Y133" s="37">
        <f>-559-X133</f>
        <v>-34</v>
      </c>
      <c r="Z133" s="37">
        <f>-898-Y133-X133</f>
        <v>-339</v>
      </c>
      <c r="AA133" s="84">
        <f>-3765-Z133-Y133-X133</f>
        <v>-2867</v>
      </c>
      <c r="AB133" s="85">
        <f t="shared" si="408"/>
        <v>-3765</v>
      </c>
      <c r="AC133" s="36">
        <v>-23</v>
      </c>
      <c r="AD133" s="150">
        <f>-115-AC133</f>
        <v>-92</v>
      </c>
      <c r="AE133" s="150">
        <f>-230-AD133-AC133</f>
        <v>-115</v>
      </c>
      <c r="AF133" s="150">
        <f>-343-AE133-AD133-AC133</f>
        <v>-113</v>
      </c>
      <c r="AG133" s="85">
        <f t="shared" si="409"/>
        <v>-343</v>
      </c>
      <c r="AH133" s="36">
        <v>-86</v>
      </c>
      <c r="AI133" s="37">
        <f>-140-AH133</f>
        <v>-54</v>
      </c>
      <c r="AJ133" s="37">
        <f>-146-AI133-AH133</f>
        <v>-6</v>
      </c>
      <c r="AK133" s="84">
        <f>-297-AJ133-AI133-AH133</f>
        <v>-151</v>
      </c>
      <c r="AL133" s="85">
        <f t="shared" si="410"/>
        <v>-297</v>
      </c>
      <c r="AM133" s="36">
        <v>-17</v>
      </c>
      <c r="AN133" s="37">
        <f>-67-AM133</f>
        <v>-50</v>
      </c>
      <c r="AO133" s="150">
        <f>-248-AN133-AM133</f>
        <v>-181</v>
      </c>
      <c r="AP133" s="84">
        <f>-329-AO133-AN133-AM133</f>
        <v>-81</v>
      </c>
      <c r="AQ133" s="85">
        <f t="shared" si="411"/>
        <v>-329</v>
      </c>
      <c r="AR133" s="37">
        <v>-173</v>
      </c>
      <c r="AS133" s="37">
        <f>-305-AR133</f>
        <v>-132</v>
      </c>
      <c r="AT133" s="37">
        <f>-431-AS133-AR133</f>
        <v>-126</v>
      </c>
      <c r="AU133" s="37">
        <f>-721-AT133-AS133-AR133</f>
        <v>-290</v>
      </c>
      <c r="AV133" s="85">
        <f t="shared" si="412"/>
        <v>-721</v>
      </c>
      <c r="AW133" s="37">
        <v>-167</v>
      </c>
      <c r="AX133" s="37">
        <f>-291-AW133</f>
        <v>-124</v>
      </c>
      <c r="AY133" s="37">
        <f>-611-AX133-AW133</f>
        <v>-320</v>
      </c>
      <c r="AZ133" s="84"/>
      <c r="BA133" s="85">
        <f t="shared" si="413"/>
        <v>-611</v>
      </c>
      <c r="BB133" s="36"/>
      <c r="BC133" s="37"/>
      <c r="BD133" s="37"/>
      <c r="BE133" s="84"/>
      <c r="BF133" s="85">
        <f t="shared" si="414"/>
        <v>0</v>
      </c>
      <c r="BG133" s="36"/>
      <c r="BH133" s="37"/>
      <c r="BI133" s="37"/>
      <c r="BJ133" s="84"/>
      <c r="BK133" s="85">
        <f t="shared" si="415"/>
        <v>0</v>
      </c>
      <c r="BL133" s="36"/>
      <c r="BM133" s="37"/>
      <c r="BN133" s="37"/>
      <c r="BO133" s="84"/>
      <c r="BP133" s="85">
        <f t="shared" si="416"/>
        <v>0</v>
      </c>
      <c r="BQ133" s="36"/>
      <c r="BR133" s="37"/>
      <c r="BS133" s="37"/>
      <c r="BT133" s="84"/>
      <c r="BU133" s="85">
        <f t="shared" si="417"/>
        <v>0</v>
      </c>
    </row>
    <row r="134" spans="2:73" hidden="1" outlineLevel="1" x14ac:dyDescent="0.3">
      <c r="B134" s="360" t="s">
        <v>298</v>
      </c>
      <c r="C134" s="361"/>
      <c r="D134" s="36">
        <v>-376</v>
      </c>
      <c r="E134" s="37">
        <f>-650-D134</f>
        <v>-274</v>
      </c>
      <c r="F134" s="37">
        <f>-1245-E134-D134</f>
        <v>-595</v>
      </c>
      <c r="G134" s="84">
        <f>-2005-F134-E134-D134</f>
        <v>-760</v>
      </c>
      <c r="H134" s="85">
        <f t="shared" si="404"/>
        <v>-2005</v>
      </c>
      <c r="I134" s="36">
        <v>-1214</v>
      </c>
      <c r="J134" s="37">
        <f>-1838-I134</f>
        <v>-624</v>
      </c>
      <c r="K134" s="37">
        <f>-2615-J134-I134</f>
        <v>-777</v>
      </c>
      <c r="L134" s="84">
        <f>-4260-K134-J134-I134</f>
        <v>-1645</v>
      </c>
      <c r="M134" s="85">
        <f t="shared" si="405"/>
        <v>-4260</v>
      </c>
      <c r="N134" s="36">
        <v>-1321</v>
      </c>
      <c r="O134" s="37">
        <f>-2778-N134</f>
        <v>-1457</v>
      </c>
      <c r="P134" s="37">
        <f>-4834-O134-N134</f>
        <v>-2056</v>
      </c>
      <c r="Q134" s="84">
        <f>-8295-P134-O134-N134</f>
        <v>-3461</v>
      </c>
      <c r="R134" s="85">
        <f t="shared" si="406"/>
        <v>-8295</v>
      </c>
      <c r="S134" s="36">
        <v>-2317</v>
      </c>
      <c r="T134" s="37">
        <f>-4325-S134</f>
        <v>-2008</v>
      </c>
      <c r="U134" s="37">
        <f>-6210-T134-S134</f>
        <v>-1885</v>
      </c>
      <c r="V134" s="84">
        <f>-8165-U134-T134-S134</f>
        <v>-1955</v>
      </c>
      <c r="W134" s="85">
        <f t="shared" si="407"/>
        <v>-8165</v>
      </c>
      <c r="X134" s="36">
        <v>-1985</v>
      </c>
      <c r="Y134" s="37">
        <f>-3367-X134</f>
        <v>-1382</v>
      </c>
      <c r="Z134" s="37">
        <f>-5745-Y134-X134</f>
        <v>-2378</v>
      </c>
      <c r="AA134" s="84">
        <f>-9571-Z134-Y134-X134</f>
        <v>-3826</v>
      </c>
      <c r="AB134" s="85">
        <f t="shared" si="408"/>
        <v>-9571</v>
      </c>
      <c r="AC134" s="36">
        <v>-3217</v>
      </c>
      <c r="AD134" s="150">
        <f>-5586-AC134</f>
        <v>-2369</v>
      </c>
      <c r="AE134" s="150">
        <f>-7629-AD134-AC134</f>
        <v>-2043</v>
      </c>
      <c r="AF134" s="150">
        <f>-11247-AE134-AD134-AC134</f>
        <v>-3618</v>
      </c>
      <c r="AG134" s="85">
        <f t="shared" si="409"/>
        <v>-11247</v>
      </c>
      <c r="AH134" s="36">
        <v>-3612</v>
      </c>
      <c r="AI134" s="37">
        <f>-5948-AH134</f>
        <v>-2336</v>
      </c>
      <c r="AJ134" s="37">
        <f>-8757-AI134-AH134</f>
        <v>-2809</v>
      </c>
      <c r="AK134" s="37">
        <f>-12734-AJ134-AI134-AH134</f>
        <v>-3977</v>
      </c>
      <c r="AL134" s="85">
        <f t="shared" si="410"/>
        <v>-12734</v>
      </c>
      <c r="AM134" s="36">
        <v>-3334</v>
      </c>
      <c r="AN134" s="37">
        <f>-6309-AM134</f>
        <v>-2975</v>
      </c>
      <c r="AO134" s="150">
        <f>-8586-AN134-AM134</f>
        <v>-2277</v>
      </c>
      <c r="AP134" s="150">
        <f>-12451-AO134-AN134-AM134</f>
        <v>-3865</v>
      </c>
      <c r="AQ134" s="85">
        <f t="shared" si="411"/>
        <v>-12451</v>
      </c>
      <c r="AR134" s="37">
        <v>-2810</v>
      </c>
      <c r="AS134" s="37">
        <f>-7005-AR134</f>
        <v>-4195</v>
      </c>
      <c r="AT134" s="37">
        <f>-10272-AS134-AR134</f>
        <v>-3267</v>
      </c>
      <c r="AU134" s="37">
        <f>-13313-AT134-AS134-AR134</f>
        <v>-3041</v>
      </c>
      <c r="AV134" s="85">
        <f t="shared" si="412"/>
        <v>-13313</v>
      </c>
      <c r="AW134" s="37">
        <v>-3355</v>
      </c>
      <c r="AX134" s="37">
        <f>-5718-AW134</f>
        <v>-2363</v>
      </c>
      <c r="AY134" s="37">
        <f>-7718-AX134-AW134</f>
        <v>-2000</v>
      </c>
      <c r="AZ134" s="37">
        <f>AY134*(1+AZ171)</f>
        <v>-1960</v>
      </c>
      <c r="BA134" s="85">
        <f t="shared" si="413"/>
        <v>-9678</v>
      </c>
      <c r="BB134" s="36">
        <f>AZ134*(1+BB171)</f>
        <v>-1979.6</v>
      </c>
      <c r="BC134" s="37">
        <f>BB134*(1+BC171)</f>
        <v>-1999.396</v>
      </c>
      <c r="BD134" s="37">
        <f>BC134*(1+BD171)</f>
        <v>-2019.38996</v>
      </c>
      <c r="BE134" s="37">
        <f>BD134*(1+BE171)</f>
        <v>-2039.5838596000001</v>
      </c>
      <c r="BF134" s="85">
        <f t="shared" si="414"/>
        <v>-8037.9698195999999</v>
      </c>
      <c r="BG134" s="36">
        <f>BE134*(1+BG171)</f>
        <v>-2059.9796981960003</v>
      </c>
      <c r="BH134" s="37">
        <f>BG134*(1+BH171)</f>
        <v>-2080.5794951779603</v>
      </c>
      <c r="BI134" s="37">
        <f>BH134*(1+BI171)</f>
        <v>-2101.38529012974</v>
      </c>
      <c r="BJ134" s="37">
        <f>BI134*(1+BJ171)</f>
        <v>-2122.3991430310375</v>
      </c>
      <c r="BK134" s="85">
        <f t="shared" si="415"/>
        <v>-8364.3436265347391</v>
      </c>
      <c r="BL134" s="36">
        <f>BJ134*(1+BL171)</f>
        <v>-2143.6231344613479</v>
      </c>
      <c r="BM134" s="37">
        <f>BL134*(1+BM171)</f>
        <v>-2165.0593658059615</v>
      </c>
      <c r="BN134" s="37">
        <f>BM134*(1+BN171)</f>
        <v>-2186.7099594640213</v>
      </c>
      <c r="BO134" s="37">
        <f>BN134*(1+BO171)</f>
        <v>-2208.5770590586617</v>
      </c>
      <c r="BP134" s="85">
        <f t="shared" si="416"/>
        <v>-8703.9695187899924</v>
      </c>
      <c r="BQ134" s="36">
        <f>BO134*(1+BQ171)</f>
        <v>-2230.6628296492481</v>
      </c>
      <c r="BR134" s="37">
        <f>BQ134*(1+BR171)</f>
        <v>-2252.9694579457405</v>
      </c>
      <c r="BS134" s="37">
        <f>BR134*(1+BS171)</f>
        <v>-2275.499152525198</v>
      </c>
      <c r="BT134" s="37">
        <f>BS134*(1+BT171)</f>
        <v>-2298.2541440504501</v>
      </c>
      <c r="BU134" s="85">
        <f t="shared" si="417"/>
        <v>-9057.3855841706354</v>
      </c>
    </row>
    <row r="135" spans="2:73" hidden="1" outlineLevel="1" x14ac:dyDescent="0.3">
      <c r="B135" s="360" t="s">
        <v>299</v>
      </c>
      <c r="C135" s="361"/>
      <c r="D135" s="36">
        <v>-5</v>
      </c>
      <c r="E135" s="37">
        <f>-32-D135</f>
        <v>-27</v>
      </c>
      <c r="F135" s="37">
        <f>-63-E135-D135</f>
        <v>-31</v>
      </c>
      <c r="G135" s="84">
        <f>-116-F135-E135-D135</f>
        <v>-53</v>
      </c>
      <c r="H135" s="85">
        <f t="shared" si="404"/>
        <v>-116</v>
      </c>
      <c r="I135" s="36">
        <v>-49</v>
      </c>
      <c r="J135" s="37">
        <f>-81-I135</f>
        <v>-32</v>
      </c>
      <c r="K135" s="37">
        <f>-266-J135-I135</f>
        <v>-185</v>
      </c>
      <c r="L135" s="84">
        <f>-3192-K135-J135-I135</f>
        <v>-2926</v>
      </c>
      <c r="M135" s="85">
        <f t="shared" si="405"/>
        <v>-3192</v>
      </c>
      <c r="N135" s="36">
        <v>-108</v>
      </c>
      <c r="O135" s="37">
        <f>-160-N135</f>
        <v>-52</v>
      </c>
      <c r="P135" s="37">
        <f>-1067-O135-N135</f>
        <v>-907</v>
      </c>
      <c r="Q135" s="84">
        <f>-1107-P135-O135-N135</f>
        <v>-40</v>
      </c>
      <c r="R135" s="85">
        <f t="shared" si="406"/>
        <v>-1107</v>
      </c>
      <c r="S135" s="36">
        <v>-138</v>
      </c>
      <c r="T135" s="37">
        <f>-429-S135</f>
        <v>-291</v>
      </c>
      <c r="U135" s="37">
        <f>-560-T135-S135</f>
        <v>-131</v>
      </c>
      <c r="V135" s="84">
        <f>-911-U135-T135-S135</f>
        <v>-351</v>
      </c>
      <c r="W135" s="85">
        <f t="shared" si="407"/>
        <v>-911</v>
      </c>
      <c r="X135" s="36">
        <v>-59</v>
      </c>
      <c r="Y135" s="37">
        <f>-163-X135</f>
        <v>-104</v>
      </c>
      <c r="Z135" s="37">
        <f>-216-Y135-X135</f>
        <v>-53</v>
      </c>
      <c r="AA135" s="84">
        <f>-242-Z135-Y135-X135</f>
        <v>-26</v>
      </c>
      <c r="AB135" s="85">
        <f t="shared" si="408"/>
        <v>-242</v>
      </c>
      <c r="AC135" s="36">
        <v>-48</v>
      </c>
      <c r="AD135" s="150">
        <f>-155-AC135</f>
        <v>-107</v>
      </c>
      <c r="AE135" s="150">
        <f>-201-AD135-AC135</f>
        <v>-46</v>
      </c>
      <c r="AF135" s="150">
        <f>-241-AE135-AD135-AC135</f>
        <v>-40</v>
      </c>
      <c r="AG135" s="85">
        <f t="shared" si="409"/>
        <v>-241</v>
      </c>
      <c r="AH135" s="36">
        <v>-394</v>
      </c>
      <c r="AI135" s="37">
        <f>-657-AH135</f>
        <v>-263</v>
      </c>
      <c r="AJ135" s="37">
        <f>-753-AI135-AH135</f>
        <v>-96</v>
      </c>
      <c r="AK135" s="37">
        <f>-814-AJ135-AI135-AH135</f>
        <v>-61</v>
      </c>
      <c r="AL135" s="85">
        <f t="shared" si="410"/>
        <v>-814</v>
      </c>
      <c r="AM135" s="36">
        <v>-86</v>
      </c>
      <c r="AN135" s="37">
        <f>-126-AM135</f>
        <v>-40</v>
      </c>
      <c r="AO135" s="150">
        <f>-209-AN135-AM135</f>
        <v>-83</v>
      </c>
      <c r="AP135" s="150">
        <f>-395-AO135-AN135-AM135</f>
        <v>-186</v>
      </c>
      <c r="AQ135" s="85">
        <f t="shared" si="411"/>
        <v>-395</v>
      </c>
      <c r="AR135" s="37">
        <v>-141</v>
      </c>
      <c r="AS135" s="37">
        <f>-163-AR135</f>
        <v>-22</v>
      </c>
      <c r="AT135" s="37">
        <f>-1788-AS135-AR135</f>
        <v>-1625</v>
      </c>
      <c r="AU135" s="37">
        <f>-1518-AT135-AS135-AR135</f>
        <v>270</v>
      </c>
      <c r="AV135" s="85">
        <f t="shared" si="412"/>
        <v>-1518</v>
      </c>
      <c r="AW135" s="37">
        <v>-427</v>
      </c>
      <c r="AX135" s="37">
        <f>-490-AW135</f>
        <v>-63</v>
      </c>
      <c r="AY135" s="37">
        <f>-632-AX135-AW135</f>
        <v>-142</v>
      </c>
      <c r="AZ135" s="37">
        <f>+AVERAGE(AY135,AX135,AW135,AU135)</f>
        <v>-90.5</v>
      </c>
      <c r="BA135" s="85">
        <f t="shared" si="413"/>
        <v>-722.5</v>
      </c>
      <c r="BB135" s="37">
        <f>AVERAGE(AZ135,AY135,AX135,AW135)</f>
        <v>-180.625</v>
      </c>
      <c r="BC135" s="37">
        <f>AVERAGE(BB135,AZ135,AY135,AX135)</f>
        <v>-119.03125</v>
      </c>
      <c r="BD135" s="37">
        <f>AVERAGE(BC135,BB135,AZ135,AY135)</f>
        <v>-133.0390625</v>
      </c>
      <c r="BE135" s="37">
        <f>+AVERAGE(BD135,BC135,BB135,AZ135)</f>
        <v>-130.798828125</v>
      </c>
      <c r="BF135" s="85">
        <f t="shared" si="414"/>
        <v>-563.494140625</v>
      </c>
      <c r="BG135" s="37">
        <f>AVERAGE(BE135,BD135,BC135,BB135)</f>
        <v>-140.87353515625</v>
      </c>
      <c r="BH135" s="37">
        <f>AVERAGE(BG135,BE135,BD135,BC135)</f>
        <v>-130.9356689453125</v>
      </c>
      <c r="BI135" s="37">
        <f>AVERAGE(BH135,BG135,BE135,BD135)</f>
        <v>-133.91177368164063</v>
      </c>
      <c r="BJ135" s="37">
        <f>+AVERAGE(BI135,BH135,BG135,BE135)</f>
        <v>-134.12995147705078</v>
      </c>
      <c r="BK135" s="85">
        <f t="shared" si="415"/>
        <v>-539.85092926025391</v>
      </c>
      <c r="BL135" s="37">
        <f>AVERAGE(BJ135,BI135,BH135,BG135)</f>
        <v>-134.96273231506348</v>
      </c>
      <c r="BM135" s="37">
        <f>AVERAGE(BL135,BJ135,BI135,BH135)</f>
        <v>-133.48503160476685</v>
      </c>
      <c r="BN135" s="37">
        <f>AVERAGE(BM135,BL135,BJ135,BI135)</f>
        <v>-134.12237226963043</v>
      </c>
      <c r="BO135" s="37">
        <f>+AVERAGE(BN135,BM135,BL135,BJ135)</f>
        <v>-134.17502191662788</v>
      </c>
      <c r="BP135" s="85">
        <f t="shared" si="416"/>
        <v>-536.74515810608864</v>
      </c>
      <c r="BQ135" s="37">
        <f>AVERAGE(BO135,BN135,BM135,BL135)</f>
        <v>-134.18628952652216</v>
      </c>
      <c r="BR135" s="37">
        <f>AVERAGE(BQ135,BO135,BN135,BM135)</f>
        <v>-133.99217882938683</v>
      </c>
      <c r="BS135" s="37">
        <f>AVERAGE(BR135,BQ135,BO135,BN135)</f>
        <v>-134.11896563554183</v>
      </c>
      <c r="BT135" s="37">
        <f>+AVERAGE(BS135,BR135,BQ135,BO135)</f>
        <v>-134.11811397701968</v>
      </c>
      <c r="BU135" s="85">
        <f t="shared" si="417"/>
        <v>-536.41554796847049</v>
      </c>
    </row>
    <row r="136" spans="2:73" ht="16.2" hidden="1" outlineLevel="1" x14ac:dyDescent="0.45">
      <c r="B136" s="360" t="s">
        <v>172</v>
      </c>
      <c r="C136" s="361"/>
      <c r="D136" s="164">
        <f>-6-64</f>
        <v>-70</v>
      </c>
      <c r="E136" s="165">
        <f>10-D136</f>
        <v>80</v>
      </c>
      <c r="F136" s="165">
        <f>-36-E136-D136</f>
        <v>-46</v>
      </c>
      <c r="G136" s="166">
        <f>-20-F136-E136-D136</f>
        <v>16</v>
      </c>
      <c r="H136" s="167">
        <f t="shared" si="404"/>
        <v>-20</v>
      </c>
      <c r="I136" s="164">
        <v>-23</v>
      </c>
      <c r="J136" s="165">
        <f>12-I136</f>
        <v>35</v>
      </c>
      <c r="K136" s="165">
        <f>34-J136-I136</f>
        <v>22</v>
      </c>
      <c r="L136" s="166">
        <f>-259-K136-J136-I136</f>
        <v>-293</v>
      </c>
      <c r="M136" s="167">
        <f t="shared" si="405"/>
        <v>-259</v>
      </c>
      <c r="N136" s="164">
        <v>-34</v>
      </c>
      <c r="O136" s="165">
        <f>-48-N136</f>
        <v>-14</v>
      </c>
      <c r="P136" s="165">
        <f>-56-O136-N136</f>
        <v>-8</v>
      </c>
      <c r="Q136" s="166">
        <f>-48-P136-O136-N136</f>
        <v>8</v>
      </c>
      <c r="R136" s="167">
        <f t="shared" si="406"/>
        <v>-48</v>
      </c>
      <c r="S136" s="164">
        <v>-52</v>
      </c>
      <c r="T136" s="165">
        <f>-93-S136</f>
        <v>-41</v>
      </c>
      <c r="U136" s="165">
        <f>-188-T136-S136</f>
        <v>-95</v>
      </c>
      <c r="V136" s="166">
        <f>-160-U136-T136-S136</f>
        <v>28</v>
      </c>
      <c r="W136" s="167">
        <f t="shared" si="407"/>
        <v>-160</v>
      </c>
      <c r="X136" s="164">
        <v>5</v>
      </c>
      <c r="Y136" s="165">
        <f>-23-X136</f>
        <v>-28</v>
      </c>
      <c r="Z136" s="165">
        <f>7-Y136-X136</f>
        <v>30</v>
      </c>
      <c r="AA136" s="166">
        <f>16-Z136-Y136-X136</f>
        <v>9</v>
      </c>
      <c r="AB136" s="167">
        <f t="shared" si="408"/>
        <v>16</v>
      </c>
      <c r="AC136" s="164">
        <v>65</v>
      </c>
      <c r="AD136" s="344">
        <f>88-AC136</f>
        <v>23</v>
      </c>
      <c r="AE136" s="344">
        <f>134-AD136-AC136</f>
        <v>46</v>
      </c>
      <c r="AF136" s="344">
        <f>-26-AE136-AD136-AC136</f>
        <v>-160</v>
      </c>
      <c r="AG136" s="167">
        <f t="shared" si="409"/>
        <v>-26</v>
      </c>
      <c r="AH136" s="164">
        <v>-298</v>
      </c>
      <c r="AI136" s="165">
        <f>-322-AH136</f>
        <v>-24</v>
      </c>
      <c r="AJ136" s="165">
        <f>-1376-321-AI136-AH136</f>
        <v>-1375</v>
      </c>
      <c r="AK136" s="165">
        <f>-1388-110-AJ136-AI136-AH136</f>
        <v>199</v>
      </c>
      <c r="AL136" s="167">
        <f t="shared" si="410"/>
        <v>-1498</v>
      </c>
      <c r="AM136" s="164">
        <v>-104</v>
      </c>
      <c r="AN136" s="165">
        <f>116-AM136</f>
        <v>220</v>
      </c>
      <c r="AO136" s="165">
        <f>226-AN136-AM136</f>
        <v>110</v>
      </c>
      <c r="AP136" s="150">
        <f>-124-AO136-AN136-AM136</f>
        <v>-350</v>
      </c>
      <c r="AQ136" s="167">
        <f t="shared" si="411"/>
        <v>-124</v>
      </c>
      <c r="AR136" s="165">
        <v>-43</v>
      </c>
      <c r="AS136" s="165">
        <f>216-AR136</f>
        <v>259</v>
      </c>
      <c r="AT136" s="165">
        <f>-2001-AS136-AR136</f>
        <v>-2217</v>
      </c>
      <c r="AU136" s="165">
        <f>-745-AT136-AS136-AR136</f>
        <v>1256</v>
      </c>
      <c r="AV136" s="167">
        <f t="shared" si="412"/>
        <v>-745</v>
      </c>
      <c r="AW136" s="165">
        <v>-56</v>
      </c>
      <c r="AX136" s="165">
        <f>30-AW136</f>
        <v>86</v>
      </c>
      <c r="AY136" s="165">
        <f>1258-AX136-AW136</f>
        <v>1228</v>
      </c>
      <c r="AZ136" s="165">
        <f>-(AZ64-AY64)</f>
        <v>0</v>
      </c>
      <c r="BA136" s="167">
        <f t="shared" si="413"/>
        <v>1258</v>
      </c>
      <c r="BB136" s="164">
        <f>-(BB64-BA64)</f>
        <v>0</v>
      </c>
      <c r="BC136" s="165">
        <f>-(BC64-BB64)</f>
        <v>0</v>
      </c>
      <c r="BD136" s="165">
        <f>-(BD64-BC64)</f>
        <v>0</v>
      </c>
      <c r="BE136" s="165">
        <f>-(BE64-BD64)</f>
        <v>0</v>
      </c>
      <c r="BF136" s="167">
        <f t="shared" si="414"/>
        <v>0</v>
      </c>
      <c r="BG136" s="164">
        <f>-(BG64-BF64)</f>
        <v>0</v>
      </c>
      <c r="BH136" s="165">
        <f>-(BH64-BG64)</f>
        <v>0</v>
      </c>
      <c r="BI136" s="165">
        <f>-(BI64-BH64)</f>
        <v>0</v>
      </c>
      <c r="BJ136" s="165">
        <f>-(BJ64-BI64)</f>
        <v>0</v>
      </c>
      <c r="BK136" s="167">
        <f t="shared" si="415"/>
        <v>0</v>
      </c>
      <c r="BL136" s="164">
        <f>-(BL64-BK64)</f>
        <v>0</v>
      </c>
      <c r="BM136" s="165">
        <f>-(BM64-BL64)</f>
        <v>0</v>
      </c>
      <c r="BN136" s="165">
        <f>-(BN64-BM64)</f>
        <v>0</v>
      </c>
      <c r="BO136" s="165">
        <f>-(BO64-BN64)</f>
        <v>0</v>
      </c>
      <c r="BP136" s="167">
        <f t="shared" si="416"/>
        <v>0</v>
      </c>
      <c r="BQ136" s="164">
        <f>-(BQ64-BP64)</f>
        <v>0</v>
      </c>
      <c r="BR136" s="165">
        <f>-(BR64-BQ64)</f>
        <v>0</v>
      </c>
      <c r="BS136" s="165">
        <f>-(BS64-BR64)</f>
        <v>0</v>
      </c>
      <c r="BT136" s="165">
        <f>-(BT64-BS64)</f>
        <v>0</v>
      </c>
      <c r="BU136" s="167">
        <f t="shared" si="417"/>
        <v>0</v>
      </c>
    </row>
    <row r="137" spans="2:73" hidden="1" outlineLevel="1" x14ac:dyDescent="0.3">
      <c r="B137" s="375" t="s">
        <v>33</v>
      </c>
      <c r="C137" s="376"/>
      <c r="D137" s="75">
        <f t="shared" ref="D137:AB137" si="418">SUM(D130:D136)</f>
        <v>-3958</v>
      </c>
      <c r="E137" s="73">
        <f t="shared" si="418"/>
        <v>-83</v>
      </c>
      <c r="F137" s="73">
        <f t="shared" si="418"/>
        <v>-5430</v>
      </c>
      <c r="G137" s="86">
        <f t="shared" si="418"/>
        <v>-4383</v>
      </c>
      <c r="H137" s="87">
        <f t="shared" si="418"/>
        <v>-13854</v>
      </c>
      <c r="I137" s="75">
        <f t="shared" si="418"/>
        <v>-10729</v>
      </c>
      <c r="J137" s="73">
        <f t="shared" si="418"/>
        <v>-1522</v>
      </c>
      <c r="K137" s="73">
        <f t="shared" si="418"/>
        <v>-15032</v>
      </c>
      <c r="L137" s="86">
        <f t="shared" si="418"/>
        <v>-13136</v>
      </c>
      <c r="M137" s="87">
        <f t="shared" si="418"/>
        <v>-40419</v>
      </c>
      <c r="N137" s="75">
        <f t="shared" si="418"/>
        <v>-17128</v>
      </c>
      <c r="O137" s="73">
        <f t="shared" si="418"/>
        <v>-14476</v>
      </c>
      <c r="P137" s="73">
        <f t="shared" si="418"/>
        <v>-12310</v>
      </c>
      <c r="Q137" s="86">
        <f t="shared" si="418"/>
        <v>-4313</v>
      </c>
      <c r="R137" s="87">
        <f t="shared" si="418"/>
        <v>-48227</v>
      </c>
      <c r="S137" s="75">
        <f t="shared" si="418"/>
        <v>-13521</v>
      </c>
      <c r="T137" s="73">
        <f t="shared" si="418"/>
        <v>-14357</v>
      </c>
      <c r="U137" s="73">
        <f t="shared" si="418"/>
        <v>-6507</v>
      </c>
      <c r="V137" s="86">
        <f t="shared" si="418"/>
        <v>611</v>
      </c>
      <c r="W137" s="87">
        <f t="shared" si="418"/>
        <v>-33774</v>
      </c>
      <c r="X137" s="75">
        <f t="shared" si="418"/>
        <v>-15103</v>
      </c>
      <c r="Y137" s="73">
        <f t="shared" si="418"/>
        <v>11741</v>
      </c>
      <c r="Z137" s="73">
        <f t="shared" si="418"/>
        <v>-22214</v>
      </c>
      <c r="AA137" s="86">
        <f t="shared" si="418"/>
        <v>2997</v>
      </c>
      <c r="AB137" s="87">
        <f t="shared" si="418"/>
        <v>-22579</v>
      </c>
      <c r="AC137" s="75">
        <f>SUM(AC129:AC136)</f>
        <v>-21165</v>
      </c>
      <c r="AD137" s="73">
        <f>SUM(AD129:AD136)</f>
        <v>-22331</v>
      </c>
      <c r="AE137" s="73">
        <f>SUM(AE129:AE136)</f>
        <v>-11403</v>
      </c>
      <c r="AF137" s="73">
        <f>SUM(AF129:AF136)</f>
        <v>-1375</v>
      </c>
      <c r="AG137" s="87">
        <f>SUM(AG130:AG136)</f>
        <v>-56274</v>
      </c>
      <c r="AH137" s="75">
        <f>SUM(AH129:AH136)</f>
        <v>-20450</v>
      </c>
      <c r="AI137" s="73">
        <f>SUM(AI129:AI136)</f>
        <v>-13660</v>
      </c>
      <c r="AJ137" s="73">
        <f>SUM(AJ129:AJ136)</f>
        <v>-4470</v>
      </c>
      <c r="AK137" s="73">
        <f>SUM(AK129:AK136)</f>
        <v>-7397</v>
      </c>
      <c r="AL137" s="87">
        <f>SUM(AL130:AL136)</f>
        <v>-45977</v>
      </c>
      <c r="AM137" s="75">
        <f>SUM(AM129:AM136)</f>
        <v>-19122</v>
      </c>
      <c r="AN137" s="73">
        <f>SUM(AN129:AN136)</f>
        <v>-14202</v>
      </c>
      <c r="AO137" s="73">
        <f t="shared" ref="AO137:AP137" si="419">SUM(AO129:AO136)</f>
        <v>-3180</v>
      </c>
      <c r="AP137" s="73">
        <f t="shared" si="419"/>
        <v>-9942</v>
      </c>
      <c r="AQ137" s="87">
        <f>SUM(AQ130:AQ136)</f>
        <v>-46446</v>
      </c>
      <c r="AR137" s="73">
        <f t="shared" ref="AR137:AY137" si="420">SUM(AR129:AR136)</f>
        <v>-13590</v>
      </c>
      <c r="AS137" s="73">
        <f t="shared" si="420"/>
        <v>28710</v>
      </c>
      <c r="AT137" s="73">
        <f t="shared" si="420"/>
        <v>2159</v>
      </c>
      <c r="AU137" s="73">
        <f t="shared" si="420"/>
        <v>-1213</v>
      </c>
      <c r="AV137" s="87">
        <f>SUM(AV130:AV136)</f>
        <v>16066</v>
      </c>
      <c r="AW137" s="73">
        <f t="shared" si="420"/>
        <v>5844</v>
      </c>
      <c r="AX137" s="73">
        <f t="shared" si="420"/>
        <v>13348</v>
      </c>
      <c r="AY137" s="73">
        <f t="shared" si="420"/>
        <v>27502</v>
      </c>
      <c r="AZ137" s="73">
        <f>SUM(AZ129:AZ136)</f>
        <v>-3651.2999999999956</v>
      </c>
      <c r="BA137" s="87">
        <f>SUM(BA130:BA136)</f>
        <v>43042.700000000004</v>
      </c>
      <c r="BB137" s="75">
        <f>SUM(BB129:BB136)</f>
        <v>-11861.073000000006</v>
      </c>
      <c r="BC137" s="73">
        <f>SUM(BC129:BC136)</f>
        <v>-7259.8766899999673</v>
      </c>
      <c r="BD137" s="73">
        <f>SUM(BD129:BD136)</f>
        <v>-3917.6599969000231</v>
      </c>
      <c r="BE137" s="73">
        <f>SUM(BE129:BE136)</f>
        <v>-3953.265971869002</v>
      </c>
      <c r="BF137" s="87">
        <f>SUM(BF130:BF136)</f>
        <v>-26991.875658768997</v>
      </c>
      <c r="BG137" s="75">
        <f>SUM(BG129:BG136)</f>
        <v>-13005.12593526489</v>
      </c>
      <c r="BH137" s="73">
        <f>SUM(BH129:BH136)</f>
        <v>-7937.7796961369822</v>
      </c>
      <c r="BI137" s="73">
        <f>SUM(BI129:BI136)</f>
        <v>-4201.3145531360678</v>
      </c>
      <c r="BJ137" s="73">
        <f>SUM(BJ129:BJ136)</f>
        <v>-4242.2067587260426</v>
      </c>
      <c r="BK137" s="87">
        <f>SUM(BK130:BK136)</f>
        <v>-29386.426943263985</v>
      </c>
      <c r="BL137" s="75">
        <f>SUM(BL129:BL136)</f>
        <v>-14311.792511937208</v>
      </c>
      <c r="BM137" s="73">
        <f>SUM(BM129:BM136)</f>
        <v>-8676.1439193459482</v>
      </c>
      <c r="BN137" s="73">
        <f>SUM(BN129:BN136)</f>
        <v>-4510.4748342647408</v>
      </c>
      <c r="BO137" s="73">
        <f>SUM(BO129:BO136)</f>
        <v>-4554.2910085316762</v>
      </c>
      <c r="BP137" s="87">
        <f>SUM(BP130:BP136)</f>
        <v>-32052.702274079573</v>
      </c>
      <c r="BQ137" s="75">
        <f>SUM(BQ129:BQ136)</f>
        <v>-15766.775020167566</v>
      </c>
      <c r="BR137" s="73">
        <f>SUM(BR129:BR136)</f>
        <v>-9489.9823643008331</v>
      </c>
      <c r="BS137" s="73">
        <f>SUM(BS129:BS136)</f>
        <v>-4848.3219012778873</v>
      </c>
      <c r="BT137" s="73">
        <f>SUM(BT129:BT136)</f>
        <v>-4895.4630789757794</v>
      </c>
      <c r="BU137" s="87">
        <f>SUM(BU130:BU136)</f>
        <v>-35000.54236472206</v>
      </c>
    </row>
    <row r="138" spans="2:73" ht="18" hidden="1" customHeight="1" outlineLevel="1" x14ac:dyDescent="0.3">
      <c r="B138" s="385"/>
      <c r="C138" s="386"/>
      <c r="D138" s="36"/>
      <c r="E138" s="37"/>
      <c r="F138" s="37"/>
      <c r="G138" s="84"/>
      <c r="H138" s="85"/>
      <c r="I138" s="36"/>
      <c r="J138" s="37"/>
      <c r="K138" s="37"/>
      <c r="L138" s="84"/>
      <c r="M138" s="85"/>
      <c r="N138" s="36"/>
      <c r="O138" s="37"/>
      <c r="P138" s="37"/>
      <c r="Q138" s="84"/>
      <c r="R138" s="85"/>
      <c r="S138" s="36"/>
      <c r="T138" s="37"/>
      <c r="U138" s="37"/>
      <c r="V138" s="84"/>
      <c r="W138" s="85"/>
      <c r="X138" s="36"/>
      <c r="Y138" s="37"/>
      <c r="Z138" s="37"/>
      <c r="AA138" s="84"/>
      <c r="AB138" s="85"/>
      <c r="AC138" s="36"/>
      <c r="AD138" s="37"/>
      <c r="AE138" s="37"/>
      <c r="AF138" s="37"/>
      <c r="AG138" s="85"/>
      <c r="AH138" s="36"/>
      <c r="AI138" s="37"/>
      <c r="AJ138" s="37"/>
      <c r="AK138" s="37"/>
      <c r="AL138" s="85"/>
      <c r="AM138" s="36"/>
      <c r="AN138" s="37"/>
      <c r="AO138" s="345"/>
      <c r="AP138" s="345"/>
      <c r="AQ138" s="85"/>
      <c r="AR138" s="37"/>
      <c r="AS138" s="37"/>
      <c r="AT138" s="37"/>
      <c r="AU138" s="37"/>
      <c r="AV138" s="85"/>
      <c r="AW138" s="37"/>
      <c r="AX138" s="37"/>
      <c r="AY138" s="37"/>
      <c r="AZ138" s="37"/>
      <c r="BA138" s="85"/>
      <c r="BB138" s="36"/>
      <c r="BC138" s="37"/>
      <c r="BD138" s="37"/>
      <c r="BE138" s="37"/>
      <c r="BF138" s="85"/>
      <c r="BG138" s="36"/>
      <c r="BH138" s="37"/>
      <c r="BI138" s="37"/>
      <c r="BJ138" s="37"/>
      <c r="BK138" s="85"/>
      <c r="BL138" s="36"/>
      <c r="BM138" s="37"/>
      <c r="BN138" s="37"/>
      <c r="BO138" s="37"/>
      <c r="BP138" s="85"/>
      <c r="BQ138" s="36"/>
      <c r="BR138" s="37"/>
      <c r="BS138" s="37"/>
      <c r="BT138" s="37"/>
      <c r="BU138" s="85"/>
    </row>
    <row r="139" spans="2:73" hidden="1" outlineLevel="1" x14ac:dyDescent="0.3">
      <c r="B139" s="383" t="s">
        <v>34</v>
      </c>
      <c r="C139" s="384"/>
      <c r="D139" s="36"/>
      <c r="E139" s="37"/>
      <c r="F139" s="37"/>
      <c r="G139" s="84"/>
      <c r="H139" s="85"/>
      <c r="I139" s="36"/>
      <c r="J139" s="37"/>
      <c r="K139" s="37"/>
      <c r="L139" s="84"/>
      <c r="M139" s="85"/>
      <c r="N139" s="36"/>
      <c r="O139" s="37"/>
      <c r="P139" s="37"/>
      <c r="Q139" s="84"/>
      <c r="R139" s="85"/>
      <c r="S139" s="36"/>
      <c r="T139" s="37"/>
      <c r="U139" s="37"/>
      <c r="V139" s="84"/>
      <c r="W139" s="85"/>
      <c r="X139" s="36"/>
      <c r="Y139" s="37"/>
      <c r="Z139" s="37"/>
      <c r="AA139" s="84"/>
      <c r="AB139" s="85"/>
      <c r="AC139" s="36"/>
      <c r="AD139" s="37"/>
      <c r="AE139" s="37"/>
      <c r="AF139" s="37"/>
      <c r="AG139" s="85"/>
      <c r="AH139" s="36"/>
      <c r="AI139" s="37"/>
      <c r="AJ139" s="37"/>
      <c r="AK139" s="37"/>
      <c r="AL139" s="85"/>
      <c r="AM139" s="36"/>
      <c r="AN139" s="37"/>
      <c r="AO139" s="150"/>
      <c r="AP139" s="150"/>
      <c r="AQ139" s="85"/>
      <c r="AR139" s="37"/>
      <c r="AS139" s="37"/>
      <c r="AT139" s="37"/>
      <c r="AU139" s="37"/>
      <c r="AV139" s="85"/>
      <c r="AW139" s="37"/>
      <c r="AX139" s="37"/>
      <c r="AY139" s="37"/>
      <c r="AZ139" s="37"/>
      <c r="BA139" s="85"/>
      <c r="BB139" s="36"/>
      <c r="BC139" s="37"/>
      <c r="BD139" s="37"/>
      <c r="BE139" s="37"/>
      <c r="BF139" s="85"/>
      <c r="BG139" s="36"/>
      <c r="BH139" s="37"/>
      <c r="BI139" s="37"/>
      <c r="BJ139" s="37"/>
      <c r="BK139" s="85"/>
      <c r="BL139" s="36"/>
      <c r="BM139" s="37"/>
      <c r="BN139" s="37"/>
      <c r="BO139" s="37"/>
      <c r="BP139" s="85"/>
      <c r="BQ139" s="36"/>
      <c r="BR139" s="37"/>
      <c r="BS139" s="37"/>
      <c r="BT139" s="37"/>
      <c r="BU139" s="85"/>
    </row>
    <row r="140" spans="2:73" hidden="1" outlineLevel="1" x14ac:dyDescent="0.3">
      <c r="B140" s="360" t="s">
        <v>165</v>
      </c>
      <c r="C140" s="361"/>
      <c r="D140" s="36">
        <v>374</v>
      </c>
      <c r="E140" s="37">
        <f>534-D140</f>
        <v>160</v>
      </c>
      <c r="F140" s="37">
        <f>733-E140-D140</f>
        <v>199</v>
      </c>
      <c r="G140" s="84">
        <f>912-F140-E140-D140</f>
        <v>179</v>
      </c>
      <c r="H140" s="85">
        <f t="shared" ref="H140:H148" si="421">SUM(D140:G140)</f>
        <v>912</v>
      </c>
      <c r="I140" s="36">
        <v>208</v>
      </c>
      <c r="J140" s="37">
        <f>494-I140</f>
        <v>286</v>
      </c>
      <c r="K140" s="37">
        <f>577-J140-I140</f>
        <v>83</v>
      </c>
      <c r="L140" s="84">
        <f>831-K140-J140-I140</f>
        <v>254</v>
      </c>
      <c r="M140" s="85">
        <f t="shared" ref="M140:M148" si="422">SUM(I140:L140)</f>
        <v>831</v>
      </c>
      <c r="N140" s="36">
        <v>91</v>
      </c>
      <c r="O140" s="37">
        <f>377-N140</f>
        <v>286</v>
      </c>
      <c r="P140" s="37">
        <f>433-O140-N140</f>
        <v>56</v>
      </c>
      <c r="Q140" s="84">
        <f>665-P140-O140-N140</f>
        <v>232</v>
      </c>
      <c r="R140" s="85">
        <f t="shared" ref="R140:R148" si="423">SUM(N140:Q140)</f>
        <v>665</v>
      </c>
      <c r="S140" s="36">
        <v>76</v>
      </c>
      <c r="T140" s="37">
        <f>275-S140</f>
        <v>199</v>
      </c>
      <c r="U140" s="37">
        <f>335-T140-S140</f>
        <v>60</v>
      </c>
      <c r="V140" s="84">
        <f>530-U140-T140-S140</f>
        <v>195</v>
      </c>
      <c r="W140" s="85">
        <f t="shared" ref="W140:W148" si="424">SUM(S140:V140)</f>
        <v>530</v>
      </c>
      <c r="X140" s="36">
        <v>134</v>
      </c>
      <c r="Y140" s="37">
        <f>341-X140</f>
        <v>207</v>
      </c>
      <c r="Z140" s="37">
        <f>435-Y140-X140</f>
        <v>94</v>
      </c>
      <c r="AA140" s="84">
        <f>730-Z140-Y140-X140</f>
        <v>295</v>
      </c>
      <c r="AB140" s="85">
        <f t="shared" ref="AB140:AB148" si="425">SUM(X140:AA140)</f>
        <v>730</v>
      </c>
      <c r="AC140" s="36">
        <v>80</v>
      </c>
      <c r="AD140" s="150">
        <f>309-AC140</f>
        <v>229</v>
      </c>
      <c r="AE140" s="150">
        <f>324-AD140-AC140</f>
        <v>15</v>
      </c>
      <c r="AF140" s="150">
        <f>543-AE140-AD140-AC140</f>
        <v>219</v>
      </c>
      <c r="AG140" s="85">
        <f t="shared" ref="AG140:AG147" si="426">SUM(AC140:AF140)</f>
        <v>543</v>
      </c>
      <c r="AH140" s="36">
        <v>1</v>
      </c>
      <c r="AI140" s="37">
        <f>247-AH140</f>
        <v>246</v>
      </c>
      <c r="AJ140" s="37">
        <f>247-AI140-AH140</f>
        <v>0</v>
      </c>
      <c r="AK140" s="37">
        <f>495-AJ140-AI140-AH140</f>
        <v>248</v>
      </c>
      <c r="AL140" s="85">
        <f t="shared" ref="AL140:AL148" si="427">SUM(AH140:AK140)</f>
        <v>495</v>
      </c>
      <c r="AM140" s="36">
        <v>0</v>
      </c>
      <c r="AN140" s="37">
        <f>273-AM140</f>
        <v>273</v>
      </c>
      <c r="AO140" s="150">
        <f>274-AN140-AM140</f>
        <v>1</v>
      </c>
      <c r="AP140" s="150">
        <f>555-AO140-AN140-AM140</f>
        <v>281</v>
      </c>
      <c r="AQ140" s="85">
        <f t="shared" ref="AQ140:AQ147" si="428">SUM(AM140:AP140)</f>
        <v>555</v>
      </c>
      <c r="AR140" s="37">
        <v>0</v>
      </c>
      <c r="AS140" s="37">
        <f>327-AR140</f>
        <v>327</v>
      </c>
      <c r="AT140" s="37">
        <f>328-AS140-AR140</f>
        <v>1</v>
      </c>
      <c r="AU140" s="37">
        <f>669-AT140-AS140-AR140</f>
        <v>341</v>
      </c>
      <c r="AV140" s="85">
        <f t="shared" ref="AV140:AV147" si="429">SUM(AR140:AU140)</f>
        <v>669</v>
      </c>
      <c r="AW140" s="37"/>
      <c r="AX140" s="37">
        <f>390-AW140</f>
        <v>390</v>
      </c>
      <c r="AY140" s="37">
        <f>391-AX140-AW140</f>
        <v>1</v>
      </c>
      <c r="AZ140" s="37"/>
      <c r="BA140" s="85">
        <f t="shared" ref="BA140:BA147" si="430">SUM(AW140:AZ140)</f>
        <v>391</v>
      </c>
      <c r="BB140" s="36"/>
      <c r="BC140" s="37"/>
      <c r="BD140" s="37"/>
      <c r="BE140" s="37"/>
      <c r="BF140" s="85">
        <f t="shared" ref="BF140:BF147" si="431">SUM(BB140:BE140)</f>
        <v>0</v>
      </c>
      <c r="BG140" s="36"/>
      <c r="BH140" s="37"/>
      <c r="BI140" s="37"/>
      <c r="BJ140" s="37"/>
      <c r="BK140" s="85">
        <f t="shared" ref="BK140:BK147" si="432">SUM(BG140:BJ140)</f>
        <v>0</v>
      </c>
      <c r="BL140" s="36"/>
      <c r="BM140" s="37"/>
      <c r="BN140" s="37"/>
      <c r="BO140" s="37"/>
      <c r="BP140" s="85">
        <f t="shared" ref="BP140:BP147" si="433">SUM(BL140:BO140)</f>
        <v>0</v>
      </c>
      <c r="BQ140" s="36"/>
      <c r="BR140" s="37"/>
      <c r="BS140" s="37"/>
      <c r="BT140" s="37"/>
      <c r="BU140" s="85">
        <f t="shared" ref="BU140:BU147" si="434">SUM(BQ140:BT140)</f>
        <v>0</v>
      </c>
    </row>
    <row r="141" spans="2:73" hidden="1" outlineLevel="1" x14ac:dyDescent="0.3">
      <c r="B141" s="360" t="s">
        <v>166</v>
      </c>
      <c r="C141" s="361"/>
      <c r="D141" s="36">
        <v>252</v>
      </c>
      <c r="E141" s="37">
        <f>413-D141</f>
        <v>161</v>
      </c>
      <c r="F141" s="37">
        <f>652-E141-D141</f>
        <v>239</v>
      </c>
      <c r="G141" s="84">
        <f>751-F141-E141-D141</f>
        <v>99</v>
      </c>
      <c r="H141" s="85">
        <f t="shared" si="421"/>
        <v>751</v>
      </c>
      <c r="I141" s="36">
        <v>454</v>
      </c>
      <c r="J141" s="37">
        <f>740-I141</f>
        <v>286</v>
      </c>
      <c r="K141" s="37">
        <f>915-J141-I141</f>
        <v>175</v>
      </c>
      <c r="L141" s="84">
        <f>1133-K141-J141-I141</f>
        <v>218</v>
      </c>
      <c r="M141" s="85">
        <f t="shared" si="422"/>
        <v>1133</v>
      </c>
      <c r="N141" s="36">
        <v>333</v>
      </c>
      <c r="O141" s="37">
        <f>636-N141</f>
        <v>303</v>
      </c>
      <c r="P141" s="37">
        <f>1036-O141-N141</f>
        <v>400</v>
      </c>
      <c r="Q141" s="84">
        <f>1351-P141-O141-N141</f>
        <v>315</v>
      </c>
      <c r="R141" s="85">
        <f t="shared" si="423"/>
        <v>1351</v>
      </c>
      <c r="S141" s="36">
        <v>404</v>
      </c>
      <c r="T141" s="37">
        <f>502-S141</f>
        <v>98</v>
      </c>
      <c r="U141" s="37">
        <f>644-T141-S141</f>
        <v>142</v>
      </c>
      <c r="V141" s="84">
        <f>701-U141-T141-S141</f>
        <v>57</v>
      </c>
      <c r="W141" s="85">
        <f t="shared" si="424"/>
        <v>701</v>
      </c>
      <c r="X141" s="36">
        <v>280</v>
      </c>
      <c r="Y141" s="37">
        <f>363-X141</f>
        <v>83</v>
      </c>
      <c r="Z141" s="37">
        <f>562-Y141-X141</f>
        <v>199</v>
      </c>
      <c r="AA141" s="84">
        <f>739-Z141-Y141-X141</f>
        <v>177</v>
      </c>
      <c r="AB141" s="85">
        <f t="shared" si="425"/>
        <v>739</v>
      </c>
      <c r="AC141" s="36">
        <v>264</v>
      </c>
      <c r="AD141" s="150">
        <f>357-AC141</f>
        <v>93</v>
      </c>
      <c r="AE141" s="150">
        <f>684-AD141-AC141</f>
        <v>327</v>
      </c>
      <c r="AF141" s="150">
        <f>749-AE141-AD141-AC141</f>
        <v>65</v>
      </c>
      <c r="AG141" s="85">
        <f t="shared" si="426"/>
        <v>749</v>
      </c>
      <c r="AH141" s="36">
        <v>224</v>
      </c>
      <c r="AI141" s="37">
        <f>264-AH141</f>
        <v>40</v>
      </c>
      <c r="AJ141" s="37">
        <f>391-AI141-AH141</f>
        <v>127</v>
      </c>
      <c r="AK141" s="37">
        <f>407-AJ141-AI141-AH141</f>
        <v>16</v>
      </c>
      <c r="AL141" s="85">
        <f t="shared" si="427"/>
        <v>407</v>
      </c>
      <c r="AM141" s="36">
        <v>178</v>
      </c>
      <c r="AN141" s="37">
        <f>225-AM141</f>
        <v>47</v>
      </c>
      <c r="AO141" s="150">
        <f>534-AN141-AM141</f>
        <v>309</v>
      </c>
      <c r="AP141" s="150">
        <f>0-AO141-AN141-AM141</f>
        <v>-534</v>
      </c>
      <c r="AQ141" s="85">
        <f t="shared" si="428"/>
        <v>0</v>
      </c>
      <c r="AR141" s="37">
        <v>0</v>
      </c>
      <c r="AS141" s="37">
        <v>0</v>
      </c>
      <c r="AT141" s="37">
        <v>0</v>
      </c>
      <c r="AU141" s="37">
        <f>0-AT141-AS141-AR141</f>
        <v>0</v>
      </c>
      <c r="AV141" s="85">
        <f t="shared" si="429"/>
        <v>0</v>
      </c>
      <c r="AW141" s="37"/>
      <c r="AX141" s="37"/>
      <c r="AY141" s="37"/>
      <c r="AZ141" s="37">
        <f t="shared" ref="AZ141" si="435">AZ115*AZ167</f>
        <v>20.428555303785057</v>
      </c>
      <c r="BA141" s="85">
        <f t="shared" si="430"/>
        <v>20.428555303785057</v>
      </c>
      <c r="BB141" s="36">
        <f>BB115*BB167</f>
        <v>0</v>
      </c>
      <c r="BC141" s="37">
        <f t="shared" ref="BC141:BD141" si="436">BC115*BC167</f>
        <v>0</v>
      </c>
      <c r="BD141" s="37">
        <f t="shared" si="436"/>
        <v>0</v>
      </c>
      <c r="BE141" s="37">
        <f t="shared" ref="BE141" si="437">BE115*BE167</f>
        <v>27.958786156095755</v>
      </c>
      <c r="BF141" s="85">
        <f t="shared" si="431"/>
        <v>27.958786156095755</v>
      </c>
      <c r="BG141" s="36">
        <f>BG115*BG167</f>
        <v>0</v>
      </c>
      <c r="BH141" s="37">
        <f t="shared" ref="BH141:BJ141" si="438">BH115*BH167</f>
        <v>0</v>
      </c>
      <c r="BI141" s="37">
        <f t="shared" si="438"/>
        <v>0</v>
      </c>
      <c r="BJ141" s="37">
        <f t="shared" si="438"/>
        <v>31.72317064100768</v>
      </c>
      <c r="BK141" s="85">
        <f t="shared" si="432"/>
        <v>31.72317064100768</v>
      </c>
      <c r="BL141" s="36">
        <f>BL115*BL167</f>
        <v>0</v>
      </c>
      <c r="BM141" s="37">
        <f t="shared" ref="BM141:BO141" si="439">BM115*BM167</f>
        <v>0</v>
      </c>
      <c r="BN141" s="37">
        <f t="shared" si="439"/>
        <v>0</v>
      </c>
      <c r="BO141" s="37">
        <f t="shared" si="439"/>
        <v>35.342433711728397</v>
      </c>
      <c r="BP141" s="85">
        <f t="shared" si="433"/>
        <v>35.342433711728397</v>
      </c>
      <c r="BQ141" s="36">
        <f>BQ115*BQ167</f>
        <v>0</v>
      </c>
      <c r="BR141" s="37">
        <f t="shared" ref="BR141:BT141" si="440">BR115*BR167</f>
        <v>0</v>
      </c>
      <c r="BS141" s="37">
        <f t="shared" si="440"/>
        <v>0</v>
      </c>
      <c r="BT141" s="37">
        <f t="shared" si="440"/>
        <v>39.822308491187158</v>
      </c>
      <c r="BU141" s="85">
        <f t="shared" si="434"/>
        <v>39.822308491187158</v>
      </c>
    </row>
    <row r="142" spans="2:73" hidden="1" outlineLevel="1" x14ac:dyDescent="0.3">
      <c r="B142" s="360" t="s">
        <v>167</v>
      </c>
      <c r="C142" s="361"/>
      <c r="D142" s="36">
        <v>0</v>
      </c>
      <c r="E142" s="37">
        <v>0</v>
      </c>
      <c r="F142" s="37">
        <v>-384</v>
      </c>
      <c r="G142" s="84">
        <f>-406-F142</f>
        <v>-22</v>
      </c>
      <c r="H142" s="85">
        <f t="shared" si="421"/>
        <v>-406</v>
      </c>
      <c r="I142" s="36">
        <v>-233</v>
      </c>
      <c r="J142" s="37">
        <f>-258-I142</f>
        <v>-25</v>
      </c>
      <c r="K142" s="37">
        <f>-479-J142-I142</f>
        <v>-221</v>
      </c>
      <c r="L142" s="84">
        <f>-520-K142-J142-I142</f>
        <v>-41</v>
      </c>
      <c r="M142" s="85">
        <f t="shared" si="422"/>
        <v>-520</v>
      </c>
      <c r="N142" s="36">
        <v>-355</v>
      </c>
      <c r="O142" s="37">
        <f>-634-N142</f>
        <v>-279</v>
      </c>
      <c r="P142" s="37">
        <f>-1145-O142-N142</f>
        <v>-511</v>
      </c>
      <c r="Q142" s="84">
        <f>-1226-P142-O142-N142</f>
        <v>-81</v>
      </c>
      <c r="R142" s="85">
        <f t="shared" si="423"/>
        <v>-1226</v>
      </c>
      <c r="S142" s="36">
        <v>0</v>
      </c>
      <c r="T142" s="37">
        <v>0</v>
      </c>
      <c r="U142" s="37">
        <v>-1001</v>
      </c>
      <c r="V142" s="84">
        <f>-1082-U142-T142-S142</f>
        <v>-81</v>
      </c>
      <c r="W142" s="85">
        <f t="shared" si="424"/>
        <v>-1082</v>
      </c>
      <c r="X142" s="36">
        <v>-365</v>
      </c>
      <c r="Y142" s="37">
        <f>-430-X142</f>
        <v>-65</v>
      </c>
      <c r="Z142" s="37">
        <f>-839-Y142-X142</f>
        <v>-409</v>
      </c>
      <c r="AA142" s="84">
        <f>-1158-Z142-Y142-X142</f>
        <v>-319</v>
      </c>
      <c r="AB142" s="85">
        <f t="shared" si="425"/>
        <v>-1158</v>
      </c>
      <c r="AC142" s="36">
        <v>-512</v>
      </c>
      <c r="AD142" s="150">
        <f>-608-AC142</f>
        <v>-96</v>
      </c>
      <c r="AE142" s="150">
        <f>-1332-AD142-AC142</f>
        <v>-724</v>
      </c>
      <c r="AF142" s="150">
        <f>-1499-AE142-AD142-AC142</f>
        <v>-167</v>
      </c>
      <c r="AG142" s="85">
        <f t="shared" si="426"/>
        <v>-1499</v>
      </c>
      <c r="AH142" s="36">
        <v>-597</v>
      </c>
      <c r="AI142" s="37">
        <f>-751-AH142</f>
        <v>-154</v>
      </c>
      <c r="AJ142" s="37">
        <f>-1361-AI142-AH142</f>
        <v>-610</v>
      </c>
      <c r="AK142" s="37">
        <f>-1570-AJ142-AI142-AH142</f>
        <v>-209</v>
      </c>
      <c r="AL142" s="85">
        <f t="shared" si="427"/>
        <v>-1570</v>
      </c>
      <c r="AM142" s="36">
        <v>-629</v>
      </c>
      <c r="AN142" s="37">
        <f>-788-AM142</f>
        <v>-159</v>
      </c>
      <c r="AO142" s="150">
        <f>-1646-AN142-AM142</f>
        <v>-858</v>
      </c>
      <c r="AP142" s="150">
        <f>-1874-AO142-AN142-AM142</f>
        <v>-228</v>
      </c>
      <c r="AQ142" s="85">
        <f t="shared" si="428"/>
        <v>-1874</v>
      </c>
      <c r="AR142" s="37">
        <v>-1038</v>
      </c>
      <c r="AS142" s="37">
        <f>-1190-AR142</f>
        <v>-152</v>
      </c>
      <c r="AT142" s="37">
        <f>-2267-AS142-AR142</f>
        <v>-1077</v>
      </c>
      <c r="AU142" s="37">
        <f>-2527-AT142-AS142-AR142</f>
        <v>-260</v>
      </c>
      <c r="AV142" s="85">
        <f t="shared" si="429"/>
        <v>-2527</v>
      </c>
      <c r="AW142" s="37">
        <v>-1318</v>
      </c>
      <c r="AX142" s="37">
        <f>-1427-AW142</f>
        <v>-109</v>
      </c>
      <c r="AY142" s="37">
        <f>-2626-AX142-AW142</f>
        <v>-1199</v>
      </c>
      <c r="AZ142" s="37">
        <f t="shared" ref="AZ142" si="441">+AZ115*AZ168</f>
        <v>-266.84800365569231</v>
      </c>
      <c r="BA142" s="85">
        <f t="shared" si="430"/>
        <v>-2892.8480036556921</v>
      </c>
      <c r="BB142" s="36">
        <f>+BB115*BB168</f>
        <v>-1183.9377495722124</v>
      </c>
      <c r="BC142" s="37">
        <f t="shared" ref="BC142:BD142" si="442">+BC115*BC168</f>
        <v>-98.707449778425499</v>
      </c>
      <c r="BD142" s="37">
        <f t="shared" si="442"/>
        <v>-1240.0848975170859</v>
      </c>
      <c r="BE142" s="37">
        <f t="shared" ref="BE142" si="443">+BE115*BE168</f>
        <v>-365.2116441640008</v>
      </c>
      <c r="BF142" s="85">
        <f t="shared" si="431"/>
        <v>-2887.9417410317246</v>
      </c>
      <c r="BG142" s="36">
        <f>+BG115*BG168</f>
        <v>-1231.2677551612942</v>
      </c>
      <c r="BH142" s="37">
        <f t="shared" ref="BH142:BJ142" si="444">+BH115*BH168</f>
        <v>-103.80938749507798</v>
      </c>
      <c r="BI142" s="37">
        <f t="shared" si="444"/>
        <v>-1351.0011725066461</v>
      </c>
      <c r="BJ142" s="37">
        <f t="shared" si="444"/>
        <v>-414.38391649816288</v>
      </c>
      <c r="BK142" s="85">
        <f t="shared" si="432"/>
        <v>-3100.4622316611812</v>
      </c>
      <c r="BL142" s="36">
        <f>+BL115*BL168</f>
        <v>-1244.8184904144691</v>
      </c>
      <c r="BM142" s="37">
        <f t="shared" ref="BM142:BO142" si="445">+BM115*BM168</f>
        <v>-105.5725406278971</v>
      </c>
      <c r="BN142" s="37">
        <f t="shared" si="445"/>
        <v>-1434.1952647350529</v>
      </c>
      <c r="BO142" s="37">
        <f t="shared" si="445"/>
        <v>-461.66054035945223</v>
      </c>
      <c r="BP142" s="85">
        <f t="shared" si="433"/>
        <v>-3246.246836136871</v>
      </c>
      <c r="BQ142" s="36">
        <f>+BQ115*BQ168</f>
        <v>-1281.8033848476509</v>
      </c>
      <c r="BR142" s="37">
        <f t="shared" ref="BR142:BT142" si="446">+BR115*BR168</f>
        <v>-109.76038299522791</v>
      </c>
      <c r="BS142" s="37">
        <f t="shared" si="446"/>
        <v>-1547.0689450331217</v>
      </c>
      <c r="BT142" s="37">
        <f t="shared" si="446"/>
        <v>-520.17890466613233</v>
      </c>
      <c r="BU142" s="85">
        <f t="shared" si="434"/>
        <v>-3458.8116175421328</v>
      </c>
    </row>
    <row r="143" spans="2:73" hidden="1" outlineLevel="1" x14ac:dyDescent="0.3">
      <c r="B143" s="360" t="s">
        <v>168</v>
      </c>
      <c r="C143" s="361"/>
      <c r="D143" s="36">
        <v>0</v>
      </c>
      <c r="E143" s="37">
        <v>0</v>
      </c>
      <c r="F143" s="37">
        <v>0</v>
      </c>
      <c r="G143" s="84">
        <v>0</v>
      </c>
      <c r="H143" s="85">
        <f t="shared" si="421"/>
        <v>0</v>
      </c>
      <c r="I143" s="36">
        <v>0</v>
      </c>
      <c r="J143" s="37">
        <v>0</v>
      </c>
      <c r="K143" s="37">
        <v>0</v>
      </c>
      <c r="L143" s="84">
        <v>0</v>
      </c>
      <c r="M143" s="85">
        <f t="shared" si="422"/>
        <v>0</v>
      </c>
      <c r="N143" s="36">
        <v>0</v>
      </c>
      <c r="O143" s="37">
        <v>0</v>
      </c>
      <c r="P143" s="37">
        <v>0</v>
      </c>
      <c r="Q143" s="84">
        <v>-2488</v>
      </c>
      <c r="R143" s="85">
        <f t="shared" si="423"/>
        <v>-2488</v>
      </c>
      <c r="S143" s="36">
        <v>-2493</v>
      </c>
      <c r="T143" s="37">
        <f>-4984-S143</f>
        <v>-2491</v>
      </c>
      <c r="U143" s="37">
        <f>-7795-T143-S143</f>
        <v>-2811</v>
      </c>
      <c r="V143" s="84">
        <f>-10564-U143-T143-S143</f>
        <v>-2769</v>
      </c>
      <c r="W143" s="85">
        <f t="shared" si="424"/>
        <v>-10564</v>
      </c>
      <c r="X143" s="36">
        <v>-2769</v>
      </c>
      <c r="Y143" s="37">
        <f>-5430-X143</f>
        <v>-2661</v>
      </c>
      <c r="Z143" s="37">
        <f>-8297-Y143-X143</f>
        <v>-2867</v>
      </c>
      <c r="AA143" s="84">
        <f>-11126-Z143-Y143-X143</f>
        <v>-2829</v>
      </c>
      <c r="AB143" s="85">
        <f t="shared" si="425"/>
        <v>-11126</v>
      </c>
      <c r="AC143" s="36">
        <v>-2801</v>
      </c>
      <c r="AD143" s="150">
        <f>-5544-AC143</f>
        <v>-2743</v>
      </c>
      <c r="AE143" s="150">
        <f>-8597-AD143-AC143</f>
        <v>-3053</v>
      </c>
      <c r="AF143" s="150">
        <f>-11561-AE143-AD143-AC143</f>
        <v>-2964</v>
      </c>
      <c r="AG143" s="85">
        <f t="shared" si="426"/>
        <v>-11561</v>
      </c>
      <c r="AH143" s="36">
        <v>-2969</v>
      </c>
      <c r="AI143" s="37">
        <f>-5871-AH143</f>
        <v>-2902</v>
      </c>
      <c r="AJ143" s="37">
        <f>-9058-AI143-AH143</f>
        <v>-3187</v>
      </c>
      <c r="AK143" s="37">
        <f>-12150-AJ143-AI143-AH143</f>
        <v>-3092</v>
      </c>
      <c r="AL143" s="85">
        <f t="shared" si="427"/>
        <v>-12150</v>
      </c>
      <c r="AM143" s="36">
        <v>-3130</v>
      </c>
      <c r="AN143" s="37">
        <f>-6134-AM143</f>
        <v>-3004</v>
      </c>
      <c r="AO143" s="150">
        <f>-9499-AN143-AM143</f>
        <v>-3365</v>
      </c>
      <c r="AP143" s="150">
        <f>-12769-AO143-AN143-AM143</f>
        <v>-3270</v>
      </c>
      <c r="AQ143" s="85">
        <f t="shared" si="428"/>
        <v>-12769</v>
      </c>
      <c r="AR143" s="37">
        <v>-3339</v>
      </c>
      <c r="AS143" s="37">
        <f>-6529-AR143</f>
        <v>-3190</v>
      </c>
      <c r="AT143" s="37">
        <f>-10182-AS143-AR143</f>
        <v>-3653</v>
      </c>
      <c r="AU143" s="37">
        <f>-13712-AT143-AS143-AR143</f>
        <v>-3530</v>
      </c>
      <c r="AV143" s="85">
        <f t="shared" si="429"/>
        <v>-13712</v>
      </c>
      <c r="AW143" s="37">
        <v>-3568</v>
      </c>
      <c r="AX143" s="37">
        <f>-7011-AW143</f>
        <v>-3443</v>
      </c>
      <c r="AY143" s="37">
        <f>-10640-AX143-AW143</f>
        <v>-3629</v>
      </c>
      <c r="AZ143" s="37">
        <f>-AZ29*AZ25</f>
        <v>-3570.4881697492597</v>
      </c>
      <c r="BA143" s="85">
        <f t="shared" si="430"/>
        <v>-14210.48816974926</v>
      </c>
      <c r="BB143" s="36">
        <f>-BB29*BB25</f>
        <v>-3472.1677790127874</v>
      </c>
      <c r="BC143" s="37">
        <f>-BC29*BC25</f>
        <v>-3375.5227838616856</v>
      </c>
      <c r="BD143" s="37">
        <f>-BD29*BD25</f>
        <v>-3460.2794098162799</v>
      </c>
      <c r="BE143" s="37">
        <f>-BE29*BE25</f>
        <v>-3505.8597978064781</v>
      </c>
      <c r="BF143" s="85">
        <f t="shared" si="431"/>
        <v>-13813.829770497232</v>
      </c>
      <c r="BG143" s="36">
        <f>-BG29*BG25</f>
        <v>-3404.8928164620565</v>
      </c>
      <c r="BH143" s="37">
        <f>-BH29*BH25</f>
        <v>-3305.6463290410779</v>
      </c>
      <c r="BI143" s="37">
        <f>-BI29*BI25</f>
        <v>-3383.8768272528182</v>
      </c>
      <c r="BJ143" s="37">
        <f>-BJ29*BJ25</f>
        <v>-3423.417872104762</v>
      </c>
      <c r="BK143" s="85">
        <f t="shared" si="432"/>
        <v>-13517.833844860714</v>
      </c>
      <c r="BL143" s="36">
        <f>-BL29*BL25</f>
        <v>-3319.7330591636846</v>
      </c>
      <c r="BM143" s="37">
        <f>-BM29*BM25</f>
        <v>-3217.8150524422567</v>
      </c>
      <c r="BN143" s="37">
        <f>-BN29*BN25</f>
        <v>-3288.4629915890014</v>
      </c>
      <c r="BO143" s="37">
        <f>-BO29*BO25</f>
        <v>-3321.0754984107298</v>
      </c>
      <c r="BP143" s="85">
        <f t="shared" si="433"/>
        <v>-13147.086601605673</v>
      </c>
      <c r="BQ143" s="36">
        <f>-BQ29*BQ25</f>
        <v>-3214.5996952176683</v>
      </c>
      <c r="BR143" s="37">
        <f>-BR29*BR25</f>
        <v>-3109.9382571759479</v>
      </c>
      <c r="BS143" s="37">
        <f>-BS29*BS25</f>
        <v>-3171.8306928061015</v>
      </c>
      <c r="BT143" s="37">
        <f>-BT29*BT25</f>
        <v>-3196.5288685654532</v>
      </c>
      <c r="BU143" s="85">
        <f t="shared" si="434"/>
        <v>-12692.897513765172</v>
      </c>
    </row>
    <row r="144" spans="2:73" hidden="1" outlineLevel="1" x14ac:dyDescent="0.3">
      <c r="B144" s="360" t="s">
        <v>169</v>
      </c>
      <c r="C144" s="361"/>
      <c r="D144" s="36">
        <v>0</v>
      </c>
      <c r="E144" s="37">
        <v>0</v>
      </c>
      <c r="F144" s="37">
        <v>0</v>
      </c>
      <c r="G144" s="84">
        <v>0</v>
      </c>
      <c r="H144" s="85">
        <f t="shared" si="421"/>
        <v>0</v>
      </c>
      <c r="I144" s="36">
        <v>0</v>
      </c>
      <c r="J144" s="37">
        <v>0</v>
      </c>
      <c r="K144" s="37">
        <v>0</v>
      </c>
      <c r="L144" s="84">
        <v>0</v>
      </c>
      <c r="M144" s="85">
        <f t="shared" si="422"/>
        <v>0</v>
      </c>
      <c r="N144" s="36">
        <v>0</v>
      </c>
      <c r="O144" s="37">
        <v>0</v>
      </c>
      <c r="P144" s="37">
        <v>0</v>
      </c>
      <c r="Q144" s="84">
        <v>0</v>
      </c>
      <c r="R144" s="85">
        <f t="shared" si="423"/>
        <v>0</v>
      </c>
      <c r="S144" s="36">
        <v>-1950</v>
      </c>
      <c r="T144" s="37">
        <f>-1950-S144</f>
        <v>0</v>
      </c>
      <c r="U144" s="37">
        <f>-17950-T144-S144</f>
        <v>-16000</v>
      </c>
      <c r="V144" s="84">
        <f>-22860-U144-T144-S144</f>
        <v>-4910</v>
      </c>
      <c r="W144" s="85">
        <f t="shared" si="424"/>
        <v>-22860</v>
      </c>
      <c r="X144" s="36">
        <v>-5029</v>
      </c>
      <c r="Y144" s="37">
        <f>-23000-X144</f>
        <v>-17971</v>
      </c>
      <c r="Z144" s="37">
        <f>-28000-Y144-X144</f>
        <v>-5000</v>
      </c>
      <c r="AA144" s="84">
        <f>-45000-Z144-Y144-X144</f>
        <v>-17000</v>
      </c>
      <c r="AB144" s="85">
        <f t="shared" si="425"/>
        <v>-45000</v>
      </c>
      <c r="AC144" s="36">
        <v>-5030</v>
      </c>
      <c r="AD144" s="150">
        <f>-12000-AC144</f>
        <v>-6970</v>
      </c>
      <c r="AE144" s="150">
        <f>-22000-AD144-AC144</f>
        <v>-10000</v>
      </c>
      <c r="AF144" s="150">
        <f>-35253-AE144-AD144-AC144</f>
        <v>-13253</v>
      </c>
      <c r="AG144" s="85">
        <f t="shared" si="426"/>
        <v>-35253</v>
      </c>
      <c r="AH144" s="36">
        <v>-6863</v>
      </c>
      <c r="AI144" s="37">
        <f>-13530-AH144</f>
        <v>-6667</v>
      </c>
      <c r="AJ144" s="37">
        <f>-23696-AI144-AH144</f>
        <v>-10166</v>
      </c>
      <c r="AK144" s="37">
        <f>-29722-AJ144-AI144-AH144</f>
        <v>-6026</v>
      </c>
      <c r="AL144" s="85">
        <f t="shared" si="427"/>
        <v>-29722</v>
      </c>
      <c r="AM144" s="36">
        <v>-10851</v>
      </c>
      <c r="AN144" s="37">
        <f>-18012-AM144</f>
        <v>-7161</v>
      </c>
      <c r="AO144" s="150">
        <f>-25105-AN144-AM144</f>
        <v>-7093</v>
      </c>
      <c r="AP144" s="150">
        <f>-32900-AO144-AN144-AM144</f>
        <v>-7795</v>
      </c>
      <c r="AQ144" s="85">
        <f t="shared" si="428"/>
        <v>-32900</v>
      </c>
      <c r="AR144" s="37">
        <v>-10095</v>
      </c>
      <c r="AS144" s="37">
        <f>-32851-AR144</f>
        <v>-22756</v>
      </c>
      <c r="AT144" s="37">
        <f>-53634-AS144-AR144</f>
        <v>-20783</v>
      </c>
      <c r="AU144" s="37">
        <f>-72738-AT144-AS144-AR144</f>
        <v>-19104</v>
      </c>
      <c r="AV144" s="85">
        <f t="shared" si="429"/>
        <v>-72738</v>
      </c>
      <c r="AW144" s="37">
        <v>-8796</v>
      </c>
      <c r="AX144" s="37">
        <f>-32498-AW144</f>
        <v>-23702</v>
      </c>
      <c r="AY144" s="37">
        <f>-49453-AX144-AW144</f>
        <v>-16955</v>
      </c>
      <c r="AZ144" s="37">
        <f>-AZ47</f>
        <v>-7001</v>
      </c>
      <c r="BA144" s="85">
        <f t="shared" si="430"/>
        <v>-56454</v>
      </c>
      <c r="BB144" s="36">
        <f>-BB47</f>
        <v>-7001</v>
      </c>
      <c r="BC144" s="37">
        <f>-BC47</f>
        <v>-7001</v>
      </c>
      <c r="BD144" s="37">
        <f>-BD47</f>
        <v>-7001</v>
      </c>
      <c r="BE144" s="37">
        <f>-BE47</f>
        <v>-7001</v>
      </c>
      <c r="BF144" s="85">
        <f t="shared" si="431"/>
        <v>-28004</v>
      </c>
      <c r="BG144" s="36">
        <f>-BG47</f>
        <v>-7001</v>
      </c>
      <c r="BH144" s="37">
        <f>-BH47</f>
        <v>-7001</v>
      </c>
      <c r="BI144" s="37">
        <f>-BI47</f>
        <v>-7001</v>
      </c>
      <c r="BJ144" s="37">
        <f>-BJ47</f>
        <v>-7001</v>
      </c>
      <c r="BK144" s="85">
        <f t="shared" si="432"/>
        <v>-28004</v>
      </c>
      <c r="BL144" s="36">
        <f>-BL47</f>
        <v>-7001</v>
      </c>
      <c r="BM144" s="37">
        <f>-BM47</f>
        <v>-7001</v>
      </c>
      <c r="BN144" s="37">
        <f>-BN47</f>
        <v>-7001</v>
      </c>
      <c r="BO144" s="37">
        <f>-BO47</f>
        <v>-7001</v>
      </c>
      <c r="BP144" s="85">
        <f t="shared" si="433"/>
        <v>-28004</v>
      </c>
      <c r="BQ144" s="36">
        <f>-BQ47</f>
        <v>-7001</v>
      </c>
      <c r="BR144" s="37">
        <f>-BR47</f>
        <v>-7001</v>
      </c>
      <c r="BS144" s="37">
        <f>-BS47</f>
        <v>-7001</v>
      </c>
      <c r="BT144" s="37">
        <f>-BT47</f>
        <v>-7001</v>
      </c>
      <c r="BU144" s="85">
        <f t="shared" si="434"/>
        <v>-28004</v>
      </c>
    </row>
    <row r="145" spans="2:73" hidden="1" outlineLevel="1" x14ac:dyDescent="0.3">
      <c r="B145" s="360" t="s">
        <v>170</v>
      </c>
      <c r="C145" s="361"/>
      <c r="D145" s="36">
        <v>0</v>
      </c>
      <c r="E145" s="37">
        <v>0</v>
      </c>
      <c r="F145" s="37">
        <v>0</v>
      </c>
      <c r="G145" s="84">
        <v>0</v>
      </c>
      <c r="H145" s="85">
        <f t="shared" si="421"/>
        <v>0</v>
      </c>
      <c r="I145" s="36">
        <v>0</v>
      </c>
      <c r="J145" s="37">
        <v>0</v>
      </c>
      <c r="K145" s="37">
        <v>0</v>
      </c>
      <c r="L145" s="84">
        <v>0</v>
      </c>
      <c r="M145" s="85">
        <f t="shared" si="422"/>
        <v>0</v>
      </c>
      <c r="N145" s="36">
        <v>0</v>
      </c>
      <c r="O145" s="37">
        <v>0</v>
      </c>
      <c r="P145" s="37">
        <v>0</v>
      </c>
      <c r="Q145" s="84">
        <v>0</v>
      </c>
      <c r="R145" s="85">
        <f t="shared" si="423"/>
        <v>0</v>
      </c>
      <c r="S145" s="36">
        <v>0</v>
      </c>
      <c r="T145" s="37">
        <v>0</v>
      </c>
      <c r="U145" s="37">
        <f>16896</f>
        <v>16896</v>
      </c>
      <c r="V145" s="84">
        <f>16896-U145-T145-S145</f>
        <v>0</v>
      </c>
      <c r="W145" s="85">
        <f t="shared" si="424"/>
        <v>16896</v>
      </c>
      <c r="X145" s="36">
        <v>0</v>
      </c>
      <c r="Y145" s="37">
        <v>0</v>
      </c>
      <c r="Z145" s="37">
        <v>11960</v>
      </c>
      <c r="AA145" s="84">
        <f>11930-Z145-Y145-X145</f>
        <v>-30</v>
      </c>
      <c r="AB145" s="85">
        <f t="shared" si="425"/>
        <v>11930</v>
      </c>
      <c r="AC145" s="36">
        <v>3485</v>
      </c>
      <c r="AD145" s="150">
        <f>11332-AC145</f>
        <v>7847</v>
      </c>
      <c r="AE145" s="150">
        <f>21312-AD145-AC145</f>
        <v>9980</v>
      </c>
      <c r="AF145" s="150">
        <f>27114-AE145-AD145-AC145</f>
        <v>5802</v>
      </c>
      <c r="AG145" s="85">
        <f t="shared" si="426"/>
        <v>27114</v>
      </c>
      <c r="AH145" s="36">
        <v>0</v>
      </c>
      <c r="AI145" s="37">
        <f>15584-AH145</f>
        <v>15584</v>
      </c>
      <c r="AJ145" s="37">
        <f>-2500+17984-AI145-AH145</f>
        <v>-100</v>
      </c>
      <c r="AK145" s="37">
        <f>24954-AJ145-AI145-AH145</f>
        <v>9470</v>
      </c>
      <c r="AL145" s="85">
        <f t="shared" si="427"/>
        <v>24954</v>
      </c>
      <c r="AM145" s="36">
        <v>0</v>
      </c>
      <c r="AN145" s="37">
        <f>10975-AM145</f>
        <v>10975</v>
      </c>
      <c r="AO145" s="150">
        <f>21725-AN145-AM145</f>
        <v>10750</v>
      </c>
      <c r="AP145" s="150">
        <f>25162-AO145-AN145-AM145</f>
        <v>3437</v>
      </c>
      <c r="AQ145" s="85">
        <f t="shared" si="428"/>
        <v>25162</v>
      </c>
      <c r="AR145" s="37">
        <v>6969</v>
      </c>
      <c r="AS145" s="37">
        <f>6969-AR145</f>
        <v>0</v>
      </c>
      <c r="AT145" s="37">
        <f>-6500-AS145-AR145</f>
        <v>-13469</v>
      </c>
      <c r="AU145" s="37">
        <f>469-AT145-AS145-AR145</f>
        <v>6969</v>
      </c>
      <c r="AV145" s="85">
        <f t="shared" si="429"/>
        <v>469</v>
      </c>
      <c r="AW145" s="37">
        <v>0</v>
      </c>
      <c r="AX145" s="37">
        <f>0-AW145</f>
        <v>0</v>
      </c>
      <c r="AY145" s="37">
        <f>-5500-AX145-AW145</f>
        <v>-5500</v>
      </c>
      <c r="AZ145" s="37">
        <f>AZ76-AY76</f>
        <v>1592.8234644369222</v>
      </c>
      <c r="BA145" s="85">
        <f t="shared" si="430"/>
        <v>-3907.1765355630778</v>
      </c>
      <c r="BB145" s="36">
        <f>BB76-BA76</f>
        <v>4303.3039339806564</v>
      </c>
      <c r="BC145" s="37">
        <f>BC76-BB76</f>
        <v>3324.5101111541007</v>
      </c>
      <c r="BD145" s="37">
        <f>BD76-BC76</f>
        <v>685.68021773747751</v>
      </c>
      <c r="BE145" s="37">
        <f>BE76-BD76</f>
        <v>3831.9778820016218</v>
      </c>
      <c r="BF145" s="85">
        <f t="shared" si="431"/>
        <v>12145.472144873856</v>
      </c>
      <c r="BG145" s="36">
        <f>BG76-BF76</f>
        <v>5675.4462144208374</v>
      </c>
      <c r="BH145" s="37">
        <f>BH76-BG76</f>
        <v>2755.4099306204153</v>
      </c>
      <c r="BI145" s="37">
        <f>BI76-BH76</f>
        <v>1390.2720239711052</v>
      </c>
      <c r="BJ145" s="37">
        <f>BJ76-BI76</f>
        <v>6228.6791606592305</v>
      </c>
      <c r="BK145" s="85">
        <f t="shared" si="432"/>
        <v>16049.807329671588</v>
      </c>
      <c r="BL145" s="36">
        <f>BL76-BK76</f>
        <v>5896.8013816027233</v>
      </c>
      <c r="BM145" s="37">
        <f>BM76-BL76</f>
        <v>2789.811043166279</v>
      </c>
      <c r="BN145" s="37">
        <f>BN76-BM76</f>
        <v>2127.0898953325232</v>
      </c>
      <c r="BO145" s="37">
        <f>BO76-BN76</f>
        <v>8114.5701739130891</v>
      </c>
      <c r="BP145" s="85">
        <f t="shared" si="433"/>
        <v>18928.272494014614</v>
      </c>
      <c r="BQ145" s="36">
        <f>BQ76-BP76</f>
        <v>6375.1134185636183</v>
      </c>
      <c r="BR145" s="37">
        <f>BR76-BQ76</f>
        <v>3287.1117155680549</v>
      </c>
      <c r="BS145" s="37">
        <f>BS76-BR76</f>
        <v>3075.1902994846168</v>
      </c>
      <c r="BT145" s="37">
        <f>BT76-BS76</f>
        <v>10325.330212099623</v>
      </c>
      <c r="BU145" s="85">
        <f t="shared" si="434"/>
        <v>23062.745645715913</v>
      </c>
    </row>
    <row r="146" spans="2:73" hidden="1" outlineLevel="1" x14ac:dyDescent="0.3">
      <c r="B146" s="360" t="s">
        <v>171</v>
      </c>
      <c r="C146" s="361"/>
      <c r="D146" s="36">
        <v>0</v>
      </c>
      <c r="E146" s="37">
        <v>0</v>
      </c>
      <c r="F146" s="37">
        <v>0</v>
      </c>
      <c r="G146" s="84">
        <v>0</v>
      </c>
      <c r="H146" s="85">
        <f t="shared" si="421"/>
        <v>0</v>
      </c>
      <c r="I146" s="36">
        <v>0</v>
      </c>
      <c r="J146" s="37">
        <v>0</v>
      </c>
      <c r="K146" s="37">
        <v>0</v>
      </c>
      <c r="L146" s="84">
        <v>0</v>
      </c>
      <c r="M146" s="85">
        <f t="shared" si="422"/>
        <v>0</v>
      </c>
      <c r="N146" s="36">
        <v>0</v>
      </c>
      <c r="O146" s="37">
        <v>0</v>
      </c>
      <c r="P146" s="37">
        <v>0</v>
      </c>
      <c r="Q146" s="84">
        <v>0</v>
      </c>
      <c r="R146" s="85">
        <f t="shared" si="423"/>
        <v>0</v>
      </c>
      <c r="S146" s="36">
        <v>0</v>
      </c>
      <c r="T146" s="37">
        <v>0</v>
      </c>
      <c r="U146" s="37">
        <v>0</v>
      </c>
      <c r="V146" s="84">
        <v>0</v>
      </c>
      <c r="W146" s="85">
        <f t="shared" si="424"/>
        <v>0</v>
      </c>
      <c r="X146" s="36">
        <v>0</v>
      </c>
      <c r="Y146" s="37">
        <v>0</v>
      </c>
      <c r="Z146" s="37">
        <v>2010</v>
      </c>
      <c r="AA146" s="84">
        <f>6306-Z146-Y146-X146</f>
        <v>4296</v>
      </c>
      <c r="AB146" s="85">
        <f t="shared" si="425"/>
        <v>6306</v>
      </c>
      <c r="AC146" s="36">
        <f>AC73-AB73</f>
        <v>-2409</v>
      </c>
      <c r="AD146" s="150">
        <f>-2508-AC146</f>
        <v>-99</v>
      </c>
      <c r="AE146" s="150">
        <f>-1808-AD146-AC146</f>
        <v>700</v>
      </c>
      <c r="AF146" s="150">
        <f>2191-AE146-AD146-AC146</f>
        <v>3999</v>
      </c>
      <c r="AG146" s="85">
        <f t="shared" si="426"/>
        <v>2191</v>
      </c>
      <c r="AH146" s="36">
        <v>-1240</v>
      </c>
      <c r="AI146" s="37">
        <f>-503-AH146</f>
        <v>737</v>
      </c>
      <c r="AJ146" s="37">
        <f>3992-AI146-AH146</f>
        <v>4495</v>
      </c>
      <c r="AK146" s="37">
        <f>-2500-AJ146-AI146-AH146</f>
        <v>-6492</v>
      </c>
      <c r="AL146" s="85">
        <f t="shared" si="427"/>
        <v>-2500</v>
      </c>
      <c r="AM146" s="36">
        <v>2385</v>
      </c>
      <c r="AN146" s="37">
        <f>1879-AM146</f>
        <v>-506</v>
      </c>
      <c r="AO146" s="150">
        <f>3866-AN146-AM146</f>
        <v>1987</v>
      </c>
      <c r="AP146" s="150">
        <f>3852-AO146-AN146-AM146</f>
        <v>-14</v>
      </c>
      <c r="AQ146" s="85">
        <f t="shared" si="428"/>
        <v>3852</v>
      </c>
      <c r="AR146" s="37">
        <v>2</v>
      </c>
      <c r="AS146" s="37">
        <f>0-AR146</f>
        <v>-2</v>
      </c>
      <c r="AT146" s="37">
        <f>-10-AS146-AR146</f>
        <v>-10</v>
      </c>
      <c r="AU146" s="37">
        <f>-37-AT146-AS146-AR146</f>
        <v>-27</v>
      </c>
      <c r="AV146" s="85">
        <f t="shared" si="429"/>
        <v>-37</v>
      </c>
      <c r="AW146" s="37">
        <v>6</v>
      </c>
      <c r="AX146" s="37">
        <f>-2500-AW146</f>
        <v>-2506</v>
      </c>
      <c r="AY146" s="37">
        <f>-2026-AX146-AW146</f>
        <v>474</v>
      </c>
      <c r="AZ146" s="37">
        <f>AZ73-AY73</f>
        <v>-2305.6678983711681</v>
      </c>
      <c r="BA146" s="85">
        <f t="shared" si="430"/>
        <v>-4331.6678983711681</v>
      </c>
      <c r="BB146" s="36">
        <f>BB73-BA73</f>
        <v>1596.9311721642589</v>
      </c>
      <c r="BC146" s="37">
        <f>BC73-BB73</f>
        <v>1238.5585688950487</v>
      </c>
      <c r="BD146" s="37">
        <f>BD73-BC73</f>
        <v>326.72312191802848</v>
      </c>
      <c r="BE146" s="37">
        <f>BE73-BD73</f>
        <v>503.27577302249483</v>
      </c>
      <c r="BF146" s="85">
        <f t="shared" si="431"/>
        <v>3665.4886359998309</v>
      </c>
      <c r="BG146" s="36">
        <f>BG73-BF73</f>
        <v>1613.364113466203</v>
      </c>
      <c r="BH146" s="37">
        <f>BH73-BG73</f>
        <v>773.90944412843237</v>
      </c>
      <c r="BI146" s="37">
        <f>BI73-BH73</f>
        <v>331.97293616730531</v>
      </c>
      <c r="BJ146" s="37">
        <f>BJ73-BI73</f>
        <v>1508.1377867617193</v>
      </c>
      <c r="BK146" s="85">
        <f t="shared" si="432"/>
        <v>4227.38428052366</v>
      </c>
      <c r="BL146" s="36">
        <f>BL73-BK73</f>
        <v>1543.3205654720696</v>
      </c>
      <c r="BM146" s="37">
        <f>BM73-BL73</f>
        <v>716.26976792320056</v>
      </c>
      <c r="BN146" s="37">
        <f>BN73-BM73</f>
        <v>528.38029211184767</v>
      </c>
      <c r="BO146" s="37">
        <f>BO73-BN73</f>
        <v>2050.3741790172098</v>
      </c>
      <c r="BP146" s="85">
        <f t="shared" si="433"/>
        <v>4838.3448045243276</v>
      </c>
      <c r="BQ146" s="36">
        <f>BQ73-BP73</f>
        <v>1628.4283941996473</v>
      </c>
      <c r="BR146" s="37">
        <f>BR73-BQ73</f>
        <v>833.74619807287672</v>
      </c>
      <c r="BS146" s="37">
        <f>BS73-BR73</f>
        <v>777.38674825746421</v>
      </c>
      <c r="BT146" s="37">
        <f>BT73-BS73</f>
        <v>2619.6789179110856</v>
      </c>
      <c r="BU146" s="85">
        <f t="shared" si="434"/>
        <v>5859.2402584410738</v>
      </c>
    </row>
    <row r="147" spans="2:73" ht="16.2" hidden="1" outlineLevel="1" x14ac:dyDescent="0.45">
      <c r="B147" s="360" t="s">
        <v>173</v>
      </c>
      <c r="C147" s="361"/>
      <c r="D147" s="164">
        <v>-103</v>
      </c>
      <c r="E147" s="165">
        <f>-262-D147</f>
        <v>-159</v>
      </c>
      <c r="F147" s="165">
        <f>0-E147-D147</f>
        <v>262</v>
      </c>
      <c r="G147" s="166">
        <f>0-F147-E147-D147</f>
        <v>0</v>
      </c>
      <c r="H147" s="167">
        <f t="shared" si="421"/>
        <v>0</v>
      </c>
      <c r="I147" s="164">
        <v>0</v>
      </c>
      <c r="J147" s="165">
        <v>0</v>
      </c>
      <c r="K147" s="165">
        <v>0</v>
      </c>
      <c r="L147" s="166">
        <v>0</v>
      </c>
      <c r="M147" s="167">
        <f t="shared" si="422"/>
        <v>0</v>
      </c>
      <c r="N147" s="164">
        <v>0</v>
      </c>
      <c r="O147" s="165">
        <v>0</v>
      </c>
      <c r="P147" s="165">
        <v>0</v>
      </c>
      <c r="Q147" s="166">
        <v>0</v>
      </c>
      <c r="R147" s="167">
        <f t="shared" si="423"/>
        <v>0</v>
      </c>
      <c r="S147" s="164">
        <v>-534</v>
      </c>
      <c r="T147" s="165">
        <f>-588-S147</f>
        <v>-54</v>
      </c>
      <c r="U147" s="165">
        <f>0-T147-S147</f>
        <v>588</v>
      </c>
      <c r="V147" s="166">
        <f>0-U147-T147-S147</f>
        <v>0</v>
      </c>
      <c r="W147" s="167">
        <f t="shared" si="424"/>
        <v>0</v>
      </c>
      <c r="X147" s="164">
        <v>0</v>
      </c>
      <c r="Y147" s="165">
        <v>0</v>
      </c>
      <c r="Z147" s="165">
        <v>0</v>
      </c>
      <c r="AA147" s="166">
        <v>0</v>
      </c>
      <c r="AB147" s="167">
        <f t="shared" si="425"/>
        <v>0</v>
      </c>
      <c r="AC147" s="164">
        <v>0</v>
      </c>
      <c r="AD147" s="344">
        <v>0</v>
      </c>
      <c r="AE147" s="344">
        <v>0</v>
      </c>
      <c r="AF147" s="344">
        <f>0-AE147-AD147-AC147</f>
        <v>0</v>
      </c>
      <c r="AG147" s="167">
        <f t="shared" si="426"/>
        <v>0</v>
      </c>
      <c r="AH147" s="164">
        <v>0</v>
      </c>
      <c r="AI147" s="165">
        <f>0-AH147</f>
        <v>0</v>
      </c>
      <c r="AJ147" s="165">
        <f>-AI147-AH147</f>
        <v>0</v>
      </c>
      <c r="AK147" s="165">
        <f>-397-AJ147-AI147-AH147</f>
        <v>-397</v>
      </c>
      <c r="AL147" s="167">
        <f t="shared" si="427"/>
        <v>-397</v>
      </c>
      <c r="AM147" s="164">
        <v>0</v>
      </c>
      <c r="AN147" s="165">
        <f>0-AM147</f>
        <v>0</v>
      </c>
      <c r="AO147" s="165">
        <v>0</v>
      </c>
      <c r="AP147" s="165">
        <v>0</v>
      </c>
      <c r="AQ147" s="167">
        <f t="shared" si="428"/>
        <v>0</v>
      </c>
      <c r="AR147" s="165"/>
      <c r="AS147" s="165">
        <f>-499-AR147</f>
        <v>-499</v>
      </c>
      <c r="AT147" s="165">
        <v>0</v>
      </c>
      <c r="AU147" s="165">
        <f>0-AT147-AS147-AR147</f>
        <v>499</v>
      </c>
      <c r="AV147" s="167">
        <f t="shared" si="429"/>
        <v>0</v>
      </c>
      <c r="AW147" s="165">
        <v>0</v>
      </c>
      <c r="AX147" s="165">
        <f>-87-AW147</f>
        <v>-87</v>
      </c>
      <c r="AY147" s="165">
        <f>-83-AX147-AW147</f>
        <v>4</v>
      </c>
      <c r="AZ147" s="165">
        <f>AZ75-AY75</f>
        <v>3825.3881435101362</v>
      </c>
      <c r="BA147" s="167">
        <f t="shared" si="430"/>
        <v>3742.3881435101362</v>
      </c>
      <c r="BB147" s="164">
        <f>BB75-BA75</f>
        <v>46.639332224708596</v>
      </c>
      <c r="BC147" s="165">
        <f>BC75-BB75</f>
        <v>42.339949535484266</v>
      </c>
      <c r="BD147" s="165">
        <f>BD75-BC75</f>
        <v>66.384496677754214</v>
      </c>
      <c r="BE147" s="165">
        <f>BE75-BD75</f>
        <v>129.09866298265706</v>
      </c>
      <c r="BF147" s="167">
        <f t="shared" si="431"/>
        <v>284.46244142060414</v>
      </c>
      <c r="BG147" s="164">
        <f>BG75-BF75</f>
        <v>50.735889669194876</v>
      </c>
      <c r="BH147" s="165">
        <f>BH75-BG75</f>
        <v>45.668843504045071</v>
      </c>
      <c r="BI147" s="165">
        <f>BI75-BH75</f>
        <v>75.723349239887284</v>
      </c>
      <c r="BJ147" s="165">
        <f>BJ75-BI75</f>
        <v>149.52415500574352</v>
      </c>
      <c r="BK147" s="167">
        <f t="shared" si="432"/>
        <v>321.65223741887075</v>
      </c>
      <c r="BL147" s="164">
        <f>BL75-BK75</f>
        <v>14.525850994197754</v>
      </c>
      <c r="BM147" s="165">
        <f>BM75-BL75</f>
        <v>15.782467166067363</v>
      </c>
      <c r="BN147" s="165">
        <f>BN75-BM75</f>
        <v>56.797213042899784</v>
      </c>
      <c r="BO147" s="165">
        <f>BO75-BN75</f>
        <v>143.75982436493086</v>
      </c>
      <c r="BP147" s="167">
        <f t="shared" si="433"/>
        <v>230.86535556809577</v>
      </c>
      <c r="BQ147" s="164">
        <f>BQ75-BP75</f>
        <v>39.646340625440644</v>
      </c>
      <c r="BR147" s="165">
        <f>BR75-BQ75</f>
        <v>37.4865253781918</v>
      </c>
      <c r="BS147" s="165">
        <f>BS75-BR75</f>
        <v>77.059684108635338</v>
      </c>
      <c r="BT147" s="165">
        <f>BT75-BS75</f>
        <v>177.94396231706378</v>
      </c>
      <c r="BU147" s="167">
        <f t="shared" si="434"/>
        <v>332.13651242933156</v>
      </c>
    </row>
    <row r="148" spans="2:73" hidden="1" outlineLevel="1" x14ac:dyDescent="0.3">
      <c r="B148" s="375" t="s">
        <v>35</v>
      </c>
      <c r="C148" s="376"/>
      <c r="D148" s="75">
        <f t="shared" ref="D148:AD148" si="447">SUM(D140:D147)</f>
        <v>523</v>
      </c>
      <c r="E148" s="73">
        <f t="shared" si="447"/>
        <v>162</v>
      </c>
      <c r="F148" s="73">
        <f t="shared" si="447"/>
        <v>316</v>
      </c>
      <c r="G148" s="86">
        <f t="shared" si="447"/>
        <v>256</v>
      </c>
      <c r="H148" s="85">
        <f t="shared" si="421"/>
        <v>1257</v>
      </c>
      <c r="I148" s="75">
        <f t="shared" si="447"/>
        <v>429</v>
      </c>
      <c r="J148" s="73">
        <f t="shared" si="447"/>
        <v>547</v>
      </c>
      <c r="K148" s="73">
        <f>SUM(K140:K147)</f>
        <v>37</v>
      </c>
      <c r="L148" s="86">
        <f>SUM(L140:L147)</f>
        <v>431</v>
      </c>
      <c r="M148" s="85">
        <f t="shared" si="422"/>
        <v>1444</v>
      </c>
      <c r="N148" s="75">
        <f t="shared" si="447"/>
        <v>69</v>
      </c>
      <c r="O148" s="73">
        <f t="shared" si="447"/>
        <v>310</v>
      </c>
      <c r="P148" s="73">
        <f t="shared" si="447"/>
        <v>-55</v>
      </c>
      <c r="Q148" s="86">
        <f t="shared" si="447"/>
        <v>-2022</v>
      </c>
      <c r="R148" s="85">
        <f t="shared" si="423"/>
        <v>-1698</v>
      </c>
      <c r="S148" s="75">
        <f t="shared" si="447"/>
        <v>-4497</v>
      </c>
      <c r="T148" s="73">
        <f t="shared" si="447"/>
        <v>-2248</v>
      </c>
      <c r="U148" s="73">
        <f t="shared" si="447"/>
        <v>-2126</v>
      </c>
      <c r="V148" s="86">
        <f t="shared" si="447"/>
        <v>-7508</v>
      </c>
      <c r="W148" s="85">
        <f t="shared" si="424"/>
        <v>-16379</v>
      </c>
      <c r="X148" s="75">
        <f t="shared" si="447"/>
        <v>-7749</v>
      </c>
      <c r="Y148" s="73">
        <f t="shared" si="447"/>
        <v>-20407</v>
      </c>
      <c r="Z148" s="73">
        <f t="shared" si="447"/>
        <v>5987</v>
      </c>
      <c r="AA148" s="86">
        <f>SUM(AA140:AA147)</f>
        <v>-15410</v>
      </c>
      <c r="AB148" s="85">
        <f t="shared" si="425"/>
        <v>-37579</v>
      </c>
      <c r="AC148" s="75">
        <f>SUM(AC140:AC147)</f>
        <v>-6923</v>
      </c>
      <c r="AD148" s="73">
        <f t="shared" si="447"/>
        <v>-1739</v>
      </c>
      <c r="AE148" s="73">
        <f t="shared" ref="AE148:AK148" si="448">SUM(AE140:AE147)</f>
        <v>-2755</v>
      </c>
      <c r="AF148" s="73">
        <f t="shared" si="448"/>
        <v>-6299</v>
      </c>
      <c r="AG148" s="87">
        <f t="shared" si="448"/>
        <v>-17716</v>
      </c>
      <c r="AH148" s="75">
        <f t="shared" si="448"/>
        <v>-11444</v>
      </c>
      <c r="AI148" s="73">
        <f t="shared" si="448"/>
        <v>6884</v>
      </c>
      <c r="AJ148" s="73">
        <f t="shared" si="448"/>
        <v>-9441</v>
      </c>
      <c r="AK148" s="73">
        <f t="shared" si="448"/>
        <v>-6482</v>
      </c>
      <c r="AL148" s="87">
        <f t="shared" si="427"/>
        <v>-20483</v>
      </c>
      <c r="AM148" s="75">
        <f>SUM(AM140:AM147)</f>
        <v>-12047</v>
      </c>
      <c r="AN148" s="73">
        <f>SUM(AN140:AN147)</f>
        <v>465</v>
      </c>
      <c r="AO148" s="73">
        <f t="shared" ref="AO148:AP148" si="449">SUM(AO140:AO147)</f>
        <v>1731</v>
      </c>
      <c r="AP148" s="73">
        <f t="shared" si="449"/>
        <v>-8123</v>
      </c>
      <c r="AQ148" s="87">
        <f t="shared" ref="AQ148:BA148" si="450">SUM(AQ140:AQ147)</f>
        <v>-17974</v>
      </c>
      <c r="AR148" s="73">
        <f t="shared" si="450"/>
        <v>-7501</v>
      </c>
      <c r="AS148" s="73">
        <f t="shared" si="450"/>
        <v>-26272</v>
      </c>
      <c r="AT148" s="73">
        <f t="shared" si="450"/>
        <v>-38991</v>
      </c>
      <c r="AU148" s="73">
        <f t="shared" si="450"/>
        <v>-15112</v>
      </c>
      <c r="AV148" s="87">
        <f t="shared" si="450"/>
        <v>-87876</v>
      </c>
      <c r="AW148" s="73">
        <f t="shared" si="450"/>
        <v>-13676</v>
      </c>
      <c r="AX148" s="73">
        <f t="shared" si="450"/>
        <v>-29457</v>
      </c>
      <c r="AY148" s="73">
        <f t="shared" si="450"/>
        <v>-26804</v>
      </c>
      <c r="AZ148" s="73">
        <f>SUM(AZ140:AZ147)</f>
        <v>-7705.3639085252762</v>
      </c>
      <c r="BA148" s="87">
        <f t="shared" si="450"/>
        <v>-77642.36390852528</v>
      </c>
      <c r="BB148" s="75">
        <f>SUM(BB140:BB147)</f>
        <v>-5710.2310902153758</v>
      </c>
      <c r="BC148" s="73">
        <f>SUM(BC140:BC147)</f>
        <v>-5869.821604055478</v>
      </c>
      <c r="BD148" s="73">
        <f>SUM(BD140:BD147)</f>
        <v>-10622.576471000106</v>
      </c>
      <c r="BE148" s="73">
        <f>SUM(BE140:BE147)</f>
        <v>-6379.760337807611</v>
      </c>
      <c r="BF148" s="87">
        <f t="shared" ref="BF148" si="451">SUM(BF140:BF147)</f>
        <v>-28582.389503078568</v>
      </c>
      <c r="BG148" s="75">
        <f>SUM(BG140:BG147)</f>
        <v>-4297.6143540671146</v>
      </c>
      <c r="BH148" s="73">
        <f>SUM(BH140:BH147)</f>
        <v>-6835.4674982832621</v>
      </c>
      <c r="BI148" s="73">
        <f>SUM(BI140:BI147)</f>
        <v>-9937.909690381166</v>
      </c>
      <c r="BJ148" s="73">
        <f>SUM(BJ140:BJ147)</f>
        <v>-2920.7375155352238</v>
      </c>
      <c r="BK148" s="87">
        <f t="shared" ref="BK148" si="452">SUM(BK140:BK147)</f>
        <v>-23991.729058266767</v>
      </c>
      <c r="BL148" s="75">
        <f>SUM(BL140:BL147)</f>
        <v>-4110.9037515091641</v>
      </c>
      <c r="BM148" s="73">
        <f>SUM(BM140:BM147)</f>
        <v>-6802.5243148146074</v>
      </c>
      <c r="BN148" s="73">
        <f>SUM(BN140:BN147)</f>
        <v>-9011.3908558367839</v>
      </c>
      <c r="BO148" s="73">
        <f>SUM(BO140:BO147)</f>
        <v>-439.68942776322274</v>
      </c>
      <c r="BP148" s="87">
        <f t="shared" ref="BP148" si="453">SUM(BP140:BP147)</f>
        <v>-20364.508349923781</v>
      </c>
      <c r="BQ148" s="75">
        <f>SUM(BQ140:BQ147)</f>
        <v>-3454.2149266766137</v>
      </c>
      <c r="BR148" s="73">
        <f>SUM(BR140:BR147)</f>
        <v>-6062.3542011520531</v>
      </c>
      <c r="BS148" s="73">
        <f>SUM(BS140:BS147)</f>
        <v>-7790.2629059885057</v>
      </c>
      <c r="BT148" s="73">
        <f>SUM(BT140:BT147)</f>
        <v>2445.0676275873739</v>
      </c>
      <c r="BU148" s="87">
        <f t="shared" ref="BU148" si="454">SUM(BU140:BU147)</f>
        <v>-14861.764406229797</v>
      </c>
    </row>
    <row r="149" spans="2:73" s="33" customFormat="1" hidden="1" outlineLevel="1" x14ac:dyDescent="0.3">
      <c r="B149" s="360" t="s">
        <v>36</v>
      </c>
      <c r="C149" s="361"/>
      <c r="D149" s="94">
        <f t="shared" ref="D149:BJ149" si="455">D148+D137+D127</f>
        <v>2346</v>
      </c>
      <c r="E149" s="95">
        <f t="shared" si="455"/>
        <v>2362</v>
      </c>
      <c r="F149" s="95">
        <f t="shared" si="455"/>
        <v>-266</v>
      </c>
      <c r="G149" s="96">
        <f t="shared" si="455"/>
        <v>1556</v>
      </c>
      <c r="H149" s="122">
        <f t="shared" si="455"/>
        <v>5998</v>
      </c>
      <c r="I149" s="94">
        <f t="shared" si="455"/>
        <v>-527</v>
      </c>
      <c r="J149" s="95">
        <f t="shared" si="455"/>
        <v>5244</v>
      </c>
      <c r="K149" s="95">
        <f t="shared" si="455"/>
        <v>-3887</v>
      </c>
      <c r="L149" s="96">
        <f t="shared" si="455"/>
        <v>-2276</v>
      </c>
      <c r="M149" s="122">
        <f>M148+M137+M127</f>
        <v>-1446</v>
      </c>
      <c r="N149" s="94">
        <f t="shared" si="455"/>
        <v>495</v>
      </c>
      <c r="O149" s="95">
        <f t="shared" si="455"/>
        <v>-189</v>
      </c>
      <c r="P149" s="95">
        <f t="shared" si="455"/>
        <v>-2176</v>
      </c>
      <c r="Q149" s="96">
        <f t="shared" si="455"/>
        <v>2801</v>
      </c>
      <c r="R149" s="122">
        <f t="shared" si="455"/>
        <v>931</v>
      </c>
      <c r="S149" s="94">
        <f t="shared" si="455"/>
        <v>5408</v>
      </c>
      <c r="T149" s="95">
        <f t="shared" si="455"/>
        <v>-4101</v>
      </c>
      <c r="U149" s="95">
        <f t="shared" si="455"/>
        <v>-805</v>
      </c>
      <c r="V149" s="96">
        <f t="shared" si="455"/>
        <v>3011</v>
      </c>
      <c r="W149" s="122">
        <f t="shared" si="455"/>
        <v>3513</v>
      </c>
      <c r="X149" s="94">
        <f t="shared" si="455"/>
        <v>-182</v>
      </c>
      <c r="Y149" s="95">
        <f t="shared" si="455"/>
        <v>4872</v>
      </c>
      <c r="Z149" s="95">
        <f t="shared" si="455"/>
        <v>-5972</v>
      </c>
      <c r="AA149" s="96">
        <f t="shared" si="455"/>
        <v>837</v>
      </c>
      <c r="AB149" s="122">
        <f t="shared" si="455"/>
        <v>-445</v>
      </c>
      <c r="AC149" s="346">
        <f>AC148+AC137+AC127</f>
        <v>5634</v>
      </c>
      <c r="AD149" s="347">
        <f t="shared" ref="AD149:AE149" si="456">AD148+AD137+AD127</f>
        <v>-4989</v>
      </c>
      <c r="AE149" s="347">
        <f t="shared" si="456"/>
        <v>830</v>
      </c>
      <c r="AF149" s="347">
        <f>AF148+AF137+AF127</f>
        <v>5801</v>
      </c>
      <c r="AG149" s="122">
        <f>AG148+AG137+AG127</f>
        <v>7276</v>
      </c>
      <c r="AH149" s="94">
        <f t="shared" si="455"/>
        <v>-4431</v>
      </c>
      <c r="AI149" s="95">
        <f t="shared" si="455"/>
        <v>4825</v>
      </c>
      <c r="AJ149" s="95">
        <f t="shared" si="455"/>
        <v>-3277</v>
      </c>
      <c r="AK149" s="95">
        <f t="shared" si="455"/>
        <v>2247</v>
      </c>
      <c r="AL149" s="122">
        <f t="shared" si="455"/>
        <v>-636</v>
      </c>
      <c r="AM149" s="94">
        <f t="shared" si="455"/>
        <v>-4113</v>
      </c>
      <c r="AN149" s="95">
        <f t="shared" si="455"/>
        <v>-1214</v>
      </c>
      <c r="AO149" s="95">
        <f t="shared" si="455"/>
        <v>6914</v>
      </c>
      <c r="AP149" s="95">
        <f t="shared" si="455"/>
        <v>-1782</v>
      </c>
      <c r="AQ149" s="122">
        <f>AQ148+AQ137+AQ127</f>
        <v>-195</v>
      </c>
      <c r="AR149" s="95">
        <f t="shared" si="455"/>
        <v>7202</v>
      </c>
      <c r="AS149" s="95">
        <f t="shared" si="455"/>
        <v>17568</v>
      </c>
      <c r="AT149" s="95">
        <f t="shared" si="455"/>
        <v>-22344</v>
      </c>
      <c r="AU149" s="95">
        <f t="shared" si="455"/>
        <v>3198</v>
      </c>
      <c r="AV149" s="122">
        <f>AV148+AV137+AV127</f>
        <v>5624</v>
      </c>
      <c r="AW149" s="95">
        <f t="shared" si="455"/>
        <v>18858</v>
      </c>
      <c r="AX149" s="95">
        <f t="shared" si="455"/>
        <v>-4606</v>
      </c>
      <c r="AY149" s="95">
        <f t="shared" si="455"/>
        <v>12658</v>
      </c>
      <c r="AZ149" s="95">
        <f t="shared" ref="AZ149:BB149" si="457">AZ148+AZ137+AZ127</f>
        <v>8206.3483998543961</v>
      </c>
      <c r="BA149" s="122">
        <f>BA148+BA137+BA127</f>
        <v>35116.34839985436</v>
      </c>
      <c r="BB149" s="95">
        <f t="shared" si="457"/>
        <v>4335.8379811382911</v>
      </c>
      <c r="BC149" s="95">
        <f t="shared" si="455"/>
        <v>-2256.2456490537443</v>
      </c>
      <c r="BD149" s="95">
        <f t="shared" si="455"/>
        <v>-1742.9675500548074</v>
      </c>
      <c r="BE149" s="95">
        <f t="shared" si="455"/>
        <v>-1921.5543986768898</v>
      </c>
      <c r="BF149" s="122">
        <f>BF148+BF137+BF127</f>
        <v>-1584.9296166471977</v>
      </c>
      <c r="BG149" s="94">
        <f t="shared" si="455"/>
        <v>11720.765312018724</v>
      </c>
      <c r="BH149" s="95">
        <f t="shared" si="455"/>
        <v>-10552.207297633237</v>
      </c>
      <c r="BI149" s="95">
        <f t="shared" si="455"/>
        <v>7099.8762643780428</v>
      </c>
      <c r="BJ149" s="95">
        <f t="shared" si="455"/>
        <v>-16289.838113129454</v>
      </c>
      <c r="BK149" s="122">
        <f>BK148+BK137+BK127</f>
        <v>-8021.4038343659122</v>
      </c>
      <c r="BL149" s="94">
        <f t="shared" ref="BL149:BT149" si="458">BL148+BL137+BL127</f>
        <v>30293.17715324086</v>
      </c>
      <c r="BM149" s="95">
        <f t="shared" si="458"/>
        <v>-36228.149964236349</v>
      </c>
      <c r="BN149" s="95">
        <f t="shared" si="458"/>
        <v>32301.627192028467</v>
      </c>
      <c r="BO149" s="95">
        <f t="shared" si="458"/>
        <v>-50500.175358354631</v>
      </c>
      <c r="BP149" s="122">
        <f>BP148+BP137+BP127</f>
        <v>-24133.520977321656</v>
      </c>
      <c r="BQ149" s="94">
        <f t="shared" si="458"/>
        <v>66260.983790782222</v>
      </c>
      <c r="BR149" s="95">
        <f t="shared" si="458"/>
        <v>-83830.667091564683</v>
      </c>
      <c r="BS149" s="95">
        <f t="shared" si="458"/>
        <v>80307.139565569552</v>
      </c>
      <c r="BT149" s="95">
        <f t="shared" si="458"/>
        <v>-109619.62956307843</v>
      </c>
      <c r="BU149" s="122">
        <f>BU148+BU137+BU127</f>
        <v>-46882.173298291294</v>
      </c>
    </row>
    <row r="150" spans="2:73" s="33" customFormat="1" ht="16.2" hidden="1" outlineLevel="1" x14ac:dyDescent="0.45">
      <c r="B150" s="360" t="s">
        <v>37</v>
      </c>
      <c r="C150" s="361"/>
      <c r="D150" s="164">
        <v>5263</v>
      </c>
      <c r="E150" s="165">
        <f t="shared" ref="E150:BJ150" si="459">D151</f>
        <v>7609</v>
      </c>
      <c r="F150" s="165">
        <f t="shared" si="459"/>
        <v>9971</v>
      </c>
      <c r="G150" s="166">
        <f t="shared" si="459"/>
        <v>9705</v>
      </c>
      <c r="H150" s="167">
        <f>D150</f>
        <v>5263</v>
      </c>
      <c r="I150" s="164">
        <f>H151</f>
        <v>11261</v>
      </c>
      <c r="J150" s="165">
        <f t="shared" si="459"/>
        <v>10734</v>
      </c>
      <c r="K150" s="165">
        <f t="shared" si="459"/>
        <v>15978</v>
      </c>
      <c r="L150" s="166">
        <f t="shared" si="459"/>
        <v>12091</v>
      </c>
      <c r="M150" s="167">
        <f>H151</f>
        <v>11261</v>
      </c>
      <c r="N150" s="164">
        <f>M151</f>
        <v>9815</v>
      </c>
      <c r="O150" s="165">
        <f t="shared" si="459"/>
        <v>10310</v>
      </c>
      <c r="P150" s="165">
        <f t="shared" si="459"/>
        <v>10121</v>
      </c>
      <c r="Q150" s="166">
        <f t="shared" si="459"/>
        <v>7945</v>
      </c>
      <c r="R150" s="167">
        <f>M151</f>
        <v>9815</v>
      </c>
      <c r="S150" s="164">
        <f t="shared" si="459"/>
        <v>10746</v>
      </c>
      <c r="T150" s="165">
        <f t="shared" si="459"/>
        <v>16154</v>
      </c>
      <c r="U150" s="165">
        <f t="shared" si="459"/>
        <v>12053</v>
      </c>
      <c r="V150" s="166">
        <f t="shared" si="459"/>
        <v>11248</v>
      </c>
      <c r="W150" s="167">
        <f>R151</f>
        <v>10746</v>
      </c>
      <c r="X150" s="164">
        <f t="shared" si="459"/>
        <v>14259</v>
      </c>
      <c r="Y150" s="165">
        <f t="shared" si="459"/>
        <v>14077</v>
      </c>
      <c r="Z150" s="165">
        <f t="shared" si="459"/>
        <v>18949</v>
      </c>
      <c r="AA150" s="166">
        <f t="shared" si="459"/>
        <v>12977</v>
      </c>
      <c r="AB150" s="167">
        <f>W151</f>
        <v>14259</v>
      </c>
      <c r="AC150" s="164">
        <v>13844</v>
      </c>
      <c r="AD150" s="344">
        <f>AC151</f>
        <v>19478</v>
      </c>
      <c r="AE150" s="344">
        <f>AD151</f>
        <v>14489</v>
      </c>
      <c r="AF150" s="344">
        <f>AE151</f>
        <v>15319</v>
      </c>
      <c r="AG150" s="167">
        <f>AB151</f>
        <v>13814</v>
      </c>
      <c r="AH150" s="164">
        <f>AG151</f>
        <v>21120</v>
      </c>
      <c r="AI150" s="165">
        <f t="shared" si="459"/>
        <v>16689</v>
      </c>
      <c r="AJ150" s="165">
        <f t="shared" si="459"/>
        <v>21514</v>
      </c>
      <c r="AK150" s="165">
        <f t="shared" si="459"/>
        <v>18237</v>
      </c>
      <c r="AL150" s="167">
        <f>AG151</f>
        <v>21120</v>
      </c>
      <c r="AM150" s="164">
        <f t="shared" si="459"/>
        <v>20484</v>
      </c>
      <c r="AN150" s="165">
        <f t="shared" si="459"/>
        <v>16371</v>
      </c>
      <c r="AO150" s="165">
        <f t="shared" ref="AO150" si="460">AN151</f>
        <v>15157</v>
      </c>
      <c r="AP150" s="165">
        <f t="shared" ref="AP150" si="461">AO151</f>
        <v>22071</v>
      </c>
      <c r="AQ150" s="167">
        <f>AL151</f>
        <v>20484</v>
      </c>
      <c r="AR150" s="165">
        <f t="shared" ref="AR150" si="462">AQ151</f>
        <v>20289</v>
      </c>
      <c r="AS150" s="165">
        <f t="shared" ref="AS150" si="463">AR151</f>
        <v>27491</v>
      </c>
      <c r="AT150" s="165">
        <f t="shared" ref="AT150" si="464">AS151</f>
        <v>45059</v>
      </c>
      <c r="AU150" s="165">
        <f t="shared" ref="AU150" si="465">AT151</f>
        <v>22715</v>
      </c>
      <c r="AV150" s="167">
        <f>AQ151</f>
        <v>20289</v>
      </c>
      <c r="AW150" s="165">
        <f t="shared" ref="AW150" si="466">AV151</f>
        <v>25913</v>
      </c>
      <c r="AX150" s="165">
        <f t="shared" ref="AX150" si="467">AW151</f>
        <v>44771</v>
      </c>
      <c r="AY150" s="165">
        <f t="shared" ref="AY150" si="468">AX151</f>
        <v>40165</v>
      </c>
      <c r="AZ150" s="165">
        <f t="shared" si="459"/>
        <v>52823</v>
      </c>
      <c r="BA150" s="167">
        <f>AV151</f>
        <v>25913</v>
      </c>
      <c r="BB150" s="164">
        <f t="shared" si="459"/>
        <v>61029.34839985436</v>
      </c>
      <c r="BC150" s="165">
        <f t="shared" si="459"/>
        <v>65365.186380992651</v>
      </c>
      <c r="BD150" s="165">
        <f t="shared" si="459"/>
        <v>63108.940731938907</v>
      </c>
      <c r="BE150" s="165">
        <f t="shared" si="459"/>
        <v>61365.973181884096</v>
      </c>
      <c r="BF150" s="167">
        <f>BA151</f>
        <v>61029.34839985436</v>
      </c>
      <c r="BG150" s="164">
        <f t="shared" si="459"/>
        <v>59444.418783207162</v>
      </c>
      <c r="BH150" s="165">
        <f t="shared" si="459"/>
        <v>71165.184095225879</v>
      </c>
      <c r="BI150" s="165">
        <f t="shared" si="459"/>
        <v>60612.976797592644</v>
      </c>
      <c r="BJ150" s="165">
        <f t="shared" si="459"/>
        <v>67712.853061970687</v>
      </c>
      <c r="BK150" s="167">
        <f>BF151</f>
        <v>59444.418783207162</v>
      </c>
      <c r="BL150" s="164">
        <f>BK151</f>
        <v>51423.01494884125</v>
      </c>
      <c r="BM150" s="165">
        <f>BL151</f>
        <v>81716.192102082103</v>
      </c>
      <c r="BN150" s="165">
        <f>BM151</f>
        <v>45488.042137845754</v>
      </c>
      <c r="BO150" s="165">
        <f>BN151</f>
        <v>77789.669329874218</v>
      </c>
      <c r="BP150" s="167">
        <f>BK151</f>
        <v>51423.01494884125</v>
      </c>
      <c r="BQ150" s="164">
        <f>BP151</f>
        <v>27289.493971519594</v>
      </c>
      <c r="BR150" s="165">
        <f>BQ151</f>
        <v>93550.477762301816</v>
      </c>
      <c r="BS150" s="165">
        <f>BR151</f>
        <v>9719.8106707371335</v>
      </c>
      <c r="BT150" s="165">
        <f>BS151</f>
        <v>90026.950236306686</v>
      </c>
      <c r="BU150" s="167">
        <f>BP151</f>
        <v>27289.493971519594</v>
      </c>
    </row>
    <row r="151" spans="2:73" hidden="1" outlineLevel="1" x14ac:dyDescent="0.3">
      <c r="B151" s="375" t="s">
        <v>38</v>
      </c>
      <c r="C151" s="376"/>
      <c r="D151" s="75">
        <f t="shared" ref="D151:AF151" si="469">D150+D149</f>
        <v>7609</v>
      </c>
      <c r="E151" s="73">
        <f t="shared" si="469"/>
        <v>9971</v>
      </c>
      <c r="F151" s="73">
        <f t="shared" si="469"/>
        <v>9705</v>
      </c>
      <c r="G151" s="86">
        <f t="shared" si="469"/>
        <v>11261</v>
      </c>
      <c r="H151" s="87">
        <f t="shared" si="469"/>
        <v>11261</v>
      </c>
      <c r="I151" s="75">
        <f t="shared" si="469"/>
        <v>10734</v>
      </c>
      <c r="J151" s="73">
        <f t="shared" si="469"/>
        <v>15978</v>
      </c>
      <c r="K151" s="73">
        <f t="shared" si="469"/>
        <v>12091</v>
      </c>
      <c r="L151" s="86">
        <f t="shared" si="469"/>
        <v>9815</v>
      </c>
      <c r="M151" s="87">
        <f t="shared" si="469"/>
        <v>9815</v>
      </c>
      <c r="N151" s="75">
        <f t="shared" si="469"/>
        <v>10310</v>
      </c>
      <c r="O151" s="73">
        <f t="shared" si="469"/>
        <v>10121</v>
      </c>
      <c r="P151" s="73">
        <f t="shared" si="469"/>
        <v>7945</v>
      </c>
      <c r="Q151" s="86">
        <f t="shared" si="469"/>
        <v>10746</v>
      </c>
      <c r="R151" s="87">
        <f t="shared" si="469"/>
        <v>10746</v>
      </c>
      <c r="S151" s="75">
        <f t="shared" si="469"/>
        <v>16154</v>
      </c>
      <c r="T151" s="73">
        <f t="shared" si="469"/>
        <v>12053</v>
      </c>
      <c r="U151" s="73">
        <f t="shared" si="469"/>
        <v>11248</v>
      </c>
      <c r="V151" s="86">
        <f t="shared" si="469"/>
        <v>14259</v>
      </c>
      <c r="W151" s="87">
        <f t="shared" si="469"/>
        <v>14259</v>
      </c>
      <c r="X151" s="75">
        <f t="shared" si="469"/>
        <v>14077</v>
      </c>
      <c r="Y151" s="73">
        <f t="shared" si="469"/>
        <v>18949</v>
      </c>
      <c r="Z151" s="73">
        <f t="shared" si="469"/>
        <v>12977</v>
      </c>
      <c r="AA151" s="86">
        <f t="shared" si="469"/>
        <v>13814</v>
      </c>
      <c r="AB151" s="87">
        <f t="shared" si="469"/>
        <v>13814</v>
      </c>
      <c r="AC151" s="75">
        <f t="shared" si="469"/>
        <v>19478</v>
      </c>
      <c r="AD151" s="73">
        <f t="shared" si="469"/>
        <v>14489</v>
      </c>
      <c r="AE151" s="73">
        <f t="shared" si="469"/>
        <v>15319</v>
      </c>
      <c r="AF151" s="73">
        <f t="shared" si="469"/>
        <v>21120</v>
      </c>
      <c r="AG151" s="87">
        <f>AF151</f>
        <v>21120</v>
      </c>
      <c r="AH151" s="75">
        <f t="shared" ref="AH151:BT151" si="470">AH150+AH149</f>
        <v>16689</v>
      </c>
      <c r="AI151" s="73">
        <f t="shared" si="470"/>
        <v>21514</v>
      </c>
      <c r="AJ151" s="73">
        <f t="shared" si="470"/>
        <v>18237</v>
      </c>
      <c r="AK151" s="73">
        <f t="shared" si="470"/>
        <v>20484</v>
      </c>
      <c r="AL151" s="87">
        <f>AL150+AL149</f>
        <v>20484</v>
      </c>
      <c r="AM151" s="75">
        <f t="shared" si="470"/>
        <v>16371</v>
      </c>
      <c r="AN151" s="73">
        <f t="shared" si="470"/>
        <v>15157</v>
      </c>
      <c r="AO151" s="73">
        <f t="shared" si="470"/>
        <v>22071</v>
      </c>
      <c r="AP151" s="73">
        <f t="shared" si="470"/>
        <v>20289</v>
      </c>
      <c r="AQ151" s="87">
        <f>AQ150+AQ149</f>
        <v>20289</v>
      </c>
      <c r="AR151" s="73">
        <f t="shared" si="470"/>
        <v>27491</v>
      </c>
      <c r="AS151" s="73">
        <f t="shared" si="470"/>
        <v>45059</v>
      </c>
      <c r="AT151" s="73">
        <f t="shared" si="470"/>
        <v>22715</v>
      </c>
      <c r="AU151" s="73">
        <f t="shared" si="470"/>
        <v>25913</v>
      </c>
      <c r="AV151" s="87">
        <f>AV150+AV149</f>
        <v>25913</v>
      </c>
      <c r="AW151" s="73">
        <f t="shared" si="470"/>
        <v>44771</v>
      </c>
      <c r="AX151" s="73">
        <f t="shared" si="470"/>
        <v>40165</v>
      </c>
      <c r="AY151" s="73">
        <f t="shared" si="470"/>
        <v>52823</v>
      </c>
      <c r="AZ151" s="73">
        <f t="shared" ref="AZ151" si="471">AZ150+AZ149</f>
        <v>61029.348399854396</v>
      </c>
      <c r="BA151" s="87">
        <f>BA150+BA149</f>
        <v>61029.34839985436</v>
      </c>
      <c r="BB151" s="75">
        <f t="shared" si="470"/>
        <v>65365.186380992651</v>
      </c>
      <c r="BC151" s="73">
        <f t="shared" si="470"/>
        <v>63108.940731938907</v>
      </c>
      <c r="BD151" s="73">
        <f t="shared" si="470"/>
        <v>61365.973181884096</v>
      </c>
      <c r="BE151" s="73">
        <f t="shared" si="470"/>
        <v>59444.418783207206</v>
      </c>
      <c r="BF151" s="87">
        <f>BF150+BF149</f>
        <v>59444.418783207162</v>
      </c>
      <c r="BG151" s="75">
        <f t="shared" si="470"/>
        <v>71165.184095225879</v>
      </c>
      <c r="BH151" s="73">
        <f t="shared" si="470"/>
        <v>60612.976797592644</v>
      </c>
      <c r="BI151" s="73">
        <f t="shared" si="470"/>
        <v>67712.853061970687</v>
      </c>
      <c r="BJ151" s="73">
        <f t="shared" si="470"/>
        <v>51423.014948841235</v>
      </c>
      <c r="BK151" s="87">
        <f>BK150+BK149</f>
        <v>51423.01494884125</v>
      </c>
      <c r="BL151" s="75">
        <f t="shared" si="470"/>
        <v>81716.192102082103</v>
      </c>
      <c r="BM151" s="73">
        <f t="shared" si="470"/>
        <v>45488.042137845754</v>
      </c>
      <c r="BN151" s="73">
        <f t="shared" si="470"/>
        <v>77789.669329874218</v>
      </c>
      <c r="BO151" s="73">
        <f t="shared" si="470"/>
        <v>27289.493971519587</v>
      </c>
      <c r="BP151" s="87">
        <f>BP150+BP149</f>
        <v>27289.493971519594</v>
      </c>
      <c r="BQ151" s="75">
        <f t="shared" si="470"/>
        <v>93550.477762301816</v>
      </c>
      <c r="BR151" s="73">
        <f t="shared" si="470"/>
        <v>9719.8106707371335</v>
      </c>
      <c r="BS151" s="73">
        <f t="shared" si="470"/>
        <v>90026.950236306686</v>
      </c>
      <c r="BT151" s="73">
        <f t="shared" si="470"/>
        <v>-19592.679326771744</v>
      </c>
      <c r="BU151" s="87">
        <f>BU150+BU149</f>
        <v>-19592.6793267717</v>
      </c>
    </row>
    <row r="152" spans="2:73" ht="16.2" hidden="1" outlineLevel="1" x14ac:dyDescent="0.45">
      <c r="B152" s="370" t="s">
        <v>62</v>
      </c>
      <c r="C152" s="374"/>
      <c r="D152" s="94"/>
      <c r="E152" s="95"/>
      <c r="F152" s="95"/>
      <c r="G152" s="96"/>
      <c r="H152" s="122">
        <f>H127-(-H134)+(-H21*(1-H38))</f>
        <v>16472.847087378639</v>
      </c>
      <c r="I152" s="94"/>
      <c r="J152" s="95"/>
      <c r="K152" s="95"/>
      <c r="L152" s="96"/>
      <c r="M152" s="122">
        <f>M127-(-M134)+(-M21*(1-M38))</f>
        <v>32954.495395410027</v>
      </c>
      <c r="N152" s="94"/>
      <c r="O152" s="95"/>
      <c r="P152" s="95"/>
      <c r="Q152" s="96"/>
      <c r="R152" s="122">
        <f>R127-(-R134)+(-R21*(1-R38))</f>
        <v>42170.335473342537</v>
      </c>
      <c r="S152" s="94"/>
      <c r="T152" s="95"/>
      <c r="U152" s="95"/>
      <c r="V152" s="96"/>
      <c r="W152" s="122">
        <f>W127-(-W134)+(-W21*(1-W38))</f>
        <v>44647.35087229588</v>
      </c>
      <c r="X152" s="94"/>
      <c r="Y152" s="95"/>
      <c r="Z152" s="95"/>
      <c r="AA152" s="96"/>
      <c r="AB152" s="122">
        <f>AB127-(-AB134)+(-AB21*(1-AB38))</f>
        <v>49418.035375726868</v>
      </c>
      <c r="AC152" s="94"/>
      <c r="AD152" s="95"/>
      <c r="AE152" s="95"/>
      <c r="AF152" s="95"/>
      <c r="AG152" s="122">
        <f>AG127-(-AG134)+($C$195*AG76*(1-$C$196))</f>
        <v>70937.012042728675</v>
      </c>
      <c r="AH152" s="94"/>
      <c r="AI152" s="95"/>
      <c r="AJ152" s="95"/>
      <c r="AK152" s="95"/>
      <c r="AL152" s="122">
        <f>AL127-(-AL134)+($C$195*AL76*(1-$C$196))</f>
        <v>54385.155422383614</v>
      </c>
      <c r="AM152" s="94"/>
      <c r="AN152" s="95"/>
      <c r="AO152" s="344"/>
      <c r="AP152" s="344"/>
      <c r="AQ152" s="122">
        <f>AQ127-(-AQ134)+($C$195*AQ76*(1-$C$196))</f>
        <v>53443.139341928538</v>
      </c>
      <c r="AR152" s="95"/>
      <c r="AS152" s="95"/>
      <c r="AT152" s="95"/>
      <c r="AU152" s="95"/>
      <c r="AV152" s="122">
        <f>AV127-(-AV134)+($C$195*AV76*(1-$C$196))</f>
        <v>65730.521703330742</v>
      </c>
      <c r="AW152" s="95"/>
      <c r="AX152" s="95"/>
      <c r="AY152" s="95"/>
      <c r="AZ152" s="95"/>
      <c r="BA152" s="122">
        <f>BA127-(-BA134)+($C$195*BA76*(1-$C$196))</f>
        <v>61523.796906765361</v>
      </c>
      <c r="BB152" s="94"/>
      <c r="BC152" s="95"/>
      <c r="BD152" s="95"/>
      <c r="BE152" s="95"/>
      <c r="BF152" s="122">
        <f>BF127-(-BF134)+($C$195*BF76*(1-$C$196))</f>
        <v>47645.699969416011</v>
      </c>
      <c r="BG152" s="94"/>
      <c r="BH152" s="95"/>
      <c r="BI152" s="95"/>
      <c r="BJ152" s="95"/>
      <c r="BK152" s="122">
        <f>BK127-(-BK134)+($C$195*BK76*(1-$C$196))</f>
        <v>38962.333686791535</v>
      </c>
      <c r="BL152" s="94"/>
      <c r="BM152" s="95"/>
      <c r="BN152" s="95"/>
      <c r="BO152" s="95"/>
      <c r="BP152" s="122">
        <f>BP127-(-BP134)+($C$195*BP76*(1-$C$196))</f>
        <v>21874.662240881706</v>
      </c>
      <c r="BQ152" s="94"/>
      <c r="BR152" s="95"/>
      <c r="BS152" s="95"/>
      <c r="BT152" s="95"/>
      <c r="BU152" s="122">
        <f>BU127-(-BU134)+($C$195*BU76*(1-$C$196))</f>
        <v>-3386.300080611325</v>
      </c>
    </row>
    <row r="153" spans="2:73" s="105" customFormat="1" hidden="1" outlineLevel="1" x14ac:dyDescent="0.3">
      <c r="B153" s="121" t="s">
        <v>190</v>
      </c>
      <c r="C153" s="119"/>
      <c r="D153" s="94"/>
      <c r="E153" s="95"/>
      <c r="F153" s="95"/>
      <c r="G153" s="95"/>
      <c r="H153" s="122"/>
      <c r="I153" s="95"/>
      <c r="J153" s="95"/>
      <c r="K153" s="95"/>
      <c r="L153" s="95"/>
      <c r="M153" s="122"/>
      <c r="N153" s="95"/>
      <c r="O153" s="95"/>
      <c r="P153" s="95"/>
      <c r="Q153" s="95"/>
      <c r="R153" s="122"/>
      <c r="S153" s="95"/>
      <c r="T153" s="95"/>
      <c r="U153" s="95"/>
      <c r="V153" s="95"/>
      <c r="W153" s="122"/>
      <c r="X153" s="95"/>
      <c r="Y153" s="95"/>
      <c r="Z153" s="95"/>
      <c r="AA153" s="95"/>
      <c r="AB153" s="122"/>
      <c r="AC153" s="95"/>
      <c r="AD153" s="95"/>
      <c r="AE153" s="95"/>
      <c r="AF153" s="95"/>
      <c r="AG153" s="122">
        <v>0</v>
      </c>
      <c r="AH153" s="95"/>
      <c r="AI153" s="95"/>
      <c r="AJ153" s="95"/>
      <c r="AK153" s="95"/>
      <c r="AL153" s="122">
        <v>0</v>
      </c>
      <c r="AM153" s="95"/>
      <c r="AN153" s="95"/>
      <c r="AO153" s="345"/>
      <c r="AP153" s="345"/>
      <c r="AQ153" s="122">
        <v>0</v>
      </c>
      <c r="AR153" s="95"/>
      <c r="AS153" s="95"/>
      <c r="AT153" s="95"/>
      <c r="AU153" s="95"/>
      <c r="AV153" s="122">
        <v>0</v>
      </c>
      <c r="AW153" s="95"/>
      <c r="AX153" s="95"/>
      <c r="AY153" s="95"/>
      <c r="AZ153" s="95"/>
      <c r="BA153" s="122">
        <v>0</v>
      </c>
      <c r="BB153" s="95"/>
      <c r="BC153" s="95"/>
      <c r="BD153" s="95"/>
      <c r="BE153" s="95"/>
      <c r="BF153" s="122">
        <v>0</v>
      </c>
      <c r="BG153" s="95"/>
      <c r="BH153" s="95"/>
      <c r="BI153" s="95"/>
      <c r="BJ153" s="95"/>
      <c r="BK153" s="122">
        <v>0</v>
      </c>
      <c r="BL153" s="95"/>
      <c r="BM153" s="95"/>
      <c r="BN153" s="95"/>
      <c r="BO153" s="95"/>
      <c r="BP153" s="122">
        <v>0</v>
      </c>
      <c r="BQ153" s="95"/>
      <c r="BR153" s="95"/>
      <c r="BS153" s="95"/>
      <c r="BT153" s="95"/>
      <c r="BU153" s="122">
        <v>0</v>
      </c>
    </row>
    <row r="154" spans="2:73" hidden="1" outlineLevel="1" x14ac:dyDescent="0.3">
      <c r="B154" s="370" t="s">
        <v>63</v>
      </c>
      <c r="C154" s="371"/>
      <c r="D154" s="94"/>
      <c r="E154" s="95"/>
      <c r="F154" s="95"/>
      <c r="G154" s="95"/>
      <c r="H154" s="122"/>
      <c r="I154" s="95"/>
      <c r="J154" s="95"/>
      <c r="K154" s="95"/>
      <c r="L154" s="95"/>
      <c r="M154" s="122"/>
      <c r="N154" s="95"/>
      <c r="O154" s="95"/>
      <c r="P154" s="95"/>
      <c r="Q154" s="95"/>
      <c r="R154" s="122"/>
      <c r="S154" s="95"/>
      <c r="T154" s="95"/>
      <c r="U154" s="95"/>
      <c r="V154" s="95"/>
      <c r="W154" s="122"/>
      <c r="X154" s="95"/>
      <c r="Y154" s="95"/>
      <c r="Z154" s="95"/>
      <c r="AA154" s="95"/>
      <c r="AB154" s="122"/>
      <c r="AC154" s="95"/>
      <c r="AD154" s="95"/>
      <c r="AE154" s="95"/>
      <c r="AF154" s="95"/>
      <c r="AG154" s="122">
        <f>AG152/(1+$C$198)^AG153</f>
        <v>70937.012042728675</v>
      </c>
      <c r="AH154" s="95"/>
      <c r="AI154" s="95"/>
      <c r="AJ154" s="95"/>
      <c r="AK154" s="95"/>
      <c r="AL154" s="122">
        <f>AL152/(1+$C$198)^AL153</f>
        <v>54385.155422383614</v>
      </c>
      <c r="AM154" s="95"/>
      <c r="AN154" s="95"/>
      <c r="AO154" s="347"/>
      <c r="AP154" s="347"/>
      <c r="AQ154" s="122">
        <f>AQ152/(1+$C$198)^AQ153</f>
        <v>53443.139341928538</v>
      </c>
      <c r="AR154" s="95"/>
      <c r="AS154" s="95"/>
      <c r="AT154" s="95"/>
      <c r="AU154" s="95"/>
      <c r="AV154" s="122">
        <f>AV152/(1+$C$198)^AV153</f>
        <v>65730.521703330742</v>
      </c>
      <c r="AW154" s="95"/>
      <c r="AX154" s="95"/>
      <c r="AY154" s="95"/>
      <c r="AZ154" s="95"/>
      <c r="BA154" s="122">
        <f>BA152/(1+$C$198)^BA153</f>
        <v>61523.796906765361</v>
      </c>
      <c r="BB154" s="95"/>
      <c r="BC154" s="95"/>
      <c r="BD154" s="95"/>
      <c r="BE154" s="95"/>
      <c r="BF154" s="122">
        <f>BF152/(1+$C$198)^BF153</f>
        <v>47645.699969416011</v>
      </c>
      <c r="BG154" s="95"/>
      <c r="BH154" s="95"/>
      <c r="BI154" s="95"/>
      <c r="BJ154" s="95"/>
      <c r="BK154" s="122">
        <f>BK152/(1+$C$198)^BK153</f>
        <v>38962.333686791535</v>
      </c>
      <c r="BL154" s="95"/>
      <c r="BM154" s="95"/>
      <c r="BN154" s="95"/>
      <c r="BO154" s="95"/>
      <c r="BP154" s="122">
        <f>BP152/(1+$C$198)^BP153</f>
        <v>21874.662240881706</v>
      </c>
      <c r="BQ154" s="95"/>
      <c r="BR154" s="95"/>
      <c r="BS154" s="95"/>
      <c r="BT154" s="95"/>
      <c r="BU154" s="122">
        <f>BU152/(1+$C$198)^BU153</f>
        <v>-3386.300080611325</v>
      </c>
    </row>
    <row r="155" spans="2:73" s="132" customFormat="1" hidden="1" outlineLevel="1" x14ac:dyDescent="0.3">
      <c r="B155" s="188" t="s">
        <v>250</v>
      </c>
      <c r="C155" s="189"/>
      <c r="D155" s="302"/>
      <c r="E155" s="233"/>
      <c r="F155" s="233"/>
      <c r="G155" s="233"/>
      <c r="H155" s="304"/>
      <c r="I155" s="233"/>
      <c r="J155" s="233"/>
      <c r="K155" s="233"/>
      <c r="L155" s="233"/>
      <c r="M155" s="304"/>
      <c r="N155" s="233"/>
      <c r="O155" s="233"/>
      <c r="P155" s="233"/>
      <c r="Q155" s="233"/>
      <c r="R155" s="304"/>
      <c r="S155" s="233"/>
      <c r="T155" s="233"/>
      <c r="U155" s="233"/>
      <c r="V155" s="233"/>
      <c r="W155" s="304"/>
      <c r="X155" s="233"/>
      <c r="Y155" s="233"/>
      <c r="Z155" s="233"/>
      <c r="AA155" s="233"/>
      <c r="AB155" s="304"/>
      <c r="AC155" s="233"/>
      <c r="AD155" s="233"/>
      <c r="AE155" s="233"/>
      <c r="AF155" s="233"/>
      <c r="AG155" s="304"/>
      <c r="AH155" s="233"/>
      <c r="AI155" s="233"/>
      <c r="AJ155" s="233"/>
      <c r="AK155" s="233"/>
      <c r="AL155" s="304"/>
      <c r="AM155" s="233"/>
      <c r="AN155" s="233"/>
      <c r="AO155" s="347"/>
      <c r="AP155" s="347"/>
      <c r="AQ155" s="304"/>
      <c r="AR155" s="233"/>
      <c r="AS155" s="233"/>
      <c r="AT155" s="233"/>
      <c r="AU155" s="233"/>
      <c r="AV155" s="304"/>
      <c r="AW155" s="233"/>
      <c r="AX155" s="233"/>
      <c r="AY155" s="233"/>
      <c r="AZ155" s="233"/>
      <c r="BA155" s="304"/>
      <c r="BB155" s="233"/>
      <c r="BC155" s="233"/>
      <c r="BD155" s="233"/>
      <c r="BE155" s="233"/>
      <c r="BF155" s="304"/>
      <c r="BG155" s="233"/>
      <c r="BH155" s="233"/>
      <c r="BI155" s="233"/>
      <c r="BJ155" s="233"/>
      <c r="BK155" s="304"/>
      <c r="BL155" s="233"/>
      <c r="BM155" s="233"/>
      <c r="BN155" s="233"/>
      <c r="BO155" s="233"/>
      <c r="BP155" s="304"/>
      <c r="BQ155" s="233"/>
      <c r="BR155" s="233"/>
      <c r="BS155" s="233"/>
      <c r="BT155" s="233"/>
      <c r="BU155" s="304"/>
    </row>
    <row r="156" spans="2:73" s="33" customFormat="1" hidden="1" outlineLevel="1" x14ac:dyDescent="0.3">
      <c r="B156" s="186" t="s">
        <v>247</v>
      </c>
      <c r="C156" s="187"/>
      <c r="D156" s="94"/>
      <c r="E156" s="95"/>
      <c r="F156" s="95"/>
      <c r="G156" s="96"/>
      <c r="H156" s="122"/>
      <c r="I156" s="94"/>
      <c r="J156" s="95"/>
      <c r="K156" s="95"/>
      <c r="L156" s="96"/>
      <c r="M156" s="122"/>
      <c r="N156" s="94"/>
      <c r="O156" s="95"/>
      <c r="P156" s="95"/>
      <c r="Q156" s="96"/>
      <c r="R156" s="122"/>
      <c r="S156" s="94"/>
      <c r="T156" s="95"/>
      <c r="U156" s="95"/>
      <c r="V156" s="96"/>
      <c r="W156" s="122"/>
      <c r="X156" s="94"/>
      <c r="Y156" s="95"/>
      <c r="Z156" s="95"/>
      <c r="AA156" s="96"/>
      <c r="AB156" s="122">
        <v>137100</v>
      </c>
      <c r="AC156" s="346">
        <v>157800</v>
      </c>
      <c r="AD156" s="347">
        <v>171300</v>
      </c>
      <c r="AE156" s="347">
        <v>181100</v>
      </c>
      <c r="AF156" s="347">
        <v>186900</v>
      </c>
      <c r="AG156" s="122">
        <f>AF156</f>
        <v>186900</v>
      </c>
      <c r="AH156" s="94">
        <v>200100</v>
      </c>
      <c r="AI156" s="95">
        <v>208900</v>
      </c>
      <c r="AJ156" s="95">
        <v>214900</v>
      </c>
      <c r="AK156" s="95">
        <v>216000</v>
      </c>
      <c r="AL156" s="122">
        <f>AK156</f>
        <v>216000</v>
      </c>
      <c r="AM156" s="94">
        <v>230200</v>
      </c>
      <c r="AN156" s="95">
        <v>239600</v>
      </c>
      <c r="AO156" s="347">
        <v>246000</v>
      </c>
      <c r="AP156" s="347">
        <v>252300</v>
      </c>
      <c r="AQ156" s="122">
        <f>AP156</f>
        <v>252300</v>
      </c>
      <c r="AR156" s="95">
        <v>0</v>
      </c>
      <c r="AS156" s="95">
        <v>0</v>
      </c>
      <c r="AT156" s="95">
        <v>0</v>
      </c>
      <c r="AU156" s="95">
        <v>0</v>
      </c>
      <c r="AV156" s="122">
        <f>AU156</f>
        <v>0</v>
      </c>
      <c r="AW156" s="95">
        <v>0</v>
      </c>
      <c r="AX156" s="95">
        <v>0</v>
      </c>
      <c r="AY156" s="95">
        <v>0</v>
      </c>
      <c r="AZ156" s="95">
        <v>0</v>
      </c>
      <c r="BA156" s="122">
        <f>AZ156</f>
        <v>0</v>
      </c>
      <c r="BB156" s="94">
        <f>(BB54+BB55+BB62)*BB157</f>
        <v>0</v>
      </c>
      <c r="BC156" s="95">
        <f t="shared" ref="BC156:BD156" si="472">(BC54+BC55+BC62)*BC157</f>
        <v>0</v>
      </c>
      <c r="BD156" s="95">
        <f t="shared" si="472"/>
        <v>0</v>
      </c>
      <c r="BE156" s="95">
        <f>(BE54+BE55+BE62)*BE157</f>
        <v>0</v>
      </c>
      <c r="BF156" s="122">
        <f>BE156</f>
        <v>0</v>
      </c>
      <c r="BG156" s="94">
        <f>(BG54+BG55+BG62)*BG157</f>
        <v>0</v>
      </c>
      <c r="BH156" s="95">
        <f t="shared" ref="BH156" si="473">(BH54+BH55+BH62)*BH157</f>
        <v>0</v>
      </c>
      <c r="BI156" s="95">
        <f>(BI54+BI55+BI62)*BI157</f>
        <v>0</v>
      </c>
      <c r="BJ156" s="95">
        <f>(BJ54+BJ55+BJ62)*BJ157</f>
        <v>0</v>
      </c>
      <c r="BK156" s="122">
        <f>BJ156</f>
        <v>0</v>
      </c>
      <c r="BL156" s="94">
        <f>(BL54+BL55+BL62)*BL157</f>
        <v>0</v>
      </c>
      <c r="BM156" s="95">
        <f t="shared" ref="BM156" si="474">(BM54+BM55+BM62)*BM157</f>
        <v>0</v>
      </c>
      <c r="BN156" s="95">
        <f>(BN54+BN55+BN62)*BN157</f>
        <v>0</v>
      </c>
      <c r="BO156" s="95">
        <f>(BO54+BO55+BO62)*BO157</f>
        <v>0</v>
      </c>
      <c r="BP156" s="122">
        <f>BO156</f>
        <v>0</v>
      </c>
      <c r="BQ156" s="94">
        <f>(BQ54+BQ55+BQ62)*BQ157</f>
        <v>0</v>
      </c>
      <c r="BR156" s="95">
        <f t="shared" ref="BR156" si="475">(BR54+BR55+BR62)*BR157</f>
        <v>0</v>
      </c>
      <c r="BS156" s="95">
        <f>(BS54+BS55+BS62)*BS157</f>
        <v>0</v>
      </c>
      <c r="BT156" s="95">
        <f>(BT54+BT55+BT62)*BT157</f>
        <v>0</v>
      </c>
      <c r="BU156" s="122">
        <f>BT156</f>
        <v>0</v>
      </c>
    </row>
    <row r="157" spans="2:73" s="33" customFormat="1" hidden="1" outlineLevel="1" x14ac:dyDescent="0.3">
      <c r="B157" s="186" t="s">
        <v>284</v>
      </c>
      <c r="C157" s="187"/>
      <c r="D157" s="94"/>
      <c r="E157" s="95"/>
      <c r="F157" s="95"/>
      <c r="G157" s="96"/>
      <c r="H157" s="122"/>
      <c r="I157" s="94"/>
      <c r="J157" s="95"/>
      <c r="K157" s="95"/>
      <c r="L157" s="96"/>
      <c r="M157" s="122"/>
      <c r="N157" s="94"/>
      <c r="O157" s="95"/>
      <c r="P157" s="95"/>
      <c r="Q157" s="96"/>
      <c r="R157" s="122"/>
      <c r="S157" s="94"/>
      <c r="T157" s="95"/>
      <c r="U157" s="95"/>
      <c r="V157" s="96"/>
      <c r="W157" s="122"/>
      <c r="X157" s="94"/>
      <c r="Y157" s="95"/>
      <c r="Z157" s="95"/>
      <c r="AA157" s="96"/>
      <c r="AB157" s="348">
        <f t="shared" ref="AB157:AN157" si="476">AB156/(AB54+AB55+AB62)</f>
        <v>0.88315436198377983</v>
      </c>
      <c r="AC157" s="349">
        <f t="shared" si="476"/>
        <v>0.88674103003568316</v>
      </c>
      <c r="AD157" s="350">
        <f t="shared" si="476"/>
        <v>0.88509292700695985</v>
      </c>
      <c r="AE157" s="350">
        <f t="shared" si="476"/>
        <v>0.8927867171478151</v>
      </c>
      <c r="AF157" s="350">
        <f t="shared" si="476"/>
        <v>0.90875497165306862</v>
      </c>
      <c r="AG157" s="348">
        <f t="shared" si="476"/>
        <v>0.90875497165306862</v>
      </c>
      <c r="AH157" s="254">
        <f t="shared" si="476"/>
        <v>0.92750962969143269</v>
      </c>
      <c r="AI157" s="351">
        <f t="shared" si="476"/>
        <v>0.8968436598433851</v>
      </c>
      <c r="AJ157" s="351">
        <f t="shared" si="476"/>
        <v>0.9282135452660677</v>
      </c>
      <c r="AK157" s="351">
        <f t="shared" si="476"/>
        <v>0.90914830481722331</v>
      </c>
      <c r="AL157" s="348">
        <f t="shared" si="476"/>
        <v>0.90914830481722331</v>
      </c>
      <c r="AM157" s="254">
        <f t="shared" si="476"/>
        <v>0.93543012718923968</v>
      </c>
      <c r="AN157" s="351">
        <f t="shared" si="476"/>
        <v>0.93287286687094351</v>
      </c>
      <c r="AO157" s="351">
        <f t="shared" ref="AO157:AP157" si="477">AO156/(AO54+AO55+AO62)</f>
        <v>0.92824584176049751</v>
      </c>
      <c r="AP157" s="351">
        <f t="shared" si="477"/>
        <v>0.93828446047713787</v>
      </c>
      <c r="AQ157" s="348">
        <f t="shared" ref="AQ157:AU157" si="478">AQ156/(AQ54+AQ55+AQ62)</f>
        <v>0.93828446047713787</v>
      </c>
      <c r="AR157" s="254">
        <f t="shared" si="478"/>
        <v>0</v>
      </c>
      <c r="AS157" s="351">
        <f t="shared" si="478"/>
        <v>0</v>
      </c>
      <c r="AT157" s="351">
        <f t="shared" si="478"/>
        <v>0</v>
      </c>
      <c r="AU157" s="351">
        <f t="shared" si="478"/>
        <v>0</v>
      </c>
      <c r="AV157" s="348">
        <f t="shared" ref="AV157" si="479">AV156/(AV54+AV55+AV62)</f>
        <v>0</v>
      </c>
      <c r="AW157" s="254">
        <f t="shared" ref="AW157:AY157" si="480">AW156/(AW54+AW55+AW62)</f>
        <v>0</v>
      </c>
      <c r="AX157" s="351">
        <f t="shared" si="480"/>
        <v>0</v>
      </c>
      <c r="AY157" s="351">
        <f t="shared" si="480"/>
        <v>0</v>
      </c>
      <c r="AZ157" s="351">
        <f>AY157</f>
        <v>0</v>
      </c>
      <c r="BA157" s="348">
        <f t="shared" ref="BA157" si="481">BA156/(BA54+BA55+BA62)</f>
        <v>0</v>
      </c>
      <c r="BB157" s="254">
        <f>AZ157</f>
        <v>0</v>
      </c>
      <c r="BC157" s="351">
        <f t="shared" ref="BC157" si="482">BB157</f>
        <v>0</v>
      </c>
      <c r="BD157" s="351">
        <f>BC157</f>
        <v>0</v>
      </c>
      <c r="BE157" s="351">
        <f>BD157</f>
        <v>0</v>
      </c>
      <c r="BF157" s="348">
        <f t="shared" ref="BF157" si="483">BF156/(BF54+BF55+BF62)</f>
        <v>0</v>
      </c>
      <c r="BG157" s="254">
        <f>BE157</f>
        <v>0</v>
      </c>
      <c r="BH157" s="351">
        <f t="shared" ref="BH157" si="484">BG157</f>
        <v>0</v>
      </c>
      <c r="BI157" s="351">
        <f>BH157</f>
        <v>0</v>
      </c>
      <c r="BJ157" s="351">
        <f>BI157</f>
        <v>0</v>
      </c>
      <c r="BK157" s="348">
        <f t="shared" ref="BK157" si="485">BK156/(BK54+BK55+BK62)</f>
        <v>0</v>
      </c>
      <c r="BL157" s="254">
        <f>BJ157</f>
        <v>0</v>
      </c>
      <c r="BM157" s="351">
        <f t="shared" ref="BM157" si="486">BL157</f>
        <v>0</v>
      </c>
      <c r="BN157" s="351">
        <f>BM157</f>
        <v>0</v>
      </c>
      <c r="BO157" s="351">
        <f>BN157</f>
        <v>0</v>
      </c>
      <c r="BP157" s="348">
        <f t="shared" ref="BP157" si="487">BP156/(BP54+BP55+BP62)</f>
        <v>0</v>
      </c>
      <c r="BQ157" s="254">
        <f>BO157</f>
        <v>0</v>
      </c>
      <c r="BR157" s="351">
        <f t="shared" ref="BR157" si="488">BQ157</f>
        <v>0</v>
      </c>
      <c r="BS157" s="351">
        <f>BR157</f>
        <v>0</v>
      </c>
      <c r="BT157" s="351">
        <f>BS157</f>
        <v>0</v>
      </c>
      <c r="BU157" s="348">
        <f t="shared" ref="BU157" si="489">BU156/(BU54+BU55+BU62)</f>
        <v>0</v>
      </c>
    </row>
    <row r="158" spans="2:73" s="33" customFormat="1" hidden="1" outlineLevel="1" x14ac:dyDescent="0.3">
      <c r="B158" s="360" t="s">
        <v>285</v>
      </c>
      <c r="C158" s="361"/>
      <c r="D158" s="94"/>
      <c r="E158" s="95"/>
      <c r="F158" s="95"/>
      <c r="G158" s="96"/>
      <c r="H158" s="122"/>
      <c r="I158" s="94"/>
      <c r="J158" s="95"/>
      <c r="K158" s="95"/>
      <c r="L158" s="96"/>
      <c r="M158" s="122"/>
      <c r="N158" s="94"/>
      <c r="O158" s="95"/>
      <c r="P158" s="95"/>
      <c r="Q158" s="96"/>
      <c r="R158" s="122"/>
      <c r="S158" s="94"/>
      <c r="T158" s="95"/>
      <c r="U158" s="95"/>
      <c r="V158" s="96"/>
      <c r="W158" s="122"/>
      <c r="X158" s="94"/>
      <c r="Y158" s="95"/>
      <c r="Z158" s="95"/>
      <c r="AA158" s="96"/>
      <c r="AB158" s="122">
        <v>21544</v>
      </c>
      <c r="AC158" s="94">
        <f>AC156*AC159</f>
        <v>23670</v>
      </c>
      <c r="AD158" s="95">
        <f>AD156*AD159</f>
        <v>25695</v>
      </c>
      <c r="AE158" s="95">
        <f>AE156*AE159</f>
        <v>27165</v>
      </c>
      <c r="AF158" s="96">
        <f>AF156*AF159</f>
        <v>28035</v>
      </c>
      <c r="AG158" s="122">
        <v>26868</v>
      </c>
      <c r="AH158" s="94">
        <f>AH156*AH159</f>
        <v>30015</v>
      </c>
      <c r="AI158" s="95">
        <f>AI156*AI159</f>
        <v>31335</v>
      </c>
      <c r="AJ158" s="95">
        <f>AJ156*AJ159</f>
        <v>32235</v>
      </c>
      <c r="AK158" s="96">
        <f>AK156*AK159</f>
        <v>32400</v>
      </c>
      <c r="AL158" s="122">
        <v>31436</v>
      </c>
      <c r="AM158" s="94">
        <f>AM156*AM159</f>
        <v>34530</v>
      </c>
      <c r="AN158" s="95">
        <f>AN156*AN159</f>
        <v>35940</v>
      </c>
      <c r="AO158" s="95">
        <f t="shared" ref="AO158:AP158" si="490">AO156*AO159</f>
        <v>36900</v>
      </c>
      <c r="AP158" s="95">
        <f t="shared" si="490"/>
        <v>37845</v>
      </c>
      <c r="AQ158" s="122">
        <v>26868</v>
      </c>
      <c r="AR158" s="94">
        <f>AR156*AR159</f>
        <v>0</v>
      </c>
      <c r="AS158" s="95">
        <f>AS156*AS159</f>
        <v>0</v>
      </c>
      <c r="AT158" s="95">
        <f t="shared" ref="AT158" si="491">AT156*AT159</f>
        <v>0</v>
      </c>
      <c r="AU158" s="95">
        <f t="shared" ref="AU158" si="492">AU156*AU159</f>
        <v>0</v>
      </c>
      <c r="AV158" s="122">
        <v>26868</v>
      </c>
      <c r="AW158" s="94">
        <f>AW156*AW159</f>
        <v>0</v>
      </c>
      <c r="AX158" s="95">
        <f>AX156*AX159</f>
        <v>0</v>
      </c>
      <c r="AY158" s="95">
        <f t="shared" ref="AY158" si="493">AY156*AY159</f>
        <v>0</v>
      </c>
      <c r="AZ158" s="95">
        <f>AZ156*AZ159</f>
        <v>0</v>
      </c>
      <c r="BA158" s="122">
        <v>26868</v>
      </c>
      <c r="BB158" s="94">
        <f>BB156*BB159</f>
        <v>0</v>
      </c>
      <c r="BC158" s="95">
        <f t="shared" ref="BC158" si="494">BC156*BC159</f>
        <v>0</v>
      </c>
      <c r="BD158" s="95">
        <f>BD156*BD159</f>
        <v>0</v>
      </c>
      <c r="BE158" s="95">
        <f>BE156*BE159</f>
        <v>0</v>
      </c>
      <c r="BF158" s="122">
        <v>26868</v>
      </c>
      <c r="BG158" s="94">
        <f>BG156*BG159</f>
        <v>0</v>
      </c>
      <c r="BH158" s="95">
        <f t="shared" ref="BH158" si="495">BH156*BH159</f>
        <v>0</v>
      </c>
      <c r="BI158" s="95">
        <f>BI156*BI159</f>
        <v>0</v>
      </c>
      <c r="BJ158" s="95">
        <f>BJ156*BJ159</f>
        <v>0</v>
      </c>
      <c r="BK158" s="122">
        <v>26868</v>
      </c>
      <c r="BL158" s="94">
        <f>BL156*BL159</f>
        <v>0</v>
      </c>
      <c r="BM158" s="95">
        <f t="shared" ref="BM158" si="496">BM156*BM159</f>
        <v>0</v>
      </c>
      <c r="BN158" s="95">
        <f>BN156*BN159</f>
        <v>0</v>
      </c>
      <c r="BO158" s="95">
        <f>BO156*BO159</f>
        <v>0</v>
      </c>
      <c r="BP158" s="122">
        <v>26868</v>
      </c>
      <c r="BQ158" s="94">
        <f>BQ156*BQ159</f>
        <v>0</v>
      </c>
      <c r="BR158" s="95">
        <f t="shared" ref="BR158" si="497">BR156*BR159</f>
        <v>0</v>
      </c>
      <c r="BS158" s="95">
        <f>BS156*BS159</f>
        <v>0</v>
      </c>
      <c r="BT158" s="95">
        <f>BT156*BT159</f>
        <v>0</v>
      </c>
      <c r="BU158" s="122">
        <v>26868</v>
      </c>
    </row>
    <row r="159" spans="2:73" s="33" customFormat="1" hidden="1" outlineLevel="1" x14ac:dyDescent="0.3">
      <c r="B159" s="360" t="s">
        <v>251</v>
      </c>
      <c r="C159" s="361"/>
      <c r="D159" s="94"/>
      <c r="E159" s="95"/>
      <c r="F159" s="95"/>
      <c r="G159" s="96"/>
      <c r="H159" s="122"/>
      <c r="I159" s="94"/>
      <c r="J159" s="95"/>
      <c r="K159" s="95"/>
      <c r="L159" s="96"/>
      <c r="M159" s="122"/>
      <c r="N159" s="94"/>
      <c r="O159" s="95"/>
      <c r="P159" s="95"/>
      <c r="Q159" s="96"/>
      <c r="R159" s="122"/>
      <c r="S159" s="94"/>
      <c r="T159" s="95"/>
      <c r="U159" s="95"/>
      <c r="V159" s="96"/>
      <c r="W159" s="122"/>
      <c r="X159" s="94"/>
      <c r="Y159" s="95"/>
      <c r="Z159" s="95"/>
      <c r="AA159" s="96"/>
      <c r="AB159" s="348">
        <f>AB158/AB156</f>
        <v>0.15714077315827862</v>
      </c>
      <c r="AC159" s="254">
        <v>0.15</v>
      </c>
      <c r="AD159" s="351">
        <v>0.15</v>
      </c>
      <c r="AE159" s="351">
        <v>0.15</v>
      </c>
      <c r="AF159" s="352">
        <v>0.15</v>
      </c>
      <c r="AG159" s="348">
        <f>AG158/AG156</f>
        <v>0.14375601926163725</v>
      </c>
      <c r="AH159" s="254">
        <v>0.15</v>
      </c>
      <c r="AI159" s="351">
        <v>0.15</v>
      </c>
      <c r="AJ159" s="351">
        <v>0.15</v>
      </c>
      <c r="AK159" s="352">
        <v>0.15</v>
      </c>
      <c r="AL159" s="348">
        <f>AL158/AL156</f>
        <v>0.14553703703703705</v>
      </c>
      <c r="AM159" s="254">
        <v>0.15</v>
      </c>
      <c r="AN159" s="351">
        <v>0.15</v>
      </c>
      <c r="AO159" s="351">
        <v>0.15</v>
      </c>
      <c r="AP159" s="351">
        <v>0.15</v>
      </c>
      <c r="AQ159" s="348">
        <f>AQ158/AQ156</f>
        <v>0.1064922711058264</v>
      </c>
      <c r="AR159" s="351">
        <v>0.15</v>
      </c>
      <c r="AS159" s="351">
        <v>0.15</v>
      </c>
      <c r="AT159" s="351">
        <v>0.15</v>
      </c>
      <c r="AU159" s="351">
        <v>0.15</v>
      </c>
      <c r="AV159" s="348" t="e">
        <f>AV158/AV156</f>
        <v>#DIV/0!</v>
      </c>
      <c r="AW159" s="351">
        <v>0.15</v>
      </c>
      <c r="AX159" s="351">
        <v>0.15</v>
      </c>
      <c r="AY159" s="351">
        <v>0.15</v>
      </c>
      <c r="AZ159" s="351">
        <v>0.15</v>
      </c>
      <c r="BA159" s="348" t="e">
        <f>BA158/BA156</f>
        <v>#DIV/0!</v>
      </c>
      <c r="BB159" s="254">
        <v>0.15</v>
      </c>
      <c r="BC159" s="351">
        <v>0.15</v>
      </c>
      <c r="BD159" s="351">
        <v>0.15</v>
      </c>
      <c r="BE159" s="351">
        <v>0.15</v>
      </c>
      <c r="BF159" s="348" t="e">
        <f>BF158/BF156</f>
        <v>#DIV/0!</v>
      </c>
      <c r="BG159" s="254">
        <v>0.15</v>
      </c>
      <c r="BH159" s="351">
        <v>0.15</v>
      </c>
      <c r="BI159" s="351">
        <v>0.15</v>
      </c>
      <c r="BJ159" s="351">
        <v>0.15</v>
      </c>
      <c r="BK159" s="348" t="e">
        <f>BK158/BK156</f>
        <v>#DIV/0!</v>
      </c>
      <c r="BL159" s="254">
        <v>0.15</v>
      </c>
      <c r="BM159" s="351">
        <v>0.15</v>
      </c>
      <c r="BN159" s="351">
        <v>0.15</v>
      </c>
      <c r="BO159" s="351">
        <v>0.15</v>
      </c>
      <c r="BP159" s="348" t="e">
        <f>BP158/BP156</f>
        <v>#DIV/0!</v>
      </c>
      <c r="BQ159" s="254">
        <v>0.15</v>
      </c>
      <c r="BR159" s="351">
        <v>0.15</v>
      </c>
      <c r="BS159" s="351">
        <v>0.15</v>
      </c>
      <c r="BT159" s="351">
        <v>0.15</v>
      </c>
      <c r="BU159" s="348" t="e">
        <f>BU158/BU156</f>
        <v>#DIV/0!</v>
      </c>
    </row>
    <row r="160" spans="2:73" s="33" customFormat="1" hidden="1" outlineLevel="1" x14ac:dyDescent="0.3">
      <c r="B160" s="186" t="s">
        <v>248</v>
      </c>
      <c r="C160" s="187"/>
      <c r="D160" s="353">
        <f t="shared" ref="D160:AN160" si="498">(D54+D55+D62-D76-D73)/D26</f>
        <v>43.29282015431901</v>
      </c>
      <c r="E160" s="100">
        <f t="shared" si="498"/>
        <v>40.270761682475907</v>
      </c>
      <c r="F160" s="100">
        <f t="shared" si="498"/>
        <v>44.058354837005226</v>
      </c>
      <c r="G160" s="354">
        <f t="shared" si="498"/>
        <v>48.985488171031044</v>
      </c>
      <c r="H160" s="217">
        <f t="shared" si="498"/>
        <v>49.182880723944322</v>
      </c>
      <c r="I160" s="353">
        <f t="shared" si="498"/>
        <v>56.412982208724394</v>
      </c>
      <c r="J160" s="100">
        <f t="shared" si="498"/>
        <v>61.8594702247143</v>
      </c>
      <c r="K160" s="100">
        <f t="shared" si="498"/>
        <v>71.450507032341307</v>
      </c>
      <c r="L160" s="354">
        <f t="shared" si="498"/>
        <v>76.08277194194892</v>
      </c>
      <c r="M160" s="217">
        <f t="shared" si="498"/>
        <v>76.304256148273893</v>
      </c>
      <c r="N160" s="353">
        <f t="shared" si="498"/>
        <v>91.090219335324335</v>
      </c>
      <c r="O160" s="100">
        <f t="shared" si="498"/>
        <v>101.83375260479228</v>
      </c>
      <c r="P160" s="100">
        <f t="shared" si="498"/>
        <v>107.34389304151061</v>
      </c>
      <c r="Q160" s="354">
        <f t="shared" si="498"/>
        <v>110.2801644896971</v>
      </c>
      <c r="R160" s="217">
        <f t="shared" si="498"/>
        <v>110.63251371178023</v>
      </c>
      <c r="S160" s="353">
        <f t="shared" si="498"/>
        <v>124.77288731093297</v>
      </c>
      <c r="T160" s="100">
        <f t="shared" si="498"/>
        <v>130.8820498184528</v>
      </c>
      <c r="U160" s="100">
        <f t="shared" si="498"/>
        <v>140.28660611404737</v>
      </c>
      <c r="V160" s="354">
        <f t="shared" si="498"/>
        <v>142.73254166733307</v>
      </c>
      <c r="W160" s="217">
        <f t="shared" si="498"/>
        <v>139.32198587041222</v>
      </c>
      <c r="X160" s="353">
        <f t="shared" si="498"/>
        <v>157.39163039185669</v>
      </c>
      <c r="Y160" s="100">
        <f t="shared" si="498"/>
        <v>151.93035355326947</v>
      </c>
      <c r="Z160" s="100">
        <f t="shared" si="498"/>
        <v>22.051614824303407</v>
      </c>
      <c r="AA160" s="354">
        <f t="shared" si="498"/>
        <v>20.117255980224705</v>
      </c>
      <c r="AB160" s="217">
        <f t="shared" si="498"/>
        <v>19.590168526342215</v>
      </c>
      <c r="AC160" s="353">
        <f t="shared" si="498"/>
        <v>24.066089938748373</v>
      </c>
      <c r="AD160" s="100">
        <f t="shared" si="498"/>
        <v>25.650667077073685</v>
      </c>
      <c r="AE160" s="100">
        <f t="shared" si="498"/>
        <v>25.710627862089321</v>
      </c>
      <c r="AF160" s="100">
        <f t="shared" si="498"/>
        <v>24.848839044796858</v>
      </c>
      <c r="AG160" s="217">
        <f t="shared" si="498"/>
        <v>24.374641786420746</v>
      </c>
      <c r="AH160" s="353">
        <f t="shared" si="498"/>
        <v>27.310070007348777</v>
      </c>
      <c r="AI160" s="100">
        <f t="shared" si="498"/>
        <v>27.623019134484988</v>
      </c>
      <c r="AJ160" s="100">
        <f t="shared" si="498"/>
        <v>26.784371601933277</v>
      </c>
      <c r="AK160" s="100">
        <f t="shared" si="498"/>
        <v>27.914649438482662</v>
      </c>
      <c r="AL160" s="217">
        <f t="shared" si="498"/>
        <v>27.371870540995467</v>
      </c>
      <c r="AM160" s="353">
        <f t="shared" si="498"/>
        <v>29.756221618075845</v>
      </c>
      <c r="AN160" s="100">
        <f t="shared" si="498"/>
        <v>30.089013259623147</v>
      </c>
      <c r="AO160" s="100">
        <f t="shared" ref="AO160:AP160" si="499">(AO54+AO55+AO62-AO76-AO73)/AO26</f>
        <v>29.940187273074717</v>
      </c>
      <c r="AP160" s="100">
        <f t="shared" si="499"/>
        <v>30.012732615083252</v>
      </c>
      <c r="AQ160" s="217">
        <f>(AQ54+AQ55+AQ62-AQ76-AQ73)/AQ26</f>
        <v>29.204219525064744</v>
      </c>
      <c r="AR160" s="353">
        <f>(AR54+AR55+AR62-AR76-AR73)/AR26</f>
        <v>31.542652190771616</v>
      </c>
      <c r="AS160" s="100">
        <f>(AS54+AS55+AS62-AS76-AS73)/AS26</f>
        <v>28.687056037884766</v>
      </c>
      <c r="AT160" s="100">
        <f t="shared" ref="AT160:AU160" si="500">(AT54+AT55+AT62-AT76-AT73)/AT26</f>
        <v>24.33265678912117</v>
      </c>
      <c r="AU160" s="100">
        <f t="shared" si="500"/>
        <v>25.705870020964362</v>
      </c>
      <c r="AV160" s="217">
        <f>(AV54+AV55+AV62-AV76-AV73)/AV26</f>
        <v>24.521708759607176</v>
      </c>
      <c r="AW160" s="353">
        <f>(AW54+AW55+AW62-AW76-AW73)/AW26</f>
        <v>27.30043997485858</v>
      </c>
      <c r="AX160" s="100">
        <f>(AX54+AX55+AX62-AX76-AX73)/AX26</f>
        <v>24.459148936170212</v>
      </c>
      <c r="AY160" s="100">
        <f t="shared" ref="AY160" si="501">(AY54+AY55+AY62-AY76-AY73)/AY26</f>
        <v>22.709193653553577</v>
      </c>
      <c r="AZ160" s="100">
        <f t="shared" ref="AZ160:BU160" si="502">(AZ54+AZ55+AZ62-AZ76-AZ73)/AZ26</f>
        <v>25.679432271400739</v>
      </c>
      <c r="BA160" s="217">
        <f t="shared" si="502"/>
        <v>24.695466811298012</v>
      </c>
      <c r="BB160" s="353">
        <f t="shared" si="502"/>
        <v>28.256460038247436</v>
      </c>
      <c r="BC160" s="100">
        <f t="shared" si="502"/>
        <v>28.650552020214899</v>
      </c>
      <c r="BD160" s="100">
        <f t="shared" si="502"/>
        <v>29.220343021696266</v>
      </c>
      <c r="BE160" s="100">
        <f t="shared" si="502"/>
        <v>28.939849079833692</v>
      </c>
      <c r="BF160" s="217">
        <f t="shared" si="502"/>
        <v>27.692126937969203</v>
      </c>
      <c r="BG160" s="353">
        <f t="shared" si="502"/>
        <v>33.688599802428499</v>
      </c>
      <c r="BH160" s="100">
        <f t="shared" si="502"/>
        <v>32.467966316351898</v>
      </c>
      <c r="BI160" s="100">
        <f t="shared" si="502"/>
        <v>35.429249485683748</v>
      </c>
      <c r="BJ160" s="100">
        <f t="shared" si="502"/>
        <v>30.317408823654528</v>
      </c>
      <c r="BK160" s="217">
        <f t="shared" si="502"/>
        <v>28.980657571276154</v>
      </c>
      <c r="BL160" s="353">
        <f t="shared" si="502"/>
        <v>41.315402650789771</v>
      </c>
      <c r="BM160" s="100">
        <f t="shared" si="502"/>
        <v>32.66130401181502</v>
      </c>
      <c r="BN160" s="100">
        <f t="shared" si="502"/>
        <v>43.458960725831616</v>
      </c>
      <c r="BO160" s="100">
        <f t="shared" si="502"/>
        <v>26.323355737665917</v>
      </c>
      <c r="BP160" s="217">
        <f t="shared" si="502"/>
        <v>25.134262904662876</v>
      </c>
      <c r="BQ160" s="353">
        <f t="shared" si="502"/>
        <v>50.606466723166228</v>
      </c>
      <c r="BR160" s="100">
        <f t="shared" si="502"/>
        <v>24.960469398667371</v>
      </c>
      <c r="BS160" s="100">
        <f t="shared" si="502"/>
        <v>53.324893245609985</v>
      </c>
      <c r="BT160" s="100">
        <f t="shared" si="502"/>
        <v>11.797657760388038</v>
      </c>
      <c r="BU160" s="217">
        <f t="shared" si="502"/>
        <v>11.247062139505561</v>
      </c>
    </row>
    <row r="161" spans="2:73" hidden="1" outlineLevel="1" x14ac:dyDescent="0.3">
      <c r="B161" s="396" t="s">
        <v>249</v>
      </c>
      <c r="C161" s="400"/>
      <c r="D161" s="355"/>
      <c r="E161" s="356"/>
      <c r="F161" s="356"/>
      <c r="G161" s="357"/>
      <c r="H161" s="358"/>
      <c r="I161" s="355"/>
      <c r="J161" s="356"/>
      <c r="K161" s="356"/>
      <c r="L161" s="357"/>
      <c r="M161" s="358"/>
      <c r="N161" s="355"/>
      <c r="O161" s="356"/>
      <c r="P161" s="356"/>
      <c r="Q161" s="357"/>
      <c r="R161" s="358"/>
      <c r="S161" s="355"/>
      <c r="T161" s="356"/>
      <c r="U161" s="356"/>
      <c r="V161" s="357"/>
      <c r="W161" s="358"/>
      <c r="X161" s="355"/>
      <c r="Y161" s="356"/>
      <c r="Z161" s="356"/>
      <c r="AA161" s="357"/>
      <c r="AB161" s="358">
        <f t="shared" ref="AB161:AN161" si="503">AB158/AB26</f>
        <v>3.5187303302500892</v>
      </c>
      <c r="AC161" s="355">
        <f t="shared" si="503"/>
        <v>4.0242762295847037</v>
      </c>
      <c r="AD161" s="356">
        <f t="shared" si="503"/>
        <v>4.4037061398923507</v>
      </c>
      <c r="AE161" s="356">
        <f t="shared" si="503"/>
        <v>4.7054450304766986</v>
      </c>
      <c r="AF161" s="357">
        <f t="shared" si="503"/>
        <v>4.9335514760267412</v>
      </c>
      <c r="AG161" s="358">
        <f t="shared" si="503"/>
        <v>4.6379555502503651</v>
      </c>
      <c r="AH161" s="355">
        <f t="shared" si="503"/>
        <v>5.3654484426256319</v>
      </c>
      <c r="AI161" s="356">
        <f t="shared" si="503"/>
        <v>5.6552327551947466</v>
      </c>
      <c r="AJ161" s="356">
        <f t="shared" si="503"/>
        <v>5.8900584547417481</v>
      </c>
      <c r="AK161" s="357">
        <f t="shared" si="503"/>
        <v>6.0074169349454225</v>
      </c>
      <c r="AL161" s="358">
        <f t="shared" si="503"/>
        <v>5.7153435821719496</v>
      </c>
      <c r="AM161" s="355">
        <f t="shared" si="503"/>
        <v>6.4808619377458125</v>
      </c>
      <c r="AN161" s="356">
        <f t="shared" si="503"/>
        <v>6.8305076241692779</v>
      </c>
      <c r="AO161" s="356">
        <f t="shared" ref="AO161:AP161" si="504">AO158/AO26</f>
        <v>7.0514045480603862</v>
      </c>
      <c r="AP161" s="356">
        <f t="shared" si="504"/>
        <v>7.4133202742409399</v>
      </c>
      <c r="AQ161" s="358">
        <f>AQ158/AQ26</f>
        <v>5.1212934125212248</v>
      </c>
      <c r="AR161" s="355">
        <f>AR158/AR26</f>
        <v>0</v>
      </c>
      <c r="AS161" s="356">
        <f>AS158/AS26</f>
        <v>0</v>
      </c>
      <c r="AT161" s="356">
        <f t="shared" ref="AT161:AU161" si="505">AT158/AT26</f>
        <v>0</v>
      </c>
      <c r="AU161" s="356">
        <f t="shared" si="505"/>
        <v>0</v>
      </c>
      <c r="AV161" s="358">
        <f>AV158/AV26</f>
        <v>5.3732294131574383</v>
      </c>
      <c r="AW161" s="355">
        <f>AW158/AW26</f>
        <v>0</v>
      </c>
      <c r="AX161" s="356">
        <f>AX158/AX26</f>
        <v>0</v>
      </c>
      <c r="AY161" s="356">
        <f t="shared" ref="AY161" si="506">AY158/AY26</f>
        <v>0</v>
      </c>
      <c r="AZ161" s="357">
        <f t="shared" ref="AZ161:BU161" si="507">AZ158/AZ26</f>
        <v>0</v>
      </c>
      <c r="BA161" s="358">
        <f t="shared" si="507"/>
        <v>5.7694695329002483</v>
      </c>
      <c r="BB161" s="355">
        <f t="shared" si="507"/>
        <v>0</v>
      </c>
      <c r="BC161" s="356">
        <f t="shared" si="507"/>
        <v>0</v>
      </c>
      <c r="BD161" s="356">
        <f t="shared" si="507"/>
        <v>0</v>
      </c>
      <c r="BE161" s="357">
        <f t="shared" si="507"/>
        <v>0</v>
      </c>
      <c r="BF161" s="358">
        <f t="shared" si="507"/>
        <v>6.4140964047889097</v>
      </c>
      <c r="BG161" s="355">
        <f t="shared" si="507"/>
        <v>0</v>
      </c>
      <c r="BH161" s="356">
        <f t="shared" si="507"/>
        <v>0</v>
      </c>
      <c r="BI161" s="356">
        <f t="shared" si="507"/>
        <v>0</v>
      </c>
      <c r="BJ161" s="357">
        <f t="shared" si="507"/>
        <v>0</v>
      </c>
      <c r="BK161" s="358">
        <f t="shared" si="507"/>
        <v>7.1975376929597701</v>
      </c>
      <c r="BL161" s="355">
        <f t="shared" si="507"/>
        <v>0</v>
      </c>
      <c r="BM161" s="356">
        <f t="shared" si="507"/>
        <v>0</v>
      </c>
      <c r="BN161" s="356">
        <f t="shared" si="507"/>
        <v>0</v>
      </c>
      <c r="BO161" s="357">
        <f t="shared" si="507"/>
        <v>0</v>
      </c>
      <c r="BP161" s="358">
        <f t="shared" si="507"/>
        <v>8.1269314938262429</v>
      </c>
      <c r="BQ161" s="355">
        <f t="shared" si="507"/>
        <v>0</v>
      </c>
      <c r="BR161" s="356">
        <f t="shared" si="507"/>
        <v>0</v>
      </c>
      <c r="BS161" s="356">
        <f t="shared" si="507"/>
        <v>0</v>
      </c>
      <c r="BT161" s="357">
        <f t="shared" si="507"/>
        <v>0</v>
      </c>
      <c r="BU161" s="358">
        <f t="shared" si="507"/>
        <v>9.2418473512153376</v>
      </c>
    </row>
    <row r="162" spans="2:73" collapsed="1" x14ac:dyDescent="0.3">
      <c r="B162" s="399"/>
      <c r="C162" s="399"/>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108"/>
      <c r="AD162" s="93"/>
      <c r="AE162" s="93"/>
      <c r="AF162" s="108"/>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row>
    <row r="163" spans="2:73" ht="15.6" x14ac:dyDescent="0.3">
      <c r="B163" s="366" t="s">
        <v>54</v>
      </c>
      <c r="C163" s="367"/>
      <c r="D163" s="111" t="s">
        <v>108</v>
      </c>
      <c r="E163" s="111" t="s">
        <v>109</v>
      </c>
      <c r="F163" s="111" t="s">
        <v>110</v>
      </c>
      <c r="G163" s="111" t="s">
        <v>111</v>
      </c>
      <c r="H163" s="111" t="s">
        <v>111</v>
      </c>
      <c r="I163" s="111" t="s">
        <v>107</v>
      </c>
      <c r="J163" s="111" t="s">
        <v>117</v>
      </c>
      <c r="K163" s="111" t="s">
        <v>118</v>
      </c>
      <c r="L163" s="111" t="s">
        <v>119</v>
      </c>
      <c r="M163" s="111" t="s">
        <v>119</v>
      </c>
      <c r="N163" s="111" t="s">
        <v>125</v>
      </c>
      <c r="O163" s="111" t="s">
        <v>126</v>
      </c>
      <c r="P163" s="111" t="s">
        <v>127</v>
      </c>
      <c r="Q163" s="111" t="s">
        <v>128</v>
      </c>
      <c r="R163" s="111" t="s">
        <v>128</v>
      </c>
      <c r="S163" s="111" t="s">
        <v>134</v>
      </c>
      <c r="T163" s="111" t="s">
        <v>135</v>
      </c>
      <c r="U163" s="111" t="s">
        <v>136</v>
      </c>
      <c r="V163" s="111" t="s">
        <v>86</v>
      </c>
      <c r="W163" s="111" t="s">
        <v>86</v>
      </c>
      <c r="X163" s="111" t="s">
        <v>85</v>
      </c>
      <c r="Y163" s="111" t="s">
        <v>84</v>
      </c>
      <c r="Z163" s="111" t="s">
        <v>83</v>
      </c>
      <c r="AA163" s="111" t="s">
        <v>82</v>
      </c>
      <c r="AB163" s="111" t="s">
        <v>82</v>
      </c>
      <c r="AC163" s="111" t="s">
        <v>87</v>
      </c>
      <c r="AD163" s="111" t="s">
        <v>88</v>
      </c>
      <c r="AE163" s="111" t="s">
        <v>89</v>
      </c>
      <c r="AF163" s="111" t="s">
        <v>90</v>
      </c>
      <c r="AG163" s="111" t="s">
        <v>90</v>
      </c>
      <c r="AH163" s="111" t="s">
        <v>92</v>
      </c>
      <c r="AI163" s="111" t="s">
        <v>93</v>
      </c>
      <c r="AJ163" s="111" t="s">
        <v>94</v>
      </c>
      <c r="AK163" s="111" t="s">
        <v>95</v>
      </c>
      <c r="AL163" s="111" t="s">
        <v>95</v>
      </c>
      <c r="AM163" s="111" t="s">
        <v>91</v>
      </c>
      <c r="AN163" s="111" t="s">
        <v>96</v>
      </c>
      <c r="AO163" s="111" t="s">
        <v>97</v>
      </c>
      <c r="AP163" s="111" t="s">
        <v>98</v>
      </c>
      <c r="AQ163" s="111" t="s">
        <v>98</v>
      </c>
      <c r="AR163" s="111" t="s">
        <v>99</v>
      </c>
      <c r="AS163" s="111" t="s">
        <v>100</v>
      </c>
      <c r="AT163" s="111" t="s">
        <v>101</v>
      </c>
      <c r="AU163" s="111" t="s">
        <v>102</v>
      </c>
      <c r="AV163" s="111" t="s">
        <v>102</v>
      </c>
      <c r="AW163" s="111" t="s">
        <v>103</v>
      </c>
      <c r="AX163" s="111" t="s">
        <v>104</v>
      </c>
      <c r="AY163" s="111" t="s">
        <v>105</v>
      </c>
      <c r="AZ163" s="135" t="s">
        <v>106</v>
      </c>
      <c r="BA163" s="135" t="s">
        <v>106</v>
      </c>
      <c r="BB163" s="135" t="s">
        <v>207</v>
      </c>
      <c r="BC163" s="135" t="s">
        <v>208</v>
      </c>
      <c r="BD163" s="135" t="s">
        <v>209</v>
      </c>
      <c r="BE163" s="135" t="s">
        <v>210</v>
      </c>
      <c r="BF163" s="135" t="s">
        <v>210</v>
      </c>
      <c r="BG163" s="135" t="s">
        <v>223</v>
      </c>
      <c r="BH163" s="135" t="s">
        <v>224</v>
      </c>
      <c r="BI163" s="135" t="s">
        <v>225</v>
      </c>
      <c r="BJ163" s="135" t="s">
        <v>106</v>
      </c>
      <c r="BK163" s="135" t="s">
        <v>226</v>
      </c>
      <c r="BL163" s="135" t="s">
        <v>302</v>
      </c>
      <c r="BM163" s="135" t="s">
        <v>303</v>
      </c>
      <c r="BN163" s="135" t="s">
        <v>304</v>
      </c>
      <c r="BO163" s="135" t="s">
        <v>305</v>
      </c>
      <c r="BP163" s="135" t="s">
        <v>305</v>
      </c>
      <c r="BQ163" s="135" t="s">
        <v>312</v>
      </c>
      <c r="BR163" s="135" t="s">
        <v>314</v>
      </c>
      <c r="BS163" s="135" t="s">
        <v>316</v>
      </c>
      <c r="BT163" s="135" t="s">
        <v>307</v>
      </c>
      <c r="BU163" s="136" t="s">
        <v>307</v>
      </c>
    </row>
    <row r="164" spans="2:73" ht="16.2" x14ac:dyDescent="0.45">
      <c r="B164" s="368"/>
      <c r="C164" s="369"/>
      <c r="D164" s="112" t="s">
        <v>112</v>
      </c>
      <c r="E164" s="112" t="s">
        <v>113</v>
      </c>
      <c r="F164" s="112" t="s">
        <v>114</v>
      </c>
      <c r="G164" s="112" t="s">
        <v>115</v>
      </c>
      <c r="H164" s="112" t="s">
        <v>116</v>
      </c>
      <c r="I164" s="112" t="s">
        <v>120</v>
      </c>
      <c r="J164" s="112" t="s">
        <v>121</v>
      </c>
      <c r="K164" s="112" t="s">
        <v>122</v>
      </c>
      <c r="L164" s="112" t="s">
        <v>123</v>
      </c>
      <c r="M164" s="112" t="s">
        <v>124</v>
      </c>
      <c r="N164" s="112" t="s">
        <v>129</v>
      </c>
      <c r="O164" s="112" t="s">
        <v>130</v>
      </c>
      <c r="P164" s="112" t="s">
        <v>131</v>
      </c>
      <c r="Q164" s="112" t="s">
        <v>132</v>
      </c>
      <c r="R164" s="112" t="s">
        <v>133</v>
      </c>
      <c r="S164" s="112" t="s">
        <v>137</v>
      </c>
      <c r="T164" s="112" t="s">
        <v>138</v>
      </c>
      <c r="U164" s="112" t="s">
        <v>139</v>
      </c>
      <c r="V164" s="112" t="s">
        <v>140</v>
      </c>
      <c r="W164" s="112" t="s">
        <v>0</v>
      </c>
      <c r="X164" s="112" t="s">
        <v>40</v>
      </c>
      <c r="Y164" s="112" t="s">
        <v>41</v>
      </c>
      <c r="Z164" s="112" t="s">
        <v>42</v>
      </c>
      <c r="AA164" s="112" t="s">
        <v>43</v>
      </c>
      <c r="AB164" s="112" t="s">
        <v>6</v>
      </c>
      <c r="AC164" s="112" t="s">
        <v>186</v>
      </c>
      <c r="AD164" s="112" t="s">
        <v>189</v>
      </c>
      <c r="AE164" s="112" t="s">
        <v>191</v>
      </c>
      <c r="AF164" s="112" t="s">
        <v>193</v>
      </c>
      <c r="AG164" s="112" t="s">
        <v>205</v>
      </c>
      <c r="AH164" s="112" t="s">
        <v>215</v>
      </c>
      <c r="AI164" s="112" t="s">
        <v>216</v>
      </c>
      <c r="AJ164" s="112" t="s">
        <v>217</v>
      </c>
      <c r="AK164" s="112" t="s">
        <v>221</v>
      </c>
      <c r="AL164" s="112" t="s">
        <v>222</v>
      </c>
      <c r="AM164" s="112" t="s">
        <v>231</v>
      </c>
      <c r="AN164" s="112" t="s">
        <v>279</v>
      </c>
      <c r="AO164" s="296" t="s">
        <v>319</v>
      </c>
      <c r="AP164" s="296" t="s">
        <v>320</v>
      </c>
      <c r="AQ164" s="296" t="s">
        <v>321</v>
      </c>
      <c r="AR164" s="296" t="s">
        <v>322</v>
      </c>
      <c r="AS164" s="296" t="s">
        <v>323</v>
      </c>
      <c r="AT164" s="296" t="s">
        <v>324</v>
      </c>
      <c r="AU164" s="296" t="s">
        <v>325</v>
      </c>
      <c r="AV164" s="296" t="s">
        <v>326</v>
      </c>
      <c r="AW164" s="296" t="s">
        <v>327</v>
      </c>
      <c r="AX164" s="296" t="s">
        <v>328</v>
      </c>
      <c r="AY164" s="296" t="s">
        <v>329</v>
      </c>
      <c r="AZ164" s="137" t="s">
        <v>58</v>
      </c>
      <c r="BA164" s="137" t="s">
        <v>194</v>
      </c>
      <c r="BB164" s="137" t="s">
        <v>206</v>
      </c>
      <c r="BC164" s="137" t="s">
        <v>211</v>
      </c>
      <c r="BD164" s="137" t="s">
        <v>212</v>
      </c>
      <c r="BE164" s="137" t="s">
        <v>213</v>
      </c>
      <c r="BF164" s="137" t="s">
        <v>214</v>
      </c>
      <c r="BG164" s="137" t="s">
        <v>227</v>
      </c>
      <c r="BH164" s="137" t="s">
        <v>228</v>
      </c>
      <c r="BI164" s="137" t="s">
        <v>229</v>
      </c>
      <c r="BJ164" s="137" t="s">
        <v>58</v>
      </c>
      <c r="BK164" s="137" t="s">
        <v>230</v>
      </c>
      <c r="BL164" s="137" t="s">
        <v>227</v>
      </c>
      <c r="BM164" s="137" t="s">
        <v>309</v>
      </c>
      <c r="BN164" s="137" t="s">
        <v>310</v>
      </c>
      <c r="BO164" s="137" t="s">
        <v>311</v>
      </c>
      <c r="BP164" s="137" t="s">
        <v>306</v>
      </c>
      <c r="BQ164" s="137" t="s">
        <v>313</v>
      </c>
      <c r="BR164" s="137" t="s">
        <v>315</v>
      </c>
      <c r="BS164" s="137" t="s">
        <v>317</v>
      </c>
      <c r="BT164" s="137" t="s">
        <v>318</v>
      </c>
      <c r="BU164" s="138" t="s">
        <v>308</v>
      </c>
    </row>
    <row r="165" spans="2:73" ht="16.2" hidden="1" outlineLevel="1" x14ac:dyDescent="0.45">
      <c r="B165" s="383" t="s">
        <v>47</v>
      </c>
      <c r="C165" s="398"/>
      <c r="D165" s="139"/>
      <c r="E165" s="2"/>
      <c r="F165" s="2"/>
      <c r="G165" s="2"/>
      <c r="H165" s="28"/>
      <c r="I165" s="2"/>
      <c r="J165" s="2"/>
      <c r="K165" s="2"/>
      <c r="L165" s="2"/>
      <c r="M165" s="28"/>
      <c r="N165" s="2"/>
      <c r="O165" s="2"/>
      <c r="P165" s="2"/>
      <c r="Q165" s="2"/>
      <c r="R165" s="28"/>
      <c r="S165" s="2"/>
      <c r="T165" s="2"/>
      <c r="U165" s="2"/>
      <c r="V165" s="2"/>
      <c r="W165" s="28"/>
      <c r="X165" s="2"/>
      <c r="Y165" s="2"/>
      <c r="Z165" s="2"/>
      <c r="AA165" s="2"/>
      <c r="AB165" s="28"/>
      <c r="AC165" s="2"/>
      <c r="AD165" s="3"/>
      <c r="AE165" s="3"/>
      <c r="AF165" s="3"/>
      <c r="AG165" s="29"/>
      <c r="AH165" s="3"/>
      <c r="AI165" s="3"/>
      <c r="AJ165" s="3"/>
      <c r="AK165" s="3"/>
      <c r="AL165" s="29"/>
      <c r="AM165" s="3"/>
      <c r="AN165" s="3"/>
      <c r="AO165" s="127"/>
      <c r="AP165" s="127"/>
      <c r="AQ165" s="29"/>
      <c r="AR165" s="127"/>
      <c r="AS165" s="127"/>
      <c r="AT165" s="127"/>
      <c r="AU165" s="127"/>
      <c r="AV165" s="29"/>
      <c r="AW165" s="127"/>
      <c r="AX165" s="127"/>
      <c r="AY165" s="127"/>
      <c r="AZ165" s="3"/>
      <c r="BA165" s="29"/>
      <c r="BB165" s="3"/>
      <c r="BC165" s="3"/>
      <c r="BD165" s="3"/>
      <c r="BE165" s="3"/>
      <c r="BF165" s="29"/>
      <c r="BG165" s="3"/>
      <c r="BH165" s="3"/>
      <c r="BI165" s="3"/>
      <c r="BJ165" s="3"/>
      <c r="BK165" s="29"/>
      <c r="BL165" s="127"/>
      <c r="BM165" s="127"/>
      <c r="BN165" s="127"/>
      <c r="BO165" s="127"/>
      <c r="BP165" s="29"/>
      <c r="BQ165" s="127"/>
      <c r="BR165" s="127"/>
      <c r="BS165" s="127"/>
      <c r="BT165" s="127"/>
      <c r="BU165" s="29"/>
    </row>
    <row r="166" spans="2:73" s="33" customFormat="1" hidden="1" outlineLevel="1" x14ac:dyDescent="0.3">
      <c r="B166" s="180" t="s">
        <v>300</v>
      </c>
      <c r="C166" s="181"/>
      <c r="D166" s="294">
        <f>D115/D10</f>
        <v>1.3071478671172608E-2</v>
      </c>
      <c r="E166" s="162">
        <f>E115/E10</f>
        <v>1.7112378694718128E-2</v>
      </c>
      <c r="F166" s="162">
        <f>F115/F10</f>
        <v>1.3949044585987261E-2</v>
      </c>
      <c r="G166" s="162">
        <f>G115/G10</f>
        <v>1.1011158629504006E-2</v>
      </c>
      <c r="H166" s="31"/>
      <c r="I166" s="162">
        <f>I115/I10</f>
        <v>1.118133203694701E-2</v>
      </c>
      <c r="J166" s="162">
        <f>J115/J10</f>
        <v>1.1634977905703977E-2</v>
      </c>
      <c r="K166" s="162">
        <f>K115/K10</f>
        <v>9.940149102236534E-3</v>
      </c>
      <c r="L166" s="162">
        <f>L115/L10</f>
        <v>1.0541209762999645E-2</v>
      </c>
      <c r="M166" s="31"/>
      <c r="N166" s="162">
        <f>N115/N10</f>
        <v>9.0648134159238558E-3</v>
      </c>
      <c r="O166" s="162">
        <f>O115/O10</f>
        <v>1.0820190884499566E-2</v>
      </c>
      <c r="P166" s="162">
        <f>P115/P10</f>
        <v>1.2791594095308797E-2</v>
      </c>
      <c r="Q166" s="162">
        <f>Q115/Q10</f>
        <v>1.2456208641494744E-2</v>
      </c>
      <c r="R166" s="31"/>
      <c r="S166" s="162">
        <f>S115/S10</f>
        <v>9.9977986498385671E-3</v>
      </c>
      <c r="T166" s="162">
        <f>T115/T10</f>
        <v>1.318716602068665E-2</v>
      </c>
      <c r="U166" s="162">
        <f>U115/U10</f>
        <v>1.6363276052430428E-2</v>
      </c>
      <c r="V166" s="162">
        <f>V115/V10</f>
        <v>1.4811058923996584E-2</v>
      </c>
      <c r="W166" s="31"/>
      <c r="X166" s="162">
        <f>X115/X10</f>
        <v>1.1824148348786333E-2</v>
      </c>
      <c r="Y166" s="162">
        <f>Y115/Y10</f>
        <v>1.5247776365946633E-2</v>
      </c>
      <c r="Z166" s="162">
        <f>Z115/Z10</f>
        <v>1.9341739687967513E-2</v>
      </c>
      <c r="AA166" s="162">
        <f>AA115/AA10</f>
        <v>1.8089879638202407E-2</v>
      </c>
      <c r="AB166" s="31"/>
      <c r="AC166" s="162">
        <f>AC115/AC10</f>
        <v>1.1903644820976153E-2</v>
      </c>
      <c r="AD166" s="162">
        <f>AD115/AD10</f>
        <v>1.5980003447681433E-2</v>
      </c>
      <c r="AE166" s="162">
        <f>AE115/AE10</f>
        <v>1.7256324967241207E-2</v>
      </c>
      <c r="AF166" s="162">
        <f>AF115/AF10</f>
        <v>1.7766645307858101E-2</v>
      </c>
      <c r="AG166" s="337"/>
      <c r="AH166" s="162">
        <f>AH115/AH10</f>
        <v>1.4208140025305778E-2</v>
      </c>
      <c r="AI166" s="162">
        <f>AI115/AI10</f>
        <v>2.0729078070296891E-2</v>
      </c>
      <c r="AJ166" s="162">
        <f>AJ115/AJ10</f>
        <v>2.488313895840219E-2</v>
      </c>
      <c r="AK166" s="162">
        <f>AK115/AK10</f>
        <v>2.1984120208315548E-2</v>
      </c>
      <c r="AL166" s="337"/>
      <c r="AM166" s="162">
        <f>AM115/AM10</f>
        <v>1.6030427180252965E-2</v>
      </c>
      <c r="AN166" s="162">
        <f>AN115/AN10</f>
        <v>2.3007410768300061E-2</v>
      </c>
      <c r="AO166" s="162">
        <f>AO115/AO10</f>
        <v>2.6272903453136012E-2</v>
      </c>
      <c r="AP166" s="162">
        <f>AP115/AP10</f>
        <v>2.2328305977671693E-2</v>
      </c>
      <c r="AQ166" s="337"/>
      <c r="AR166" s="162">
        <f>AR115/AR10</f>
        <v>1.4678400326186674E-2</v>
      </c>
      <c r="AS166" s="162">
        <f>AS115/AS10</f>
        <v>2.204884112730425E-2</v>
      </c>
      <c r="AT166" s="162">
        <f>AT115/AT10</f>
        <v>2.53637473012297E-2</v>
      </c>
      <c r="AU166" s="162">
        <f>AU115/AU10</f>
        <v>2.138314785373609E-2</v>
      </c>
      <c r="AV166" s="337"/>
      <c r="AW166" s="162">
        <f>AW115/AW10</f>
        <v>1.8491282172933221E-2</v>
      </c>
      <c r="AX166" s="162">
        <f>AX115/AX10</f>
        <v>2.6096699129535467E-2</v>
      </c>
      <c r="AY166" s="162">
        <f>AY115/AY10</f>
        <v>2.780204055083722E-2</v>
      </c>
      <c r="AZ166" s="162">
        <f>+AP166+(AK166-AJ166)</f>
        <v>1.9429287227585051E-2</v>
      </c>
      <c r="BA166" s="337"/>
      <c r="BB166" s="162">
        <v>1.6E-2</v>
      </c>
      <c r="BC166" s="162">
        <v>2.2499999999999999E-2</v>
      </c>
      <c r="BD166" s="162">
        <v>2.6499999999999999E-2</v>
      </c>
      <c r="BE166" s="162">
        <v>2.35E-2</v>
      </c>
      <c r="BF166" s="337"/>
      <c r="BG166" s="162">
        <v>1.6E-2</v>
      </c>
      <c r="BH166" s="162">
        <v>2.2499999999999999E-2</v>
      </c>
      <c r="BI166" s="162">
        <v>2.6499999999999999E-2</v>
      </c>
      <c r="BJ166" s="162">
        <v>2.35E-2</v>
      </c>
      <c r="BK166" s="337"/>
      <c r="BL166" s="162">
        <v>1.6E-2</v>
      </c>
      <c r="BM166" s="162">
        <v>2.2499999999999999E-2</v>
      </c>
      <c r="BN166" s="162">
        <v>2.6499999999999999E-2</v>
      </c>
      <c r="BO166" s="162">
        <v>2.35E-2</v>
      </c>
      <c r="BP166" s="337"/>
      <c r="BQ166" s="162">
        <v>1.6E-2</v>
      </c>
      <c r="BR166" s="162">
        <v>2.2499999999999999E-2</v>
      </c>
      <c r="BS166" s="162">
        <v>2.6499999999999999E-2</v>
      </c>
      <c r="BT166" s="162">
        <v>2.35E-2</v>
      </c>
      <c r="BU166" s="337"/>
    </row>
    <row r="167" spans="2:73" s="33" customFormat="1" hidden="1" outlineLevel="1" x14ac:dyDescent="0.3">
      <c r="B167" s="206" t="s">
        <v>277</v>
      </c>
      <c r="C167" s="211"/>
      <c r="D167" s="295">
        <f t="shared" ref="D167:AB167" si="508">D141/D115</f>
        <v>1.2292682926829268</v>
      </c>
      <c r="E167" s="107">
        <f t="shared" si="508"/>
        <v>0.69696969696969702</v>
      </c>
      <c r="F167" s="107">
        <f t="shared" si="508"/>
        <v>1.091324200913242</v>
      </c>
      <c r="G167" s="107">
        <f t="shared" si="508"/>
        <v>0.4419642857142857</v>
      </c>
      <c r="H167" s="34">
        <f t="shared" si="508"/>
        <v>0.85437997724687142</v>
      </c>
      <c r="I167" s="107">
        <f t="shared" si="508"/>
        <v>1.5183946488294315</v>
      </c>
      <c r="J167" s="107">
        <f t="shared" si="508"/>
        <v>0.99651567944250874</v>
      </c>
      <c r="K167" s="107">
        <f t="shared" si="508"/>
        <v>0.61619718309859151</v>
      </c>
      <c r="L167" s="107">
        <f t="shared" si="508"/>
        <v>0.73154362416107388</v>
      </c>
      <c r="M167" s="34">
        <f t="shared" si="508"/>
        <v>0.97003424657534243</v>
      </c>
      <c r="N167" s="107">
        <f t="shared" si="508"/>
        <v>0.79285714285714282</v>
      </c>
      <c r="O167" s="107">
        <f t="shared" si="508"/>
        <v>0.714622641509434</v>
      </c>
      <c r="P167" s="107">
        <f t="shared" si="508"/>
        <v>0.8928571428571429</v>
      </c>
      <c r="Q167" s="107">
        <f t="shared" si="508"/>
        <v>0.703125</v>
      </c>
      <c r="R167" s="34">
        <f t="shared" si="508"/>
        <v>0.77643678160919538</v>
      </c>
      <c r="S167" s="107">
        <f t="shared" si="508"/>
        <v>0.74128440366972481</v>
      </c>
      <c r="T167" s="107">
        <f t="shared" si="508"/>
        <v>0.17043478260869566</v>
      </c>
      <c r="U167" s="107">
        <f t="shared" si="508"/>
        <v>0.24567474048442905</v>
      </c>
      <c r="V167" s="107">
        <f t="shared" si="508"/>
        <v>0.10270270270270271</v>
      </c>
      <c r="W167" s="34">
        <f t="shared" si="508"/>
        <v>0.31114070128717264</v>
      </c>
      <c r="X167" s="107">
        <f t="shared" si="508"/>
        <v>0.41116005873715122</v>
      </c>
      <c r="Y167" s="107">
        <f t="shared" si="508"/>
        <v>0.11925287356321838</v>
      </c>
      <c r="Z167" s="107">
        <f t="shared" si="508"/>
        <v>0.27486187845303867</v>
      </c>
      <c r="AA167" s="107">
        <f t="shared" si="508"/>
        <v>0.23228346456692914</v>
      </c>
      <c r="AB167" s="34">
        <f t="shared" si="508"/>
        <v>0.25812085225288162</v>
      </c>
      <c r="AC167" s="107">
        <f t="shared" ref="AC167:AD167" si="509">AC141/AC115</f>
        <v>0.29729729729729731</v>
      </c>
      <c r="AD167" s="107">
        <f t="shared" si="509"/>
        <v>0.10032362459546926</v>
      </c>
      <c r="AE167" s="107">
        <f>AE141/AE115</f>
        <v>0.3820093457943925</v>
      </c>
      <c r="AF167" s="107">
        <f>AF141/AF115</f>
        <v>7.1038251366120214E-2</v>
      </c>
      <c r="AG167" s="34">
        <f t="shared" ref="AG167" si="510">AG141/AG115</f>
        <v>0.20886781929726714</v>
      </c>
      <c r="AH167" s="107">
        <f t="shared" ref="AH167:AI167" si="511">AH141/AH115</f>
        <v>0.20779220779220781</v>
      </c>
      <c r="AI167" s="107">
        <f t="shared" si="511"/>
        <v>3.8167938931297711E-2</v>
      </c>
      <c r="AJ167" s="107">
        <f>AJ141/AJ115</f>
        <v>0.1204933586337761</v>
      </c>
      <c r="AK167" s="107">
        <f>AK141/AK115</f>
        <v>1.5533980582524271E-2</v>
      </c>
      <c r="AL167" s="34">
        <f t="shared" ref="AL167:AN167" si="512">AL141/AL115</f>
        <v>9.667458432304038E-2</v>
      </c>
      <c r="AM167" s="107">
        <f t="shared" si="512"/>
        <v>0.14171974522292993</v>
      </c>
      <c r="AN167" s="107">
        <f t="shared" si="512"/>
        <v>3.8619556285949055E-2</v>
      </c>
      <c r="AO167" s="107">
        <f t="shared" ref="AO167:AP167" si="513">AO141/AO115</f>
        <v>0.25901089689857504</v>
      </c>
      <c r="AP167" s="107">
        <f t="shared" si="513"/>
        <v>-0.45485519591141399</v>
      </c>
      <c r="AQ167" s="34">
        <f t="shared" ref="AQ167:AU167" si="514">AQ141/AQ115</f>
        <v>0</v>
      </c>
      <c r="AR167" s="107">
        <f t="shared" si="514"/>
        <v>0</v>
      </c>
      <c r="AS167" s="107">
        <f t="shared" si="514"/>
        <v>0</v>
      </c>
      <c r="AT167" s="107">
        <f t="shared" si="514"/>
        <v>0</v>
      </c>
      <c r="AU167" s="107">
        <f t="shared" si="514"/>
        <v>0</v>
      </c>
      <c r="AV167" s="34">
        <f>AV141/AV115</f>
        <v>0</v>
      </c>
      <c r="AW167" s="107">
        <f t="shared" ref="AW167:AY167" si="515">AW141/AW115</f>
        <v>0</v>
      </c>
      <c r="AX167" s="107">
        <f t="shared" si="515"/>
        <v>0</v>
      </c>
      <c r="AY167" s="107">
        <f t="shared" si="515"/>
        <v>0</v>
      </c>
      <c r="AZ167" s="107">
        <f>AK167</f>
        <v>1.5533980582524271E-2</v>
      </c>
      <c r="BA167" s="34"/>
      <c r="BB167" s="107">
        <f t="shared" ref="BB167:BD168" si="516">AW167</f>
        <v>0</v>
      </c>
      <c r="BC167" s="107">
        <f t="shared" si="516"/>
        <v>0</v>
      </c>
      <c r="BD167" s="107">
        <f t="shared" si="516"/>
        <v>0</v>
      </c>
      <c r="BE167" s="107">
        <f t="shared" ref="BE167" si="517">AZ167</f>
        <v>1.5533980582524271E-2</v>
      </c>
      <c r="BF167" s="34"/>
      <c r="BG167" s="107">
        <f>BB167</f>
        <v>0</v>
      </c>
      <c r="BH167" s="107">
        <f>BC167</f>
        <v>0</v>
      </c>
      <c r="BI167" s="107">
        <f t="shared" ref="BI167:BI168" si="518">BD167</f>
        <v>0</v>
      </c>
      <c r="BJ167" s="107">
        <f t="shared" ref="BJ167:BJ168" si="519">BE167</f>
        <v>1.5533980582524271E-2</v>
      </c>
      <c r="BK167" s="34"/>
      <c r="BL167" s="107">
        <f>BG167</f>
        <v>0</v>
      </c>
      <c r="BM167" s="107">
        <f>BH167</f>
        <v>0</v>
      </c>
      <c r="BN167" s="107">
        <f t="shared" ref="BN167:BN168" si="520">BI167</f>
        <v>0</v>
      </c>
      <c r="BO167" s="107">
        <f t="shared" ref="BO167:BO168" si="521">BJ167</f>
        <v>1.5533980582524271E-2</v>
      </c>
      <c r="BP167" s="34"/>
      <c r="BQ167" s="107">
        <f>BL167</f>
        <v>0</v>
      </c>
      <c r="BR167" s="107">
        <f>BM167</f>
        <v>0</v>
      </c>
      <c r="BS167" s="107">
        <f t="shared" ref="BS167:BS168" si="522">BN167</f>
        <v>0</v>
      </c>
      <c r="BT167" s="107">
        <f t="shared" ref="BT167:BT168" si="523">BO167</f>
        <v>1.5533980582524271E-2</v>
      </c>
      <c r="BU167" s="34"/>
    </row>
    <row r="168" spans="2:73" s="33" customFormat="1" hidden="1" outlineLevel="1" x14ac:dyDescent="0.3">
      <c r="B168" s="206" t="s">
        <v>278</v>
      </c>
      <c r="C168" s="211"/>
      <c r="D168" s="295">
        <f t="shared" ref="D168:AB168" si="524">+D142/D115</f>
        <v>0</v>
      </c>
      <c r="E168" s="107">
        <f t="shared" si="524"/>
        <v>0</v>
      </c>
      <c r="F168" s="107">
        <f t="shared" si="524"/>
        <v>-1.7534246575342465</v>
      </c>
      <c r="G168" s="107">
        <f t="shared" si="524"/>
        <v>-9.8214285714285712E-2</v>
      </c>
      <c r="H168" s="34">
        <f t="shared" si="524"/>
        <v>-0.46188850967007966</v>
      </c>
      <c r="I168" s="107">
        <f t="shared" si="524"/>
        <v>-0.77926421404682278</v>
      </c>
      <c r="J168" s="107">
        <f t="shared" si="524"/>
        <v>-8.7108013937282236E-2</v>
      </c>
      <c r="K168" s="107">
        <f t="shared" si="524"/>
        <v>-0.778169014084507</v>
      </c>
      <c r="L168" s="107">
        <f t="shared" si="524"/>
        <v>-0.13758389261744966</v>
      </c>
      <c r="M168" s="34">
        <f t="shared" si="524"/>
        <v>-0.4452054794520548</v>
      </c>
      <c r="N168" s="107">
        <f t="shared" si="524"/>
        <v>-0.84523809523809523</v>
      </c>
      <c r="O168" s="107">
        <f t="shared" si="524"/>
        <v>-0.65801886792452835</v>
      </c>
      <c r="P168" s="107">
        <f t="shared" si="524"/>
        <v>-1.140625</v>
      </c>
      <c r="Q168" s="107">
        <f t="shared" si="524"/>
        <v>-0.18080357142857142</v>
      </c>
      <c r="R168" s="34">
        <f t="shared" si="524"/>
        <v>-0.70459770114942533</v>
      </c>
      <c r="S168" s="107">
        <f t="shared" si="524"/>
        <v>0</v>
      </c>
      <c r="T168" s="107">
        <f t="shared" si="524"/>
        <v>0</v>
      </c>
      <c r="U168" s="107">
        <f t="shared" si="524"/>
        <v>-1.7318339100346021</v>
      </c>
      <c r="V168" s="107">
        <f t="shared" si="524"/>
        <v>-0.14594594594594595</v>
      </c>
      <c r="W168" s="34">
        <f t="shared" si="524"/>
        <v>-0.48024855747891698</v>
      </c>
      <c r="X168" s="107">
        <f t="shared" si="524"/>
        <v>-0.53597650513950068</v>
      </c>
      <c r="Y168" s="107">
        <f t="shared" si="524"/>
        <v>-9.3390804597701146E-2</v>
      </c>
      <c r="Z168" s="107">
        <f t="shared" si="524"/>
        <v>-0.56491712707182318</v>
      </c>
      <c r="AA168" s="107">
        <f t="shared" si="524"/>
        <v>-0.41863517060367456</v>
      </c>
      <c r="AB168" s="34">
        <f t="shared" si="524"/>
        <v>-0.40447083478868318</v>
      </c>
      <c r="AC168" s="107">
        <f t="shared" ref="AC168:AD168" si="525">+AC142/AC115</f>
        <v>-0.57657657657657657</v>
      </c>
      <c r="AD168" s="107">
        <f t="shared" si="525"/>
        <v>-0.10355987055016182</v>
      </c>
      <c r="AE168" s="107">
        <f>+AE142/AE115</f>
        <v>-0.84579439252336452</v>
      </c>
      <c r="AF168" s="107">
        <f>+AF142/AF115</f>
        <v>-0.18251366120218579</v>
      </c>
      <c r="AG168" s="34">
        <f t="shared" ref="AG168" si="526">+AG142/AG115</f>
        <v>-0.4180145008365867</v>
      </c>
      <c r="AH168" s="107">
        <f t="shared" ref="AH168:AI168" si="527">+AH142/AH115</f>
        <v>-0.55380333951762528</v>
      </c>
      <c r="AI168" s="107">
        <f t="shared" si="527"/>
        <v>-0.14694656488549618</v>
      </c>
      <c r="AJ168" s="107">
        <f>+AJ142/AJ115</f>
        <v>-0.57874762808349145</v>
      </c>
      <c r="AK168" s="107">
        <f>+AK142/AK115</f>
        <v>-0.20291262135922331</v>
      </c>
      <c r="AL168" s="34">
        <f t="shared" ref="AL168:AN168" si="528">+AL142/AL115</f>
        <v>-0.37292161520190026</v>
      </c>
      <c r="AM168" s="107">
        <f t="shared" si="528"/>
        <v>-0.50079617834394907</v>
      </c>
      <c r="AN168" s="107">
        <f t="shared" si="528"/>
        <v>-0.13064913722267871</v>
      </c>
      <c r="AO168" s="107">
        <f t="shared" ref="AO168:AP168" si="529">+AO142/AO115</f>
        <v>-0.71919530595138303</v>
      </c>
      <c r="AP168" s="107">
        <f t="shared" si="529"/>
        <v>-0.19420783645655879</v>
      </c>
      <c r="AQ168" s="34">
        <f t="shared" ref="AQ168:AU168" si="530">+AQ142/AQ115</f>
        <v>-0.38719008264462812</v>
      </c>
      <c r="AR168" s="107">
        <f t="shared" si="530"/>
        <v>-0.80092592592592593</v>
      </c>
      <c r="AS168" s="107">
        <f t="shared" si="530"/>
        <v>-0.11275964391691394</v>
      </c>
      <c r="AT168" s="107">
        <f t="shared" si="530"/>
        <v>-0.79718726868985934</v>
      </c>
      <c r="AU168" s="107">
        <f t="shared" si="530"/>
        <v>-0.19330855018587362</v>
      </c>
      <c r="AV168" s="34">
        <f t="shared" ref="AV168:AY168" si="531">+AV142/AV115</f>
        <v>-0.47322097378277156</v>
      </c>
      <c r="AW168" s="107">
        <f t="shared" si="531"/>
        <v>-0.84541372674791537</v>
      </c>
      <c r="AX168" s="107">
        <f t="shared" si="531"/>
        <v>-7.1994715984147958E-2</v>
      </c>
      <c r="AY168" s="107">
        <f t="shared" si="531"/>
        <v>-0.80147058823529416</v>
      </c>
      <c r="AZ168" s="107">
        <f>AK168</f>
        <v>-0.20291262135922331</v>
      </c>
      <c r="BA168" s="34"/>
      <c r="BB168" s="107">
        <f t="shared" si="516"/>
        <v>-0.84541372674791537</v>
      </c>
      <c r="BC168" s="107">
        <f t="shared" si="516"/>
        <v>-7.1994715984147958E-2</v>
      </c>
      <c r="BD168" s="107">
        <f t="shared" si="516"/>
        <v>-0.80147058823529416</v>
      </c>
      <c r="BE168" s="107">
        <f t="shared" ref="BE168" si="532">AZ168</f>
        <v>-0.20291262135922331</v>
      </c>
      <c r="BF168" s="34"/>
      <c r="BG168" s="107">
        <f>BB168</f>
        <v>-0.84541372674791537</v>
      </c>
      <c r="BH168" s="107">
        <f>BC168</f>
        <v>-7.1994715984147958E-2</v>
      </c>
      <c r="BI168" s="107">
        <f t="shared" si="518"/>
        <v>-0.80147058823529416</v>
      </c>
      <c r="BJ168" s="107">
        <f t="shared" si="519"/>
        <v>-0.20291262135922331</v>
      </c>
      <c r="BK168" s="34"/>
      <c r="BL168" s="107">
        <f>BG168</f>
        <v>-0.84541372674791537</v>
      </c>
      <c r="BM168" s="107">
        <f>BH168</f>
        <v>-7.1994715984147958E-2</v>
      </c>
      <c r="BN168" s="107">
        <f t="shared" si="520"/>
        <v>-0.80147058823529416</v>
      </c>
      <c r="BO168" s="107">
        <f t="shared" si="521"/>
        <v>-0.20291262135922331</v>
      </c>
      <c r="BP168" s="34"/>
      <c r="BQ168" s="107">
        <f>BL168</f>
        <v>-0.84541372674791537</v>
      </c>
      <c r="BR168" s="107">
        <f>BM168</f>
        <v>-7.1994715984147958E-2</v>
      </c>
      <c r="BS168" s="107">
        <f t="shared" si="522"/>
        <v>-0.80147058823529416</v>
      </c>
      <c r="BT168" s="107">
        <f t="shared" si="523"/>
        <v>-0.20291262135922331</v>
      </c>
      <c r="BU168" s="34"/>
    </row>
    <row r="169" spans="2:73" s="48" customFormat="1" hidden="1" outlineLevel="1" x14ac:dyDescent="0.3">
      <c r="B169" s="370" t="s">
        <v>276</v>
      </c>
      <c r="C169" s="371"/>
      <c r="D169" s="294"/>
      <c r="E169" s="162"/>
      <c r="F169" s="162"/>
      <c r="G169" s="162"/>
      <c r="H169" s="31"/>
      <c r="I169" s="107">
        <f>I127/D127-1</f>
        <v>0.6905379692094793</v>
      </c>
      <c r="J169" s="107">
        <f t="shared" ref="J169:BU169" si="533">J127/E127-1</f>
        <v>1.7240473061760841</v>
      </c>
      <c r="K169" s="107">
        <f t="shared" si="533"/>
        <v>1.2912541254125411</v>
      </c>
      <c r="L169" s="107">
        <f t="shared" si="533"/>
        <v>0.83512229456273102</v>
      </c>
      <c r="M169" s="34">
        <f t="shared" si="533"/>
        <v>1.0182307071793493</v>
      </c>
      <c r="N169" s="107">
        <f t="shared" si="533"/>
        <v>0.7961731300521846</v>
      </c>
      <c r="O169" s="107">
        <f t="shared" si="533"/>
        <v>1.2474674384949349</v>
      </c>
      <c r="P169" s="107">
        <f t="shared" si="533"/>
        <v>-8.2733165286280164E-2</v>
      </c>
      <c r="Q169" s="107">
        <f t="shared" si="533"/>
        <v>-0.12398120625179787</v>
      </c>
      <c r="R169" s="34">
        <f t="shared" si="533"/>
        <v>0.35511204668389773</v>
      </c>
      <c r="S169" s="107">
        <f t="shared" si="533"/>
        <v>0.33451065284265691</v>
      </c>
      <c r="T169" s="107">
        <f t="shared" si="533"/>
        <v>-0.10538742219360375</v>
      </c>
      <c r="U169" s="107">
        <f t="shared" si="533"/>
        <v>-0.23172048287368729</v>
      </c>
      <c r="V169" s="107">
        <f t="shared" si="533"/>
        <v>8.4500875656742469E-2</v>
      </c>
      <c r="W169" s="34">
        <f t="shared" si="533"/>
        <v>5.5254050652823627E-2</v>
      </c>
      <c r="X169" s="107">
        <f t="shared" si="533"/>
        <v>-3.2271834713566094E-2</v>
      </c>
      <c r="Y169" s="107">
        <f t="shared" si="533"/>
        <v>8.2693538067818206E-2</v>
      </c>
      <c r="Z169" s="107">
        <f t="shared" si="533"/>
        <v>0.31004087889626986</v>
      </c>
      <c r="AA169" s="107">
        <f t="shared" si="533"/>
        <v>0.33730318934194581</v>
      </c>
      <c r="AB169" s="34">
        <f t="shared" si="533"/>
        <v>0.11267841836544545</v>
      </c>
      <c r="AC169" s="107">
        <f t="shared" si="533"/>
        <v>0.48751654168504621</v>
      </c>
      <c r="AD169" s="107">
        <f t="shared" si="533"/>
        <v>0.4094400945486778</v>
      </c>
      <c r="AE169" s="107">
        <f t="shared" si="533"/>
        <v>0.46153096050706965</v>
      </c>
      <c r="AF169" s="107">
        <f t="shared" si="533"/>
        <v>1.6981132075471805E-2</v>
      </c>
      <c r="AG169" s="34">
        <f t="shared" si="533"/>
        <v>0.36094317820240152</v>
      </c>
      <c r="AH169" s="107">
        <f t="shared" si="533"/>
        <v>-0.18560583595279045</v>
      </c>
      <c r="AI169" s="107">
        <f t="shared" si="533"/>
        <v>-0.39201299722236782</v>
      </c>
      <c r="AJ169" s="107">
        <f t="shared" si="533"/>
        <v>-0.29049906591940222</v>
      </c>
      <c r="AK169" s="107">
        <f t="shared" si="533"/>
        <v>0.19673469387755094</v>
      </c>
      <c r="AL169" s="34">
        <f t="shared" si="533"/>
        <v>-0.19001796569290974</v>
      </c>
      <c r="AM169" s="107">
        <f t="shared" si="533"/>
        <v>-1.4819939555037687E-2</v>
      </c>
      <c r="AN169" s="107">
        <f t="shared" si="533"/>
        <v>7.9475907249375144E-2</v>
      </c>
      <c r="AO169" s="107">
        <f t="shared" ref="AO169" si="534">AO127/AJ127-1</f>
        <v>-0.21356027835245439</v>
      </c>
      <c r="AP169" s="107">
        <f t="shared" ref="AP169" si="535">AP127/AK127-1</f>
        <v>9.7358303361032572E-3</v>
      </c>
      <c r="AQ169" s="34">
        <f t="shared" si="533"/>
        <v>-2.4292051531356385E-2</v>
      </c>
      <c r="AR169" s="107">
        <f t="shared" ref="AR169" si="536">AR127/AM127-1</f>
        <v>4.571998817267886E-2</v>
      </c>
      <c r="AS169" s="107">
        <f t="shared" ref="AS169" si="537">AS127/AN127-1</f>
        <v>0.20817695440389672</v>
      </c>
      <c r="AT169" s="107">
        <f t="shared" ref="AT169" si="538">AT127/AO127-1</f>
        <v>0.73239268205189534</v>
      </c>
      <c r="AU169" s="107">
        <f t="shared" ref="AU169" si="539">AU127/AP127-1</f>
        <v>0.19898053184302644</v>
      </c>
      <c r="AV169" s="34">
        <f t="shared" si="533"/>
        <v>0.20566757493188015</v>
      </c>
      <c r="AW169" s="107">
        <f t="shared" ref="AW169" si="540">AW127/AR127-1</f>
        <v>-5.6657123670165732E-2</v>
      </c>
      <c r="AX169" s="107">
        <f t="shared" ref="AX169" si="541">AX127/AS127-1</f>
        <v>-0.23972240581625914</v>
      </c>
      <c r="AY169" s="107">
        <f t="shared" ref="AY169" si="542">AY127/AT127-1</f>
        <v>-0.17448923246824954</v>
      </c>
      <c r="AZ169" s="107">
        <f>AZ127/AK127-1</f>
        <v>0.21313483246804332</v>
      </c>
      <c r="BA169" s="34">
        <f>BA127/AL127-1</f>
        <v>5.9127556945485438E-2</v>
      </c>
      <c r="BB169" s="107">
        <f>BB127/AM127-1</f>
        <v>-0.19030373775304288</v>
      </c>
      <c r="BC169" s="107">
        <f>BC127/AN127-1</f>
        <v>-0.13172142098525108</v>
      </c>
      <c r="BD169" s="107">
        <f>BD127/AO127-1</f>
        <v>0.53022467031511678</v>
      </c>
      <c r="BE169" s="107">
        <f t="shared" si="533"/>
        <v>-0.57003186531775918</v>
      </c>
      <c r="BF169" s="34">
        <f t="shared" si="533"/>
        <v>-0.22558198959536546</v>
      </c>
      <c r="BG169" s="107">
        <f t="shared" si="533"/>
        <v>0.32484216822159517</v>
      </c>
      <c r="BH169" s="107">
        <f t="shared" si="533"/>
        <v>-0.61180316550812108</v>
      </c>
      <c r="BI169" s="107">
        <f t="shared" si="533"/>
        <v>0.65965884160472155</v>
      </c>
      <c r="BJ169" s="107">
        <f t="shared" si="533"/>
        <v>-2.0850531197676476</v>
      </c>
      <c r="BK169" s="34">
        <f t="shared" si="533"/>
        <v>-0.15989423264541303</v>
      </c>
      <c r="BL169" s="107">
        <f t="shared" si="533"/>
        <v>0.67849721828296428</v>
      </c>
      <c r="BM169" s="107">
        <f t="shared" si="533"/>
        <v>-5.9157274599252156</v>
      </c>
      <c r="BN169" s="107">
        <f t="shared" si="533"/>
        <v>1.1575062872881965</v>
      </c>
      <c r="BO169" s="107">
        <f t="shared" si="533"/>
        <v>3.9859454624381705</v>
      </c>
      <c r="BP169" s="34">
        <f t="shared" si="533"/>
        <v>-0.37641721915095272</v>
      </c>
      <c r="BQ169" s="107">
        <f t="shared" si="533"/>
        <v>0.75470473466550292</v>
      </c>
      <c r="BR169" s="107">
        <f t="shared" si="533"/>
        <v>2.2906041420371603</v>
      </c>
      <c r="BS169" s="107">
        <f t="shared" si="533"/>
        <v>1.0283422001879399</v>
      </c>
      <c r="BT169" s="107">
        <f t="shared" si="533"/>
        <v>1.3550471379829281</v>
      </c>
      <c r="BU169" s="34">
        <f t="shared" si="533"/>
        <v>-0.89463420402754279</v>
      </c>
    </row>
    <row r="170" spans="2:73" s="48" customFormat="1" hidden="1" outlineLevel="1" x14ac:dyDescent="0.3">
      <c r="B170" s="158" t="s">
        <v>258</v>
      </c>
      <c r="C170" s="159"/>
      <c r="D170" s="294"/>
      <c r="E170" s="162"/>
      <c r="F170" s="162"/>
      <c r="G170" s="162"/>
      <c r="H170" s="34">
        <f>-H134/H10</f>
        <v>3.0739747029513223E-2</v>
      </c>
      <c r="I170" s="162"/>
      <c r="J170" s="162"/>
      <c r="K170" s="162"/>
      <c r="L170" s="162"/>
      <c r="M170" s="34">
        <f>-M134/M10</f>
        <v>3.9353712274478286E-2</v>
      </c>
      <c r="N170" s="162"/>
      <c r="O170" s="162"/>
      <c r="P170" s="162"/>
      <c r="Q170" s="162"/>
      <c r="R170" s="34">
        <f>-R134/R10</f>
        <v>5.3000485598180283E-2</v>
      </c>
      <c r="S170" s="162"/>
      <c r="T170" s="162"/>
      <c r="U170" s="162"/>
      <c r="V170" s="162"/>
      <c r="W170" s="34">
        <f>-W134/W10</f>
        <v>4.7773682054882687E-2</v>
      </c>
      <c r="X170" s="162"/>
      <c r="Y170" s="162"/>
      <c r="Z170" s="162"/>
      <c r="AA170" s="162"/>
      <c r="AB170" s="34">
        <f>-AB134/AB10</f>
        <v>5.235920019694193E-2</v>
      </c>
      <c r="AC170" s="162"/>
      <c r="AD170" s="162"/>
      <c r="AE170" s="162"/>
      <c r="AF170" s="162"/>
      <c r="AG170" s="34">
        <f>-AG134/AG10</f>
        <v>4.812271356138887E-2</v>
      </c>
      <c r="AH170" s="162"/>
      <c r="AI170" s="162"/>
      <c r="AJ170" s="162"/>
      <c r="AK170" s="162"/>
      <c r="AL170" s="34">
        <f>-AL134/AL10</f>
        <v>5.9052397757362998E-2</v>
      </c>
      <c r="AM170" s="162"/>
      <c r="AN170" s="162"/>
      <c r="AO170" s="162"/>
      <c r="AP170" s="162"/>
      <c r="AQ170" s="34">
        <f>-AQ134/AQ10</f>
        <v>5.4315677430049641E-2</v>
      </c>
      <c r="AR170" s="162"/>
      <c r="AS170" s="162"/>
      <c r="AT170" s="162"/>
      <c r="AU170" s="162"/>
      <c r="AV170" s="34">
        <f>-AV134/AV10</f>
        <v>5.0125190609762983E-2</v>
      </c>
      <c r="AW170" s="162"/>
      <c r="AX170" s="162"/>
      <c r="AY170" s="162"/>
      <c r="AZ170" s="162"/>
      <c r="BA170" s="34">
        <f>-BA134/BA10</f>
        <v>3.6684120600435008E-2</v>
      </c>
      <c r="BB170" s="162"/>
      <c r="BC170" s="162"/>
      <c r="BD170" s="162"/>
      <c r="BE170" s="162"/>
      <c r="BF170" s="34">
        <f>-BF134/BF10</f>
        <v>2.8358832024586646E-2</v>
      </c>
      <c r="BG170" s="162"/>
      <c r="BH170" s="162"/>
      <c r="BI170" s="162"/>
      <c r="BJ170" s="162"/>
      <c r="BK170" s="34">
        <f>-BK134/BK10</f>
        <v>2.7368364062205136E-2</v>
      </c>
      <c r="BL170" s="162"/>
      <c r="BM170" s="162"/>
      <c r="BN170" s="162"/>
      <c r="BO170" s="162"/>
      <c r="BP170" s="34">
        <f>-BP134/BP10</f>
        <v>2.7069410481181982E-2</v>
      </c>
      <c r="BQ170" s="162"/>
      <c r="BR170" s="162"/>
      <c r="BS170" s="162"/>
      <c r="BT170" s="162"/>
      <c r="BU170" s="34">
        <f>-BU134/BU10</f>
        <v>2.6295318377476333E-2</v>
      </c>
    </row>
    <row r="171" spans="2:73" s="33" customFormat="1" ht="16.2" hidden="1" outlineLevel="1" x14ac:dyDescent="0.45">
      <c r="B171" s="396" t="s">
        <v>259</v>
      </c>
      <c r="C171" s="397"/>
      <c r="D171" s="359"/>
      <c r="E171" s="107">
        <f>E134/D134-1</f>
        <v>-0.27127659574468088</v>
      </c>
      <c r="F171" s="107">
        <f>F134/E134-1</f>
        <v>1.1715328467153285</v>
      </c>
      <c r="G171" s="107">
        <f t="shared" ref="G171:L171" si="543">G134/F134-1</f>
        <v>0.2773109243697478</v>
      </c>
      <c r="H171" s="163"/>
      <c r="I171" s="107">
        <f>I134/G134-1</f>
        <v>0.59736842105263155</v>
      </c>
      <c r="J171" s="107">
        <f t="shared" si="543"/>
        <v>-0.48599670510708404</v>
      </c>
      <c r="K171" s="107">
        <f t="shared" si="543"/>
        <v>0.24519230769230771</v>
      </c>
      <c r="L171" s="107">
        <f t="shared" si="543"/>
        <v>1.1171171171171173</v>
      </c>
      <c r="M171" s="163"/>
      <c r="N171" s="107">
        <f>N134/L134-1</f>
        <v>-0.19696048632218843</v>
      </c>
      <c r="O171" s="107">
        <f>O134/N134-1</f>
        <v>0.10295230885692663</v>
      </c>
      <c r="P171" s="107">
        <f>P134/O134-1</f>
        <v>0.41111873713109137</v>
      </c>
      <c r="Q171" s="107">
        <f>Q134/P134-1</f>
        <v>0.68336575875486383</v>
      </c>
      <c r="R171" s="163"/>
      <c r="S171" s="107">
        <f>S134/Q134-1</f>
        <v>-0.33054030626986419</v>
      </c>
      <c r="T171" s="107">
        <f>T134/S134-1</f>
        <v>-0.1333621061717738</v>
      </c>
      <c r="U171" s="107">
        <f>U134/T134-1</f>
        <v>-6.125498007968122E-2</v>
      </c>
      <c r="V171" s="107">
        <f>V134/U134-1</f>
        <v>3.7135278514588865E-2</v>
      </c>
      <c r="W171" s="163"/>
      <c r="X171" s="107">
        <f>X134/V134-1</f>
        <v>1.5345268542199531E-2</v>
      </c>
      <c r="Y171" s="107">
        <f>Y134/X134-1</f>
        <v>-0.3037783375314862</v>
      </c>
      <c r="Z171" s="107">
        <f>Z134/Y134-1</f>
        <v>0.72069464544138939</v>
      </c>
      <c r="AA171" s="107">
        <f>AA134/Z134-1</f>
        <v>0.60891505466778795</v>
      </c>
      <c r="AB171" s="163"/>
      <c r="AC171" s="107">
        <f>AC134/AA134-1</f>
        <v>-0.15917407213800316</v>
      </c>
      <c r="AD171" s="107">
        <f>AD134/AC134-1</f>
        <v>-0.26359962698165995</v>
      </c>
      <c r="AE171" s="107">
        <f>AE134/AD134-1</f>
        <v>-0.13761080624736177</v>
      </c>
      <c r="AF171" s="107">
        <f>AF134/AE134-1</f>
        <v>0.77092511013215859</v>
      </c>
      <c r="AG171" s="163"/>
      <c r="AH171" s="107">
        <f>AH134/AF134-1</f>
        <v>-1.6583747927031434E-3</v>
      </c>
      <c r="AI171" s="107">
        <f>AI134/AH134-1</f>
        <v>-0.35326688815060903</v>
      </c>
      <c r="AJ171" s="107">
        <f>AJ134/AI134-1</f>
        <v>0.20248287671232879</v>
      </c>
      <c r="AK171" s="107">
        <f>AK134/AJ134-1</f>
        <v>0.41580633677465295</v>
      </c>
      <c r="AL171" s="163"/>
      <c r="AM171" s="107">
        <f>AM134/AK134-1</f>
        <v>-0.16167965803369377</v>
      </c>
      <c r="AN171" s="107">
        <f>AN134/AM134-1</f>
        <v>-0.10767846430713857</v>
      </c>
      <c r="AO171" s="107">
        <f>AO134/AM134-1</f>
        <v>-0.31703659268146367</v>
      </c>
      <c r="AP171" s="107">
        <f>AP134/AO134-1</f>
        <v>0.69740887132191487</v>
      </c>
      <c r="AQ171" s="163"/>
      <c r="AR171" s="107">
        <f>AR134/AP134-1</f>
        <v>-0.27296248382923671</v>
      </c>
      <c r="AS171" s="107">
        <f>AS134/AR134-1</f>
        <v>0.49288256227758009</v>
      </c>
      <c r="AT171" s="107">
        <f>AT134/AR134-1</f>
        <v>0.16263345195729539</v>
      </c>
      <c r="AU171" s="107">
        <f>AU134/AT134-1</f>
        <v>-6.9176614631160094E-2</v>
      </c>
      <c r="AV171" s="163"/>
      <c r="AW171" s="107">
        <f>AW134/AU134-1</f>
        <v>0.10325550805656025</v>
      </c>
      <c r="AX171" s="107">
        <f>AX134/AW134-1</f>
        <v>-0.2956780923994039</v>
      </c>
      <c r="AY171" s="107">
        <f>AY134/AW134-1</f>
        <v>-0.4038748137108793</v>
      </c>
      <c r="AZ171" s="107">
        <v>-0.02</v>
      </c>
      <c r="BA171" s="163"/>
      <c r="BB171" s="107">
        <v>0.01</v>
      </c>
      <c r="BC171" s="107">
        <v>0.01</v>
      </c>
      <c r="BD171" s="107">
        <v>0.01</v>
      </c>
      <c r="BE171" s="107">
        <v>0.01</v>
      </c>
      <c r="BF171" s="163"/>
      <c r="BG171" s="107">
        <v>0.01</v>
      </c>
      <c r="BH171" s="107">
        <v>0.01</v>
      </c>
      <c r="BI171" s="107">
        <v>0.01</v>
      </c>
      <c r="BJ171" s="107">
        <v>0.01</v>
      </c>
      <c r="BK171" s="163"/>
      <c r="BL171" s="107">
        <v>0.01</v>
      </c>
      <c r="BM171" s="107">
        <v>0.01</v>
      </c>
      <c r="BN171" s="107">
        <v>0.01</v>
      </c>
      <c r="BO171" s="107">
        <v>0.01</v>
      </c>
      <c r="BP171" s="163"/>
      <c r="BQ171" s="107">
        <v>0.01</v>
      </c>
      <c r="BR171" s="107">
        <v>0.01</v>
      </c>
      <c r="BS171" s="107">
        <v>0.01</v>
      </c>
      <c r="BT171" s="107">
        <v>0.01</v>
      </c>
      <c r="BU171" s="163"/>
    </row>
    <row r="172" spans="2:73" s="126" customFormat="1" ht="16.2" collapsed="1" x14ac:dyDescent="0.45">
      <c r="B172" s="128"/>
      <c r="C172" s="128"/>
      <c r="D172" s="130"/>
      <c r="E172" s="131"/>
      <c r="F172" s="131"/>
      <c r="G172" s="131"/>
      <c r="H172" s="38"/>
      <c r="I172" s="129"/>
      <c r="J172" s="129"/>
      <c r="K172" s="129"/>
      <c r="L172" s="129"/>
      <c r="M172" s="38"/>
      <c r="N172" s="129"/>
      <c r="O172" s="129"/>
      <c r="P172" s="129"/>
      <c r="Q172" s="129"/>
      <c r="R172" s="38"/>
      <c r="S172" s="129"/>
      <c r="T172" s="129"/>
      <c r="U172" s="129"/>
      <c r="V172" s="129"/>
      <c r="W172" s="38"/>
      <c r="X172" s="129"/>
      <c r="Y172" s="129"/>
      <c r="Z172" s="129"/>
      <c r="AA172" s="129"/>
      <c r="AB172" s="38"/>
      <c r="AC172" s="129"/>
      <c r="AD172" s="129"/>
      <c r="AE172" s="129"/>
      <c r="AF172" s="129"/>
      <c r="AG172" s="38"/>
      <c r="AH172" s="129"/>
      <c r="AI172" s="129"/>
      <c r="AJ172" s="129"/>
      <c r="AK172" s="129"/>
      <c r="AL172" s="38"/>
      <c r="AM172" s="129"/>
      <c r="AN172" s="129"/>
      <c r="AO172" s="129"/>
      <c r="AP172" s="129"/>
      <c r="AQ172" s="129"/>
      <c r="AR172" s="129"/>
      <c r="AS172" s="129"/>
      <c r="AT172" s="129"/>
      <c r="AU172" s="129"/>
      <c r="AV172" s="129"/>
      <c r="AW172" s="129"/>
      <c r="AX172" s="129"/>
      <c r="AY172" s="129"/>
      <c r="AZ172" s="129"/>
      <c r="BA172" s="38"/>
      <c r="BB172" s="129"/>
      <c r="BC172" s="129"/>
      <c r="BD172" s="129"/>
      <c r="BE172" s="129"/>
      <c r="BF172" s="38"/>
      <c r="BG172" s="129"/>
      <c r="BH172" s="129"/>
      <c r="BI172" s="129"/>
      <c r="BJ172" s="129"/>
      <c r="BK172" s="38"/>
      <c r="BL172" s="129"/>
      <c r="BM172" s="129"/>
      <c r="BN172" s="129"/>
      <c r="BO172" s="129"/>
      <c r="BP172" s="38"/>
      <c r="BQ172" s="129"/>
      <c r="BR172" s="129"/>
      <c r="BS172" s="129"/>
      <c r="BT172" s="129"/>
      <c r="BU172" s="38"/>
    </row>
    <row r="173" spans="2:73" ht="15.6" x14ac:dyDescent="0.3">
      <c r="B173" s="366" t="s">
        <v>46</v>
      </c>
      <c r="C173" s="401"/>
      <c r="D173" s="55"/>
      <c r="E173" s="51"/>
      <c r="F173" s="51"/>
      <c r="G173" s="51"/>
      <c r="I173" s="51"/>
      <c r="J173" s="51"/>
      <c r="K173" s="51"/>
      <c r="L173" s="51"/>
      <c r="N173" s="51"/>
      <c r="O173" s="51"/>
      <c r="P173" s="51"/>
      <c r="Q173" s="51"/>
      <c r="R173" s="90"/>
      <c r="S173" s="51"/>
      <c r="T173" s="51"/>
      <c r="U173" s="51"/>
      <c r="V173" s="51"/>
      <c r="W173" s="90"/>
      <c r="X173" s="51"/>
      <c r="Y173" s="51"/>
      <c r="Z173" s="51"/>
      <c r="AA173" s="51"/>
      <c r="AB173" s="90"/>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row>
    <row r="174" spans="2:73" x14ac:dyDescent="0.3">
      <c r="B174" s="106" t="s">
        <v>196</v>
      </c>
      <c r="C174" s="154">
        <v>12.501689049148835</v>
      </c>
      <c r="D174" s="291"/>
      <c r="E174" s="16"/>
      <c r="F174" s="16"/>
      <c r="G174" s="16"/>
      <c r="I174" s="53"/>
      <c r="J174" s="16"/>
      <c r="K174" s="16"/>
      <c r="L174" s="16"/>
      <c r="N174" s="53"/>
      <c r="O174" s="16"/>
      <c r="P174" s="16"/>
      <c r="Q174" s="16"/>
      <c r="R174" s="90"/>
      <c r="S174" s="53"/>
      <c r="T174" s="16"/>
      <c r="U174" s="16"/>
      <c r="V174" s="16"/>
      <c r="W174" s="90"/>
      <c r="X174" s="53"/>
      <c r="Y174" s="16"/>
      <c r="Z174" s="16"/>
      <c r="AA174" s="16"/>
      <c r="AB174" s="90"/>
      <c r="AC174" s="18"/>
      <c r="AD174" s="19"/>
      <c r="AE174" s="13"/>
      <c r="AF174" s="13"/>
      <c r="AG174" s="19"/>
      <c r="AH174" s="18"/>
      <c r="AI174" s="19"/>
      <c r="AJ174" s="13"/>
      <c r="AK174" s="13"/>
      <c r="AL174" s="19"/>
      <c r="AM174" s="18"/>
      <c r="AN174" s="19"/>
      <c r="AO174" s="124"/>
      <c r="AP174" s="124"/>
      <c r="AQ174" s="124"/>
      <c r="AR174" s="124"/>
      <c r="AS174" s="124"/>
      <c r="AT174" s="124"/>
      <c r="AU174" s="124"/>
      <c r="AV174" s="124"/>
      <c r="AW174" s="124"/>
      <c r="AX174" s="124"/>
      <c r="AY174" s="124"/>
      <c r="AZ174" s="13"/>
      <c r="BA174" s="19"/>
      <c r="BB174" s="18"/>
      <c r="BC174" s="19"/>
      <c r="BD174" s="13"/>
      <c r="BE174" s="13"/>
      <c r="BF174" s="19"/>
      <c r="BG174" s="18"/>
      <c r="BH174" s="19"/>
      <c r="BI174" s="13"/>
      <c r="BJ174" s="13"/>
      <c r="BK174" s="19"/>
      <c r="BL174" s="18"/>
      <c r="BM174" s="124"/>
      <c r="BN174" s="13"/>
      <c r="BO174" s="13"/>
      <c r="BP174" s="124"/>
      <c r="BQ174" s="18"/>
      <c r="BR174" s="124"/>
      <c r="BS174" s="13"/>
      <c r="BT174" s="13"/>
      <c r="BU174" s="124"/>
    </row>
    <row r="175" spans="2:73" x14ac:dyDescent="0.3">
      <c r="B175" s="106" t="s">
        <v>187</v>
      </c>
      <c r="C175" s="155">
        <v>13.638604312114991</v>
      </c>
      <c r="D175" s="292"/>
      <c r="I175" s="54"/>
      <c r="N175" s="54"/>
      <c r="O175" s="90"/>
      <c r="P175" s="90"/>
      <c r="Q175" s="90"/>
      <c r="R175" s="90"/>
      <c r="S175" s="54"/>
      <c r="T175" s="90"/>
      <c r="U175" s="90"/>
      <c r="V175" s="90"/>
      <c r="W175" s="90"/>
      <c r="X175" s="54"/>
      <c r="Y175" s="90"/>
      <c r="Z175" s="90"/>
      <c r="AA175" s="90"/>
      <c r="AB175" s="90"/>
      <c r="AC175" s="90"/>
      <c r="AD175" s="90"/>
      <c r="AE175" s="91"/>
      <c r="AF175" s="91"/>
      <c r="AG175" s="91"/>
      <c r="AH175" s="90"/>
      <c r="AI175" s="90"/>
      <c r="AJ175" s="91"/>
      <c r="AK175" s="91"/>
      <c r="AL175" s="91"/>
      <c r="AM175" s="90"/>
      <c r="AN175" s="90"/>
      <c r="AO175" s="90"/>
      <c r="AP175" s="90"/>
      <c r="AQ175" s="90"/>
      <c r="AR175" s="90"/>
      <c r="AS175" s="90"/>
      <c r="AT175" s="90"/>
      <c r="AU175" s="90"/>
      <c r="AV175" s="90"/>
      <c r="AW175" s="90"/>
      <c r="AX175" s="90"/>
      <c r="AY175" s="90"/>
      <c r="AZ175" s="91"/>
      <c r="BA175" s="91"/>
      <c r="BB175" s="90"/>
      <c r="BC175" s="90"/>
    </row>
    <row r="176" spans="2:73" x14ac:dyDescent="0.3">
      <c r="B176" s="106" t="s">
        <v>188</v>
      </c>
      <c r="C176" s="155">
        <v>11.850101950718685</v>
      </c>
      <c r="D176" s="292"/>
      <c r="I176" s="54"/>
      <c r="N176" s="54"/>
      <c r="O176" s="90"/>
      <c r="P176" s="90"/>
      <c r="Q176" s="90"/>
      <c r="R176" s="90"/>
      <c r="S176" s="54"/>
      <c r="T176" s="90"/>
      <c r="U176" s="90"/>
      <c r="V176" s="90"/>
      <c r="W176" s="90"/>
      <c r="X176" s="54"/>
      <c r="Y176" s="90"/>
      <c r="Z176" s="90"/>
      <c r="AA176" s="90"/>
      <c r="AB176" s="90"/>
      <c r="AC176" s="90"/>
      <c r="AD176" s="90"/>
      <c r="AE176" s="91"/>
      <c r="AF176" s="91"/>
      <c r="AG176" s="91"/>
      <c r="AH176" s="90"/>
      <c r="AI176" s="90"/>
      <c r="AJ176" s="91"/>
      <c r="AK176" s="91"/>
      <c r="AL176" s="91"/>
      <c r="AM176" s="90"/>
      <c r="AN176" s="90"/>
      <c r="AO176" s="90"/>
      <c r="AP176" s="90"/>
      <c r="AQ176" s="90"/>
      <c r="AR176" s="90"/>
      <c r="AS176" s="90"/>
      <c r="AT176" s="90"/>
      <c r="AU176" s="90"/>
      <c r="AV176" s="90"/>
      <c r="AW176" s="90"/>
      <c r="AX176" s="90"/>
      <c r="AY176" s="90"/>
      <c r="AZ176" s="91"/>
      <c r="BA176" s="91"/>
      <c r="BB176" s="90"/>
      <c r="BC176" s="90"/>
    </row>
    <row r="177" spans="2:73" x14ac:dyDescent="0.3">
      <c r="B177" s="106" t="s">
        <v>75</v>
      </c>
      <c r="C177" s="156">
        <v>20</v>
      </c>
      <c r="D177" s="292"/>
      <c r="I177" s="54"/>
      <c r="N177" s="54"/>
      <c r="O177" s="90"/>
      <c r="P177" s="90"/>
      <c r="Q177" s="90"/>
      <c r="R177" s="90"/>
      <c r="S177" s="54"/>
      <c r="T177" s="90"/>
      <c r="U177" s="90"/>
      <c r="V177" s="90"/>
      <c r="W177" s="90"/>
      <c r="X177" s="54"/>
      <c r="Y177" s="90"/>
      <c r="Z177" s="90"/>
      <c r="AA177" s="90"/>
      <c r="AB177" s="90"/>
      <c r="AC177" s="90"/>
      <c r="AD177" s="90"/>
      <c r="AE177" s="91"/>
      <c r="AF177" s="91"/>
      <c r="AG177" s="91"/>
      <c r="AH177" s="90"/>
      <c r="AI177" s="90"/>
      <c r="AJ177" s="91"/>
      <c r="AK177" s="91"/>
      <c r="AL177" s="91"/>
      <c r="AM177" s="90"/>
      <c r="AN177" s="90"/>
      <c r="AO177" s="90"/>
      <c r="AP177" s="90"/>
      <c r="AQ177" s="90"/>
      <c r="AR177" s="90"/>
      <c r="AS177" s="90"/>
      <c r="AT177" s="90"/>
      <c r="AU177" s="90"/>
      <c r="AV177" s="90"/>
      <c r="AW177" s="90"/>
      <c r="AX177" s="90"/>
      <c r="AY177" s="90"/>
      <c r="AZ177" s="91"/>
      <c r="BA177" s="91"/>
      <c r="BB177" s="90"/>
      <c r="BC177" s="90"/>
    </row>
    <row r="178" spans="2:73" x14ac:dyDescent="0.3">
      <c r="B178" s="7" t="s">
        <v>252</v>
      </c>
      <c r="C178" s="101">
        <f>+AY160</f>
        <v>22.709193653553577</v>
      </c>
      <c r="D178" s="293"/>
      <c r="E178" s="35"/>
      <c r="F178" s="35"/>
      <c r="G178" s="35"/>
      <c r="I178" s="32"/>
      <c r="J178" s="35"/>
      <c r="K178" s="35"/>
      <c r="L178" s="35"/>
      <c r="N178" s="32"/>
      <c r="O178" s="35"/>
      <c r="P178" s="35"/>
      <c r="Q178" s="35"/>
      <c r="R178" s="90"/>
      <c r="S178" s="32"/>
      <c r="T178" s="35"/>
      <c r="U178" s="35"/>
      <c r="V178" s="35"/>
      <c r="W178" s="90"/>
      <c r="X178" s="32"/>
      <c r="Y178" s="35"/>
      <c r="Z178" s="35"/>
      <c r="AA178" s="35"/>
      <c r="AB178" s="90"/>
      <c r="AC178" s="35"/>
      <c r="AD178" s="35"/>
      <c r="AE178" s="35"/>
      <c r="AF178" s="35"/>
      <c r="AG178" s="50"/>
      <c r="AH178" s="35"/>
      <c r="AI178" s="35"/>
      <c r="AJ178" s="35"/>
      <c r="AK178" s="35"/>
      <c r="AL178" s="50"/>
      <c r="AM178" s="35"/>
      <c r="AN178" s="35"/>
      <c r="AO178" s="35"/>
      <c r="AP178" s="35"/>
      <c r="AQ178" s="35"/>
      <c r="AR178" s="35"/>
      <c r="AS178" s="35"/>
      <c r="AT178" s="35"/>
      <c r="AU178" s="35"/>
      <c r="AV178" s="35"/>
      <c r="AW178" s="35"/>
      <c r="AX178" s="35"/>
      <c r="AY178" s="35"/>
      <c r="AZ178" s="35"/>
      <c r="BA178" s="50"/>
      <c r="BB178" s="35"/>
      <c r="BC178" s="35"/>
      <c r="BD178" s="35"/>
      <c r="BE178" s="35"/>
      <c r="BF178" s="50"/>
      <c r="BG178" s="35"/>
      <c r="BH178" s="35"/>
      <c r="BI178" s="35"/>
      <c r="BJ178" s="35"/>
      <c r="BK178" s="50"/>
      <c r="BL178" s="35"/>
      <c r="BM178" s="35"/>
      <c r="BN178" s="35"/>
      <c r="BO178" s="35"/>
      <c r="BP178" s="50"/>
      <c r="BQ178" s="35"/>
      <c r="BR178" s="35"/>
      <c r="BS178" s="35"/>
      <c r="BT178" s="35"/>
      <c r="BU178" s="50"/>
    </row>
    <row r="179" spans="2:73" s="132" customFormat="1" x14ac:dyDescent="0.3">
      <c r="B179" s="7" t="s">
        <v>246</v>
      </c>
      <c r="C179" s="101">
        <f>+AN161</f>
        <v>6.8305076241692779</v>
      </c>
      <c r="D179" s="56"/>
      <c r="E179" s="35"/>
      <c r="F179" s="35"/>
      <c r="G179" s="35"/>
      <c r="H179" s="1"/>
      <c r="I179" s="32"/>
      <c r="J179" s="35"/>
      <c r="K179" s="35"/>
      <c r="L179" s="35"/>
      <c r="M179" s="1"/>
      <c r="N179" s="32"/>
      <c r="O179" s="35"/>
      <c r="P179" s="35"/>
      <c r="Q179" s="35"/>
      <c r="R179" s="90"/>
      <c r="S179" s="32"/>
      <c r="T179" s="35"/>
      <c r="U179" s="35"/>
      <c r="V179" s="35"/>
      <c r="W179" s="90"/>
      <c r="X179" s="32"/>
      <c r="Y179" s="35"/>
      <c r="Z179" s="35"/>
      <c r="AA179" s="35"/>
      <c r="AB179" s="90"/>
      <c r="AC179" s="35"/>
      <c r="AD179" s="35"/>
      <c r="AE179" s="35"/>
      <c r="AF179" s="35"/>
      <c r="AG179" s="50"/>
      <c r="AH179" s="35"/>
      <c r="AI179" s="35"/>
      <c r="AJ179" s="35"/>
      <c r="AK179" s="35"/>
      <c r="AL179" s="50"/>
      <c r="AM179" s="35"/>
      <c r="AN179" s="35"/>
      <c r="AO179" s="35"/>
      <c r="AP179" s="35"/>
      <c r="AQ179" s="35"/>
      <c r="AR179" s="35"/>
      <c r="AS179" s="35"/>
      <c r="AT179" s="35"/>
      <c r="AU179" s="35"/>
      <c r="AV179" s="35"/>
      <c r="AW179" s="35"/>
      <c r="AX179" s="35"/>
      <c r="AY179" s="35"/>
      <c r="AZ179" s="35"/>
      <c r="BA179" s="50"/>
      <c r="BB179" s="35"/>
      <c r="BC179" s="35"/>
      <c r="BD179" s="35"/>
      <c r="BE179" s="35"/>
      <c r="BF179" s="50"/>
      <c r="BG179" s="35"/>
      <c r="BH179" s="35"/>
      <c r="BI179" s="35"/>
      <c r="BJ179" s="35"/>
      <c r="BK179" s="50"/>
      <c r="BL179" s="35"/>
      <c r="BM179" s="35"/>
      <c r="BN179" s="35"/>
      <c r="BO179" s="35"/>
      <c r="BP179" s="50"/>
      <c r="BQ179" s="35"/>
      <c r="BR179" s="35"/>
      <c r="BS179" s="35"/>
      <c r="BT179" s="35"/>
      <c r="BU179" s="50"/>
    </row>
    <row r="180" spans="2:73" ht="16.2" x14ac:dyDescent="0.45">
      <c r="B180" s="7" t="s">
        <v>175</v>
      </c>
      <c r="C180" s="178">
        <f>C178-C179</f>
        <v>15.878686029384298</v>
      </c>
      <c r="D180" s="56"/>
      <c r="E180" s="35"/>
      <c r="F180" s="35"/>
      <c r="G180" s="35"/>
      <c r="I180" s="32"/>
      <c r="J180" s="35"/>
      <c r="K180" s="35"/>
      <c r="L180" s="35"/>
      <c r="N180" s="32"/>
      <c r="O180" s="35"/>
      <c r="P180" s="35"/>
      <c r="Q180" s="35"/>
      <c r="R180" s="90"/>
      <c r="S180" s="32"/>
      <c r="T180" s="35"/>
      <c r="U180" s="35"/>
      <c r="V180" s="35"/>
      <c r="W180" s="90"/>
      <c r="X180" s="32"/>
      <c r="Y180" s="35"/>
      <c r="Z180" s="35"/>
      <c r="AA180" s="35"/>
      <c r="AB180" s="90"/>
      <c r="AC180" s="35"/>
      <c r="AD180" s="35"/>
      <c r="AE180" s="35"/>
      <c r="AF180" s="35"/>
      <c r="AG180" s="50"/>
      <c r="AH180" s="35"/>
      <c r="AI180" s="35"/>
      <c r="AJ180" s="35"/>
      <c r="AK180" s="35"/>
      <c r="AL180" s="50"/>
      <c r="AM180" s="35"/>
      <c r="AN180" s="35"/>
      <c r="AO180" s="35"/>
      <c r="AP180" s="35"/>
      <c r="AQ180" s="35"/>
      <c r="AR180" s="35"/>
      <c r="AS180" s="35"/>
      <c r="AT180" s="35"/>
      <c r="AU180" s="35"/>
      <c r="AV180" s="35"/>
      <c r="AW180" s="35"/>
      <c r="AX180" s="35"/>
      <c r="AY180" s="35"/>
      <c r="AZ180" s="35"/>
      <c r="BA180" s="50"/>
      <c r="BB180" s="35"/>
      <c r="BC180" s="35"/>
      <c r="BD180" s="35"/>
      <c r="BE180" s="35"/>
      <c r="BF180" s="50"/>
      <c r="BG180" s="35"/>
      <c r="BH180" s="35"/>
      <c r="BI180" s="35"/>
      <c r="BJ180" s="35"/>
      <c r="BK180" s="50"/>
      <c r="BL180" s="35"/>
      <c r="BM180" s="35"/>
      <c r="BN180" s="35"/>
      <c r="BO180" s="35"/>
      <c r="BP180" s="50"/>
      <c r="BQ180" s="35"/>
      <c r="BR180" s="35"/>
      <c r="BS180" s="35"/>
      <c r="BT180" s="35"/>
      <c r="BU180" s="50"/>
    </row>
    <row r="181" spans="2:73" x14ac:dyDescent="0.3">
      <c r="B181" s="52" t="s">
        <v>200</v>
      </c>
      <c r="C181" s="152">
        <f>(C177*(BD28+AZ28+BB28+BC28))+C180</f>
        <v>251.96690859575597</v>
      </c>
      <c r="D181" s="57"/>
      <c r="I181" s="58"/>
      <c r="N181" s="58"/>
      <c r="O181" s="90"/>
      <c r="P181" s="90"/>
      <c r="Q181" s="90"/>
      <c r="R181" s="90"/>
      <c r="S181" s="58"/>
      <c r="T181" s="90"/>
      <c r="U181" s="90"/>
      <c r="V181" s="90"/>
      <c r="W181" s="90"/>
      <c r="X181" s="58"/>
      <c r="Y181" s="90"/>
      <c r="Z181" s="90"/>
      <c r="AA181" s="90"/>
      <c r="AB181" s="90"/>
      <c r="AC181" s="90"/>
      <c r="AD181" s="90"/>
      <c r="AE181" s="91"/>
      <c r="AF181" s="91"/>
      <c r="AG181" s="91"/>
      <c r="AH181" s="90"/>
      <c r="AI181" s="90"/>
      <c r="AJ181" s="91"/>
      <c r="AK181" s="91"/>
      <c r="AL181" s="91"/>
      <c r="AM181" s="90"/>
      <c r="AN181" s="90"/>
      <c r="AO181" s="90"/>
      <c r="AP181" s="90"/>
      <c r="AQ181" s="90"/>
      <c r="AR181" s="90"/>
      <c r="AS181" s="90"/>
      <c r="AT181" s="90"/>
      <c r="AU181" s="90"/>
      <c r="AV181" s="90"/>
      <c r="AW181" s="90"/>
      <c r="AX181" s="90"/>
      <c r="AY181" s="90"/>
      <c r="AZ181" s="91"/>
      <c r="BA181" s="91"/>
      <c r="BB181" s="90"/>
      <c r="BC181" s="90"/>
    </row>
    <row r="182" spans="2:73" x14ac:dyDescent="0.3">
      <c r="B182" s="33"/>
      <c r="C182" s="1"/>
    </row>
    <row r="183" spans="2:73" ht="15.6" x14ac:dyDescent="0.3">
      <c r="B183" s="366" t="s">
        <v>64</v>
      </c>
      <c r="C183" s="367"/>
    </row>
    <row r="184" spans="2:73" outlineLevel="1" x14ac:dyDescent="0.3">
      <c r="B184" s="17" t="s">
        <v>73</v>
      </c>
      <c r="C184" s="59"/>
    </row>
    <row r="185" spans="2:73" outlineLevel="1" x14ac:dyDescent="0.3">
      <c r="B185" s="7" t="s">
        <v>65</v>
      </c>
      <c r="C185" s="290">
        <v>205</v>
      </c>
    </row>
    <row r="186" spans="2:73" ht="16.2" outlineLevel="1" x14ac:dyDescent="0.45">
      <c r="B186" s="7" t="s">
        <v>66</v>
      </c>
      <c r="C186" s="166">
        <f>AY26</f>
        <v>4601</v>
      </c>
    </row>
    <row r="187" spans="2:73" outlineLevel="1" x14ac:dyDescent="0.3">
      <c r="B187" s="120" t="s">
        <v>67</v>
      </c>
      <c r="C187" s="287">
        <f>C186*C185</f>
        <v>943205</v>
      </c>
    </row>
    <row r="188" spans="2:73" outlineLevel="1" x14ac:dyDescent="0.3">
      <c r="B188" s="8" t="s">
        <v>176</v>
      </c>
      <c r="C188" s="144">
        <v>1.1200000000000001</v>
      </c>
      <c r="D188" s="289"/>
    </row>
    <row r="189" spans="2:73" outlineLevel="1" x14ac:dyDescent="0.3">
      <c r="B189" s="8" t="s">
        <v>197</v>
      </c>
      <c r="C189" s="62">
        <v>0.308</v>
      </c>
      <c r="D189" s="289"/>
    </row>
    <row r="190" spans="2:73" outlineLevel="1" x14ac:dyDescent="0.3">
      <c r="B190" s="8" t="s">
        <v>198</v>
      </c>
      <c r="C190" s="145">
        <v>0.18</v>
      </c>
      <c r="D190" s="289"/>
      <c r="AB190" s="142"/>
    </row>
    <row r="191" spans="2:73" outlineLevel="1" x14ac:dyDescent="0.3">
      <c r="B191" s="52" t="s">
        <v>68</v>
      </c>
      <c r="C191" s="64">
        <f>C189*C190</f>
        <v>5.5439999999999996E-2</v>
      </c>
      <c r="D191" s="289"/>
      <c r="AB191" s="143"/>
    </row>
    <row r="192" spans="2:73" outlineLevel="1" x14ac:dyDescent="0.3">
      <c r="B192" s="8" t="s">
        <v>220</v>
      </c>
      <c r="C192" s="288">
        <v>2.0500000000000001E-2</v>
      </c>
      <c r="D192" s="289"/>
      <c r="AB192" s="142"/>
    </row>
    <row r="193" spans="2:7" outlineLevel="1" x14ac:dyDescent="0.3">
      <c r="B193" s="52" t="s">
        <v>69</v>
      </c>
      <c r="C193" s="64">
        <f>C192+(C188*C191)</f>
        <v>8.2592800000000008E-2</v>
      </c>
    </row>
    <row r="194" spans="2:7" outlineLevel="1" x14ac:dyDescent="0.3">
      <c r="B194" s="8" t="s">
        <v>70</v>
      </c>
      <c r="C194" s="63">
        <f>C187/(C187+AM73+AM76)</f>
        <v>0.91506314794800703</v>
      </c>
    </row>
    <row r="195" spans="2:7" outlineLevel="1" x14ac:dyDescent="0.3">
      <c r="B195" s="8" t="s">
        <v>71</v>
      </c>
      <c r="C195" s="63">
        <f>-AY42*4</f>
        <v>2.1027966466949547E-2</v>
      </c>
      <c r="D195" s="193"/>
    </row>
    <row r="196" spans="2:7" outlineLevel="1" x14ac:dyDescent="0.3">
      <c r="B196" s="8" t="s">
        <v>9</v>
      </c>
      <c r="C196" s="103">
        <f>AV38</f>
        <v>0.18342180705869443</v>
      </c>
    </row>
    <row r="197" spans="2:7" outlineLevel="1" x14ac:dyDescent="0.3">
      <c r="B197" s="8" t="s">
        <v>72</v>
      </c>
      <c r="C197" s="63">
        <f>C195*(1-C196)</f>
        <v>1.7170978858812032E-2</v>
      </c>
    </row>
    <row r="198" spans="2:7" outlineLevel="1" x14ac:dyDescent="0.3">
      <c r="B198" s="120" t="s">
        <v>294</v>
      </c>
      <c r="C198" s="286">
        <f>(C194*C193)+((1-C194)*C197)</f>
        <v>7.7036076456758973E-2</v>
      </c>
    </row>
    <row r="199" spans="2:7" outlineLevel="1" x14ac:dyDescent="0.3">
      <c r="B199" s="17" t="s">
        <v>199</v>
      </c>
      <c r="C199" s="59"/>
    </row>
    <row r="200" spans="2:7" outlineLevel="1" x14ac:dyDescent="0.3">
      <c r="B200" s="7" t="s">
        <v>177</v>
      </c>
      <c r="C200" s="141">
        <v>0.1</v>
      </c>
      <c r="G200" s="60"/>
    </row>
    <row r="201" spans="2:7" outlineLevel="1" x14ac:dyDescent="0.3">
      <c r="B201" s="7" t="s">
        <v>179</v>
      </c>
      <c r="C201" s="141">
        <v>0.02</v>
      </c>
      <c r="E201" s="142"/>
      <c r="G201" s="60"/>
    </row>
    <row r="202" spans="2:7" outlineLevel="1" x14ac:dyDescent="0.3">
      <c r="B202" s="7" t="s">
        <v>180</v>
      </c>
      <c r="C202" s="141">
        <f>AVERAGE(D170:BU170)</f>
        <v>4.1472775147031862E-2</v>
      </c>
    </row>
    <row r="203" spans="2:7" outlineLevel="1" x14ac:dyDescent="0.3">
      <c r="B203" s="7" t="s">
        <v>295</v>
      </c>
      <c r="C203" s="141">
        <f>(C194*(C192+(1.25*(0.31*0.195))))+((1-C194)*C197)</f>
        <v>8.9361702540674243E-2</v>
      </c>
      <c r="D203" s="104"/>
    </row>
    <row r="204" spans="2:7" outlineLevel="1" x14ac:dyDescent="0.3">
      <c r="B204" s="17" t="s">
        <v>181</v>
      </c>
      <c r="C204" s="59"/>
    </row>
    <row r="205" spans="2:7" outlineLevel="1" x14ac:dyDescent="0.3">
      <c r="B205" s="7" t="s">
        <v>182</v>
      </c>
      <c r="C205" s="84">
        <f>((((BU127*(1+C201))-(C202*BU10*(1+C200))+(C197*BU76)))/(C203-C200))/(1+$C$203)^5</f>
        <v>611690.43747218978</v>
      </c>
    </row>
    <row r="206" spans="2:7" outlineLevel="1" x14ac:dyDescent="0.3">
      <c r="B206" s="7" t="s">
        <v>178</v>
      </c>
      <c r="C206" s="22">
        <f>BA154+BF154+BK154+BP154+BU154</f>
        <v>166620.19272324329</v>
      </c>
    </row>
    <row r="207" spans="2:7" ht="16.2" outlineLevel="1" x14ac:dyDescent="0.45">
      <c r="B207" s="7" t="s">
        <v>195</v>
      </c>
      <c r="C207" s="179">
        <f>C180</f>
        <v>15.878686029384298</v>
      </c>
    </row>
    <row r="208" spans="2:7" outlineLevel="1" x14ac:dyDescent="0.3">
      <c r="B208" s="120" t="s">
        <v>201</v>
      </c>
      <c r="C208" s="151">
        <f>(C205+C206)/C186+C207</f>
        <v>185.03987494384484</v>
      </c>
    </row>
    <row r="209" spans="2:4" x14ac:dyDescent="0.3">
      <c r="C209" s="20"/>
    </row>
    <row r="210" spans="2:4" ht="15.6" x14ac:dyDescent="0.3">
      <c r="B210" s="394" t="s">
        <v>292</v>
      </c>
      <c r="C210" s="395"/>
    </row>
    <row r="211" spans="2:4" x14ac:dyDescent="0.3">
      <c r="B211" s="279" t="s">
        <v>286</v>
      </c>
      <c r="C211" s="280">
        <v>4.2500000000000003E-2</v>
      </c>
      <c r="D211" s="23"/>
    </row>
    <row r="212" spans="2:4" x14ac:dyDescent="0.3">
      <c r="B212" s="7" t="s">
        <v>287</v>
      </c>
      <c r="C212" s="281">
        <v>4.4900000000000002E-2</v>
      </c>
      <c r="D212" s="23"/>
    </row>
    <row r="213" spans="2:4" x14ac:dyDescent="0.3">
      <c r="B213" s="7" t="s">
        <v>290</v>
      </c>
      <c r="C213" s="282">
        <f>C5</f>
        <v>218.5033917698004</v>
      </c>
    </row>
    <row r="214" spans="2:4" x14ac:dyDescent="0.3">
      <c r="B214" s="106" t="s">
        <v>288</v>
      </c>
      <c r="C214" s="282">
        <f>C213*(1+(C212+2*C211))</f>
        <v>246.88698236069749</v>
      </c>
    </row>
    <row r="215" spans="2:4" x14ac:dyDescent="0.3">
      <c r="B215" s="283" t="s">
        <v>289</v>
      </c>
      <c r="C215" s="297">
        <f>C213*(1-(C212+2*C211))</f>
        <v>190.11980117890332</v>
      </c>
    </row>
  </sheetData>
  <dataConsolidate/>
  <mergeCells count="138">
    <mergeCell ref="B210:C210"/>
    <mergeCell ref="B158:C158"/>
    <mergeCell ref="B159:C159"/>
    <mergeCell ref="B149:C149"/>
    <mergeCell ref="B148:C148"/>
    <mergeCell ref="B147:C147"/>
    <mergeCell ref="B171:C171"/>
    <mergeCell ref="B169:C169"/>
    <mergeCell ref="B103:C103"/>
    <mergeCell ref="B165:C165"/>
    <mergeCell ref="B164:C164"/>
    <mergeCell ref="B163:C163"/>
    <mergeCell ref="B162:C162"/>
    <mergeCell ref="B154:C154"/>
    <mergeCell ref="B152:C152"/>
    <mergeCell ref="B161:C161"/>
    <mergeCell ref="B151:C151"/>
    <mergeCell ref="B150:C150"/>
    <mergeCell ref="B173:C173"/>
    <mergeCell ref="B183:C183"/>
    <mergeCell ref="B130:C130"/>
    <mergeCell ref="B129:C129"/>
    <mergeCell ref="B128:C128"/>
    <mergeCell ref="B146:C146"/>
    <mergeCell ref="B145:C145"/>
    <mergeCell ref="B144:C144"/>
    <mergeCell ref="B143:C143"/>
    <mergeCell ref="B142:C142"/>
    <mergeCell ref="B141:C141"/>
    <mergeCell ref="B140:C140"/>
    <mergeCell ref="B139:C139"/>
    <mergeCell ref="B138:C138"/>
    <mergeCell ref="B137:C137"/>
    <mergeCell ref="B136:C136"/>
    <mergeCell ref="B135:C135"/>
    <mergeCell ref="B134:C134"/>
    <mergeCell ref="B133:C133"/>
    <mergeCell ref="B132:C132"/>
    <mergeCell ref="B131:C131"/>
    <mergeCell ref="B117:C117"/>
    <mergeCell ref="B118:C118"/>
    <mergeCell ref="B127:C127"/>
    <mergeCell ref="B126:C126"/>
    <mergeCell ref="B125:C125"/>
    <mergeCell ref="B124:C124"/>
    <mergeCell ref="B123:C123"/>
    <mergeCell ref="B122:C122"/>
    <mergeCell ref="B121:C121"/>
    <mergeCell ref="B120:C120"/>
    <mergeCell ref="B119:C119"/>
    <mergeCell ref="B110:C110"/>
    <mergeCell ref="B111:C111"/>
    <mergeCell ref="B114:C114"/>
    <mergeCell ref="B115:C115"/>
    <mergeCell ref="B116:C116"/>
    <mergeCell ref="B95:C95"/>
    <mergeCell ref="B94:C94"/>
    <mergeCell ref="B93:C93"/>
    <mergeCell ref="B112:C112"/>
    <mergeCell ref="B89:C89"/>
    <mergeCell ref="B88:C88"/>
    <mergeCell ref="B108:C108"/>
    <mergeCell ref="B80:C80"/>
    <mergeCell ref="B79:C79"/>
    <mergeCell ref="B104:C104"/>
    <mergeCell ref="B100:C100"/>
    <mergeCell ref="B99:C99"/>
    <mergeCell ref="B98:C98"/>
    <mergeCell ref="B97:C97"/>
    <mergeCell ref="B96:C96"/>
    <mergeCell ref="B65:C65"/>
    <mergeCell ref="B64:C64"/>
    <mergeCell ref="B63:C63"/>
    <mergeCell ref="B68:C68"/>
    <mergeCell ref="B86:C86"/>
    <mergeCell ref="B85:C85"/>
    <mergeCell ref="B84:C84"/>
    <mergeCell ref="B83:C83"/>
    <mergeCell ref="B82:C82"/>
    <mergeCell ref="B81:C81"/>
    <mergeCell ref="B72:C72"/>
    <mergeCell ref="B71:C71"/>
    <mergeCell ref="B70:C70"/>
    <mergeCell ref="B69:C69"/>
    <mergeCell ref="B67:C67"/>
    <mergeCell ref="B66:C66"/>
    <mergeCell ref="B78:C78"/>
    <mergeCell ref="B77:C77"/>
    <mergeCell ref="B76:C76"/>
    <mergeCell ref="B75:C75"/>
    <mergeCell ref="B74:C74"/>
    <mergeCell ref="B73:C73"/>
    <mergeCell ref="B54:C54"/>
    <mergeCell ref="B53:C53"/>
    <mergeCell ref="B51:C51"/>
    <mergeCell ref="B62:C62"/>
    <mergeCell ref="B61:C61"/>
    <mergeCell ref="B60:C60"/>
    <mergeCell ref="B59:C59"/>
    <mergeCell ref="B58:C58"/>
    <mergeCell ref="B57:C57"/>
    <mergeCell ref="B56:C56"/>
    <mergeCell ref="B55:C55"/>
    <mergeCell ref="B49:C49"/>
    <mergeCell ref="B48:C48"/>
    <mergeCell ref="B47:C47"/>
    <mergeCell ref="B46:C46"/>
    <mergeCell ref="B37:C37"/>
    <mergeCell ref="B36:C36"/>
    <mergeCell ref="B35:C35"/>
    <mergeCell ref="B34:C34"/>
    <mergeCell ref="B45:C45"/>
    <mergeCell ref="B44:C44"/>
    <mergeCell ref="B40:C40"/>
    <mergeCell ref="B39:C39"/>
    <mergeCell ref="B38:C38"/>
    <mergeCell ref="B41:C41"/>
    <mergeCell ref="B43:C43"/>
    <mergeCell ref="B33:C33"/>
    <mergeCell ref="B32:C32"/>
    <mergeCell ref="B2:C2"/>
    <mergeCell ref="B8:C8"/>
    <mergeCell ref="B9:C9"/>
    <mergeCell ref="B29:C29"/>
    <mergeCell ref="B28:C28"/>
    <mergeCell ref="B27:C27"/>
    <mergeCell ref="B26:C26"/>
    <mergeCell ref="B25:C25"/>
    <mergeCell ref="B24:C24"/>
    <mergeCell ref="B10:C10"/>
    <mergeCell ref="B11:C11"/>
    <mergeCell ref="B12:C12"/>
    <mergeCell ref="B13:C13"/>
    <mergeCell ref="B23:C23"/>
    <mergeCell ref="B22:C22"/>
    <mergeCell ref="B21:C21"/>
    <mergeCell ref="B16:C16"/>
    <mergeCell ref="B14:C14"/>
  </mergeCells>
  <pageMargins left="0.7" right="0.7" top="0.75" bottom="0.75" header="0.3" footer="0.3"/>
  <pageSetup scale="40" orientation="portrait" r:id="rId1"/>
  <headerFooter>
    <oddFooter>&amp;CJames Ferraioli
Equity Analysis - Spring 2018
Fordham University</oddFooter>
  </headerFooter>
  <rowBreaks count="1" manualBreakCount="1">
    <brk id="49"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1273"/>
  <sheetViews>
    <sheetView topLeftCell="A12" workbookViewId="0">
      <selection activeCell="F344" sqref="F344"/>
    </sheetView>
  </sheetViews>
  <sheetFormatPr defaultRowHeight="14.4" x14ac:dyDescent="0.3"/>
  <cols>
    <col min="1" max="1" width="13" customWidth="1"/>
  </cols>
  <sheetData>
    <row r="1" spans="1:3" s="132" customFormat="1" x14ac:dyDescent="0.3">
      <c r="A1" s="132" t="s">
        <v>232</v>
      </c>
    </row>
    <row r="2" spans="1:3" x14ac:dyDescent="0.3">
      <c r="A2" s="153" t="s">
        <v>233</v>
      </c>
    </row>
    <row r="3" spans="1:3" x14ac:dyDescent="0.3">
      <c r="A3" t="s">
        <v>234</v>
      </c>
    </row>
    <row r="5" spans="1:3" x14ac:dyDescent="0.3">
      <c r="A5" s="132" t="s">
        <v>235</v>
      </c>
      <c r="B5" s="132"/>
    </row>
    <row r="6" spans="1:3" x14ac:dyDescent="0.3">
      <c r="A6" s="132" t="s">
        <v>236</v>
      </c>
      <c r="B6" s="132"/>
    </row>
    <row r="7" spans="1:3" x14ac:dyDescent="0.3">
      <c r="A7" s="132" t="s">
        <v>237</v>
      </c>
      <c r="B7" s="132"/>
    </row>
    <row r="8" spans="1:3" x14ac:dyDescent="0.3">
      <c r="A8" s="132" t="s">
        <v>238</v>
      </c>
      <c r="B8" s="132"/>
    </row>
    <row r="9" spans="1:3" x14ac:dyDescent="0.3">
      <c r="A9" s="132" t="s">
        <v>239</v>
      </c>
      <c r="B9" s="132"/>
    </row>
    <row r="10" spans="1:3" x14ac:dyDescent="0.3">
      <c r="A10" s="132" t="s">
        <v>240</v>
      </c>
      <c r="B10" s="132"/>
    </row>
    <row r="11" spans="1:3" x14ac:dyDescent="0.3">
      <c r="A11" s="132"/>
      <c r="B11" s="132"/>
    </row>
    <row r="12" spans="1:3" x14ac:dyDescent="0.3">
      <c r="A12" s="132" t="s">
        <v>241</v>
      </c>
      <c r="B12" s="132" t="s">
        <v>242</v>
      </c>
    </row>
    <row r="13" spans="1:3" x14ac:dyDescent="0.3">
      <c r="A13" s="132"/>
      <c r="B13" s="132"/>
    </row>
    <row r="14" spans="1:3" x14ac:dyDescent="0.3">
      <c r="A14" s="132" t="s">
        <v>243</v>
      </c>
      <c r="B14" s="132"/>
    </row>
    <row r="15" spans="1:3" x14ac:dyDescent="0.3">
      <c r="A15" s="132" t="s">
        <v>244</v>
      </c>
      <c r="B15" s="132" t="s">
        <v>241</v>
      </c>
      <c r="C15" t="s">
        <v>245</v>
      </c>
    </row>
    <row r="16" spans="1:3" hidden="1" x14ac:dyDescent="0.3">
      <c r="A16" s="183">
        <v>40980</v>
      </c>
      <c r="B16" s="184">
        <v>98.881699999999995</v>
      </c>
    </row>
    <row r="17" spans="1:2" hidden="1" x14ac:dyDescent="0.3">
      <c r="A17" s="183">
        <v>40981</v>
      </c>
      <c r="B17" s="184">
        <v>98.763800000000003</v>
      </c>
    </row>
    <row r="18" spans="1:2" hidden="1" x14ac:dyDescent="0.3">
      <c r="A18" s="183">
        <v>40982</v>
      </c>
      <c r="B18" s="184">
        <v>99.179100000000005</v>
      </c>
    </row>
    <row r="19" spans="1:2" hidden="1" x14ac:dyDescent="0.3">
      <c r="A19" s="183">
        <v>40983</v>
      </c>
      <c r="B19" s="184">
        <v>99.017200000000003</v>
      </c>
    </row>
    <row r="20" spans="1:2" hidden="1" x14ac:dyDescent="0.3">
      <c r="A20" s="183">
        <v>40984</v>
      </c>
      <c r="B20" s="184">
        <v>98.764300000000006</v>
      </c>
    </row>
    <row r="21" spans="1:2" hidden="1" x14ac:dyDescent="0.3">
      <c r="A21" s="183">
        <v>40987</v>
      </c>
      <c r="B21" s="184">
        <v>98.529200000000003</v>
      </c>
    </row>
    <row r="22" spans="1:2" hidden="1" x14ac:dyDescent="0.3">
      <c r="A22" s="183">
        <v>40988</v>
      </c>
      <c r="B22" s="184">
        <v>98.850999999999999</v>
      </c>
    </row>
    <row r="23" spans="1:2" hidden="1" x14ac:dyDescent="0.3">
      <c r="A23" s="183">
        <v>40989</v>
      </c>
      <c r="B23" s="184">
        <v>98.922300000000007</v>
      </c>
    </row>
    <row r="24" spans="1:2" hidden="1" x14ac:dyDescent="0.3">
      <c r="A24" s="183">
        <v>40990</v>
      </c>
      <c r="B24" s="184">
        <v>99.034400000000005</v>
      </c>
    </row>
    <row r="25" spans="1:2" hidden="1" x14ac:dyDescent="0.3">
      <c r="A25" s="183">
        <v>40991</v>
      </c>
      <c r="B25" s="184">
        <v>98.8369</v>
      </c>
    </row>
    <row r="26" spans="1:2" hidden="1" x14ac:dyDescent="0.3">
      <c r="A26" s="183">
        <v>40994</v>
      </c>
      <c r="B26" s="184">
        <v>98.562200000000004</v>
      </c>
    </row>
    <row r="27" spans="1:2" hidden="1" x14ac:dyDescent="0.3">
      <c r="A27" s="183">
        <v>40995</v>
      </c>
      <c r="B27" s="184">
        <v>98.509799999999998</v>
      </c>
    </row>
    <row r="28" spans="1:2" hidden="1" x14ac:dyDescent="0.3">
      <c r="A28" s="183">
        <v>40996</v>
      </c>
      <c r="B28" s="184">
        <v>98.822699999999998</v>
      </c>
    </row>
    <row r="29" spans="1:2" hidden="1" x14ac:dyDescent="0.3">
      <c r="A29" s="183">
        <v>40997</v>
      </c>
      <c r="B29" s="184">
        <v>98.958399999999997</v>
      </c>
    </row>
    <row r="30" spans="1:2" hidden="1" x14ac:dyDescent="0.3">
      <c r="A30" s="183">
        <v>40998</v>
      </c>
      <c r="B30" s="184">
        <v>98.674000000000007</v>
      </c>
    </row>
    <row r="31" spans="1:2" hidden="1" x14ac:dyDescent="0.3">
      <c r="A31" s="183">
        <v>41001</v>
      </c>
      <c r="B31" s="184">
        <v>98.465299999999999</v>
      </c>
    </row>
    <row r="32" spans="1:2" hidden="1" x14ac:dyDescent="0.3">
      <c r="A32" s="183">
        <v>41002</v>
      </c>
      <c r="B32" s="184">
        <v>98.397800000000004</v>
      </c>
    </row>
    <row r="33" spans="1:2" hidden="1" x14ac:dyDescent="0.3">
      <c r="A33" s="183">
        <v>41003</v>
      </c>
      <c r="B33" s="184">
        <v>99.043599999999998</v>
      </c>
    </row>
    <row r="34" spans="1:2" hidden="1" x14ac:dyDescent="0.3">
      <c r="A34" s="183">
        <v>41004</v>
      </c>
      <c r="B34" s="184">
        <v>99.108599999999996</v>
      </c>
    </row>
    <row r="35" spans="1:2" hidden="1" x14ac:dyDescent="0.3">
      <c r="A35" s="183">
        <v>41005</v>
      </c>
      <c r="B35" s="184">
        <v>99.161600000000007</v>
      </c>
    </row>
    <row r="36" spans="1:2" hidden="1" x14ac:dyDescent="0.3">
      <c r="A36" s="183">
        <v>41008</v>
      </c>
      <c r="B36" s="184">
        <v>99.198400000000007</v>
      </c>
    </row>
    <row r="37" spans="1:2" hidden="1" x14ac:dyDescent="0.3">
      <c r="A37" s="183">
        <v>41009</v>
      </c>
      <c r="B37" s="184">
        <v>99.504800000000003</v>
      </c>
    </row>
    <row r="38" spans="1:2" hidden="1" x14ac:dyDescent="0.3">
      <c r="A38" s="183">
        <v>41010</v>
      </c>
      <c r="B38" s="184">
        <v>99.403400000000005</v>
      </c>
    </row>
    <row r="39" spans="1:2" hidden="1" x14ac:dyDescent="0.3">
      <c r="A39" s="183">
        <v>41011</v>
      </c>
      <c r="B39" s="184">
        <v>98.999799999999993</v>
      </c>
    </row>
    <row r="40" spans="1:2" hidden="1" x14ac:dyDescent="0.3">
      <c r="A40" s="183">
        <v>41012</v>
      </c>
      <c r="B40" s="184">
        <v>99.270499999999998</v>
      </c>
    </row>
    <row r="41" spans="1:2" hidden="1" x14ac:dyDescent="0.3">
      <c r="A41" s="183">
        <v>41015</v>
      </c>
      <c r="B41" s="184">
        <v>99.463700000000003</v>
      </c>
    </row>
    <row r="42" spans="1:2" hidden="1" x14ac:dyDescent="0.3">
      <c r="A42" s="183">
        <v>41016</v>
      </c>
      <c r="B42" s="184">
        <v>99.001099999999994</v>
      </c>
    </row>
    <row r="43" spans="1:2" hidden="1" x14ac:dyDescent="0.3">
      <c r="A43" s="183">
        <v>41017</v>
      </c>
      <c r="B43" s="184">
        <v>99.181799999999996</v>
      </c>
    </row>
    <row r="44" spans="1:2" hidden="1" x14ac:dyDescent="0.3">
      <c r="A44" s="183">
        <v>41018</v>
      </c>
      <c r="B44" s="184">
        <v>99.334900000000005</v>
      </c>
    </row>
    <row r="45" spans="1:2" hidden="1" x14ac:dyDescent="0.3">
      <c r="A45" s="183">
        <v>41019</v>
      </c>
      <c r="B45" s="184">
        <v>99.065100000000001</v>
      </c>
    </row>
    <row r="46" spans="1:2" hidden="1" x14ac:dyDescent="0.3">
      <c r="A46" s="183">
        <v>41022</v>
      </c>
      <c r="B46" s="184">
        <v>99.339799999999997</v>
      </c>
    </row>
    <row r="47" spans="1:2" hidden="1" x14ac:dyDescent="0.3">
      <c r="A47" s="183">
        <v>41023</v>
      </c>
      <c r="B47" s="184">
        <v>99.076800000000006</v>
      </c>
    </row>
    <row r="48" spans="1:2" hidden="1" x14ac:dyDescent="0.3">
      <c r="A48" s="183">
        <v>41024</v>
      </c>
      <c r="B48" s="184">
        <v>99.019099999999995</v>
      </c>
    </row>
    <row r="49" spans="1:2" hidden="1" x14ac:dyDescent="0.3">
      <c r="A49" s="183">
        <v>41025</v>
      </c>
      <c r="B49" s="184">
        <v>98.898200000000003</v>
      </c>
    </row>
    <row r="50" spans="1:2" hidden="1" x14ac:dyDescent="0.3">
      <c r="A50" s="183">
        <v>41026</v>
      </c>
      <c r="B50" s="184">
        <v>98.584800000000001</v>
      </c>
    </row>
    <row r="51" spans="1:2" hidden="1" x14ac:dyDescent="0.3">
      <c r="A51" s="183">
        <v>41029</v>
      </c>
      <c r="B51" s="184">
        <v>98.565799999999996</v>
      </c>
    </row>
    <row r="52" spans="1:2" hidden="1" x14ac:dyDescent="0.3">
      <c r="A52" s="183">
        <v>41030</v>
      </c>
      <c r="B52" s="184">
        <v>98.560599999999994</v>
      </c>
    </row>
    <row r="53" spans="1:2" hidden="1" x14ac:dyDescent="0.3">
      <c r="A53" s="183">
        <v>41031</v>
      </c>
      <c r="B53" s="184">
        <v>98.845399999999998</v>
      </c>
    </row>
    <row r="54" spans="1:2" hidden="1" x14ac:dyDescent="0.3">
      <c r="A54" s="183">
        <v>41032</v>
      </c>
      <c r="B54" s="184">
        <v>98.924099999999996</v>
      </c>
    </row>
    <row r="55" spans="1:2" hidden="1" x14ac:dyDescent="0.3">
      <c r="A55" s="183">
        <v>41033</v>
      </c>
      <c r="B55" s="184">
        <v>99.284000000000006</v>
      </c>
    </row>
    <row r="56" spans="1:2" hidden="1" x14ac:dyDescent="0.3">
      <c r="A56" s="183">
        <v>41036</v>
      </c>
      <c r="B56" s="184">
        <v>99.328999999999994</v>
      </c>
    </row>
    <row r="57" spans="1:2" hidden="1" x14ac:dyDescent="0.3">
      <c r="A57" s="183">
        <v>41037</v>
      </c>
      <c r="B57" s="184">
        <v>99.661699999999996</v>
      </c>
    </row>
    <row r="58" spans="1:2" hidden="1" x14ac:dyDescent="0.3">
      <c r="A58" s="183">
        <v>41038</v>
      </c>
      <c r="B58" s="184">
        <v>100.0256</v>
      </c>
    </row>
    <row r="59" spans="1:2" hidden="1" x14ac:dyDescent="0.3">
      <c r="A59" s="183">
        <v>41039</v>
      </c>
      <c r="B59" s="184">
        <v>99.973500000000001</v>
      </c>
    </row>
    <row r="60" spans="1:2" hidden="1" x14ac:dyDescent="0.3">
      <c r="A60" s="183">
        <v>41040</v>
      </c>
      <c r="B60" s="184">
        <v>99.996300000000005</v>
      </c>
    </row>
    <row r="61" spans="1:2" hidden="1" x14ac:dyDescent="0.3">
      <c r="A61" s="183">
        <v>41043</v>
      </c>
      <c r="B61" s="184">
        <v>100.54649999999999</v>
      </c>
    </row>
    <row r="62" spans="1:2" hidden="1" x14ac:dyDescent="0.3">
      <c r="A62" s="183">
        <v>41044</v>
      </c>
      <c r="B62" s="184">
        <v>100.8229</v>
      </c>
    </row>
    <row r="63" spans="1:2" hidden="1" x14ac:dyDescent="0.3">
      <c r="A63" s="183">
        <v>41045</v>
      </c>
      <c r="B63" s="184">
        <v>101.2132</v>
      </c>
    </row>
    <row r="64" spans="1:2" hidden="1" x14ac:dyDescent="0.3">
      <c r="A64" s="183">
        <v>41046</v>
      </c>
      <c r="B64" s="184">
        <v>101.25320000000001</v>
      </c>
    </row>
    <row r="65" spans="1:2" hidden="1" x14ac:dyDescent="0.3">
      <c r="A65" s="183">
        <v>41047</v>
      </c>
      <c r="B65" s="184">
        <v>101.4284</v>
      </c>
    </row>
    <row r="66" spans="1:2" hidden="1" x14ac:dyDescent="0.3">
      <c r="A66" s="183">
        <v>41050</v>
      </c>
      <c r="B66" s="184">
        <v>101.37439999999999</v>
      </c>
    </row>
    <row r="67" spans="1:2" hidden="1" x14ac:dyDescent="0.3">
      <c r="A67" s="183">
        <v>41051</v>
      </c>
      <c r="B67" s="184">
        <v>101.387</v>
      </c>
    </row>
    <row r="68" spans="1:2" hidden="1" x14ac:dyDescent="0.3">
      <c r="A68" s="183">
        <v>41052</v>
      </c>
      <c r="B68" s="184">
        <v>102.185</v>
      </c>
    </row>
    <row r="69" spans="1:2" hidden="1" x14ac:dyDescent="0.3">
      <c r="A69" s="183">
        <v>41053</v>
      </c>
      <c r="B69" s="184">
        <v>102.11239999999999</v>
      </c>
    </row>
    <row r="70" spans="1:2" hidden="1" x14ac:dyDescent="0.3">
      <c r="A70" s="183">
        <v>41054</v>
      </c>
      <c r="B70" s="184">
        <v>102.2765</v>
      </c>
    </row>
    <row r="71" spans="1:2" hidden="1" x14ac:dyDescent="0.3">
      <c r="A71" s="183">
        <v>41058</v>
      </c>
      <c r="B71" s="184">
        <v>102.21</v>
      </c>
    </row>
    <row r="72" spans="1:2" hidden="1" x14ac:dyDescent="0.3">
      <c r="A72" s="183">
        <v>41059</v>
      </c>
      <c r="B72" s="184">
        <v>102.6514</v>
      </c>
    </row>
    <row r="73" spans="1:2" hidden="1" x14ac:dyDescent="0.3">
      <c r="A73" s="183">
        <v>41060</v>
      </c>
      <c r="B73" s="184">
        <v>103.038</v>
      </c>
    </row>
    <row r="74" spans="1:2" hidden="1" x14ac:dyDescent="0.3">
      <c r="A74" s="183">
        <v>41061</v>
      </c>
      <c r="B74" s="184">
        <v>103.0557</v>
      </c>
    </row>
    <row r="75" spans="1:2" hidden="1" x14ac:dyDescent="0.3">
      <c r="A75" s="183">
        <v>41064</v>
      </c>
      <c r="B75" s="184">
        <v>102.8528</v>
      </c>
    </row>
    <row r="76" spans="1:2" hidden="1" x14ac:dyDescent="0.3">
      <c r="A76" s="183">
        <v>41065</v>
      </c>
      <c r="B76" s="184">
        <v>102.9438</v>
      </c>
    </row>
    <row r="77" spans="1:2" hidden="1" x14ac:dyDescent="0.3">
      <c r="A77" s="183">
        <v>41066</v>
      </c>
      <c r="B77" s="184">
        <v>102.36</v>
      </c>
    </row>
    <row r="78" spans="1:2" hidden="1" x14ac:dyDescent="0.3">
      <c r="A78" s="183">
        <v>41067</v>
      </c>
      <c r="B78" s="184">
        <v>102.1088</v>
      </c>
    </row>
    <row r="79" spans="1:2" hidden="1" x14ac:dyDescent="0.3">
      <c r="A79" s="183">
        <v>41068</v>
      </c>
      <c r="B79" s="184">
        <v>102.5314</v>
      </c>
    </row>
    <row r="80" spans="1:2" hidden="1" x14ac:dyDescent="0.3">
      <c r="A80" s="183">
        <v>41071</v>
      </c>
      <c r="B80" s="184">
        <v>102.36960000000001</v>
      </c>
    </row>
    <row r="81" spans="1:3" hidden="1" x14ac:dyDescent="0.3">
      <c r="A81" s="183">
        <v>41072</v>
      </c>
      <c r="B81" s="184">
        <v>102.4066</v>
      </c>
    </row>
    <row r="82" spans="1:3" hidden="1" x14ac:dyDescent="0.3">
      <c r="A82" s="183">
        <v>41073</v>
      </c>
      <c r="B82" s="184">
        <v>102.17149999999999</v>
      </c>
    </row>
    <row r="83" spans="1:3" hidden="1" x14ac:dyDescent="0.3">
      <c r="A83" s="183">
        <v>41074</v>
      </c>
      <c r="B83" s="184">
        <v>102.16</v>
      </c>
    </row>
    <row r="84" spans="1:3" hidden="1" x14ac:dyDescent="0.3">
      <c r="A84" s="183">
        <v>41075</v>
      </c>
      <c r="B84" s="184">
        <v>101.8646</v>
      </c>
    </row>
    <row r="85" spans="1:3" hidden="1" x14ac:dyDescent="0.3">
      <c r="A85" s="183">
        <v>41078</v>
      </c>
      <c r="B85" s="184">
        <v>101.9669</v>
      </c>
    </row>
    <row r="86" spans="1:3" hidden="1" x14ac:dyDescent="0.3">
      <c r="A86" s="183">
        <v>41079</v>
      </c>
      <c r="B86" s="184">
        <v>101.3886</v>
      </c>
    </row>
    <row r="87" spans="1:3" hidden="1" x14ac:dyDescent="0.3">
      <c r="A87" s="183">
        <v>41080</v>
      </c>
      <c r="B87" s="184">
        <v>101.50530000000001</v>
      </c>
    </row>
    <row r="88" spans="1:3" hidden="1" x14ac:dyDescent="0.3">
      <c r="A88" s="183">
        <v>41081</v>
      </c>
      <c r="B88" s="184">
        <v>101.98779999999999</v>
      </c>
    </row>
    <row r="89" spans="1:3" hidden="1" x14ac:dyDescent="0.3">
      <c r="A89" s="183">
        <v>41082</v>
      </c>
      <c r="B89" s="184">
        <v>102.28749999999999</v>
      </c>
    </row>
    <row r="90" spans="1:3" hidden="1" x14ac:dyDescent="0.3">
      <c r="A90" s="183">
        <v>41085</v>
      </c>
      <c r="B90" s="184">
        <v>102.5296</v>
      </c>
    </row>
    <row r="91" spans="1:3" hidden="1" x14ac:dyDescent="0.3">
      <c r="A91" s="183">
        <v>41086</v>
      </c>
      <c r="B91" s="184">
        <v>102.3459</v>
      </c>
    </row>
    <row r="92" spans="1:3" hidden="1" x14ac:dyDescent="0.3">
      <c r="A92" s="183">
        <v>41087</v>
      </c>
      <c r="B92" s="184">
        <v>102.21120000000001</v>
      </c>
    </row>
    <row r="93" spans="1:3" hidden="1" x14ac:dyDescent="0.3">
      <c r="A93" s="183">
        <v>41088</v>
      </c>
      <c r="B93" s="184">
        <v>102.3432</v>
      </c>
    </row>
    <row r="94" spans="1:3" x14ac:dyDescent="0.3">
      <c r="A94" s="183">
        <v>41089</v>
      </c>
      <c r="B94" s="184">
        <v>101.2362</v>
      </c>
      <c r="C94" s="185">
        <f>AVERAGE(B31:B94)</f>
        <v>100.68454687500001</v>
      </c>
    </row>
    <row r="95" spans="1:3" hidden="1" x14ac:dyDescent="0.3">
      <c r="A95" s="183">
        <v>41092</v>
      </c>
      <c r="B95" s="184">
        <v>101.268</v>
      </c>
    </row>
    <row r="96" spans="1:3" hidden="1" x14ac:dyDescent="0.3">
      <c r="A96" s="183">
        <v>41093</v>
      </c>
      <c r="B96" s="184">
        <v>100.9843</v>
      </c>
    </row>
    <row r="97" spans="1:2" hidden="1" x14ac:dyDescent="0.3">
      <c r="A97" s="183">
        <v>41095</v>
      </c>
      <c r="B97" s="184">
        <v>101.5378</v>
      </c>
    </row>
    <row r="98" spans="1:2" hidden="1" x14ac:dyDescent="0.3">
      <c r="A98" s="183">
        <v>41096</v>
      </c>
      <c r="B98" s="184">
        <v>102.0288</v>
      </c>
    </row>
    <row r="99" spans="1:2" hidden="1" x14ac:dyDescent="0.3">
      <c r="A99" s="183">
        <v>41099</v>
      </c>
      <c r="B99" s="184">
        <v>102.02670000000001</v>
      </c>
    </row>
    <row r="100" spans="1:2" hidden="1" x14ac:dyDescent="0.3">
      <c r="A100" s="183">
        <v>41100</v>
      </c>
      <c r="B100" s="184">
        <v>101.8737</v>
      </c>
    </row>
    <row r="101" spans="1:2" hidden="1" x14ac:dyDescent="0.3">
      <c r="A101" s="183">
        <v>41101</v>
      </c>
      <c r="B101" s="184">
        <v>101.929</v>
      </c>
    </row>
    <row r="102" spans="1:2" hidden="1" x14ac:dyDescent="0.3">
      <c r="A102" s="183">
        <v>41102</v>
      </c>
      <c r="B102" s="184">
        <v>102.2591</v>
      </c>
    </row>
    <row r="103" spans="1:2" hidden="1" x14ac:dyDescent="0.3">
      <c r="A103" s="183">
        <v>41103</v>
      </c>
      <c r="B103" s="184">
        <v>101.895</v>
      </c>
    </row>
    <row r="104" spans="1:2" hidden="1" x14ac:dyDescent="0.3">
      <c r="A104" s="183">
        <v>41106</v>
      </c>
      <c r="B104" s="184">
        <v>101.7199</v>
      </c>
    </row>
    <row r="105" spans="1:2" hidden="1" x14ac:dyDescent="0.3">
      <c r="A105" s="183">
        <v>41107</v>
      </c>
      <c r="B105" s="184">
        <v>101.68170000000001</v>
      </c>
    </row>
    <row r="106" spans="1:2" hidden="1" x14ac:dyDescent="0.3">
      <c r="A106" s="183">
        <v>41108</v>
      </c>
      <c r="B106" s="184">
        <v>101.42100000000001</v>
      </c>
    </row>
    <row r="107" spans="1:2" hidden="1" x14ac:dyDescent="0.3">
      <c r="A107" s="183">
        <v>41109</v>
      </c>
      <c r="B107" s="184">
        <v>101.3719</v>
      </c>
    </row>
    <row r="108" spans="1:2" hidden="1" x14ac:dyDescent="0.3">
      <c r="A108" s="183">
        <v>41110</v>
      </c>
      <c r="B108" s="184">
        <v>101.6909</v>
      </c>
    </row>
    <row r="109" spans="1:2" hidden="1" x14ac:dyDescent="0.3">
      <c r="A109" s="183">
        <v>41113</v>
      </c>
      <c r="B109" s="184">
        <v>102.27849999999999</v>
      </c>
    </row>
    <row r="110" spans="1:2" hidden="1" x14ac:dyDescent="0.3">
      <c r="A110" s="183">
        <v>41114</v>
      </c>
      <c r="B110" s="184">
        <v>102.61669999999999</v>
      </c>
    </row>
    <row r="111" spans="1:2" hidden="1" x14ac:dyDescent="0.3">
      <c r="A111" s="183">
        <v>41115</v>
      </c>
      <c r="B111" s="184">
        <v>102.4038</v>
      </c>
    </row>
    <row r="112" spans="1:2" hidden="1" x14ac:dyDescent="0.3">
      <c r="A112" s="183">
        <v>41116</v>
      </c>
      <c r="B112" s="184">
        <v>101.7149</v>
      </c>
    </row>
    <row r="113" spans="1:2" hidden="1" x14ac:dyDescent="0.3">
      <c r="A113" s="183">
        <v>41117</v>
      </c>
      <c r="B113" s="184">
        <v>101.2814</v>
      </c>
    </row>
    <row r="114" spans="1:2" hidden="1" x14ac:dyDescent="0.3">
      <c r="A114" s="183">
        <v>41120</v>
      </c>
      <c r="B114" s="184">
        <v>101.39490000000001</v>
      </c>
    </row>
    <row r="115" spans="1:2" hidden="1" x14ac:dyDescent="0.3">
      <c r="A115" s="183">
        <v>41121</v>
      </c>
      <c r="B115" s="184">
        <v>101.15649999999999</v>
      </c>
    </row>
    <row r="116" spans="1:2" hidden="1" x14ac:dyDescent="0.3">
      <c r="A116" s="183">
        <v>41122</v>
      </c>
      <c r="B116" s="184">
        <v>101.2042</v>
      </c>
    </row>
    <row r="117" spans="1:2" hidden="1" x14ac:dyDescent="0.3">
      <c r="A117" s="183">
        <v>41123</v>
      </c>
      <c r="B117" s="184">
        <v>101.739</v>
      </c>
    </row>
    <row r="118" spans="1:2" hidden="1" x14ac:dyDescent="0.3">
      <c r="A118" s="183">
        <v>41124</v>
      </c>
      <c r="B118" s="184">
        <v>100.9294</v>
      </c>
    </row>
    <row r="119" spans="1:2" hidden="1" x14ac:dyDescent="0.3">
      <c r="A119" s="183">
        <v>41127</v>
      </c>
      <c r="B119" s="184">
        <v>100.73520000000001</v>
      </c>
    </row>
    <row r="120" spans="1:2" hidden="1" x14ac:dyDescent="0.3">
      <c r="A120" s="183">
        <v>41128</v>
      </c>
      <c r="B120" s="184">
        <v>100.8216</v>
      </c>
    </row>
    <row r="121" spans="1:2" hidden="1" x14ac:dyDescent="0.3">
      <c r="A121" s="183">
        <v>41129</v>
      </c>
      <c r="B121" s="184">
        <v>100.8456</v>
      </c>
    </row>
    <row r="122" spans="1:2" hidden="1" x14ac:dyDescent="0.3">
      <c r="A122" s="183">
        <v>41130</v>
      </c>
      <c r="B122" s="184">
        <v>100.9088</v>
      </c>
    </row>
    <row r="123" spans="1:2" hidden="1" x14ac:dyDescent="0.3">
      <c r="A123" s="183">
        <v>41131</v>
      </c>
      <c r="B123" s="184">
        <v>100.82769999999999</v>
      </c>
    </row>
    <row r="124" spans="1:2" hidden="1" x14ac:dyDescent="0.3">
      <c r="A124" s="183">
        <v>41134</v>
      </c>
      <c r="B124" s="184">
        <v>100.9145</v>
      </c>
    </row>
    <row r="125" spans="1:2" hidden="1" x14ac:dyDescent="0.3">
      <c r="A125" s="183">
        <v>41135</v>
      </c>
      <c r="B125" s="184">
        <v>100.9375</v>
      </c>
    </row>
    <row r="126" spans="1:2" hidden="1" x14ac:dyDescent="0.3">
      <c r="A126" s="183">
        <v>41136</v>
      </c>
      <c r="B126" s="184">
        <v>101.0187</v>
      </c>
    </row>
    <row r="127" spans="1:2" hidden="1" x14ac:dyDescent="0.3">
      <c r="A127" s="183">
        <v>41137</v>
      </c>
      <c r="B127" s="184">
        <v>100.92529999999999</v>
      </c>
    </row>
    <row r="128" spans="1:2" hidden="1" x14ac:dyDescent="0.3">
      <c r="A128" s="183">
        <v>41138</v>
      </c>
      <c r="B128" s="184">
        <v>101.0568</v>
      </c>
    </row>
    <row r="129" spans="1:2" hidden="1" x14ac:dyDescent="0.3">
      <c r="A129" s="183">
        <v>41141</v>
      </c>
      <c r="B129" s="184">
        <v>100.9736</v>
      </c>
    </row>
    <row r="130" spans="1:2" hidden="1" x14ac:dyDescent="0.3">
      <c r="A130" s="183">
        <v>41142</v>
      </c>
      <c r="B130" s="184">
        <v>100.64830000000001</v>
      </c>
    </row>
    <row r="131" spans="1:2" hidden="1" x14ac:dyDescent="0.3">
      <c r="A131" s="183">
        <v>41143</v>
      </c>
      <c r="B131" s="184">
        <v>100.76900000000001</v>
      </c>
    </row>
    <row r="132" spans="1:2" hidden="1" x14ac:dyDescent="0.3">
      <c r="A132" s="183">
        <v>41144</v>
      </c>
      <c r="B132" s="184">
        <v>100.425</v>
      </c>
    </row>
    <row r="133" spans="1:2" hidden="1" x14ac:dyDescent="0.3">
      <c r="A133" s="183">
        <v>41145</v>
      </c>
      <c r="B133" s="184">
        <v>100.601</v>
      </c>
    </row>
    <row r="134" spans="1:2" hidden="1" x14ac:dyDescent="0.3">
      <c r="A134" s="183">
        <v>41148</v>
      </c>
      <c r="B134" s="184">
        <v>100.6481</v>
      </c>
    </row>
    <row r="135" spans="1:2" hidden="1" x14ac:dyDescent="0.3">
      <c r="A135" s="183">
        <v>41149</v>
      </c>
      <c r="B135" s="184">
        <v>100.54519999999999</v>
      </c>
    </row>
    <row r="136" spans="1:2" hidden="1" x14ac:dyDescent="0.3">
      <c r="A136" s="183">
        <v>41150</v>
      </c>
      <c r="B136" s="184">
        <v>100.7349</v>
      </c>
    </row>
    <row r="137" spans="1:2" hidden="1" x14ac:dyDescent="0.3">
      <c r="A137" s="183">
        <v>41151</v>
      </c>
      <c r="B137" s="184">
        <v>100.9716</v>
      </c>
    </row>
    <row r="138" spans="1:2" hidden="1" x14ac:dyDescent="0.3">
      <c r="A138" s="183">
        <v>41152</v>
      </c>
      <c r="B138" s="184">
        <v>100.5155</v>
      </c>
    </row>
    <row r="139" spans="1:2" hidden="1" x14ac:dyDescent="0.3">
      <c r="A139" s="183">
        <v>41156</v>
      </c>
      <c r="B139" s="184">
        <v>100.50149999999999</v>
      </c>
    </row>
    <row r="140" spans="1:2" hidden="1" x14ac:dyDescent="0.3">
      <c r="A140" s="183">
        <v>41157</v>
      </c>
      <c r="B140" s="184">
        <v>100.4661</v>
      </c>
    </row>
    <row r="141" spans="1:2" hidden="1" x14ac:dyDescent="0.3">
      <c r="A141" s="183">
        <v>41158</v>
      </c>
      <c r="B141" s="184">
        <v>100.2385</v>
      </c>
    </row>
    <row r="142" spans="1:2" hidden="1" x14ac:dyDescent="0.3">
      <c r="A142" s="183">
        <v>41159</v>
      </c>
      <c r="B142" s="184">
        <v>99.682500000000005</v>
      </c>
    </row>
    <row r="143" spans="1:2" hidden="1" x14ac:dyDescent="0.3">
      <c r="A143" s="183">
        <v>41162</v>
      </c>
      <c r="B143" s="184">
        <v>99.638599999999997</v>
      </c>
    </row>
    <row r="144" spans="1:2" hidden="1" x14ac:dyDescent="0.3">
      <c r="A144" s="183">
        <v>41163</v>
      </c>
      <c r="B144" s="184">
        <v>99.386899999999997</v>
      </c>
    </row>
    <row r="145" spans="1:3" hidden="1" x14ac:dyDescent="0.3">
      <c r="A145" s="183">
        <v>41164</v>
      </c>
      <c r="B145" s="184">
        <v>99.3626</v>
      </c>
    </row>
    <row r="146" spans="1:3" hidden="1" x14ac:dyDescent="0.3">
      <c r="A146" s="183">
        <v>41165</v>
      </c>
      <c r="B146" s="184">
        <v>99.275099999999995</v>
      </c>
    </row>
    <row r="147" spans="1:3" hidden="1" x14ac:dyDescent="0.3">
      <c r="A147" s="183">
        <v>41166</v>
      </c>
      <c r="B147" s="184">
        <v>98.417299999999997</v>
      </c>
    </row>
    <row r="148" spans="1:3" hidden="1" x14ac:dyDescent="0.3">
      <c r="A148" s="183">
        <v>41169</v>
      </c>
      <c r="B148" s="184">
        <v>98.563299999999998</v>
      </c>
    </row>
    <row r="149" spans="1:3" hidden="1" x14ac:dyDescent="0.3">
      <c r="A149" s="183">
        <v>41170</v>
      </c>
      <c r="B149" s="184">
        <v>98.794899999999998</v>
      </c>
    </row>
    <row r="150" spans="1:3" hidden="1" x14ac:dyDescent="0.3">
      <c r="A150" s="183">
        <v>41171</v>
      </c>
      <c r="B150" s="184">
        <v>98.746300000000005</v>
      </c>
    </row>
    <row r="151" spans="1:3" hidden="1" x14ac:dyDescent="0.3">
      <c r="A151" s="183">
        <v>41172</v>
      </c>
      <c r="B151" s="184">
        <v>99.039500000000004</v>
      </c>
    </row>
    <row r="152" spans="1:3" hidden="1" x14ac:dyDescent="0.3">
      <c r="A152" s="183">
        <v>41173</v>
      </c>
      <c r="B152" s="184">
        <v>98.809399999999997</v>
      </c>
    </row>
    <row r="153" spans="1:3" hidden="1" x14ac:dyDescent="0.3">
      <c r="A153" s="183">
        <v>41176</v>
      </c>
      <c r="B153" s="184">
        <v>99.106099999999998</v>
      </c>
    </row>
    <row r="154" spans="1:3" hidden="1" x14ac:dyDescent="0.3">
      <c r="A154" s="183">
        <v>41177</v>
      </c>
      <c r="B154" s="184">
        <v>98.883200000000002</v>
      </c>
    </row>
    <row r="155" spans="1:3" hidden="1" x14ac:dyDescent="0.3">
      <c r="A155" s="183">
        <v>41178</v>
      </c>
      <c r="B155" s="184">
        <v>99.267700000000005</v>
      </c>
    </row>
    <row r="156" spans="1:3" hidden="1" x14ac:dyDescent="0.3">
      <c r="A156" s="183">
        <v>41179</v>
      </c>
      <c r="B156" s="184">
        <v>99.014099999999999</v>
      </c>
    </row>
    <row r="157" spans="1:3" x14ac:dyDescent="0.3">
      <c r="A157" s="183">
        <v>41180</v>
      </c>
      <c r="B157" s="184">
        <v>99.064499999999995</v>
      </c>
      <c r="C157" s="185">
        <f>AVERAGE(B95:B157)</f>
        <v>100.6744301587302</v>
      </c>
    </row>
    <row r="158" spans="1:3" hidden="1" x14ac:dyDescent="0.3">
      <c r="A158" s="183">
        <v>41183</v>
      </c>
      <c r="B158" s="184">
        <v>98.930599999999998</v>
      </c>
    </row>
    <row r="159" spans="1:3" hidden="1" x14ac:dyDescent="0.3">
      <c r="A159" s="183">
        <v>41184</v>
      </c>
      <c r="B159" s="184">
        <v>98.876199999999997</v>
      </c>
    </row>
    <row r="160" spans="1:3" hidden="1" x14ac:dyDescent="0.3">
      <c r="A160" s="183">
        <v>41185</v>
      </c>
      <c r="B160" s="184">
        <v>99.096900000000005</v>
      </c>
    </row>
    <row r="161" spans="1:2" hidden="1" x14ac:dyDescent="0.3">
      <c r="A161" s="183">
        <v>41186</v>
      </c>
      <c r="B161" s="184">
        <v>98.720600000000005</v>
      </c>
    </row>
    <row r="162" spans="1:2" hidden="1" x14ac:dyDescent="0.3">
      <c r="A162" s="183">
        <v>41187</v>
      </c>
      <c r="B162" s="184">
        <v>98.5214</v>
      </c>
    </row>
    <row r="163" spans="1:2" hidden="1" x14ac:dyDescent="0.3">
      <c r="A163" s="183">
        <v>41191</v>
      </c>
      <c r="B163" s="184">
        <v>99.105500000000006</v>
      </c>
    </row>
    <row r="164" spans="1:2" hidden="1" x14ac:dyDescent="0.3">
      <c r="A164" s="183">
        <v>41192</v>
      </c>
      <c r="B164" s="184">
        <v>99.119</v>
      </c>
    </row>
    <row r="165" spans="1:2" hidden="1" x14ac:dyDescent="0.3">
      <c r="A165" s="183">
        <v>41193</v>
      </c>
      <c r="B165" s="184">
        <v>98.970100000000002</v>
      </c>
    </row>
    <row r="166" spans="1:2" hidden="1" x14ac:dyDescent="0.3">
      <c r="A166" s="183">
        <v>41194</v>
      </c>
      <c r="B166" s="184">
        <v>98.8964</v>
      </c>
    </row>
    <row r="167" spans="1:2" hidden="1" x14ac:dyDescent="0.3">
      <c r="A167" s="183">
        <v>41197</v>
      </c>
      <c r="B167" s="184">
        <v>98.860200000000006</v>
      </c>
    </row>
    <row r="168" spans="1:2" hidden="1" x14ac:dyDescent="0.3">
      <c r="A168" s="183">
        <v>41198</v>
      </c>
      <c r="B168" s="184">
        <v>98.751999999999995</v>
      </c>
    </row>
    <row r="169" spans="1:2" hidden="1" x14ac:dyDescent="0.3">
      <c r="A169" s="183">
        <v>41199</v>
      </c>
      <c r="B169" s="184">
        <v>98.423500000000004</v>
      </c>
    </row>
    <row r="170" spans="1:2" hidden="1" x14ac:dyDescent="0.3">
      <c r="A170" s="183">
        <v>41200</v>
      </c>
      <c r="B170" s="184">
        <v>98.568100000000001</v>
      </c>
    </row>
    <row r="171" spans="1:2" hidden="1" x14ac:dyDescent="0.3">
      <c r="A171" s="183">
        <v>41201</v>
      </c>
      <c r="B171" s="184">
        <v>98.977999999999994</v>
      </c>
    </row>
    <row r="172" spans="1:2" hidden="1" x14ac:dyDescent="0.3">
      <c r="A172" s="183">
        <v>41204</v>
      </c>
      <c r="B172" s="184">
        <v>98.969700000000003</v>
      </c>
    </row>
    <row r="173" spans="1:2" hidden="1" x14ac:dyDescent="0.3">
      <c r="A173" s="183">
        <v>41205</v>
      </c>
      <c r="B173" s="184">
        <v>99.2727</v>
      </c>
    </row>
    <row r="174" spans="1:2" hidden="1" x14ac:dyDescent="0.3">
      <c r="A174" s="183">
        <v>41206</v>
      </c>
      <c r="B174" s="184">
        <v>99.313400000000001</v>
      </c>
    </row>
    <row r="175" spans="1:2" hidden="1" x14ac:dyDescent="0.3">
      <c r="A175" s="183">
        <v>41207</v>
      </c>
      <c r="B175" s="184">
        <v>99.198999999999998</v>
      </c>
    </row>
    <row r="176" spans="1:2" hidden="1" x14ac:dyDescent="0.3">
      <c r="A176" s="183">
        <v>41208</v>
      </c>
      <c r="B176" s="184">
        <v>99.317300000000003</v>
      </c>
    </row>
    <row r="177" spans="1:2" hidden="1" x14ac:dyDescent="0.3">
      <c r="A177" s="183">
        <v>41211</v>
      </c>
      <c r="B177" s="184">
        <v>99.493499999999997</v>
      </c>
    </row>
    <row r="178" spans="1:2" hidden="1" x14ac:dyDescent="0.3">
      <c r="A178" s="183">
        <v>41212</v>
      </c>
      <c r="B178" s="184">
        <v>99.247299999999996</v>
      </c>
    </row>
    <row r="179" spans="1:2" hidden="1" x14ac:dyDescent="0.3">
      <c r="A179" s="183">
        <v>41213</v>
      </c>
      <c r="B179" s="184">
        <v>99.323899999999995</v>
      </c>
    </row>
    <row r="180" spans="1:2" hidden="1" x14ac:dyDescent="0.3">
      <c r="A180" s="183">
        <v>41214</v>
      </c>
      <c r="B180" s="184">
        <v>99.293400000000005</v>
      </c>
    </row>
    <row r="181" spans="1:2" hidden="1" x14ac:dyDescent="0.3">
      <c r="A181" s="183">
        <v>41215</v>
      </c>
      <c r="B181" s="184">
        <v>99.453800000000001</v>
      </c>
    </row>
    <row r="182" spans="1:2" hidden="1" x14ac:dyDescent="0.3">
      <c r="A182" s="183">
        <v>41218</v>
      </c>
      <c r="B182" s="184">
        <v>99.653599999999997</v>
      </c>
    </row>
    <row r="183" spans="1:2" hidden="1" x14ac:dyDescent="0.3">
      <c r="A183" s="183">
        <v>41219</v>
      </c>
      <c r="B183" s="184">
        <v>99.464699999999993</v>
      </c>
    </row>
    <row r="184" spans="1:2" hidden="1" x14ac:dyDescent="0.3">
      <c r="A184" s="183">
        <v>41220</v>
      </c>
      <c r="B184" s="184">
        <v>99.611199999999997</v>
      </c>
    </row>
    <row r="185" spans="1:2" hidden="1" x14ac:dyDescent="0.3">
      <c r="A185" s="183">
        <v>41221</v>
      </c>
      <c r="B185" s="184">
        <v>99.698400000000007</v>
      </c>
    </row>
    <row r="186" spans="1:2" hidden="1" x14ac:dyDescent="0.3">
      <c r="A186" s="183">
        <v>41222</v>
      </c>
      <c r="B186" s="184">
        <v>99.838499999999996</v>
      </c>
    </row>
    <row r="187" spans="1:2" hidden="1" x14ac:dyDescent="0.3">
      <c r="A187" s="183">
        <v>41226</v>
      </c>
      <c r="B187" s="184">
        <v>99.871600000000001</v>
      </c>
    </row>
    <row r="188" spans="1:2" hidden="1" x14ac:dyDescent="0.3">
      <c r="A188" s="183">
        <v>41227</v>
      </c>
      <c r="B188" s="184">
        <v>99.926599999999993</v>
      </c>
    </row>
    <row r="189" spans="1:2" hidden="1" x14ac:dyDescent="0.3">
      <c r="A189" s="183">
        <v>41228</v>
      </c>
      <c r="B189" s="184">
        <v>100.0339</v>
      </c>
    </row>
    <row r="190" spans="1:2" hidden="1" x14ac:dyDescent="0.3">
      <c r="A190" s="183">
        <v>41229</v>
      </c>
      <c r="B190" s="184">
        <v>100.1683</v>
      </c>
    </row>
    <row r="191" spans="1:2" hidden="1" x14ac:dyDescent="0.3">
      <c r="A191" s="183">
        <v>41232</v>
      </c>
      <c r="B191" s="184">
        <v>99.718900000000005</v>
      </c>
    </row>
    <row r="192" spans="1:2" hidden="1" x14ac:dyDescent="0.3">
      <c r="A192" s="183">
        <v>41233</v>
      </c>
      <c r="B192" s="184">
        <v>99.705399999999997</v>
      </c>
    </row>
    <row r="193" spans="1:2" hidden="1" x14ac:dyDescent="0.3">
      <c r="A193" s="183">
        <v>41234</v>
      </c>
      <c r="B193" s="184">
        <v>99.812299999999993</v>
      </c>
    </row>
    <row r="194" spans="1:2" hidden="1" x14ac:dyDescent="0.3">
      <c r="A194" s="183">
        <v>41236</v>
      </c>
      <c r="B194" s="184">
        <v>99.421899999999994</v>
      </c>
    </row>
    <row r="195" spans="1:2" hidden="1" x14ac:dyDescent="0.3">
      <c r="A195" s="183">
        <v>41239</v>
      </c>
      <c r="B195" s="184">
        <v>99.427800000000005</v>
      </c>
    </row>
    <row r="196" spans="1:2" hidden="1" x14ac:dyDescent="0.3">
      <c r="A196" s="183">
        <v>41240</v>
      </c>
      <c r="B196" s="184">
        <v>99.413399999999996</v>
      </c>
    </row>
    <row r="197" spans="1:2" hidden="1" x14ac:dyDescent="0.3">
      <c r="A197" s="183">
        <v>41241</v>
      </c>
      <c r="B197" s="184">
        <v>99.489199999999997</v>
      </c>
    </row>
    <row r="198" spans="1:2" hidden="1" x14ac:dyDescent="0.3">
      <c r="A198" s="183">
        <v>41242</v>
      </c>
      <c r="B198" s="184">
        <v>99.363799999999998</v>
      </c>
    </row>
    <row r="199" spans="1:2" hidden="1" x14ac:dyDescent="0.3">
      <c r="A199" s="183">
        <v>41243</v>
      </c>
      <c r="B199" s="184">
        <v>99.255099999999999</v>
      </c>
    </row>
    <row r="200" spans="1:2" hidden="1" x14ac:dyDescent="0.3">
      <c r="A200" s="183">
        <v>41246</v>
      </c>
      <c r="B200" s="184">
        <v>99.164500000000004</v>
      </c>
    </row>
    <row r="201" spans="1:2" hidden="1" x14ac:dyDescent="0.3">
      <c r="A201" s="183">
        <v>41247</v>
      </c>
      <c r="B201" s="184">
        <v>99.126400000000004</v>
      </c>
    </row>
    <row r="202" spans="1:2" hidden="1" x14ac:dyDescent="0.3">
      <c r="A202" s="183">
        <v>41248</v>
      </c>
      <c r="B202" s="184">
        <v>99.096999999999994</v>
      </c>
    </row>
    <row r="203" spans="1:2" hidden="1" x14ac:dyDescent="0.3">
      <c r="A203" s="183">
        <v>41249</v>
      </c>
      <c r="B203" s="184">
        <v>99.222099999999998</v>
      </c>
    </row>
    <row r="204" spans="1:2" hidden="1" x14ac:dyDescent="0.3">
      <c r="A204" s="183">
        <v>41250</v>
      </c>
      <c r="B204" s="184">
        <v>99.204800000000006</v>
      </c>
    </row>
    <row r="205" spans="1:2" hidden="1" x14ac:dyDescent="0.3">
      <c r="A205" s="183">
        <v>41253</v>
      </c>
      <c r="B205" s="184">
        <v>99.122900000000001</v>
      </c>
    </row>
    <row r="206" spans="1:2" hidden="1" x14ac:dyDescent="0.3">
      <c r="A206" s="183">
        <v>41254</v>
      </c>
      <c r="B206" s="184">
        <v>99.017700000000005</v>
      </c>
    </row>
    <row r="207" spans="1:2" hidden="1" x14ac:dyDescent="0.3">
      <c r="A207" s="183">
        <v>41255</v>
      </c>
      <c r="B207" s="184">
        <v>98.957999999999998</v>
      </c>
    </row>
    <row r="208" spans="1:2" hidden="1" x14ac:dyDescent="0.3">
      <c r="A208" s="183">
        <v>41256</v>
      </c>
      <c r="B208" s="184">
        <v>98.954899999999995</v>
      </c>
    </row>
    <row r="209" spans="1:3" hidden="1" x14ac:dyDescent="0.3">
      <c r="A209" s="183">
        <v>41257</v>
      </c>
      <c r="B209" s="184">
        <v>98.903099999999995</v>
      </c>
    </row>
    <row r="210" spans="1:3" hidden="1" x14ac:dyDescent="0.3">
      <c r="A210" s="183">
        <v>41260</v>
      </c>
      <c r="B210" s="184">
        <v>98.814800000000005</v>
      </c>
    </row>
    <row r="211" spans="1:3" hidden="1" x14ac:dyDescent="0.3">
      <c r="A211" s="183">
        <v>41261</v>
      </c>
      <c r="B211" s="184">
        <v>98.704499999999996</v>
      </c>
    </row>
    <row r="212" spans="1:3" hidden="1" x14ac:dyDescent="0.3">
      <c r="A212" s="183">
        <v>41262</v>
      </c>
      <c r="B212" s="184">
        <v>98.673400000000001</v>
      </c>
    </row>
    <row r="213" spans="1:3" hidden="1" x14ac:dyDescent="0.3">
      <c r="A213" s="183">
        <v>41263</v>
      </c>
      <c r="B213" s="184">
        <v>98.781899999999993</v>
      </c>
    </row>
    <row r="214" spans="1:3" hidden="1" x14ac:dyDescent="0.3">
      <c r="A214" s="183">
        <v>41264</v>
      </c>
      <c r="B214" s="184">
        <v>99.130899999999997</v>
      </c>
    </row>
    <row r="215" spans="1:3" hidden="1" x14ac:dyDescent="0.3">
      <c r="A215" s="183">
        <v>41267</v>
      </c>
      <c r="B215" s="184">
        <v>99.216499999999996</v>
      </c>
    </row>
    <row r="216" spans="1:3" hidden="1" x14ac:dyDescent="0.3">
      <c r="A216" s="183">
        <v>41269</v>
      </c>
      <c r="B216" s="184">
        <v>99.242900000000006</v>
      </c>
    </row>
    <row r="217" spans="1:3" hidden="1" x14ac:dyDescent="0.3">
      <c r="A217" s="183">
        <v>41270</v>
      </c>
      <c r="B217" s="184">
        <v>99.279700000000005</v>
      </c>
    </row>
    <row r="218" spans="1:3" hidden="1" x14ac:dyDescent="0.3">
      <c r="A218" s="183">
        <v>41271</v>
      </c>
      <c r="B218" s="184">
        <v>99.214799999999997</v>
      </c>
    </row>
    <row r="219" spans="1:3" x14ac:dyDescent="0.3">
      <c r="A219" s="183">
        <v>41274</v>
      </c>
      <c r="B219" s="184">
        <v>99.267099999999999</v>
      </c>
      <c r="C219" s="185">
        <f>AVERAGE(B158:B219)</f>
        <v>99.220564516129031</v>
      </c>
    </row>
    <row r="220" spans="1:3" hidden="1" x14ac:dyDescent="0.3">
      <c r="A220" s="183">
        <v>41276</v>
      </c>
      <c r="B220" s="184">
        <v>98.870199999999997</v>
      </c>
    </row>
    <row r="221" spans="1:3" hidden="1" x14ac:dyDescent="0.3">
      <c r="A221" s="183">
        <v>41277</v>
      </c>
      <c r="B221" s="184">
        <v>98.9773</v>
      </c>
    </row>
    <row r="222" spans="1:3" hidden="1" x14ac:dyDescent="0.3">
      <c r="A222" s="183">
        <v>41278</v>
      </c>
      <c r="B222" s="184">
        <v>99.281300000000002</v>
      </c>
    </row>
    <row r="223" spans="1:3" hidden="1" x14ac:dyDescent="0.3">
      <c r="A223" s="183">
        <v>41281</v>
      </c>
      <c r="B223" s="184">
        <v>99.157600000000002</v>
      </c>
    </row>
    <row r="224" spans="1:3" hidden="1" x14ac:dyDescent="0.3">
      <c r="A224" s="183">
        <v>41282</v>
      </c>
      <c r="B224" s="184">
        <v>99.223399999999998</v>
      </c>
    </row>
    <row r="225" spans="1:2" hidden="1" x14ac:dyDescent="0.3">
      <c r="A225" s="183">
        <v>41283</v>
      </c>
      <c r="B225" s="184">
        <v>99.1691</v>
      </c>
    </row>
    <row r="226" spans="1:2" hidden="1" x14ac:dyDescent="0.3">
      <c r="A226" s="183">
        <v>41284</v>
      </c>
      <c r="B226" s="184">
        <v>98.8048</v>
      </c>
    </row>
    <row r="227" spans="1:2" hidden="1" x14ac:dyDescent="0.3">
      <c r="A227" s="183">
        <v>41285</v>
      </c>
      <c r="B227" s="184">
        <v>98.693899999999999</v>
      </c>
    </row>
    <row r="228" spans="1:2" hidden="1" x14ac:dyDescent="0.3">
      <c r="A228" s="183">
        <v>41288</v>
      </c>
      <c r="B228" s="184">
        <v>98.641999999999996</v>
      </c>
    </row>
    <row r="229" spans="1:2" hidden="1" x14ac:dyDescent="0.3">
      <c r="A229" s="183">
        <v>41289</v>
      </c>
      <c r="B229" s="184">
        <v>98.664299999999997</v>
      </c>
    </row>
    <row r="230" spans="1:2" hidden="1" x14ac:dyDescent="0.3">
      <c r="A230" s="183">
        <v>41290</v>
      </c>
      <c r="B230" s="184">
        <v>98.728700000000003</v>
      </c>
    </row>
    <row r="231" spans="1:2" hidden="1" x14ac:dyDescent="0.3">
      <c r="A231" s="183">
        <v>41291</v>
      </c>
      <c r="B231" s="184">
        <v>98.665999999999997</v>
      </c>
    </row>
    <row r="232" spans="1:2" hidden="1" x14ac:dyDescent="0.3">
      <c r="A232" s="183">
        <v>41292</v>
      </c>
      <c r="B232" s="184">
        <v>98.985500000000002</v>
      </c>
    </row>
    <row r="233" spans="1:2" hidden="1" x14ac:dyDescent="0.3">
      <c r="A233" s="183">
        <v>41296</v>
      </c>
      <c r="B233" s="184">
        <v>98.906599999999997</v>
      </c>
    </row>
    <row r="234" spans="1:2" hidden="1" x14ac:dyDescent="0.3">
      <c r="A234" s="183">
        <v>41297</v>
      </c>
      <c r="B234" s="184">
        <v>98.946299999999994</v>
      </c>
    </row>
    <row r="235" spans="1:2" hidden="1" x14ac:dyDescent="0.3">
      <c r="A235" s="183">
        <v>41298</v>
      </c>
      <c r="B235" s="184">
        <v>99.015100000000004</v>
      </c>
    </row>
    <row r="236" spans="1:2" hidden="1" x14ac:dyDescent="0.3">
      <c r="A236" s="183">
        <v>41299</v>
      </c>
      <c r="B236" s="184">
        <v>99.199600000000004</v>
      </c>
    </row>
    <row r="237" spans="1:2" hidden="1" x14ac:dyDescent="0.3">
      <c r="A237" s="183">
        <v>41302</v>
      </c>
      <c r="B237" s="184">
        <v>99.374200000000002</v>
      </c>
    </row>
    <row r="238" spans="1:2" hidden="1" x14ac:dyDescent="0.3">
      <c r="A238" s="183">
        <v>41303</v>
      </c>
      <c r="B238" s="184">
        <v>99.072900000000004</v>
      </c>
    </row>
    <row r="239" spans="1:2" hidden="1" x14ac:dyDescent="0.3">
      <c r="A239" s="183">
        <v>41304</v>
      </c>
      <c r="B239" s="184">
        <v>99.0197</v>
      </c>
    </row>
    <row r="240" spans="1:2" hidden="1" x14ac:dyDescent="0.3">
      <c r="A240" s="183">
        <v>41305</v>
      </c>
      <c r="B240" s="184">
        <v>98.953299999999999</v>
      </c>
    </row>
    <row r="241" spans="1:2" hidden="1" x14ac:dyDescent="0.3">
      <c r="A241" s="183">
        <v>41306</v>
      </c>
      <c r="B241" s="184">
        <v>98.851100000000002</v>
      </c>
    </row>
    <row r="242" spans="1:2" hidden="1" x14ac:dyDescent="0.3">
      <c r="A242" s="183">
        <v>41309</v>
      </c>
      <c r="B242" s="184">
        <v>99.145399999999995</v>
      </c>
    </row>
    <row r="243" spans="1:2" hidden="1" x14ac:dyDescent="0.3">
      <c r="A243" s="183">
        <v>41310</v>
      </c>
      <c r="B243" s="184">
        <v>99.032799999999995</v>
      </c>
    </row>
    <row r="244" spans="1:2" hidden="1" x14ac:dyDescent="0.3">
      <c r="A244" s="183">
        <v>41311</v>
      </c>
      <c r="B244" s="184">
        <v>99.184299999999993</v>
      </c>
    </row>
    <row r="245" spans="1:2" hidden="1" x14ac:dyDescent="0.3">
      <c r="A245" s="183">
        <v>41312</v>
      </c>
      <c r="B245" s="184">
        <v>99.465299999999999</v>
      </c>
    </row>
    <row r="246" spans="1:2" hidden="1" x14ac:dyDescent="0.3">
      <c r="A246" s="183">
        <v>41313</v>
      </c>
      <c r="B246" s="184">
        <v>99.483599999999996</v>
      </c>
    </row>
    <row r="247" spans="1:2" hidden="1" x14ac:dyDescent="0.3">
      <c r="A247" s="183">
        <v>41316</v>
      </c>
      <c r="B247" s="184">
        <v>99.750399999999999</v>
      </c>
    </row>
    <row r="248" spans="1:2" hidden="1" x14ac:dyDescent="0.3">
      <c r="A248" s="183">
        <v>41317</v>
      </c>
      <c r="B248" s="184">
        <v>99.5809</v>
      </c>
    </row>
    <row r="249" spans="1:2" hidden="1" x14ac:dyDescent="0.3">
      <c r="A249" s="183">
        <v>41318</v>
      </c>
      <c r="B249" s="184">
        <v>99.558099999999996</v>
      </c>
    </row>
    <row r="250" spans="1:2" hidden="1" x14ac:dyDescent="0.3">
      <c r="A250" s="183">
        <v>41319</v>
      </c>
      <c r="B250" s="184">
        <v>99.652000000000001</v>
      </c>
    </row>
    <row r="251" spans="1:2" hidden="1" x14ac:dyDescent="0.3">
      <c r="A251" s="183">
        <v>41320</v>
      </c>
      <c r="B251" s="184">
        <v>99.729900000000001</v>
      </c>
    </row>
    <row r="252" spans="1:2" hidden="1" x14ac:dyDescent="0.3">
      <c r="A252" s="183">
        <v>41324</v>
      </c>
      <c r="B252" s="184">
        <v>99.781700000000001</v>
      </c>
    </row>
    <row r="253" spans="1:2" hidden="1" x14ac:dyDescent="0.3">
      <c r="A253" s="183">
        <v>41325</v>
      </c>
      <c r="B253" s="184">
        <v>99.917400000000001</v>
      </c>
    </row>
    <row r="254" spans="1:2" hidden="1" x14ac:dyDescent="0.3">
      <c r="A254" s="183">
        <v>41326</v>
      </c>
      <c r="B254" s="184">
        <v>100.3043</v>
      </c>
    </row>
    <row r="255" spans="1:2" hidden="1" x14ac:dyDescent="0.3">
      <c r="A255" s="183">
        <v>41327</v>
      </c>
      <c r="B255" s="184">
        <v>100.3708</v>
      </c>
    </row>
    <row r="256" spans="1:2" hidden="1" x14ac:dyDescent="0.3">
      <c r="A256" s="183">
        <v>41330</v>
      </c>
      <c r="B256" s="184">
        <v>100.429</v>
      </c>
    </row>
    <row r="257" spans="1:2" hidden="1" x14ac:dyDescent="0.3">
      <c r="A257" s="183">
        <v>41331</v>
      </c>
      <c r="B257" s="184">
        <v>100.65560000000001</v>
      </c>
    </row>
    <row r="258" spans="1:2" hidden="1" x14ac:dyDescent="0.3">
      <c r="A258" s="183">
        <v>41332</v>
      </c>
      <c r="B258" s="184">
        <v>100.4597</v>
      </c>
    </row>
    <row r="259" spans="1:2" hidden="1" x14ac:dyDescent="0.3">
      <c r="A259" s="183">
        <v>41333</v>
      </c>
      <c r="B259" s="184">
        <v>100.5103</v>
      </c>
    </row>
    <row r="260" spans="1:2" hidden="1" x14ac:dyDescent="0.3">
      <c r="A260" s="183">
        <v>41334</v>
      </c>
      <c r="B260" s="184">
        <v>100.8282</v>
      </c>
    </row>
    <row r="261" spans="1:2" hidden="1" x14ac:dyDescent="0.3">
      <c r="A261" s="183">
        <v>41337</v>
      </c>
      <c r="B261" s="184">
        <v>100.8563</v>
      </c>
    </row>
    <row r="262" spans="1:2" hidden="1" x14ac:dyDescent="0.3">
      <c r="A262" s="183">
        <v>41338</v>
      </c>
      <c r="B262" s="184">
        <v>100.7097</v>
      </c>
    </row>
    <row r="263" spans="1:2" hidden="1" x14ac:dyDescent="0.3">
      <c r="A263" s="183">
        <v>41339</v>
      </c>
      <c r="B263" s="184">
        <v>100.8051</v>
      </c>
    </row>
    <row r="264" spans="1:2" hidden="1" x14ac:dyDescent="0.3">
      <c r="A264" s="183">
        <v>41340</v>
      </c>
      <c r="B264" s="184">
        <v>100.75920000000001</v>
      </c>
    </row>
    <row r="265" spans="1:2" hidden="1" x14ac:dyDescent="0.3">
      <c r="A265" s="183">
        <v>41341</v>
      </c>
      <c r="B265" s="184">
        <v>100.834</v>
      </c>
    </row>
    <row r="266" spans="1:2" hidden="1" x14ac:dyDescent="0.3">
      <c r="A266" s="183">
        <v>41344</v>
      </c>
      <c r="B266" s="184">
        <v>100.7491</v>
      </c>
    </row>
    <row r="267" spans="1:2" hidden="1" x14ac:dyDescent="0.3">
      <c r="A267" s="183">
        <v>41345</v>
      </c>
      <c r="B267" s="184">
        <v>100.5911</v>
      </c>
    </row>
    <row r="268" spans="1:2" hidden="1" x14ac:dyDescent="0.3">
      <c r="A268" s="183">
        <v>41346</v>
      </c>
      <c r="B268" s="184">
        <v>100.6824</v>
      </c>
    </row>
    <row r="269" spans="1:2" hidden="1" x14ac:dyDescent="0.3">
      <c r="A269" s="183">
        <v>41347</v>
      </c>
      <c r="B269" s="184">
        <v>100.7032</v>
      </c>
    </row>
    <row r="270" spans="1:2" hidden="1" x14ac:dyDescent="0.3">
      <c r="A270" s="183">
        <v>41348</v>
      </c>
      <c r="B270" s="184">
        <v>100.3728</v>
      </c>
    </row>
    <row r="271" spans="1:2" hidden="1" x14ac:dyDescent="0.3">
      <c r="A271" s="183">
        <v>41351</v>
      </c>
      <c r="B271" s="184">
        <v>100.5899</v>
      </c>
    </row>
    <row r="272" spans="1:2" hidden="1" x14ac:dyDescent="0.3">
      <c r="A272" s="183">
        <v>41352</v>
      </c>
      <c r="B272" s="184">
        <v>100.77119999999999</v>
      </c>
    </row>
    <row r="273" spans="1:3" hidden="1" x14ac:dyDescent="0.3">
      <c r="A273" s="183">
        <v>41353</v>
      </c>
      <c r="B273" s="184">
        <v>100.6559</v>
      </c>
    </row>
    <row r="274" spans="1:3" hidden="1" x14ac:dyDescent="0.3">
      <c r="A274" s="183">
        <v>41354</v>
      </c>
      <c r="B274" s="184">
        <v>100.5869</v>
      </c>
    </row>
    <row r="275" spans="1:3" hidden="1" x14ac:dyDescent="0.3">
      <c r="A275" s="183">
        <v>41355</v>
      </c>
      <c r="B275" s="184">
        <v>100.465</v>
      </c>
    </row>
    <row r="276" spans="1:3" hidden="1" x14ac:dyDescent="0.3">
      <c r="A276" s="183">
        <v>41358</v>
      </c>
      <c r="B276" s="184">
        <v>100.5568</v>
      </c>
    </row>
    <row r="277" spans="1:3" hidden="1" x14ac:dyDescent="0.3">
      <c r="A277" s="183">
        <v>41359</v>
      </c>
      <c r="B277" s="184">
        <v>100.4808</v>
      </c>
    </row>
    <row r="278" spans="1:3" hidden="1" x14ac:dyDescent="0.3">
      <c r="A278" s="183">
        <v>41360</v>
      </c>
      <c r="B278" s="184">
        <v>100.70269999999999</v>
      </c>
    </row>
    <row r="279" spans="1:3" hidden="1" x14ac:dyDescent="0.3">
      <c r="A279" s="183">
        <v>41361</v>
      </c>
      <c r="B279" s="184">
        <v>100.5188</v>
      </c>
    </row>
    <row r="280" spans="1:3" x14ac:dyDescent="0.3">
      <c r="A280" s="183">
        <v>41362</v>
      </c>
      <c r="B280" s="184">
        <v>100.5565</v>
      </c>
      <c r="C280" s="185">
        <f>AVERAGE(B220:B280)</f>
        <v>99.803114754098345</v>
      </c>
    </row>
    <row r="281" spans="1:3" hidden="1" x14ac:dyDescent="0.3">
      <c r="A281" s="183">
        <v>41365</v>
      </c>
      <c r="B281" s="184">
        <v>100.42529999999999</v>
      </c>
    </row>
    <row r="282" spans="1:3" hidden="1" x14ac:dyDescent="0.3">
      <c r="A282" s="183">
        <v>41366</v>
      </c>
      <c r="B282" s="184">
        <v>100.38979999999999</v>
      </c>
    </row>
    <row r="283" spans="1:3" hidden="1" x14ac:dyDescent="0.3">
      <c r="A283" s="183">
        <v>41367</v>
      </c>
      <c r="B283" s="184">
        <v>100.35599999999999</v>
      </c>
    </row>
    <row r="284" spans="1:3" hidden="1" x14ac:dyDescent="0.3">
      <c r="A284" s="183">
        <v>41368</v>
      </c>
      <c r="B284" s="184">
        <v>100.66800000000001</v>
      </c>
    </row>
    <row r="285" spans="1:3" hidden="1" x14ac:dyDescent="0.3">
      <c r="A285" s="183">
        <v>41369</v>
      </c>
      <c r="B285" s="184">
        <v>100.3877</v>
      </c>
    </row>
    <row r="286" spans="1:3" hidden="1" x14ac:dyDescent="0.3">
      <c r="A286" s="183">
        <v>41372</v>
      </c>
      <c r="B286" s="184">
        <v>100.51309999999999</v>
      </c>
    </row>
    <row r="287" spans="1:3" hidden="1" x14ac:dyDescent="0.3">
      <c r="A287" s="183">
        <v>41373</v>
      </c>
      <c r="B287" s="184">
        <v>100.2427</v>
      </c>
    </row>
    <row r="288" spans="1:3" hidden="1" x14ac:dyDescent="0.3">
      <c r="A288" s="183">
        <v>41374</v>
      </c>
      <c r="B288" s="184">
        <v>100.22580000000001</v>
      </c>
    </row>
    <row r="289" spans="1:2" hidden="1" x14ac:dyDescent="0.3">
      <c r="A289" s="183">
        <v>41375</v>
      </c>
      <c r="B289" s="184">
        <v>99.972399999999993</v>
      </c>
    </row>
    <row r="290" spans="1:2" hidden="1" x14ac:dyDescent="0.3">
      <c r="A290" s="183">
        <v>41376</v>
      </c>
      <c r="B290" s="184">
        <v>100.0677</v>
      </c>
    </row>
    <row r="291" spans="1:2" hidden="1" x14ac:dyDescent="0.3">
      <c r="A291" s="183">
        <v>41379</v>
      </c>
      <c r="B291" s="184">
        <v>100.1923</v>
      </c>
    </row>
    <row r="292" spans="1:2" hidden="1" x14ac:dyDescent="0.3">
      <c r="A292" s="183">
        <v>41380</v>
      </c>
      <c r="B292" s="184">
        <v>100.07170000000001</v>
      </c>
    </row>
    <row r="293" spans="1:2" hidden="1" x14ac:dyDescent="0.3">
      <c r="A293" s="183">
        <v>41381</v>
      </c>
      <c r="B293" s="184">
        <v>100.3612</v>
      </c>
    </row>
    <row r="294" spans="1:2" hidden="1" x14ac:dyDescent="0.3">
      <c r="A294" s="183">
        <v>41382</v>
      </c>
      <c r="B294" s="184">
        <v>100.4063</v>
      </c>
    </row>
    <row r="295" spans="1:2" hidden="1" x14ac:dyDescent="0.3">
      <c r="A295" s="183">
        <v>41383</v>
      </c>
      <c r="B295" s="184">
        <v>100.4434</v>
      </c>
    </row>
    <row r="296" spans="1:2" hidden="1" x14ac:dyDescent="0.3">
      <c r="A296" s="183">
        <v>41386</v>
      </c>
      <c r="B296" s="184">
        <v>100.5941</v>
      </c>
    </row>
    <row r="297" spans="1:2" hidden="1" x14ac:dyDescent="0.3">
      <c r="A297" s="183">
        <v>41387</v>
      </c>
      <c r="B297" s="184">
        <v>100.61969999999999</v>
      </c>
    </row>
    <row r="298" spans="1:2" hidden="1" x14ac:dyDescent="0.3">
      <c r="A298" s="183">
        <v>41388</v>
      </c>
      <c r="B298" s="184">
        <v>100.6858</v>
      </c>
    </row>
    <row r="299" spans="1:2" hidden="1" x14ac:dyDescent="0.3">
      <c r="A299" s="183">
        <v>41389</v>
      </c>
      <c r="B299" s="184">
        <v>100.2696</v>
      </c>
    </row>
    <row r="300" spans="1:2" hidden="1" x14ac:dyDescent="0.3">
      <c r="A300" s="183">
        <v>41390</v>
      </c>
      <c r="B300" s="184">
        <v>100.1284</v>
      </c>
    </row>
    <row r="301" spans="1:2" hidden="1" x14ac:dyDescent="0.3">
      <c r="A301" s="183">
        <v>41393</v>
      </c>
      <c r="B301" s="184">
        <v>99.872299999999996</v>
      </c>
    </row>
    <row r="302" spans="1:2" hidden="1" x14ac:dyDescent="0.3">
      <c r="A302" s="183">
        <v>41394</v>
      </c>
      <c r="B302" s="184">
        <v>99.608099999999993</v>
      </c>
    </row>
    <row r="303" spans="1:2" hidden="1" x14ac:dyDescent="0.3">
      <c r="A303" s="183">
        <v>41395</v>
      </c>
      <c r="B303" s="184">
        <v>99.674099999999996</v>
      </c>
    </row>
    <row r="304" spans="1:2" hidden="1" x14ac:dyDescent="0.3">
      <c r="A304" s="183">
        <v>41396</v>
      </c>
      <c r="B304" s="184">
        <v>99.848500000000001</v>
      </c>
    </row>
    <row r="305" spans="1:2" hidden="1" x14ac:dyDescent="0.3">
      <c r="A305" s="183">
        <v>41397</v>
      </c>
      <c r="B305" s="184">
        <v>99.738699999999994</v>
      </c>
    </row>
    <row r="306" spans="1:2" hidden="1" x14ac:dyDescent="0.3">
      <c r="A306" s="183">
        <v>41400</v>
      </c>
      <c r="B306" s="184">
        <v>99.867199999999997</v>
      </c>
    </row>
    <row r="307" spans="1:2" hidden="1" x14ac:dyDescent="0.3">
      <c r="A307" s="183">
        <v>41401</v>
      </c>
      <c r="B307" s="184">
        <v>99.726100000000002</v>
      </c>
    </row>
    <row r="308" spans="1:2" hidden="1" x14ac:dyDescent="0.3">
      <c r="A308" s="183">
        <v>41402</v>
      </c>
      <c r="B308" s="184">
        <v>99.373500000000007</v>
      </c>
    </row>
    <row r="309" spans="1:2" hidden="1" x14ac:dyDescent="0.3">
      <c r="A309" s="183">
        <v>41403</v>
      </c>
      <c r="B309" s="184">
        <v>99.485699999999994</v>
      </c>
    </row>
    <row r="310" spans="1:2" hidden="1" x14ac:dyDescent="0.3">
      <c r="A310" s="183">
        <v>41404</v>
      </c>
      <c r="B310" s="184">
        <v>100.45699999999999</v>
      </c>
    </row>
    <row r="311" spans="1:2" hidden="1" x14ac:dyDescent="0.3">
      <c r="A311" s="183">
        <v>41407</v>
      </c>
      <c r="B311" s="184">
        <v>100.4875</v>
      </c>
    </row>
    <row r="312" spans="1:2" hidden="1" x14ac:dyDescent="0.3">
      <c r="A312" s="183">
        <v>41408</v>
      </c>
      <c r="B312" s="184">
        <v>100.57210000000001</v>
      </c>
    </row>
    <row r="313" spans="1:2" hidden="1" x14ac:dyDescent="0.3">
      <c r="A313" s="183">
        <v>41409</v>
      </c>
      <c r="B313" s="184">
        <v>100.9813</v>
      </c>
    </row>
    <row r="314" spans="1:2" hidden="1" x14ac:dyDescent="0.3">
      <c r="A314" s="183">
        <v>41410</v>
      </c>
      <c r="B314" s="184">
        <v>100.8861</v>
      </c>
    </row>
    <row r="315" spans="1:2" hidden="1" x14ac:dyDescent="0.3">
      <c r="A315" s="183">
        <v>41411</v>
      </c>
      <c r="B315" s="184">
        <v>101.3582</v>
      </c>
    </row>
    <row r="316" spans="1:2" hidden="1" x14ac:dyDescent="0.3">
      <c r="A316" s="183">
        <v>41414</v>
      </c>
      <c r="B316" s="184">
        <v>101.22629999999999</v>
      </c>
    </row>
    <row r="317" spans="1:2" hidden="1" x14ac:dyDescent="0.3">
      <c r="A317" s="183">
        <v>41415</v>
      </c>
      <c r="B317" s="184">
        <v>101.139</v>
      </c>
    </row>
    <row r="318" spans="1:2" hidden="1" x14ac:dyDescent="0.3">
      <c r="A318" s="183">
        <v>41416</v>
      </c>
      <c r="B318" s="184">
        <v>101.4666</v>
      </c>
    </row>
    <row r="319" spans="1:2" hidden="1" x14ac:dyDescent="0.3">
      <c r="A319" s="183">
        <v>41417</v>
      </c>
      <c r="B319" s="184">
        <v>101.3947</v>
      </c>
    </row>
    <row r="320" spans="1:2" hidden="1" x14ac:dyDescent="0.3">
      <c r="A320" s="183">
        <v>41418</v>
      </c>
      <c r="B320" s="184">
        <v>101.4562</v>
      </c>
    </row>
    <row r="321" spans="1:2" hidden="1" x14ac:dyDescent="0.3">
      <c r="A321" s="183">
        <v>41422</v>
      </c>
      <c r="B321" s="184">
        <v>101.7539</v>
      </c>
    </row>
    <row r="322" spans="1:2" hidden="1" x14ac:dyDescent="0.3">
      <c r="A322" s="183">
        <v>41423</v>
      </c>
      <c r="B322" s="184">
        <v>101.7159</v>
      </c>
    </row>
    <row r="323" spans="1:2" hidden="1" x14ac:dyDescent="0.3">
      <c r="A323" s="183">
        <v>41424</v>
      </c>
      <c r="B323" s="184">
        <v>101.62739999999999</v>
      </c>
    </row>
    <row r="324" spans="1:2" hidden="1" x14ac:dyDescent="0.3">
      <c r="A324" s="183">
        <v>41425</v>
      </c>
      <c r="B324" s="184">
        <v>101.82689999999999</v>
      </c>
    </row>
    <row r="325" spans="1:2" hidden="1" x14ac:dyDescent="0.3">
      <c r="A325" s="183">
        <v>41428</v>
      </c>
      <c r="B325" s="184">
        <v>101.3869</v>
      </c>
    </row>
    <row r="326" spans="1:2" hidden="1" x14ac:dyDescent="0.3">
      <c r="A326" s="183">
        <v>41429</v>
      </c>
      <c r="B326" s="184">
        <v>101.5176</v>
      </c>
    </row>
    <row r="327" spans="1:2" hidden="1" x14ac:dyDescent="0.3">
      <c r="A327" s="183">
        <v>41430</v>
      </c>
      <c r="B327" s="184">
        <v>101.4877</v>
      </c>
    </row>
    <row r="328" spans="1:2" hidden="1" x14ac:dyDescent="0.3">
      <c r="A328" s="183">
        <v>41431</v>
      </c>
      <c r="B328" s="184">
        <v>101.0663</v>
      </c>
    </row>
    <row r="329" spans="1:2" hidden="1" x14ac:dyDescent="0.3">
      <c r="A329" s="183">
        <v>41432</v>
      </c>
      <c r="B329" s="184">
        <v>100.8522</v>
      </c>
    </row>
    <row r="330" spans="1:2" hidden="1" x14ac:dyDescent="0.3">
      <c r="A330" s="183">
        <v>41435</v>
      </c>
      <c r="B330" s="184">
        <v>101.258</v>
      </c>
    </row>
    <row r="331" spans="1:2" hidden="1" x14ac:dyDescent="0.3">
      <c r="A331" s="183">
        <v>41436</v>
      </c>
      <c r="B331" s="184">
        <v>101.0789</v>
      </c>
    </row>
    <row r="332" spans="1:2" hidden="1" x14ac:dyDescent="0.3">
      <c r="A332" s="183">
        <v>41437</v>
      </c>
      <c r="B332" s="184">
        <v>100.7483</v>
      </c>
    </row>
    <row r="333" spans="1:2" hidden="1" x14ac:dyDescent="0.3">
      <c r="A333" s="183">
        <v>41438</v>
      </c>
      <c r="B333" s="184">
        <v>100.61020000000001</v>
      </c>
    </row>
    <row r="334" spans="1:2" hidden="1" x14ac:dyDescent="0.3">
      <c r="A334" s="183">
        <v>41439</v>
      </c>
      <c r="B334" s="184">
        <v>100.4331</v>
      </c>
    </row>
    <row r="335" spans="1:2" hidden="1" x14ac:dyDescent="0.3">
      <c r="A335" s="183">
        <v>41442</v>
      </c>
      <c r="B335" s="184">
        <v>100.5793</v>
      </c>
    </row>
    <row r="336" spans="1:2" hidden="1" x14ac:dyDescent="0.3">
      <c r="A336" s="183">
        <v>41443</v>
      </c>
      <c r="B336" s="184">
        <v>100.8035</v>
      </c>
    </row>
    <row r="337" spans="1:3" hidden="1" x14ac:dyDescent="0.3">
      <c r="A337" s="183">
        <v>41444</v>
      </c>
      <c r="B337" s="184">
        <v>100.7389</v>
      </c>
    </row>
    <row r="338" spans="1:3" hidden="1" x14ac:dyDescent="0.3">
      <c r="A338" s="183">
        <v>41445</v>
      </c>
      <c r="B338" s="184">
        <v>102.4098</v>
      </c>
    </row>
    <row r="339" spans="1:3" hidden="1" x14ac:dyDescent="0.3">
      <c r="A339" s="183">
        <v>41446</v>
      </c>
      <c r="B339" s="184">
        <v>102.7028</v>
      </c>
    </row>
    <row r="340" spans="1:3" hidden="1" x14ac:dyDescent="0.3">
      <c r="A340" s="183">
        <v>41449</v>
      </c>
      <c r="B340" s="184">
        <v>102.8686</v>
      </c>
    </row>
    <row r="341" spans="1:3" hidden="1" x14ac:dyDescent="0.3">
      <c r="A341" s="183">
        <v>41450</v>
      </c>
      <c r="B341" s="184">
        <v>102.6056</v>
      </c>
    </row>
    <row r="342" spans="1:3" hidden="1" x14ac:dyDescent="0.3">
      <c r="A342" s="183">
        <v>41451</v>
      </c>
      <c r="B342" s="184">
        <v>102.6665</v>
      </c>
    </row>
    <row r="343" spans="1:3" hidden="1" x14ac:dyDescent="0.3">
      <c r="A343" s="183">
        <v>41452</v>
      </c>
      <c r="B343" s="184">
        <v>102.5044</v>
      </c>
    </row>
    <row r="344" spans="1:3" x14ac:dyDescent="0.3">
      <c r="A344" s="183">
        <v>41453</v>
      </c>
      <c r="B344" s="184">
        <v>102.538</v>
      </c>
      <c r="C344" s="185">
        <f>AVERAGE(B281:B344)</f>
        <v>100.83470156250004</v>
      </c>
    </row>
    <row r="345" spans="1:3" hidden="1" x14ac:dyDescent="0.3">
      <c r="A345" s="183">
        <v>41456</v>
      </c>
      <c r="B345" s="184">
        <v>102.32259999999999</v>
      </c>
    </row>
    <row r="346" spans="1:3" hidden="1" x14ac:dyDescent="0.3">
      <c r="A346" s="183">
        <v>41457</v>
      </c>
      <c r="B346" s="184">
        <v>102.6238</v>
      </c>
    </row>
    <row r="347" spans="1:3" hidden="1" x14ac:dyDescent="0.3">
      <c r="A347" s="183">
        <v>41458</v>
      </c>
      <c r="B347" s="184">
        <v>102.7094</v>
      </c>
    </row>
    <row r="348" spans="1:3" hidden="1" x14ac:dyDescent="0.3">
      <c r="A348" s="183">
        <v>41460</v>
      </c>
      <c r="B348" s="184">
        <v>103.2779</v>
      </c>
    </row>
    <row r="349" spans="1:3" hidden="1" x14ac:dyDescent="0.3">
      <c r="A349" s="183">
        <v>41463</v>
      </c>
      <c r="B349" s="184">
        <v>103.2136</v>
      </c>
    </row>
    <row r="350" spans="1:3" hidden="1" x14ac:dyDescent="0.3">
      <c r="A350" s="183">
        <v>41464</v>
      </c>
      <c r="B350" s="184">
        <v>103.14749999999999</v>
      </c>
    </row>
    <row r="351" spans="1:3" hidden="1" x14ac:dyDescent="0.3">
      <c r="A351" s="183">
        <v>41465</v>
      </c>
      <c r="B351" s="184">
        <v>102.9628</v>
      </c>
    </row>
    <row r="352" spans="1:3" hidden="1" x14ac:dyDescent="0.3">
      <c r="A352" s="183">
        <v>41466</v>
      </c>
      <c r="B352" s="184">
        <v>102.1588</v>
      </c>
    </row>
    <row r="353" spans="1:2" hidden="1" x14ac:dyDescent="0.3">
      <c r="A353" s="183">
        <v>41467</v>
      </c>
      <c r="B353" s="184">
        <v>102.2149</v>
      </c>
    </row>
    <row r="354" spans="1:2" hidden="1" x14ac:dyDescent="0.3">
      <c r="A354" s="183">
        <v>41470</v>
      </c>
      <c r="B354" s="184">
        <v>102.182</v>
      </c>
    </row>
    <row r="355" spans="1:2" hidden="1" x14ac:dyDescent="0.3">
      <c r="A355" s="183">
        <v>41471</v>
      </c>
      <c r="B355" s="184">
        <v>101.7238</v>
      </c>
    </row>
    <row r="356" spans="1:2" hidden="1" x14ac:dyDescent="0.3">
      <c r="A356" s="183">
        <v>41472</v>
      </c>
      <c r="B356" s="184">
        <v>101.7473</v>
      </c>
    </row>
    <row r="357" spans="1:2" hidden="1" x14ac:dyDescent="0.3">
      <c r="A357" s="183">
        <v>41473</v>
      </c>
      <c r="B357" s="184">
        <v>101.9061</v>
      </c>
    </row>
    <row r="358" spans="1:2" hidden="1" x14ac:dyDescent="0.3">
      <c r="A358" s="183">
        <v>41474</v>
      </c>
      <c r="B358" s="184">
        <v>101.70489999999999</v>
      </c>
    </row>
    <row r="359" spans="1:2" hidden="1" x14ac:dyDescent="0.3">
      <c r="A359" s="183">
        <v>41477</v>
      </c>
      <c r="B359" s="184">
        <v>101.4611</v>
      </c>
    </row>
    <row r="360" spans="1:2" hidden="1" x14ac:dyDescent="0.3">
      <c r="A360" s="183">
        <v>41478</v>
      </c>
      <c r="B360" s="184">
        <v>101.4008</v>
      </c>
    </row>
    <row r="361" spans="1:2" hidden="1" x14ac:dyDescent="0.3">
      <c r="A361" s="183">
        <v>41479</v>
      </c>
      <c r="B361" s="184">
        <v>101.5633</v>
      </c>
    </row>
    <row r="362" spans="1:2" hidden="1" x14ac:dyDescent="0.3">
      <c r="A362" s="183">
        <v>41480</v>
      </c>
      <c r="B362" s="184">
        <v>101.54300000000001</v>
      </c>
    </row>
    <row r="363" spans="1:2" hidden="1" x14ac:dyDescent="0.3">
      <c r="A363" s="183">
        <v>41481</v>
      </c>
      <c r="B363" s="184">
        <v>101.42440000000001</v>
      </c>
    </row>
    <row r="364" spans="1:2" hidden="1" x14ac:dyDescent="0.3">
      <c r="A364" s="183">
        <v>41484</v>
      </c>
      <c r="B364" s="184">
        <v>101.42659999999999</v>
      </c>
    </row>
    <row r="365" spans="1:2" hidden="1" x14ac:dyDescent="0.3">
      <c r="A365" s="183">
        <v>41485</v>
      </c>
      <c r="B365" s="184">
        <v>101.6514</v>
      </c>
    </row>
    <row r="366" spans="1:2" hidden="1" x14ac:dyDescent="0.3">
      <c r="A366" s="183">
        <v>41486</v>
      </c>
      <c r="B366" s="184">
        <v>101.82510000000001</v>
      </c>
    </row>
    <row r="367" spans="1:2" hidden="1" x14ac:dyDescent="0.3">
      <c r="A367" s="183">
        <v>41487</v>
      </c>
      <c r="B367" s="184">
        <v>102.0504</v>
      </c>
    </row>
    <row r="368" spans="1:2" hidden="1" x14ac:dyDescent="0.3">
      <c r="A368" s="183">
        <v>41488</v>
      </c>
      <c r="B368" s="184">
        <v>101.8267</v>
      </c>
    </row>
    <row r="369" spans="1:2" hidden="1" x14ac:dyDescent="0.3">
      <c r="A369" s="183">
        <v>41491</v>
      </c>
      <c r="B369" s="184">
        <v>101.7406</v>
      </c>
    </row>
    <row r="370" spans="1:2" hidden="1" x14ac:dyDescent="0.3">
      <c r="A370" s="183">
        <v>41492</v>
      </c>
      <c r="B370" s="184">
        <v>101.5585</v>
      </c>
    </row>
    <row r="371" spans="1:2" hidden="1" x14ac:dyDescent="0.3">
      <c r="A371" s="183">
        <v>41493</v>
      </c>
      <c r="B371" s="184">
        <v>101.51</v>
      </c>
    </row>
    <row r="372" spans="1:2" hidden="1" x14ac:dyDescent="0.3">
      <c r="A372" s="183">
        <v>41494</v>
      </c>
      <c r="B372" s="184">
        <v>101.08969999999999</v>
      </c>
    </row>
    <row r="373" spans="1:2" hidden="1" x14ac:dyDescent="0.3">
      <c r="A373" s="183">
        <v>41495</v>
      </c>
      <c r="B373" s="184">
        <v>101.0887</v>
      </c>
    </row>
    <row r="374" spans="1:2" hidden="1" x14ac:dyDescent="0.3">
      <c r="A374" s="183">
        <v>41498</v>
      </c>
      <c r="B374" s="184">
        <v>101.1704</v>
      </c>
    </row>
    <row r="375" spans="1:2" hidden="1" x14ac:dyDescent="0.3">
      <c r="A375" s="183">
        <v>41499</v>
      </c>
      <c r="B375" s="184">
        <v>101.73609999999999</v>
      </c>
    </row>
    <row r="376" spans="1:2" hidden="1" x14ac:dyDescent="0.3">
      <c r="A376" s="183">
        <v>41500</v>
      </c>
      <c r="B376" s="184">
        <v>101.65049999999999</v>
      </c>
    </row>
    <row r="377" spans="1:2" hidden="1" x14ac:dyDescent="0.3">
      <c r="A377" s="183">
        <v>41501</v>
      </c>
      <c r="B377" s="184">
        <v>101.7715</v>
      </c>
    </row>
    <row r="378" spans="1:2" hidden="1" x14ac:dyDescent="0.3">
      <c r="A378" s="183">
        <v>41502</v>
      </c>
      <c r="B378" s="184">
        <v>101.6917</v>
      </c>
    </row>
    <row r="379" spans="1:2" hidden="1" x14ac:dyDescent="0.3">
      <c r="A379" s="183">
        <v>41505</v>
      </c>
      <c r="B379" s="184">
        <v>101.9552</v>
      </c>
    </row>
    <row r="380" spans="1:2" hidden="1" x14ac:dyDescent="0.3">
      <c r="A380" s="183">
        <v>41506</v>
      </c>
      <c r="B380" s="184">
        <v>101.8468</v>
      </c>
    </row>
    <row r="381" spans="1:2" hidden="1" x14ac:dyDescent="0.3">
      <c r="A381" s="183">
        <v>41507</v>
      </c>
      <c r="B381" s="184">
        <v>102.32980000000001</v>
      </c>
    </row>
    <row r="382" spans="1:2" hidden="1" x14ac:dyDescent="0.3">
      <c r="A382" s="183">
        <v>41508</v>
      </c>
      <c r="B382" s="184">
        <v>102.56</v>
      </c>
    </row>
    <row r="383" spans="1:2" hidden="1" x14ac:dyDescent="0.3">
      <c r="A383" s="183">
        <v>41509</v>
      </c>
      <c r="B383" s="184">
        <v>102.2212</v>
      </c>
    </row>
    <row r="384" spans="1:2" hidden="1" x14ac:dyDescent="0.3">
      <c r="A384" s="183">
        <v>41512</v>
      </c>
      <c r="B384" s="184">
        <v>102.45780000000001</v>
      </c>
    </row>
    <row r="385" spans="1:2" hidden="1" x14ac:dyDescent="0.3">
      <c r="A385" s="183">
        <v>41513</v>
      </c>
      <c r="B385" s="184">
        <v>102.6865</v>
      </c>
    </row>
    <row r="386" spans="1:2" hidden="1" x14ac:dyDescent="0.3">
      <c r="A386" s="183">
        <v>41514</v>
      </c>
      <c r="B386" s="184">
        <v>102.6979</v>
      </c>
    </row>
    <row r="387" spans="1:2" hidden="1" x14ac:dyDescent="0.3">
      <c r="A387" s="183">
        <v>41515</v>
      </c>
      <c r="B387" s="184">
        <v>102.9091</v>
      </c>
    </row>
    <row r="388" spans="1:2" hidden="1" x14ac:dyDescent="0.3">
      <c r="A388" s="183">
        <v>41516</v>
      </c>
      <c r="B388" s="184">
        <v>103.0227</v>
      </c>
    </row>
    <row r="389" spans="1:2" hidden="1" x14ac:dyDescent="0.3">
      <c r="A389" s="183">
        <v>41520</v>
      </c>
      <c r="B389" s="184">
        <v>103.24550000000001</v>
      </c>
    </row>
    <row r="390" spans="1:2" hidden="1" x14ac:dyDescent="0.3">
      <c r="A390" s="183">
        <v>41521</v>
      </c>
      <c r="B390" s="184">
        <v>102.8677</v>
      </c>
    </row>
    <row r="391" spans="1:2" hidden="1" x14ac:dyDescent="0.3">
      <c r="A391" s="183">
        <v>41522</v>
      </c>
      <c r="B391" s="184">
        <v>103.20529999999999</v>
      </c>
    </row>
    <row r="392" spans="1:2" hidden="1" x14ac:dyDescent="0.3">
      <c r="A392" s="183">
        <v>41523</v>
      </c>
      <c r="B392" s="184">
        <v>102.5591</v>
      </c>
    </row>
    <row r="393" spans="1:2" hidden="1" x14ac:dyDescent="0.3">
      <c r="A393" s="183">
        <v>41526</v>
      </c>
      <c r="B393" s="184">
        <v>102.31619999999999</v>
      </c>
    </row>
    <row r="394" spans="1:2" hidden="1" x14ac:dyDescent="0.3">
      <c r="A394" s="183">
        <v>41527</v>
      </c>
      <c r="B394" s="184">
        <v>102.2471</v>
      </c>
    </row>
    <row r="395" spans="1:2" hidden="1" x14ac:dyDescent="0.3">
      <c r="A395" s="183">
        <v>41528</v>
      </c>
      <c r="B395" s="184">
        <v>102.0214</v>
      </c>
    </row>
    <row r="396" spans="1:2" hidden="1" x14ac:dyDescent="0.3">
      <c r="A396" s="183">
        <v>41529</v>
      </c>
      <c r="B396" s="184">
        <v>101.8931</v>
      </c>
    </row>
    <row r="397" spans="1:2" hidden="1" x14ac:dyDescent="0.3">
      <c r="A397" s="183">
        <v>41530</v>
      </c>
      <c r="B397" s="184">
        <v>101.97190000000001</v>
      </c>
    </row>
    <row r="398" spans="1:2" hidden="1" x14ac:dyDescent="0.3">
      <c r="A398" s="183">
        <v>41533</v>
      </c>
      <c r="B398" s="184">
        <v>101.5909</v>
      </c>
    </row>
    <row r="399" spans="1:2" hidden="1" x14ac:dyDescent="0.3">
      <c r="A399" s="183">
        <v>41534</v>
      </c>
      <c r="B399" s="184">
        <v>101.5177</v>
      </c>
    </row>
    <row r="400" spans="1:2" hidden="1" x14ac:dyDescent="0.3">
      <c r="A400" s="183">
        <v>41535</v>
      </c>
      <c r="B400" s="184">
        <v>101.5564</v>
      </c>
    </row>
    <row r="401" spans="1:3" hidden="1" x14ac:dyDescent="0.3">
      <c r="A401" s="183">
        <v>41536</v>
      </c>
      <c r="B401" s="184">
        <v>100.6621</v>
      </c>
    </row>
    <row r="402" spans="1:3" hidden="1" x14ac:dyDescent="0.3">
      <c r="A402" s="183">
        <v>41537</v>
      </c>
      <c r="B402" s="184">
        <v>100.8676</v>
      </c>
    </row>
    <row r="403" spans="1:3" hidden="1" x14ac:dyDescent="0.3">
      <c r="A403" s="183">
        <v>41540</v>
      </c>
      <c r="B403" s="184">
        <v>100.8939</v>
      </c>
    </row>
    <row r="404" spans="1:3" hidden="1" x14ac:dyDescent="0.3">
      <c r="A404" s="183">
        <v>41541</v>
      </c>
      <c r="B404" s="184">
        <v>101.0544</v>
      </c>
    </row>
    <row r="405" spans="1:3" hidden="1" x14ac:dyDescent="0.3">
      <c r="A405" s="183">
        <v>41542</v>
      </c>
      <c r="B405" s="184">
        <v>101.0647</v>
      </c>
    </row>
    <row r="406" spans="1:3" hidden="1" x14ac:dyDescent="0.3">
      <c r="A406" s="183">
        <v>41543</v>
      </c>
      <c r="B406" s="184">
        <v>101.2972</v>
      </c>
    </row>
    <row r="407" spans="1:3" hidden="1" x14ac:dyDescent="0.3">
      <c r="A407" s="183">
        <v>41544</v>
      </c>
      <c r="B407" s="184">
        <v>101.27719999999999</v>
      </c>
    </row>
    <row r="408" spans="1:3" x14ac:dyDescent="0.3">
      <c r="A408" s="183">
        <v>41547</v>
      </c>
      <c r="B408" s="184">
        <v>101.24250000000001</v>
      </c>
      <c r="C408" s="185">
        <f>AVERAGE(B345:B408)</f>
        <v>101.95491875000002</v>
      </c>
    </row>
    <row r="409" spans="1:3" hidden="1" x14ac:dyDescent="0.3">
      <c r="A409" s="183">
        <v>41548</v>
      </c>
      <c r="B409" s="184">
        <v>101.2551</v>
      </c>
    </row>
    <row r="410" spans="1:3" hidden="1" x14ac:dyDescent="0.3">
      <c r="A410" s="183">
        <v>41549</v>
      </c>
      <c r="B410" s="184">
        <v>101.0722</v>
      </c>
    </row>
    <row r="411" spans="1:3" hidden="1" x14ac:dyDescent="0.3">
      <c r="A411" s="183">
        <v>41550</v>
      </c>
      <c r="B411" s="184">
        <v>101.0421</v>
      </c>
    </row>
    <row r="412" spans="1:3" hidden="1" x14ac:dyDescent="0.3">
      <c r="A412" s="183">
        <v>41551</v>
      </c>
      <c r="B412" s="184">
        <v>100.9285</v>
      </c>
    </row>
    <row r="413" spans="1:3" hidden="1" x14ac:dyDescent="0.3">
      <c r="A413" s="183">
        <v>41554</v>
      </c>
      <c r="B413" s="184">
        <v>100.95529999999999</v>
      </c>
    </row>
    <row r="414" spans="1:3" hidden="1" x14ac:dyDescent="0.3">
      <c r="A414" s="183">
        <v>41555</v>
      </c>
      <c r="B414" s="184">
        <v>101.0453</v>
      </c>
    </row>
    <row r="415" spans="1:3" hidden="1" x14ac:dyDescent="0.3">
      <c r="A415" s="183">
        <v>41556</v>
      </c>
      <c r="B415" s="184">
        <v>101.35509999999999</v>
      </c>
    </row>
    <row r="416" spans="1:3" hidden="1" x14ac:dyDescent="0.3">
      <c r="A416" s="183">
        <v>41557</v>
      </c>
      <c r="B416" s="184">
        <v>101.11969999999999</v>
      </c>
    </row>
    <row r="417" spans="1:2" hidden="1" x14ac:dyDescent="0.3">
      <c r="A417" s="183">
        <v>41558</v>
      </c>
      <c r="B417" s="184">
        <v>101.12439999999999</v>
      </c>
    </row>
    <row r="418" spans="1:2" hidden="1" x14ac:dyDescent="0.3">
      <c r="A418" s="183">
        <v>41562</v>
      </c>
      <c r="B418" s="184">
        <v>100.99639999999999</v>
      </c>
    </row>
    <row r="419" spans="1:2" hidden="1" x14ac:dyDescent="0.3">
      <c r="A419" s="183">
        <v>41563</v>
      </c>
      <c r="B419" s="184">
        <v>100.916</v>
      </c>
    </row>
    <row r="420" spans="1:2" hidden="1" x14ac:dyDescent="0.3">
      <c r="A420" s="183">
        <v>41564</v>
      </c>
      <c r="B420" s="184">
        <v>100.2627</v>
      </c>
    </row>
    <row r="421" spans="1:2" hidden="1" x14ac:dyDescent="0.3">
      <c r="A421" s="183">
        <v>41565</v>
      </c>
      <c r="B421" s="184">
        <v>100.2303</v>
      </c>
    </row>
    <row r="422" spans="1:2" hidden="1" x14ac:dyDescent="0.3">
      <c r="A422" s="183">
        <v>41568</v>
      </c>
      <c r="B422" s="184">
        <v>100.48480000000001</v>
      </c>
    </row>
    <row r="423" spans="1:2" hidden="1" x14ac:dyDescent="0.3">
      <c r="A423" s="183">
        <v>41569</v>
      </c>
      <c r="B423" s="184">
        <v>100.19759999999999</v>
      </c>
    </row>
    <row r="424" spans="1:2" hidden="1" x14ac:dyDescent="0.3">
      <c r="A424" s="183">
        <v>41570</v>
      </c>
      <c r="B424" s="184">
        <v>100.2975</v>
      </c>
    </row>
    <row r="425" spans="1:2" hidden="1" x14ac:dyDescent="0.3">
      <c r="A425" s="183">
        <v>41571</v>
      </c>
      <c r="B425" s="184">
        <v>100.3888</v>
      </c>
    </row>
    <row r="426" spans="1:2" hidden="1" x14ac:dyDescent="0.3">
      <c r="A426" s="183">
        <v>41572</v>
      </c>
      <c r="B426" s="184">
        <v>100.3541</v>
      </c>
    </row>
    <row r="427" spans="1:2" hidden="1" x14ac:dyDescent="0.3">
      <c r="A427" s="183">
        <v>41575</v>
      </c>
      <c r="B427" s="184">
        <v>100.38290000000001</v>
      </c>
    </row>
    <row r="428" spans="1:2" hidden="1" x14ac:dyDescent="0.3">
      <c r="A428" s="183">
        <v>41576</v>
      </c>
      <c r="B428" s="184">
        <v>100.5044</v>
      </c>
    </row>
    <row r="429" spans="1:2" hidden="1" x14ac:dyDescent="0.3">
      <c r="A429" s="183">
        <v>41577</v>
      </c>
      <c r="B429" s="184">
        <v>100.5098</v>
      </c>
    </row>
    <row r="430" spans="1:2" hidden="1" x14ac:dyDescent="0.3">
      <c r="A430" s="183">
        <v>41578</v>
      </c>
      <c r="B430" s="184">
        <v>100.9573</v>
      </c>
    </row>
    <row r="431" spans="1:2" hidden="1" x14ac:dyDescent="0.3">
      <c r="A431" s="183">
        <v>41579</v>
      </c>
      <c r="B431" s="184">
        <v>101.3904</v>
      </c>
    </row>
    <row r="432" spans="1:2" hidden="1" x14ac:dyDescent="0.3">
      <c r="A432" s="183">
        <v>41582</v>
      </c>
      <c r="B432" s="184">
        <v>101.1754</v>
      </c>
    </row>
    <row r="433" spans="1:2" hidden="1" x14ac:dyDescent="0.3">
      <c r="A433" s="183">
        <v>41583</v>
      </c>
      <c r="B433" s="184">
        <v>101.4592</v>
      </c>
    </row>
    <row r="434" spans="1:2" hidden="1" x14ac:dyDescent="0.3">
      <c r="A434" s="183">
        <v>41584</v>
      </c>
      <c r="B434" s="184">
        <v>101.3404</v>
      </c>
    </row>
    <row r="435" spans="1:2" hidden="1" x14ac:dyDescent="0.3">
      <c r="A435" s="183">
        <v>41585</v>
      </c>
      <c r="B435" s="184">
        <v>101.646</v>
      </c>
    </row>
    <row r="436" spans="1:2" hidden="1" x14ac:dyDescent="0.3">
      <c r="A436" s="183">
        <v>41586</v>
      </c>
      <c r="B436" s="184">
        <v>101.9044</v>
      </c>
    </row>
    <row r="437" spans="1:2" hidden="1" x14ac:dyDescent="0.3">
      <c r="A437" s="183">
        <v>41590</v>
      </c>
      <c r="B437" s="184">
        <v>102.026</v>
      </c>
    </row>
    <row r="438" spans="1:2" hidden="1" x14ac:dyDescent="0.3">
      <c r="A438" s="183">
        <v>41591</v>
      </c>
      <c r="B438" s="184">
        <v>101.7543</v>
      </c>
    </row>
    <row r="439" spans="1:2" hidden="1" x14ac:dyDescent="0.3">
      <c r="A439" s="183">
        <v>41592</v>
      </c>
      <c r="B439" s="184">
        <v>101.6932</v>
      </c>
    </row>
    <row r="440" spans="1:2" hidden="1" x14ac:dyDescent="0.3">
      <c r="A440" s="183">
        <v>41593</v>
      </c>
      <c r="B440" s="184">
        <v>101.5531</v>
      </c>
    </row>
    <row r="441" spans="1:2" hidden="1" x14ac:dyDescent="0.3">
      <c r="A441" s="183">
        <v>41596</v>
      </c>
      <c r="B441" s="184">
        <v>101.245</v>
      </c>
    </row>
    <row r="442" spans="1:2" hidden="1" x14ac:dyDescent="0.3">
      <c r="A442" s="183">
        <v>41597</v>
      </c>
      <c r="B442" s="184">
        <v>101.3259</v>
      </c>
    </row>
    <row r="443" spans="1:2" hidden="1" x14ac:dyDescent="0.3">
      <c r="A443" s="183">
        <v>41598</v>
      </c>
      <c r="B443" s="184">
        <v>101.529</v>
      </c>
    </row>
    <row r="444" spans="1:2" hidden="1" x14ac:dyDescent="0.3">
      <c r="A444" s="183">
        <v>41599</v>
      </c>
      <c r="B444" s="184">
        <v>101.84910000000001</v>
      </c>
    </row>
    <row r="445" spans="1:2" hidden="1" x14ac:dyDescent="0.3">
      <c r="A445" s="183">
        <v>41600</v>
      </c>
      <c r="B445" s="184">
        <v>101.69889999999999</v>
      </c>
    </row>
    <row r="446" spans="1:2" hidden="1" x14ac:dyDescent="0.3">
      <c r="A446" s="183">
        <v>41603</v>
      </c>
      <c r="B446" s="184">
        <v>101.82599999999999</v>
      </c>
    </row>
    <row r="447" spans="1:2" hidden="1" x14ac:dyDescent="0.3">
      <c r="A447" s="183">
        <v>41604</v>
      </c>
      <c r="B447" s="184">
        <v>101.80970000000001</v>
      </c>
    </row>
    <row r="448" spans="1:2" hidden="1" x14ac:dyDescent="0.3">
      <c r="A448" s="183">
        <v>41605</v>
      </c>
      <c r="B448" s="184">
        <v>101.988</v>
      </c>
    </row>
    <row r="449" spans="1:2" hidden="1" x14ac:dyDescent="0.3">
      <c r="A449" s="183">
        <v>41607</v>
      </c>
      <c r="B449" s="184">
        <v>101.93819999999999</v>
      </c>
    </row>
    <row r="450" spans="1:2" hidden="1" x14ac:dyDescent="0.3">
      <c r="A450" s="183">
        <v>41610</v>
      </c>
      <c r="B450" s="184">
        <v>102.1892</v>
      </c>
    </row>
    <row r="451" spans="1:2" hidden="1" x14ac:dyDescent="0.3">
      <c r="A451" s="183">
        <v>41611</v>
      </c>
      <c r="B451" s="184">
        <v>102.1301</v>
      </c>
    </row>
    <row r="452" spans="1:2" hidden="1" x14ac:dyDescent="0.3">
      <c r="A452" s="183">
        <v>41612</v>
      </c>
      <c r="B452" s="184">
        <v>102.1956</v>
      </c>
    </row>
    <row r="453" spans="1:2" hidden="1" x14ac:dyDescent="0.3">
      <c r="A453" s="183">
        <v>41613</v>
      </c>
      <c r="B453" s="184">
        <v>101.7861</v>
      </c>
    </row>
    <row r="454" spans="1:2" hidden="1" x14ac:dyDescent="0.3">
      <c r="A454" s="183">
        <v>41614</v>
      </c>
      <c r="B454" s="184">
        <v>101.6772</v>
      </c>
    </row>
    <row r="455" spans="1:2" hidden="1" x14ac:dyDescent="0.3">
      <c r="A455" s="183">
        <v>41617</v>
      </c>
      <c r="B455" s="184">
        <v>101.4011</v>
      </c>
    </row>
    <row r="456" spans="1:2" hidden="1" x14ac:dyDescent="0.3">
      <c r="A456" s="183">
        <v>41618</v>
      </c>
      <c r="B456" s="184">
        <v>101.33799999999999</v>
      </c>
    </row>
    <row r="457" spans="1:2" hidden="1" x14ac:dyDescent="0.3">
      <c r="A457" s="183">
        <v>41619</v>
      </c>
      <c r="B457" s="184">
        <v>101.35590000000001</v>
      </c>
    </row>
    <row r="458" spans="1:2" hidden="1" x14ac:dyDescent="0.3">
      <c r="A458" s="183">
        <v>41620</v>
      </c>
      <c r="B458" s="184">
        <v>101.6964</v>
      </c>
    </row>
    <row r="459" spans="1:2" hidden="1" x14ac:dyDescent="0.3">
      <c r="A459" s="183">
        <v>41621</v>
      </c>
      <c r="B459" s="184">
        <v>101.63200000000001</v>
      </c>
    </row>
    <row r="460" spans="1:2" hidden="1" x14ac:dyDescent="0.3">
      <c r="A460" s="183">
        <v>41624</v>
      </c>
      <c r="B460" s="184">
        <v>101.4982</v>
      </c>
    </row>
    <row r="461" spans="1:2" hidden="1" x14ac:dyDescent="0.3">
      <c r="A461" s="183">
        <v>41625</v>
      </c>
      <c r="B461" s="184">
        <v>101.5727</v>
      </c>
    </row>
    <row r="462" spans="1:2" hidden="1" x14ac:dyDescent="0.3">
      <c r="A462" s="183">
        <v>41626</v>
      </c>
      <c r="B462" s="184">
        <v>101.7045</v>
      </c>
    </row>
    <row r="463" spans="1:2" hidden="1" x14ac:dyDescent="0.3">
      <c r="A463" s="183">
        <v>41627</v>
      </c>
      <c r="B463" s="184">
        <v>102.0389</v>
      </c>
    </row>
    <row r="464" spans="1:2" hidden="1" x14ac:dyDescent="0.3">
      <c r="A464" s="183">
        <v>41628</v>
      </c>
      <c r="B464" s="184">
        <v>102.02500000000001</v>
      </c>
    </row>
    <row r="465" spans="1:3" hidden="1" x14ac:dyDescent="0.3">
      <c r="A465" s="183">
        <v>41631</v>
      </c>
      <c r="B465" s="184">
        <v>101.8811</v>
      </c>
    </row>
    <row r="466" spans="1:3" hidden="1" x14ac:dyDescent="0.3">
      <c r="A466" s="183">
        <v>41632</v>
      </c>
      <c r="B466" s="184">
        <v>101.9863</v>
      </c>
    </row>
    <row r="467" spans="1:3" hidden="1" x14ac:dyDescent="0.3">
      <c r="A467" s="183">
        <v>41634</v>
      </c>
      <c r="B467" s="184">
        <v>102.08240000000001</v>
      </c>
    </row>
    <row r="468" spans="1:3" hidden="1" x14ac:dyDescent="0.3">
      <c r="A468" s="183">
        <v>41635</v>
      </c>
      <c r="B468" s="184">
        <v>102.0068</v>
      </c>
    </row>
    <row r="469" spans="1:3" hidden="1" x14ac:dyDescent="0.3">
      <c r="A469" s="183">
        <v>41638</v>
      </c>
      <c r="B469" s="184">
        <v>101.7971</v>
      </c>
    </row>
    <row r="470" spans="1:3" x14ac:dyDescent="0.3">
      <c r="A470" s="183">
        <v>41639</v>
      </c>
      <c r="B470" s="184">
        <v>101.85899999999999</v>
      </c>
      <c r="C470" s="185">
        <f>AVERAGE(B409:B470)</f>
        <v>101.37719516129027</v>
      </c>
    </row>
    <row r="471" spans="1:3" hidden="1" x14ac:dyDescent="0.3">
      <c r="A471" s="183">
        <v>41641</v>
      </c>
      <c r="B471" s="184">
        <v>102.1103</v>
      </c>
    </row>
    <row r="472" spans="1:3" hidden="1" x14ac:dyDescent="0.3">
      <c r="A472" s="183">
        <v>41642</v>
      </c>
      <c r="B472" s="184">
        <v>102.15479999999999</v>
      </c>
    </row>
    <row r="473" spans="1:3" hidden="1" x14ac:dyDescent="0.3">
      <c r="A473" s="183">
        <v>41645</v>
      </c>
      <c r="B473" s="184">
        <v>102.2205</v>
      </c>
    </row>
    <row r="474" spans="1:3" hidden="1" x14ac:dyDescent="0.3">
      <c r="A474" s="183">
        <v>41646</v>
      </c>
      <c r="B474" s="184">
        <v>102.3396</v>
      </c>
    </row>
    <row r="475" spans="1:3" hidden="1" x14ac:dyDescent="0.3">
      <c r="A475" s="183">
        <v>41647</v>
      </c>
      <c r="B475" s="184">
        <v>102.5153</v>
      </c>
    </row>
    <row r="476" spans="1:3" hidden="1" x14ac:dyDescent="0.3">
      <c r="A476" s="183">
        <v>41648</v>
      </c>
      <c r="B476" s="184">
        <v>102.6219</v>
      </c>
    </row>
    <row r="477" spans="1:3" hidden="1" x14ac:dyDescent="0.3">
      <c r="A477" s="183">
        <v>41649</v>
      </c>
      <c r="B477" s="184">
        <v>102.2769</v>
      </c>
    </row>
    <row r="478" spans="1:3" hidden="1" x14ac:dyDescent="0.3">
      <c r="A478" s="183">
        <v>41652</v>
      </c>
      <c r="B478" s="184">
        <v>102.15479999999999</v>
      </c>
    </row>
    <row r="479" spans="1:3" hidden="1" x14ac:dyDescent="0.3">
      <c r="A479" s="183">
        <v>41653</v>
      </c>
      <c r="B479" s="184">
        <v>102.28400000000001</v>
      </c>
    </row>
    <row r="480" spans="1:3" hidden="1" x14ac:dyDescent="0.3">
      <c r="A480" s="183">
        <v>41654</v>
      </c>
      <c r="B480" s="184">
        <v>102.6096</v>
      </c>
    </row>
    <row r="481" spans="1:2" hidden="1" x14ac:dyDescent="0.3">
      <c r="A481" s="183">
        <v>41655</v>
      </c>
      <c r="B481" s="184">
        <v>102.8309</v>
      </c>
    </row>
    <row r="482" spans="1:2" hidden="1" x14ac:dyDescent="0.3">
      <c r="A482" s="183">
        <v>41656</v>
      </c>
      <c r="B482" s="184">
        <v>102.86709999999999</v>
      </c>
    </row>
    <row r="483" spans="1:2" hidden="1" x14ac:dyDescent="0.3">
      <c r="A483" s="183">
        <v>41660</v>
      </c>
      <c r="B483" s="184">
        <v>102.988</v>
      </c>
    </row>
    <row r="484" spans="1:2" hidden="1" x14ac:dyDescent="0.3">
      <c r="A484" s="183">
        <v>41661</v>
      </c>
      <c r="B484" s="184">
        <v>103.1598</v>
      </c>
    </row>
    <row r="485" spans="1:2" hidden="1" x14ac:dyDescent="0.3">
      <c r="A485" s="183">
        <v>41662</v>
      </c>
      <c r="B485" s="184">
        <v>103.17019999999999</v>
      </c>
    </row>
    <row r="486" spans="1:2" hidden="1" x14ac:dyDescent="0.3">
      <c r="A486" s="183">
        <v>41663</v>
      </c>
      <c r="B486" s="184">
        <v>103.1923</v>
      </c>
    </row>
    <row r="487" spans="1:2" hidden="1" x14ac:dyDescent="0.3">
      <c r="A487" s="183">
        <v>41666</v>
      </c>
      <c r="B487" s="184">
        <v>103.2561</v>
      </c>
    </row>
    <row r="488" spans="1:2" hidden="1" x14ac:dyDescent="0.3">
      <c r="A488" s="183">
        <v>41667</v>
      </c>
      <c r="B488" s="184">
        <v>103.2212</v>
      </c>
    </row>
    <row r="489" spans="1:2" hidden="1" x14ac:dyDescent="0.3">
      <c r="A489" s="183">
        <v>41668</v>
      </c>
      <c r="B489" s="184">
        <v>103.20650000000001</v>
      </c>
    </row>
    <row r="490" spans="1:2" hidden="1" x14ac:dyDescent="0.3">
      <c r="A490" s="183">
        <v>41669</v>
      </c>
      <c r="B490" s="184">
        <v>103.47839999999999</v>
      </c>
    </row>
    <row r="491" spans="1:2" hidden="1" x14ac:dyDescent="0.3">
      <c r="A491" s="183">
        <v>41670</v>
      </c>
      <c r="B491" s="184">
        <v>103.5382</v>
      </c>
    </row>
    <row r="492" spans="1:2" hidden="1" x14ac:dyDescent="0.3">
      <c r="A492" s="183">
        <v>41673</v>
      </c>
      <c r="B492" s="184">
        <v>103.6114</v>
      </c>
    </row>
    <row r="493" spans="1:2" hidden="1" x14ac:dyDescent="0.3">
      <c r="A493" s="183">
        <v>41674</v>
      </c>
      <c r="B493" s="184">
        <v>103.3946</v>
      </c>
    </row>
    <row r="494" spans="1:2" hidden="1" x14ac:dyDescent="0.3">
      <c r="A494" s="183">
        <v>41675</v>
      </c>
      <c r="B494" s="184">
        <v>103.36360000000001</v>
      </c>
    </row>
    <row r="495" spans="1:2" hidden="1" x14ac:dyDescent="0.3">
      <c r="A495" s="183">
        <v>41676</v>
      </c>
      <c r="B495" s="184">
        <v>103.0534</v>
      </c>
    </row>
    <row r="496" spans="1:2" hidden="1" x14ac:dyDescent="0.3">
      <c r="A496" s="183">
        <v>41677</v>
      </c>
      <c r="B496" s="184">
        <v>103.0979</v>
      </c>
    </row>
    <row r="497" spans="1:2" hidden="1" x14ac:dyDescent="0.3">
      <c r="A497" s="183">
        <v>41680</v>
      </c>
      <c r="B497" s="184">
        <v>103.0635</v>
      </c>
    </row>
    <row r="498" spans="1:2" hidden="1" x14ac:dyDescent="0.3">
      <c r="A498" s="183">
        <v>41681</v>
      </c>
      <c r="B498" s="184">
        <v>102.9863</v>
      </c>
    </row>
    <row r="499" spans="1:2" hidden="1" x14ac:dyDescent="0.3">
      <c r="A499" s="183">
        <v>41682</v>
      </c>
      <c r="B499" s="184">
        <v>102.97320000000001</v>
      </c>
    </row>
    <row r="500" spans="1:2" hidden="1" x14ac:dyDescent="0.3">
      <c r="A500" s="183">
        <v>41683</v>
      </c>
      <c r="B500" s="184">
        <v>102.8824</v>
      </c>
    </row>
    <row r="501" spans="1:2" hidden="1" x14ac:dyDescent="0.3">
      <c r="A501" s="183">
        <v>41684</v>
      </c>
      <c r="B501" s="184">
        <v>102.63630000000001</v>
      </c>
    </row>
    <row r="502" spans="1:2" hidden="1" x14ac:dyDescent="0.3">
      <c r="A502" s="183">
        <v>41688</v>
      </c>
      <c r="B502" s="184">
        <v>102.5705</v>
      </c>
    </row>
    <row r="503" spans="1:2" hidden="1" x14ac:dyDescent="0.3">
      <c r="A503" s="183">
        <v>41689</v>
      </c>
      <c r="B503" s="184">
        <v>102.76439999999999</v>
      </c>
    </row>
    <row r="504" spans="1:2" hidden="1" x14ac:dyDescent="0.3">
      <c r="A504" s="183">
        <v>41690</v>
      </c>
      <c r="B504" s="184">
        <v>103.0535</v>
      </c>
    </row>
    <row r="505" spans="1:2" hidden="1" x14ac:dyDescent="0.3">
      <c r="A505" s="183">
        <v>41691</v>
      </c>
      <c r="B505" s="184">
        <v>103.02970000000001</v>
      </c>
    </row>
    <row r="506" spans="1:2" hidden="1" x14ac:dyDescent="0.3">
      <c r="A506" s="183">
        <v>41694</v>
      </c>
      <c r="B506" s="184">
        <v>102.80970000000001</v>
      </c>
    </row>
    <row r="507" spans="1:2" hidden="1" x14ac:dyDescent="0.3">
      <c r="A507" s="183">
        <v>41695</v>
      </c>
      <c r="B507" s="184">
        <v>102.91549999999999</v>
      </c>
    </row>
    <row r="508" spans="1:2" hidden="1" x14ac:dyDescent="0.3">
      <c r="A508" s="183">
        <v>41696</v>
      </c>
      <c r="B508" s="184">
        <v>103.212</v>
      </c>
    </row>
    <row r="509" spans="1:2" hidden="1" x14ac:dyDescent="0.3">
      <c r="A509" s="183">
        <v>41697</v>
      </c>
      <c r="B509" s="184">
        <v>103.12220000000001</v>
      </c>
    </row>
    <row r="510" spans="1:2" hidden="1" x14ac:dyDescent="0.3">
      <c r="A510" s="183">
        <v>41698</v>
      </c>
      <c r="B510" s="184">
        <v>102.85550000000001</v>
      </c>
    </row>
    <row r="511" spans="1:2" hidden="1" x14ac:dyDescent="0.3">
      <c r="A511" s="183">
        <v>41701</v>
      </c>
      <c r="B511" s="184">
        <v>103.0763</v>
      </c>
    </row>
    <row r="512" spans="1:2" hidden="1" x14ac:dyDescent="0.3">
      <c r="A512" s="183">
        <v>41702</v>
      </c>
      <c r="B512" s="184">
        <v>103.1185</v>
      </c>
    </row>
    <row r="513" spans="1:2" hidden="1" x14ac:dyDescent="0.3">
      <c r="A513" s="183">
        <v>41703</v>
      </c>
      <c r="B513" s="184">
        <v>102.92440000000001</v>
      </c>
    </row>
    <row r="514" spans="1:2" hidden="1" x14ac:dyDescent="0.3">
      <c r="A514" s="183">
        <v>41704</v>
      </c>
      <c r="B514" s="184">
        <v>102.4346</v>
      </c>
    </row>
    <row r="515" spans="1:2" hidden="1" x14ac:dyDescent="0.3">
      <c r="A515" s="183">
        <v>41705</v>
      </c>
      <c r="B515" s="184">
        <v>102.7033</v>
      </c>
    </row>
    <row r="516" spans="1:2" hidden="1" x14ac:dyDescent="0.3">
      <c r="A516" s="183">
        <v>41708</v>
      </c>
      <c r="B516" s="184">
        <v>102.8321</v>
      </c>
    </row>
    <row r="517" spans="1:2" hidden="1" x14ac:dyDescent="0.3">
      <c r="A517" s="183">
        <v>41709</v>
      </c>
      <c r="B517" s="184">
        <v>102.85129999999999</v>
      </c>
    </row>
    <row r="518" spans="1:2" hidden="1" x14ac:dyDescent="0.3">
      <c r="A518" s="183">
        <v>41710</v>
      </c>
      <c r="B518" s="184">
        <v>102.9306</v>
      </c>
    </row>
    <row r="519" spans="1:2" hidden="1" x14ac:dyDescent="0.3">
      <c r="A519" s="183">
        <v>41711</v>
      </c>
      <c r="B519" s="184">
        <v>102.6533</v>
      </c>
    </row>
    <row r="520" spans="1:2" hidden="1" x14ac:dyDescent="0.3">
      <c r="A520" s="183">
        <v>41712</v>
      </c>
      <c r="B520" s="184">
        <v>102.7204</v>
      </c>
    </row>
    <row r="521" spans="1:2" hidden="1" x14ac:dyDescent="0.3">
      <c r="A521" s="183">
        <v>41715</v>
      </c>
      <c r="B521" s="184">
        <v>102.6943</v>
      </c>
    </row>
    <row r="522" spans="1:2" hidden="1" x14ac:dyDescent="0.3">
      <c r="A522" s="183">
        <v>41716</v>
      </c>
      <c r="B522" s="184">
        <v>102.77200000000001</v>
      </c>
    </row>
    <row r="523" spans="1:2" hidden="1" x14ac:dyDescent="0.3">
      <c r="A523" s="183">
        <v>41717</v>
      </c>
      <c r="B523" s="184">
        <v>102.879</v>
      </c>
    </row>
    <row r="524" spans="1:2" hidden="1" x14ac:dyDescent="0.3">
      <c r="A524" s="183">
        <v>41718</v>
      </c>
      <c r="B524" s="184">
        <v>103.5496</v>
      </c>
    </row>
    <row r="525" spans="1:2" hidden="1" x14ac:dyDescent="0.3">
      <c r="A525" s="183">
        <v>41719</v>
      </c>
      <c r="B525" s="184">
        <v>103.4122</v>
      </c>
    </row>
    <row r="526" spans="1:2" hidden="1" x14ac:dyDescent="0.3">
      <c r="A526" s="183">
        <v>41722</v>
      </c>
      <c r="B526" s="184">
        <v>103.2731</v>
      </c>
    </row>
    <row r="527" spans="1:2" hidden="1" x14ac:dyDescent="0.3">
      <c r="A527" s="183">
        <v>41723</v>
      </c>
      <c r="B527" s="184">
        <v>103.1549</v>
      </c>
    </row>
    <row r="528" spans="1:2" hidden="1" x14ac:dyDescent="0.3">
      <c r="A528" s="183">
        <v>41724</v>
      </c>
      <c r="B528" s="184">
        <v>103.0579</v>
      </c>
    </row>
    <row r="529" spans="1:3" hidden="1" x14ac:dyDescent="0.3">
      <c r="A529" s="183">
        <v>41725</v>
      </c>
      <c r="B529" s="184">
        <v>102.87869999999999</v>
      </c>
    </row>
    <row r="530" spans="1:3" hidden="1" x14ac:dyDescent="0.3">
      <c r="A530" s="183">
        <v>41726</v>
      </c>
      <c r="B530" s="184">
        <v>102.9109</v>
      </c>
    </row>
    <row r="531" spans="1:3" x14ac:dyDescent="0.3">
      <c r="A531" s="183">
        <v>41729</v>
      </c>
      <c r="B531" s="184">
        <v>102.7788</v>
      </c>
      <c r="C531" s="185">
        <f>AVERAGE(B471:B531)</f>
        <v>102.90488852459015</v>
      </c>
    </row>
    <row r="532" spans="1:3" hidden="1" x14ac:dyDescent="0.3">
      <c r="A532" s="183">
        <v>41730</v>
      </c>
      <c r="B532" s="184">
        <v>102.6357</v>
      </c>
    </row>
    <row r="533" spans="1:3" hidden="1" x14ac:dyDescent="0.3">
      <c r="A533" s="183">
        <v>41731</v>
      </c>
      <c r="B533" s="184">
        <v>102.8309</v>
      </c>
    </row>
    <row r="534" spans="1:3" hidden="1" x14ac:dyDescent="0.3">
      <c r="A534" s="183">
        <v>41732</v>
      </c>
      <c r="B534" s="184">
        <v>103.0416</v>
      </c>
    </row>
    <row r="535" spans="1:3" hidden="1" x14ac:dyDescent="0.3">
      <c r="A535" s="183">
        <v>41733</v>
      </c>
      <c r="B535" s="184">
        <v>102.7456</v>
      </c>
    </row>
    <row r="536" spans="1:3" hidden="1" x14ac:dyDescent="0.3">
      <c r="A536" s="183">
        <v>41736</v>
      </c>
      <c r="B536" s="184">
        <v>102.6225</v>
      </c>
    </row>
    <row r="537" spans="1:3" hidden="1" x14ac:dyDescent="0.3">
      <c r="A537" s="183">
        <v>41737</v>
      </c>
      <c r="B537" s="184">
        <v>102.175</v>
      </c>
    </row>
    <row r="538" spans="1:3" hidden="1" x14ac:dyDescent="0.3">
      <c r="A538" s="183">
        <v>41738</v>
      </c>
      <c r="B538" s="184">
        <v>102.1842</v>
      </c>
    </row>
    <row r="539" spans="1:3" hidden="1" x14ac:dyDescent="0.3">
      <c r="A539" s="183">
        <v>41739</v>
      </c>
      <c r="B539" s="184">
        <v>102.0372</v>
      </c>
    </row>
    <row r="540" spans="1:3" hidden="1" x14ac:dyDescent="0.3">
      <c r="A540" s="183">
        <v>41740</v>
      </c>
      <c r="B540" s="184">
        <v>102.15989999999999</v>
      </c>
    </row>
    <row r="541" spans="1:3" hidden="1" x14ac:dyDescent="0.3">
      <c r="A541" s="183">
        <v>41743</v>
      </c>
      <c r="B541" s="184">
        <v>102.34829999999999</v>
      </c>
    </row>
    <row r="542" spans="1:3" hidden="1" x14ac:dyDescent="0.3">
      <c r="A542" s="183">
        <v>41744</v>
      </c>
      <c r="B542" s="184">
        <v>102.4997</v>
      </c>
    </row>
    <row r="543" spans="1:3" hidden="1" x14ac:dyDescent="0.3">
      <c r="A543" s="183">
        <v>41745</v>
      </c>
      <c r="B543" s="184">
        <v>102.4897</v>
      </c>
    </row>
    <row r="544" spans="1:3" hidden="1" x14ac:dyDescent="0.3">
      <c r="A544" s="183">
        <v>41746</v>
      </c>
      <c r="B544" s="184">
        <v>102.4285</v>
      </c>
    </row>
    <row r="545" spans="1:2" hidden="1" x14ac:dyDescent="0.3">
      <c r="A545" s="183">
        <v>41747</v>
      </c>
      <c r="B545" s="184">
        <v>102.4996</v>
      </c>
    </row>
    <row r="546" spans="1:2" hidden="1" x14ac:dyDescent="0.3">
      <c r="A546" s="183">
        <v>41750</v>
      </c>
      <c r="B546" s="184">
        <v>102.5825</v>
      </c>
    </row>
    <row r="547" spans="1:2" hidden="1" x14ac:dyDescent="0.3">
      <c r="A547" s="183">
        <v>41751</v>
      </c>
      <c r="B547" s="184">
        <v>102.6511</v>
      </c>
    </row>
    <row r="548" spans="1:2" hidden="1" x14ac:dyDescent="0.3">
      <c r="A548" s="183">
        <v>41752</v>
      </c>
      <c r="B548" s="184">
        <v>102.71639999999999</v>
      </c>
    </row>
    <row r="549" spans="1:2" hidden="1" x14ac:dyDescent="0.3">
      <c r="A549" s="183">
        <v>41753</v>
      </c>
      <c r="B549" s="184">
        <v>102.7139</v>
      </c>
    </row>
    <row r="550" spans="1:2" hidden="1" x14ac:dyDescent="0.3">
      <c r="A550" s="183">
        <v>41754</v>
      </c>
      <c r="B550" s="184">
        <v>102.7586</v>
      </c>
    </row>
    <row r="551" spans="1:2" hidden="1" x14ac:dyDescent="0.3">
      <c r="A551" s="183">
        <v>41757</v>
      </c>
      <c r="B551" s="184">
        <v>102.7247</v>
      </c>
    </row>
    <row r="552" spans="1:2" hidden="1" x14ac:dyDescent="0.3">
      <c r="A552" s="183">
        <v>41758</v>
      </c>
      <c r="B552" s="184">
        <v>102.6219</v>
      </c>
    </row>
    <row r="553" spans="1:2" hidden="1" x14ac:dyDescent="0.3">
      <c r="A553" s="183">
        <v>41759</v>
      </c>
      <c r="B553" s="184">
        <v>102.4924</v>
      </c>
    </row>
    <row r="554" spans="1:2" hidden="1" x14ac:dyDescent="0.3">
      <c r="A554" s="183">
        <v>41760</v>
      </c>
      <c r="B554" s="184">
        <v>102.47280000000001</v>
      </c>
    </row>
    <row r="555" spans="1:2" hidden="1" x14ac:dyDescent="0.3">
      <c r="A555" s="183">
        <v>41761</v>
      </c>
      <c r="B555" s="184">
        <v>102.41679999999999</v>
      </c>
    </row>
    <row r="556" spans="1:2" hidden="1" x14ac:dyDescent="0.3">
      <c r="A556" s="183">
        <v>41764</v>
      </c>
      <c r="B556" s="184">
        <v>102.3125</v>
      </c>
    </row>
    <row r="557" spans="1:2" hidden="1" x14ac:dyDescent="0.3">
      <c r="A557" s="183">
        <v>41765</v>
      </c>
      <c r="B557" s="184">
        <v>101.9957</v>
      </c>
    </row>
    <row r="558" spans="1:2" hidden="1" x14ac:dyDescent="0.3">
      <c r="A558" s="183">
        <v>41766</v>
      </c>
      <c r="B558" s="184">
        <v>101.9927</v>
      </c>
    </row>
    <row r="559" spans="1:2" hidden="1" x14ac:dyDescent="0.3">
      <c r="A559" s="183">
        <v>41767</v>
      </c>
      <c r="B559" s="184">
        <v>101.91930000000001</v>
      </c>
    </row>
    <row r="560" spans="1:2" hidden="1" x14ac:dyDescent="0.3">
      <c r="A560" s="183">
        <v>41768</v>
      </c>
      <c r="B560" s="184">
        <v>102.2056</v>
      </c>
    </row>
    <row r="561" spans="1:2" hidden="1" x14ac:dyDescent="0.3">
      <c r="A561" s="183">
        <v>41771</v>
      </c>
      <c r="B561" s="184">
        <v>102.2119</v>
      </c>
    </row>
    <row r="562" spans="1:2" hidden="1" x14ac:dyDescent="0.3">
      <c r="A562" s="183">
        <v>41772</v>
      </c>
      <c r="B562" s="184">
        <v>102.2137</v>
      </c>
    </row>
    <row r="563" spans="1:2" hidden="1" x14ac:dyDescent="0.3">
      <c r="A563" s="183">
        <v>41773</v>
      </c>
      <c r="B563" s="184">
        <v>102.1208</v>
      </c>
    </row>
    <row r="564" spans="1:2" hidden="1" x14ac:dyDescent="0.3">
      <c r="A564" s="183">
        <v>41774</v>
      </c>
      <c r="B564" s="184">
        <v>102.2371</v>
      </c>
    </row>
    <row r="565" spans="1:2" hidden="1" x14ac:dyDescent="0.3">
      <c r="A565" s="183">
        <v>41775</v>
      </c>
      <c r="B565" s="184">
        <v>102.1418</v>
      </c>
    </row>
    <row r="566" spans="1:2" hidden="1" x14ac:dyDescent="0.3">
      <c r="A566" s="183">
        <v>41778</v>
      </c>
      <c r="B566" s="184">
        <v>102.0334</v>
      </c>
    </row>
    <row r="567" spans="1:2" hidden="1" x14ac:dyDescent="0.3">
      <c r="A567" s="183">
        <v>41779</v>
      </c>
      <c r="B567" s="184">
        <v>102.2064</v>
      </c>
    </row>
    <row r="568" spans="1:2" hidden="1" x14ac:dyDescent="0.3">
      <c r="A568" s="183">
        <v>41780</v>
      </c>
      <c r="B568" s="184">
        <v>102.28879999999999</v>
      </c>
    </row>
    <row r="569" spans="1:2" hidden="1" x14ac:dyDescent="0.3">
      <c r="A569" s="183">
        <v>41781</v>
      </c>
      <c r="B569" s="184">
        <v>102.2243</v>
      </c>
    </row>
    <row r="570" spans="1:2" hidden="1" x14ac:dyDescent="0.3">
      <c r="A570" s="183">
        <v>41782</v>
      </c>
      <c r="B570" s="184">
        <v>102.2355</v>
      </c>
    </row>
    <row r="571" spans="1:2" hidden="1" x14ac:dyDescent="0.3">
      <c r="A571" s="183">
        <v>41786</v>
      </c>
      <c r="B571" s="184">
        <v>102.3892</v>
      </c>
    </row>
    <row r="572" spans="1:2" hidden="1" x14ac:dyDescent="0.3">
      <c r="A572" s="183">
        <v>41787</v>
      </c>
      <c r="B572" s="184">
        <v>102.42789999999999</v>
      </c>
    </row>
    <row r="573" spans="1:2" hidden="1" x14ac:dyDescent="0.3">
      <c r="A573" s="183">
        <v>41788</v>
      </c>
      <c r="B573" s="184">
        <v>102.2308</v>
      </c>
    </row>
    <row r="574" spans="1:2" hidden="1" x14ac:dyDescent="0.3">
      <c r="A574" s="183">
        <v>41789</v>
      </c>
      <c r="B574" s="184">
        <v>102.31440000000001</v>
      </c>
    </row>
    <row r="575" spans="1:2" hidden="1" x14ac:dyDescent="0.3">
      <c r="A575" s="183">
        <v>41792</v>
      </c>
      <c r="B575" s="184">
        <v>102.55970000000001</v>
      </c>
    </row>
    <row r="576" spans="1:2" hidden="1" x14ac:dyDescent="0.3">
      <c r="A576" s="183">
        <v>41793</v>
      </c>
      <c r="B576" s="184">
        <v>102.61669999999999</v>
      </c>
    </row>
    <row r="577" spans="1:2" hidden="1" x14ac:dyDescent="0.3">
      <c r="A577" s="183">
        <v>41794</v>
      </c>
      <c r="B577" s="184">
        <v>102.6845</v>
      </c>
    </row>
    <row r="578" spans="1:2" hidden="1" x14ac:dyDescent="0.3">
      <c r="A578" s="183">
        <v>41795</v>
      </c>
      <c r="B578" s="184">
        <v>102.532</v>
      </c>
    </row>
    <row r="579" spans="1:2" hidden="1" x14ac:dyDescent="0.3">
      <c r="A579" s="183">
        <v>41796</v>
      </c>
      <c r="B579" s="184">
        <v>102.4483</v>
      </c>
    </row>
    <row r="580" spans="1:2" hidden="1" x14ac:dyDescent="0.3">
      <c r="A580" s="183">
        <v>41799</v>
      </c>
      <c r="B580" s="184">
        <v>102.4897</v>
      </c>
    </row>
    <row r="581" spans="1:2" hidden="1" x14ac:dyDescent="0.3">
      <c r="A581" s="183">
        <v>41800</v>
      </c>
      <c r="B581" s="184">
        <v>102.575</v>
      </c>
    </row>
    <row r="582" spans="1:2" hidden="1" x14ac:dyDescent="0.3">
      <c r="A582" s="183">
        <v>41801</v>
      </c>
      <c r="B582" s="184">
        <v>102.49720000000001</v>
      </c>
    </row>
    <row r="583" spans="1:2" hidden="1" x14ac:dyDescent="0.3">
      <c r="A583" s="183">
        <v>41802</v>
      </c>
      <c r="B583" s="184">
        <v>102.3312</v>
      </c>
    </row>
    <row r="584" spans="1:2" hidden="1" x14ac:dyDescent="0.3">
      <c r="A584" s="183">
        <v>41803</v>
      </c>
      <c r="B584" s="184">
        <v>102.43300000000001</v>
      </c>
    </row>
    <row r="585" spans="1:2" hidden="1" x14ac:dyDescent="0.3">
      <c r="A585" s="183">
        <v>41806</v>
      </c>
      <c r="B585" s="184">
        <v>102.4098</v>
      </c>
    </row>
    <row r="586" spans="1:2" hidden="1" x14ac:dyDescent="0.3">
      <c r="A586" s="183">
        <v>41807</v>
      </c>
      <c r="B586" s="184">
        <v>102.64</v>
      </c>
    </row>
    <row r="587" spans="1:2" hidden="1" x14ac:dyDescent="0.3">
      <c r="A587" s="183">
        <v>41808</v>
      </c>
      <c r="B587" s="184">
        <v>102.6083</v>
      </c>
    </row>
    <row r="588" spans="1:2" hidden="1" x14ac:dyDescent="0.3">
      <c r="A588" s="183">
        <v>41809</v>
      </c>
      <c r="B588" s="184">
        <v>102.3019</v>
      </c>
    </row>
    <row r="589" spans="1:2" hidden="1" x14ac:dyDescent="0.3">
      <c r="A589" s="183">
        <v>41810</v>
      </c>
      <c r="B589" s="184">
        <v>102.3164</v>
      </c>
    </row>
    <row r="590" spans="1:2" hidden="1" x14ac:dyDescent="0.3">
      <c r="A590" s="183">
        <v>41813</v>
      </c>
      <c r="B590" s="184">
        <v>102.1785</v>
      </c>
    </row>
    <row r="591" spans="1:2" hidden="1" x14ac:dyDescent="0.3">
      <c r="A591" s="183">
        <v>41814</v>
      </c>
      <c r="B591" s="184">
        <v>102.2522</v>
      </c>
    </row>
    <row r="592" spans="1:2" hidden="1" x14ac:dyDescent="0.3">
      <c r="A592" s="183">
        <v>41815</v>
      </c>
      <c r="B592" s="184">
        <v>102.1417</v>
      </c>
    </row>
    <row r="593" spans="1:3" hidden="1" x14ac:dyDescent="0.3">
      <c r="A593" s="183">
        <v>41816</v>
      </c>
      <c r="B593" s="184">
        <v>102.09099999999999</v>
      </c>
    </row>
    <row r="594" spans="1:3" hidden="1" x14ac:dyDescent="0.3">
      <c r="A594" s="183">
        <v>41817</v>
      </c>
      <c r="B594" s="184">
        <v>101.9323</v>
      </c>
    </row>
    <row r="595" spans="1:3" x14ac:dyDescent="0.3">
      <c r="A595" s="183">
        <v>41820</v>
      </c>
      <c r="B595" s="184">
        <v>101.72880000000001</v>
      </c>
      <c r="C595" s="185">
        <f>AVERAGE(B532:B595)</f>
        <v>102.37999218750001</v>
      </c>
    </row>
    <row r="596" spans="1:3" hidden="1" x14ac:dyDescent="0.3">
      <c r="A596" s="183">
        <v>41821</v>
      </c>
      <c r="B596" s="184">
        <v>101.6677</v>
      </c>
    </row>
    <row r="597" spans="1:3" hidden="1" x14ac:dyDescent="0.3">
      <c r="A597" s="183">
        <v>41822</v>
      </c>
      <c r="B597" s="184">
        <v>101.7916</v>
      </c>
    </row>
    <row r="598" spans="1:3" hidden="1" x14ac:dyDescent="0.3">
      <c r="A598" s="183">
        <v>41823</v>
      </c>
      <c r="B598" s="184">
        <v>101.86</v>
      </c>
    </row>
    <row r="599" spans="1:3" hidden="1" x14ac:dyDescent="0.3">
      <c r="A599" s="183">
        <v>41827</v>
      </c>
      <c r="B599" s="184">
        <v>101.9126</v>
      </c>
    </row>
    <row r="600" spans="1:3" hidden="1" x14ac:dyDescent="0.3">
      <c r="A600" s="183">
        <v>41828</v>
      </c>
      <c r="B600" s="184">
        <v>101.8434</v>
      </c>
    </row>
    <row r="601" spans="1:3" hidden="1" x14ac:dyDescent="0.3">
      <c r="A601" s="183">
        <v>41829</v>
      </c>
      <c r="B601" s="184">
        <v>101.7409</v>
      </c>
    </row>
    <row r="602" spans="1:3" hidden="1" x14ac:dyDescent="0.3">
      <c r="A602" s="183">
        <v>41830</v>
      </c>
      <c r="B602" s="184">
        <v>101.83</v>
      </c>
    </row>
    <row r="603" spans="1:3" hidden="1" x14ac:dyDescent="0.3">
      <c r="A603" s="183">
        <v>41831</v>
      </c>
      <c r="B603" s="184">
        <v>101.9362</v>
      </c>
    </row>
    <row r="604" spans="1:3" hidden="1" x14ac:dyDescent="0.3">
      <c r="A604" s="183">
        <v>41834</v>
      </c>
      <c r="B604" s="184">
        <v>101.9349</v>
      </c>
    </row>
    <row r="605" spans="1:3" hidden="1" x14ac:dyDescent="0.3">
      <c r="A605" s="183">
        <v>41835</v>
      </c>
      <c r="B605" s="184">
        <v>102.119</v>
      </c>
    </row>
    <row r="606" spans="1:3" hidden="1" x14ac:dyDescent="0.3">
      <c r="A606" s="183">
        <v>41836</v>
      </c>
      <c r="B606" s="184">
        <v>102.13800000000001</v>
      </c>
    </row>
    <row r="607" spans="1:3" hidden="1" x14ac:dyDescent="0.3">
      <c r="A607" s="183">
        <v>41837</v>
      </c>
      <c r="B607" s="184">
        <v>102.2072</v>
      </c>
    </row>
    <row r="608" spans="1:3" hidden="1" x14ac:dyDescent="0.3">
      <c r="A608" s="183">
        <v>41838</v>
      </c>
      <c r="B608" s="184">
        <v>102.212</v>
      </c>
    </row>
    <row r="609" spans="1:2" hidden="1" x14ac:dyDescent="0.3">
      <c r="A609" s="183">
        <v>41841</v>
      </c>
      <c r="B609" s="184">
        <v>102.1521</v>
      </c>
    </row>
    <row r="610" spans="1:2" hidden="1" x14ac:dyDescent="0.3">
      <c r="A610" s="183">
        <v>41842</v>
      </c>
      <c r="B610" s="184">
        <v>102.1596</v>
      </c>
    </row>
    <row r="611" spans="1:2" hidden="1" x14ac:dyDescent="0.3">
      <c r="A611" s="183">
        <v>41843</v>
      </c>
      <c r="B611" s="184">
        <v>102.11020000000001</v>
      </c>
    </row>
    <row r="612" spans="1:2" hidden="1" x14ac:dyDescent="0.3">
      <c r="A612" s="183">
        <v>41844</v>
      </c>
      <c r="B612" s="184">
        <v>102.2007</v>
      </c>
    </row>
    <row r="613" spans="1:2" hidden="1" x14ac:dyDescent="0.3">
      <c r="A613" s="183">
        <v>41845</v>
      </c>
      <c r="B613" s="184">
        <v>102.3342</v>
      </c>
    </row>
    <row r="614" spans="1:2" hidden="1" x14ac:dyDescent="0.3">
      <c r="A614" s="183">
        <v>41848</v>
      </c>
      <c r="B614" s="184">
        <v>102.3416</v>
      </c>
    </row>
    <row r="615" spans="1:2" hidden="1" x14ac:dyDescent="0.3">
      <c r="A615" s="183">
        <v>41849</v>
      </c>
      <c r="B615" s="184">
        <v>102.5414</v>
      </c>
    </row>
    <row r="616" spans="1:2" hidden="1" x14ac:dyDescent="0.3">
      <c r="A616" s="183">
        <v>41850</v>
      </c>
      <c r="B616" s="184">
        <v>102.834</v>
      </c>
    </row>
    <row r="617" spans="1:2" hidden="1" x14ac:dyDescent="0.3">
      <c r="A617" s="183">
        <v>41851</v>
      </c>
      <c r="B617" s="184">
        <v>102.9487</v>
      </c>
    </row>
    <row r="618" spans="1:2" hidden="1" x14ac:dyDescent="0.3">
      <c r="A618" s="183">
        <v>41852</v>
      </c>
      <c r="B618" s="184">
        <v>102.9901</v>
      </c>
    </row>
    <row r="619" spans="1:2" hidden="1" x14ac:dyDescent="0.3">
      <c r="A619" s="183">
        <v>41855</v>
      </c>
      <c r="B619" s="184">
        <v>102.95820000000001</v>
      </c>
    </row>
    <row r="620" spans="1:2" hidden="1" x14ac:dyDescent="0.3">
      <c r="A620" s="183">
        <v>41856</v>
      </c>
      <c r="B620" s="184">
        <v>103.1742</v>
      </c>
    </row>
    <row r="621" spans="1:2" hidden="1" x14ac:dyDescent="0.3">
      <c r="A621" s="183">
        <v>41857</v>
      </c>
      <c r="B621" s="184">
        <v>103.1105</v>
      </c>
    </row>
    <row r="622" spans="1:2" hidden="1" x14ac:dyDescent="0.3">
      <c r="A622" s="183">
        <v>41858</v>
      </c>
      <c r="B622" s="184">
        <v>103.1447</v>
      </c>
    </row>
    <row r="623" spans="1:2" hidden="1" x14ac:dyDescent="0.3">
      <c r="A623" s="183">
        <v>41859</v>
      </c>
      <c r="B623" s="184">
        <v>103.0834</v>
      </c>
    </row>
    <row r="624" spans="1:2" hidden="1" x14ac:dyDescent="0.3">
      <c r="A624" s="183">
        <v>41862</v>
      </c>
      <c r="B624" s="184">
        <v>102.9449</v>
      </c>
    </row>
    <row r="625" spans="1:2" hidden="1" x14ac:dyDescent="0.3">
      <c r="A625" s="183">
        <v>41863</v>
      </c>
      <c r="B625" s="184">
        <v>102.9984</v>
      </c>
    </row>
    <row r="626" spans="1:2" hidden="1" x14ac:dyDescent="0.3">
      <c r="A626" s="183">
        <v>41864</v>
      </c>
      <c r="B626" s="184">
        <v>102.9276</v>
      </c>
    </row>
    <row r="627" spans="1:2" hidden="1" x14ac:dyDescent="0.3">
      <c r="A627" s="183">
        <v>41865</v>
      </c>
      <c r="B627" s="184">
        <v>102.8129</v>
      </c>
    </row>
    <row r="628" spans="1:2" hidden="1" x14ac:dyDescent="0.3">
      <c r="A628" s="183">
        <v>41866</v>
      </c>
      <c r="B628" s="184">
        <v>102.73699999999999</v>
      </c>
    </row>
    <row r="629" spans="1:2" hidden="1" x14ac:dyDescent="0.3">
      <c r="A629" s="183">
        <v>41869</v>
      </c>
      <c r="B629" s="184">
        <v>102.69029999999999</v>
      </c>
    </row>
    <row r="630" spans="1:2" hidden="1" x14ac:dyDescent="0.3">
      <c r="A630" s="183">
        <v>41870</v>
      </c>
      <c r="B630" s="184">
        <v>102.867</v>
      </c>
    </row>
    <row r="631" spans="1:2" hidden="1" x14ac:dyDescent="0.3">
      <c r="A631" s="183">
        <v>41871</v>
      </c>
      <c r="B631" s="184">
        <v>103.0363</v>
      </c>
    </row>
    <row r="632" spans="1:2" hidden="1" x14ac:dyDescent="0.3">
      <c r="A632" s="183">
        <v>41872</v>
      </c>
      <c r="B632" s="184">
        <v>103.12260000000001</v>
      </c>
    </row>
    <row r="633" spans="1:2" hidden="1" x14ac:dyDescent="0.3">
      <c r="A633" s="183">
        <v>41873</v>
      </c>
      <c r="B633" s="184">
        <v>103.24460000000001</v>
      </c>
    </row>
    <row r="634" spans="1:2" hidden="1" x14ac:dyDescent="0.3">
      <c r="A634" s="183">
        <v>41876</v>
      </c>
      <c r="B634" s="184">
        <v>103.3638</v>
      </c>
    </row>
    <row r="635" spans="1:2" hidden="1" x14ac:dyDescent="0.3">
      <c r="A635" s="183">
        <v>41877</v>
      </c>
      <c r="B635" s="184">
        <v>103.30759999999999</v>
      </c>
    </row>
    <row r="636" spans="1:2" hidden="1" x14ac:dyDescent="0.3">
      <c r="A636" s="183">
        <v>41878</v>
      </c>
      <c r="B636" s="184">
        <v>103.1242</v>
      </c>
    </row>
    <row r="637" spans="1:2" hidden="1" x14ac:dyDescent="0.3">
      <c r="A637" s="183">
        <v>41879</v>
      </c>
      <c r="B637" s="184">
        <v>103.1527</v>
      </c>
    </row>
    <row r="638" spans="1:2" hidden="1" x14ac:dyDescent="0.3">
      <c r="A638" s="183">
        <v>41880</v>
      </c>
      <c r="B638" s="184">
        <v>103.18640000000001</v>
      </c>
    </row>
    <row r="639" spans="1:2" hidden="1" x14ac:dyDescent="0.3">
      <c r="A639" s="183">
        <v>41884</v>
      </c>
      <c r="B639" s="184">
        <v>103.5415</v>
      </c>
    </row>
    <row r="640" spans="1:2" hidden="1" x14ac:dyDescent="0.3">
      <c r="A640" s="183">
        <v>41885</v>
      </c>
      <c r="B640" s="184">
        <v>103.3301</v>
      </c>
    </row>
    <row r="641" spans="1:2" hidden="1" x14ac:dyDescent="0.3">
      <c r="A641" s="183">
        <v>41886</v>
      </c>
      <c r="B641" s="184">
        <v>103.72029999999999</v>
      </c>
    </row>
    <row r="642" spans="1:2" hidden="1" x14ac:dyDescent="0.3">
      <c r="A642" s="183">
        <v>41887</v>
      </c>
      <c r="B642" s="184">
        <v>103.6729</v>
      </c>
    </row>
    <row r="643" spans="1:2" hidden="1" x14ac:dyDescent="0.3">
      <c r="A643" s="183">
        <v>41890</v>
      </c>
      <c r="B643" s="184">
        <v>103.8462</v>
      </c>
    </row>
    <row r="644" spans="1:2" hidden="1" x14ac:dyDescent="0.3">
      <c r="A644" s="183">
        <v>41891</v>
      </c>
      <c r="B644" s="184">
        <v>104.31</v>
      </c>
    </row>
    <row r="645" spans="1:2" hidden="1" x14ac:dyDescent="0.3">
      <c r="A645" s="183">
        <v>41892</v>
      </c>
      <c r="B645" s="184">
        <v>104.3013</v>
      </c>
    </row>
    <row r="646" spans="1:2" hidden="1" x14ac:dyDescent="0.3">
      <c r="A646" s="183">
        <v>41893</v>
      </c>
      <c r="B646" s="184">
        <v>104.3625</v>
      </c>
    </row>
    <row r="647" spans="1:2" hidden="1" x14ac:dyDescent="0.3">
      <c r="A647" s="183">
        <v>41894</v>
      </c>
      <c r="B647" s="184">
        <v>104.5256</v>
      </c>
    </row>
    <row r="648" spans="1:2" hidden="1" x14ac:dyDescent="0.3">
      <c r="A648" s="183">
        <v>41897</v>
      </c>
      <c r="B648" s="184">
        <v>104.60509999999999</v>
      </c>
    </row>
    <row r="649" spans="1:2" hidden="1" x14ac:dyDescent="0.3">
      <c r="A649" s="183">
        <v>41898</v>
      </c>
      <c r="B649" s="184">
        <v>104.34520000000001</v>
      </c>
    </row>
    <row r="650" spans="1:2" hidden="1" x14ac:dyDescent="0.3">
      <c r="A650" s="183">
        <v>41899</v>
      </c>
      <c r="B650" s="184">
        <v>104.4092</v>
      </c>
    </row>
    <row r="651" spans="1:2" hidden="1" x14ac:dyDescent="0.3">
      <c r="A651" s="183">
        <v>41900</v>
      </c>
      <c r="B651" s="184">
        <v>104.65009999999999</v>
      </c>
    </row>
    <row r="652" spans="1:2" hidden="1" x14ac:dyDescent="0.3">
      <c r="A652" s="183">
        <v>41901</v>
      </c>
      <c r="B652" s="184">
        <v>104.852</v>
      </c>
    </row>
    <row r="653" spans="1:2" hidden="1" x14ac:dyDescent="0.3">
      <c r="A653" s="183">
        <v>41904</v>
      </c>
      <c r="B653" s="184">
        <v>104.977</v>
      </c>
    </row>
    <row r="654" spans="1:2" hidden="1" x14ac:dyDescent="0.3">
      <c r="A654" s="183">
        <v>41905</v>
      </c>
      <c r="B654" s="184">
        <v>105.01179999999999</v>
      </c>
    </row>
    <row r="655" spans="1:2" hidden="1" x14ac:dyDescent="0.3">
      <c r="A655" s="183">
        <v>41906</v>
      </c>
      <c r="B655" s="184">
        <v>105.14230000000001</v>
      </c>
    </row>
    <row r="656" spans="1:2" hidden="1" x14ac:dyDescent="0.3">
      <c r="A656" s="183">
        <v>41907</v>
      </c>
      <c r="B656" s="184">
        <v>105.3914</v>
      </c>
    </row>
    <row r="657" spans="1:3" hidden="1" x14ac:dyDescent="0.3">
      <c r="A657" s="183">
        <v>41908</v>
      </c>
      <c r="B657" s="184">
        <v>105.70050000000001</v>
      </c>
    </row>
    <row r="658" spans="1:3" hidden="1" x14ac:dyDescent="0.3">
      <c r="A658" s="183">
        <v>41911</v>
      </c>
      <c r="B658" s="184">
        <v>105.8965</v>
      </c>
    </row>
    <row r="659" spans="1:3" x14ac:dyDescent="0.3">
      <c r="A659" s="183">
        <v>41912</v>
      </c>
      <c r="B659" s="184">
        <v>106.0459</v>
      </c>
      <c r="C659" s="185">
        <f>AVERAGE(B596:B659)</f>
        <v>103.24110625</v>
      </c>
    </row>
    <row r="660" spans="1:3" hidden="1" x14ac:dyDescent="0.3">
      <c r="A660" s="183">
        <v>41913</v>
      </c>
      <c r="B660" s="184">
        <v>106.06529999999999</v>
      </c>
    </row>
    <row r="661" spans="1:3" hidden="1" x14ac:dyDescent="0.3">
      <c r="A661" s="183">
        <v>41914</v>
      </c>
      <c r="B661" s="184">
        <v>105.81740000000001</v>
      </c>
    </row>
    <row r="662" spans="1:3" hidden="1" x14ac:dyDescent="0.3">
      <c r="A662" s="183">
        <v>41915</v>
      </c>
      <c r="B662" s="184">
        <v>106.48260000000001</v>
      </c>
    </row>
    <row r="663" spans="1:3" hidden="1" x14ac:dyDescent="0.3">
      <c r="A663" s="183">
        <v>41918</v>
      </c>
      <c r="B663" s="184">
        <v>106.0706</v>
      </c>
    </row>
    <row r="664" spans="1:3" hidden="1" x14ac:dyDescent="0.3">
      <c r="A664" s="183">
        <v>41919</v>
      </c>
      <c r="B664" s="184">
        <v>105.97029999999999</v>
      </c>
    </row>
    <row r="665" spans="1:3" hidden="1" x14ac:dyDescent="0.3">
      <c r="A665" s="183">
        <v>41920</v>
      </c>
      <c r="B665" s="184">
        <v>106.03100000000001</v>
      </c>
    </row>
    <row r="666" spans="1:3" hidden="1" x14ac:dyDescent="0.3">
      <c r="A666" s="183">
        <v>41921</v>
      </c>
      <c r="B666" s="184">
        <v>105.6867</v>
      </c>
    </row>
    <row r="667" spans="1:3" hidden="1" x14ac:dyDescent="0.3">
      <c r="A667" s="183">
        <v>41922</v>
      </c>
      <c r="B667" s="184">
        <v>105.9348</v>
      </c>
    </row>
    <row r="668" spans="1:3" hidden="1" x14ac:dyDescent="0.3">
      <c r="A668" s="183">
        <v>41926</v>
      </c>
      <c r="B668" s="184">
        <v>105.8929</v>
      </c>
    </row>
    <row r="669" spans="1:3" hidden="1" x14ac:dyDescent="0.3">
      <c r="A669" s="183">
        <v>41927</v>
      </c>
      <c r="B669" s="184">
        <v>105.8387</v>
      </c>
    </row>
    <row r="670" spans="1:3" hidden="1" x14ac:dyDescent="0.3">
      <c r="A670" s="183">
        <v>41928</v>
      </c>
      <c r="B670" s="184">
        <v>105.7859</v>
      </c>
    </row>
    <row r="671" spans="1:3" hidden="1" x14ac:dyDescent="0.3">
      <c r="A671" s="183">
        <v>41929</v>
      </c>
      <c r="B671" s="184">
        <v>105.8073</v>
      </c>
    </row>
    <row r="672" spans="1:3" hidden="1" x14ac:dyDescent="0.3">
      <c r="A672" s="183">
        <v>41932</v>
      </c>
      <c r="B672" s="184">
        <v>105.78400000000001</v>
      </c>
    </row>
    <row r="673" spans="1:2" hidden="1" x14ac:dyDescent="0.3">
      <c r="A673" s="183">
        <v>41933</v>
      </c>
      <c r="B673" s="184">
        <v>105.7405</v>
      </c>
    </row>
    <row r="674" spans="1:2" hidden="1" x14ac:dyDescent="0.3">
      <c r="A674" s="183">
        <v>41934</v>
      </c>
      <c r="B674" s="184">
        <v>105.9534</v>
      </c>
    </row>
    <row r="675" spans="1:2" hidden="1" x14ac:dyDescent="0.3">
      <c r="A675" s="183">
        <v>41935</v>
      </c>
      <c r="B675" s="184">
        <v>106.1087</v>
      </c>
    </row>
    <row r="676" spans="1:2" hidden="1" x14ac:dyDescent="0.3">
      <c r="A676" s="183">
        <v>41936</v>
      </c>
      <c r="B676" s="184">
        <v>105.9913</v>
      </c>
    </row>
    <row r="677" spans="1:2" hidden="1" x14ac:dyDescent="0.3">
      <c r="A677" s="183">
        <v>41939</v>
      </c>
      <c r="B677" s="184">
        <v>106.0561</v>
      </c>
    </row>
    <row r="678" spans="1:2" hidden="1" x14ac:dyDescent="0.3">
      <c r="A678" s="183">
        <v>41940</v>
      </c>
      <c r="B678" s="184">
        <v>105.7422</v>
      </c>
    </row>
    <row r="679" spans="1:2" hidden="1" x14ac:dyDescent="0.3">
      <c r="A679" s="183">
        <v>41941</v>
      </c>
      <c r="B679" s="184">
        <v>105.5414</v>
      </c>
    </row>
    <row r="680" spans="1:2" hidden="1" x14ac:dyDescent="0.3">
      <c r="A680" s="183">
        <v>41942</v>
      </c>
      <c r="B680" s="184">
        <v>105.96339999999999</v>
      </c>
    </row>
    <row r="681" spans="1:2" hidden="1" x14ac:dyDescent="0.3">
      <c r="A681" s="183">
        <v>41943</v>
      </c>
      <c r="B681" s="184">
        <v>106.6606</v>
      </c>
    </row>
    <row r="682" spans="1:2" hidden="1" x14ac:dyDescent="0.3">
      <c r="A682" s="183">
        <v>41946</v>
      </c>
      <c r="B682" s="184">
        <v>107.1002</v>
      </c>
    </row>
    <row r="683" spans="1:2" hidden="1" x14ac:dyDescent="0.3">
      <c r="A683" s="183">
        <v>41947</v>
      </c>
      <c r="B683" s="184">
        <v>107.1183</v>
      </c>
    </row>
    <row r="684" spans="1:2" hidden="1" x14ac:dyDescent="0.3">
      <c r="A684" s="183">
        <v>41948</v>
      </c>
      <c r="B684" s="184">
        <v>107.40779999999999</v>
      </c>
    </row>
    <row r="685" spans="1:2" hidden="1" x14ac:dyDescent="0.3">
      <c r="A685" s="183">
        <v>41949</v>
      </c>
      <c r="B685" s="184">
        <v>107.7351</v>
      </c>
    </row>
    <row r="686" spans="1:2" hidden="1" x14ac:dyDescent="0.3">
      <c r="A686" s="183">
        <v>41950</v>
      </c>
      <c r="B686" s="184">
        <v>107.6473</v>
      </c>
    </row>
    <row r="687" spans="1:2" hidden="1" x14ac:dyDescent="0.3">
      <c r="A687" s="183">
        <v>41953</v>
      </c>
      <c r="B687" s="184">
        <v>107.53619999999999</v>
      </c>
    </row>
    <row r="688" spans="1:2" hidden="1" x14ac:dyDescent="0.3">
      <c r="A688" s="183">
        <v>41955</v>
      </c>
      <c r="B688" s="184">
        <v>107.5179</v>
      </c>
    </row>
    <row r="689" spans="1:2" hidden="1" x14ac:dyDescent="0.3">
      <c r="A689" s="183">
        <v>41956</v>
      </c>
      <c r="B689" s="184">
        <v>107.7285</v>
      </c>
    </row>
    <row r="690" spans="1:2" hidden="1" x14ac:dyDescent="0.3">
      <c r="A690" s="183">
        <v>41957</v>
      </c>
      <c r="B690" s="184">
        <v>107.7483</v>
      </c>
    </row>
    <row r="691" spans="1:2" hidden="1" x14ac:dyDescent="0.3">
      <c r="A691" s="183">
        <v>41960</v>
      </c>
      <c r="B691" s="184">
        <v>107.8593</v>
      </c>
    </row>
    <row r="692" spans="1:2" hidden="1" x14ac:dyDescent="0.3">
      <c r="A692" s="183">
        <v>41961</v>
      </c>
      <c r="B692" s="184">
        <v>107.64570000000001</v>
      </c>
    </row>
    <row r="693" spans="1:2" hidden="1" x14ac:dyDescent="0.3">
      <c r="A693" s="183">
        <v>41962</v>
      </c>
      <c r="B693" s="184">
        <v>107.8857</v>
      </c>
    </row>
    <row r="694" spans="1:2" hidden="1" x14ac:dyDescent="0.3">
      <c r="A694" s="183">
        <v>41963</v>
      </c>
      <c r="B694" s="184">
        <v>107.9037</v>
      </c>
    </row>
    <row r="695" spans="1:2" hidden="1" x14ac:dyDescent="0.3">
      <c r="A695" s="183">
        <v>41964</v>
      </c>
      <c r="B695" s="184">
        <v>107.9372</v>
      </c>
    </row>
    <row r="696" spans="1:2" hidden="1" x14ac:dyDescent="0.3">
      <c r="A696" s="183">
        <v>41967</v>
      </c>
      <c r="B696" s="184">
        <v>108.077</v>
      </c>
    </row>
    <row r="697" spans="1:2" hidden="1" x14ac:dyDescent="0.3">
      <c r="A697" s="183">
        <v>41968</v>
      </c>
      <c r="B697" s="184">
        <v>107.9473</v>
      </c>
    </row>
    <row r="698" spans="1:2" hidden="1" x14ac:dyDescent="0.3">
      <c r="A698" s="183">
        <v>41969</v>
      </c>
      <c r="B698" s="184">
        <v>107.8798</v>
      </c>
    </row>
    <row r="699" spans="1:2" hidden="1" x14ac:dyDescent="0.3">
      <c r="A699" s="183">
        <v>41971</v>
      </c>
      <c r="B699" s="184">
        <v>108.792</v>
      </c>
    </row>
    <row r="700" spans="1:2" hidden="1" x14ac:dyDescent="0.3">
      <c r="A700" s="183">
        <v>41974</v>
      </c>
      <c r="B700" s="184">
        <v>108.6889</v>
      </c>
    </row>
    <row r="701" spans="1:2" hidden="1" x14ac:dyDescent="0.3">
      <c r="A701" s="183">
        <v>41975</v>
      </c>
      <c r="B701" s="184">
        <v>109.2679</v>
      </c>
    </row>
    <row r="702" spans="1:2" hidden="1" x14ac:dyDescent="0.3">
      <c r="A702" s="183">
        <v>41976</v>
      </c>
      <c r="B702" s="184">
        <v>109.3944</v>
      </c>
    </row>
    <row r="703" spans="1:2" hidden="1" x14ac:dyDescent="0.3">
      <c r="A703" s="183">
        <v>41977</v>
      </c>
      <c r="B703" s="184">
        <v>109.2371</v>
      </c>
    </row>
    <row r="704" spans="1:2" hidden="1" x14ac:dyDescent="0.3">
      <c r="A704" s="183">
        <v>41978</v>
      </c>
      <c r="B704" s="184">
        <v>109.9212</v>
      </c>
    </row>
    <row r="705" spans="1:2" hidden="1" x14ac:dyDescent="0.3">
      <c r="A705" s="183">
        <v>41981</v>
      </c>
      <c r="B705" s="184">
        <v>110.1698</v>
      </c>
    </row>
    <row r="706" spans="1:2" hidden="1" x14ac:dyDescent="0.3">
      <c r="A706" s="183">
        <v>41982</v>
      </c>
      <c r="B706" s="184">
        <v>109.68689999999999</v>
      </c>
    </row>
    <row r="707" spans="1:2" hidden="1" x14ac:dyDescent="0.3">
      <c r="A707" s="183">
        <v>41983</v>
      </c>
      <c r="B707" s="184">
        <v>109.8901</v>
      </c>
    </row>
    <row r="708" spans="1:2" hidden="1" x14ac:dyDescent="0.3">
      <c r="A708" s="183">
        <v>41984</v>
      </c>
      <c r="B708" s="184">
        <v>110.34139999999999</v>
      </c>
    </row>
    <row r="709" spans="1:2" hidden="1" x14ac:dyDescent="0.3">
      <c r="A709" s="183">
        <v>41985</v>
      </c>
      <c r="B709" s="184">
        <v>110.3087</v>
      </c>
    </row>
    <row r="710" spans="1:2" hidden="1" x14ac:dyDescent="0.3">
      <c r="A710" s="183">
        <v>41988</v>
      </c>
      <c r="B710" s="184">
        <v>110.6752</v>
      </c>
    </row>
    <row r="711" spans="1:2" hidden="1" x14ac:dyDescent="0.3">
      <c r="A711" s="183">
        <v>41989</v>
      </c>
      <c r="B711" s="184">
        <v>110.5547</v>
      </c>
    </row>
    <row r="712" spans="1:2" hidden="1" x14ac:dyDescent="0.3">
      <c r="A712" s="183">
        <v>41990</v>
      </c>
      <c r="B712" s="184">
        <v>110.511</v>
      </c>
    </row>
    <row r="713" spans="1:2" hidden="1" x14ac:dyDescent="0.3">
      <c r="A713" s="183">
        <v>41991</v>
      </c>
      <c r="B713" s="184">
        <v>110.7454</v>
      </c>
    </row>
    <row r="714" spans="1:2" hidden="1" x14ac:dyDescent="0.3">
      <c r="A714" s="183">
        <v>41992</v>
      </c>
      <c r="B714" s="184">
        <v>111.0141</v>
      </c>
    </row>
    <row r="715" spans="1:2" hidden="1" x14ac:dyDescent="0.3">
      <c r="A715" s="183">
        <v>41995</v>
      </c>
      <c r="B715" s="184">
        <v>110.9087</v>
      </c>
    </row>
    <row r="716" spans="1:2" hidden="1" x14ac:dyDescent="0.3">
      <c r="A716" s="183">
        <v>41996</v>
      </c>
      <c r="B716" s="184">
        <v>111.2568</v>
      </c>
    </row>
    <row r="717" spans="1:2" hidden="1" x14ac:dyDescent="0.3">
      <c r="A717" s="183">
        <v>41997</v>
      </c>
      <c r="B717" s="184">
        <v>111.18980000000001</v>
      </c>
    </row>
    <row r="718" spans="1:2" hidden="1" x14ac:dyDescent="0.3">
      <c r="A718" s="183">
        <v>41999</v>
      </c>
      <c r="B718" s="184">
        <v>111.17489999999999</v>
      </c>
    </row>
    <row r="719" spans="1:2" hidden="1" x14ac:dyDescent="0.3">
      <c r="A719" s="183">
        <v>42002</v>
      </c>
      <c r="B719" s="184">
        <v>111.32989999999999</v>
      </c>
    </row>
    <row r="720" spans="1:2" hidden="1" x14ac:dyDescent="0.3">
      <c r="A720" s="183">
        <v>42003</v>
      </c>
      <c r="B720" s="184">
        <v>111.00360000000001</v>
      </c>
    </row>
    <row r="721" spans="1:3" x14ac:dyDescent="0.3">
      <c r="A721" s="183">
        <v>42004</v>
      </c>
      <c r="B721" s="184">
        <v>111.2766</v>
      </c>
      <c r="C721" s="185">
        <f>AVERAGE(B660:B721)</f>
        <v>108.04741129032256</v>
      </c>
    </row>
    <row r="722" spans="1:3" hidden="1" x14ac:dyDescent="0.3">
      <c r="A722" s="183">
        <v>42006</v>
      </c>
      <c r="B722" s="184">
        <v>111.8409</v>
      </c>
    </row>
    <row r="723" spans="1:3" hidden="1" x14ac:dyDescent="0.3">
      <c r="A723" s="183">
        <v>42009</v>
      </c>
      <c r="B723" s="184">
        <v>112.4825</v>
      </c>
    </row>
    <row r="724" spans="1:3" hidden="1" x14ac:dyDescent="0.3">
      <c r="A724" s="183">
        <v>42010</v>
      </c>
      <c r="B724" s="184">
        <v>112.2582</v>
      </c>
    </row>
    <row r="725" spans="1:3" hidden="1" x14ac:dyDescent="0.3">
      <c r="A725" s="183">
        <v>42011</v>
      </c>
      <c r="B725" s="184">
        <v>112.5917</v>
      </c>
    </row>
    <row r="726" spans="1:3" hidden="1" x14ac:dyDescent="0.3">
      <c r="A726" s="183">
        <v>42012</v>
      </c>
      <c r="B726" s="184">
        <v>112.2166</v>
      </c>
    </row>
    <row r="727" spans="1:3" hidden="1" x14ac:dyDescent="0.3">
      <c r="A727" s="183">
        <v>42013</v>
      </c>
      <c r="B727" s="184">
        <v>112.0617</v>
      </c>
    </row>
    <row r="728" spans="1:3" hidden="1" x14ac:dyDescent="0.3">
      <c r="A728" s="183">
        <v>42016</v>
      </c>
      <c r="B728" s="184">
        <v>112.1751</v>
      </c>
    </row>
    <row r="729" spans="1:3" hidden="1" x14ac:dyDescent="0.3">
      <c r="A729" s="183">
        <v>42017</v>
      </c>
      <c r="B729" s="184">
        <v>112.2195</v>
      </c>
    </row>
    <row r="730" spans="1:3" hidden="1" x14ac:dyDescent="0.3">
      <c r="A730" s="183">
        <v>42018</v>
      </c>
      <c r="B730" s="184">
        <v>112.0339</v>
      </c>
    </row>
    <row r="731" spans="1:3" hidden="1" x14ac:dyDescent="0.3">
      <c r="A731" s="183">
        <v>42019</v>
      </c>
      <c r="B731" s="184">
        <v>112.04819999999999</v>
      </c>
    </row>
    <row r="732" spans="1:3" hidden="1" x14ac:dyDescent="0.3">
      <c r="A732" s="183">
        <v>42020</v>
      </c>
      <c r="B732" s="184">
        <v>112.21599999999999</v>
      </c>
    </row>
    <row r="733" spans="1:3" hidden="1" x14ac:dyDescent="0.3">
      <c r="A733" s="183">
        <v>42024</v>
      </c>
      <c r="B733" s="184">
        <v>112.5458</v>
      </c>
    </row>
    <row r="734" spans="1:3" hidden="1" x14ac:dyDescent="0.3">
      <c r="A734" s="183">
        <v>42025</v>
      </c>
      <c r="B734" s="184">
        <v>112.76220000000001</v>
      </c>
    </row>
    <row r="735" spans="1:3" hidden="1" x14ac:dyDescent="0.3">
      <c r="A735" s="183">
        <v>42026</v>
      </c>
      <c r="B735" s="184">
        <v>112.8767</v>
      </c>
    </row>
    <row r="736" spans="1:3" hidden="1" x14ac:dyDescent="0.3">
      <c r="A736" s="183">
        <v>42027</v>
      </c>
      <c r="B736" s="184">
        <v>113.31870000000001</v>
      </c>
    </row>
    <row r="737" spans="1:2" hidden="1" x14ac:dyDescent="0.3">
      <c r="A737" s="183">
        <v>42030</v>
      </c>
      <c r="B737" s="184">
        <v>113.5214</v>
      </c>
    </row>
    <row r="738" spans="1:2" hidden="1" x14ac:dyDescent="0.3">
      <c r="A738" s="183">
        <v>42031</v>
      </c>
      <c r="B738" s="184">
        <v>113.1746</v>
      </c>
    </row>
    <row r="739" spans="1:2" hidden="1" x14ac:dyDescent="0.3">
      <c r="A739" s="183">
        <v>42032</v>
      </c>
      <c r="B739" s="184">
        <v>113.5069</v>
      </c>
    </row>
    <row r="740" spans="1:2" hidden="1" x14ac:dyDescent="0.3">
      <c r="A740" s="183">
        <v>42033</v>
      </c>
      <c r="B740" s="184">
        <v>114.30759999999999</v>
      </c>
    </row>
    <row r="741" spans="1:2" hidden="1" x14ac:dyDescent="0.3">
      <c r="A741" s="183">
        <v>42034</v>
      </c>
      <c r="B741" s="184">
        <v>114.63160000000001</v>
      </c>
    </row>
    <row r="742" spans="1:2" hidden="1" x14ac:dyDescent="0.3">
      <c r="A742" s="183">
        <v>42037</v>
      </c>
      <c r="B742" s="184">
        <v>114.249</v>
      </c>
    </row>
    <row r="743" spans="1:2" hidden="1" x14ac:dyDescent="0.3">
      <c r="A743" s="183">
        <v>42038</v>
      </c>
      <c r="B743" s="184">
        <v>113.62439999999999</v>
      </c>
    </row>
    <row r="744" spans="1:2" hidden="1" x14ac:dyDescent="0.3">
      <c r="A744" s="183">
        <v>42039</v>
      </c>
      <c r="B744" s="184">
        <v>113.797</v>
      </c>
    </row>
    <row r="745" spans="1:2" hidden="1" x14ac:dyDescent="0.3">
      <c r="A745" s="183">
        <v>42040</v>
      </c>
      <c r="B745" s="184">
        <v>113.5214</v>
      </c>
    </row>
    <row r="746" spans="1:2" hidden="1" x14ac:dyDescent="0.3">
      <c r="A746" s="183">
        <v>42041</v>
      </c>
      <c r="B746" s="184">
        <v>114.15600000000001</v>
      </c>
    </row>
    <row r="747" spans="1:2" hidden="1" x14ac:dyDescent="0.3">
      <c r="A747" s="183">
        <v>42044</v>
      </c>
      <c r="B747" s="184">
        <v>114.0069</v>
      </c>
    </row>
    <row r="748" spans="1:2" hidden="1" x14ac:dyDescent="0.3">
      <c r="A748" s="183">
        <v>42045</v>
      </c>
      <c r="B748" s="184">
        <v>114.2997</v>
      </c>
    </row>
    <row r="749" spans="1:2" hidden="1" x14ac:dyDescent="0.3">
      <c r="A749" s="183">
        <v>42046</v>
      </c>
      <c r="B749" s="184">
        <v>114.806</v>
      </c>
    </row>
    <row r="750" spans="1:2" hidden="1" x14ac:dyDescent="0.3">
      <c r="A750" s="183">
        <v>42047</v>
      </c>
      <c r="B750" s="184">
        <v>113.9722</v>
      </c>
    </row>
    <row r="751" spans="1:2" hidden="1" x14ac:dyDescent="0.3">
      <c r="A751" s="183">
        <v>42048</v>
      </c>
      <c r="B751" s="184">
        <v>113.8477</v>
      </c>
    </row>
    <row r="752" spans="1:2" hidden="1" x14ac:dyDescent="0.3">
      <c r="A752" s="183">
        <v>42052</v>
      </c>
      <c r="B752" s="184">
        <v>113.9823</v>
      </c>
    </row>
    <row r="753" spans="1:2" hidden="1" x14ac:dyDescent="0.3">
      <c r="A753" s="183">
        <v>42053</v>
      </c>
      <c r="B753" s="184">
        <v>114.2839</v>
      </c>
    </row>
    <row r="754" spans="1:2" hidden="1" x14ac:dyDescent="0.3">
      <c r="A754" s="183">
        <v>42054</v>
      </c>
      <c r="B754" s="184">
        <v>114.1707</v>
      </c>
    </row>
    <row r="755" spans="1:2" hidden="1" x14ac:dyDescent="0.3">
      <c r="A755" s="183">
        <v>42055</v>
      </c>
      <c r="B755" s="184">
        <v>114.3643</v>
      </c>
    </row>
    <row r="756" spans="1:2" hidden="1" x14ac:dyDescent="0.3">
      <c r="A756" s="183">
        <v>42058</v>
      </c>
      <c r="B756" s="184">
        <v>114.58159999999999</v>
      </c>
    </row>
    <row r="757" spans="1:2" hidden="1" x14ac:dyDescent="0.3">
      <c r="A757" s="183">
        <v>42059</v>
      </c>
      <c r="B757" s="184">
        <v>114.5787</v>
      </c>
    </row>
    <row r="758" spans="1:2" hidden="1" x14ac:dyDescent="0.3">
      <c r="A758" s="183">
        <v>42060</v>
      </c>
      <c r="B758" s="184">
        <v>114.07389999999999</v>
      </c>
    </row>
    <row r="759" spans="1:2" hidden="1" x14ac:dyDescent="0.3">
      <c r="A759" s="183">
        <v>42061</v>
      </c>
      <c r="B759" s="184">
        <v>114.5</v>
      </c>
    </row>
    <row r="760" spans="1:2" hidden="1" x14ac:dyDescent="0.3">
      <c r="A760" s="183">
        <v>42062</v>
      </c>
      <c r="B760" s="184">
        <v>114.62909999999999</v>
      </c>
    </row>
    <row r="761" spans="1:2" hidden="1" x14ac:dyDescent="0.3">
      <c r="A761" s="183">
        <v>42065</v>
      </c>
      <c r="B761" s="184">
        <v>114.8505</v>
      </c>
    </row>
    <row r="762" spans="1:2" hidden="1" x14ac:dyDescent="0.3">
      <c r="A762" s="183">
        <v>42066</v>
      </c>
      <c r="B762" s="184">
        <v>114.58499999999999</v>
      </c>
    </row>
    <row r="763" spans="1:2" hidden="1" x14ac:dyDescent="0.3">
      <c r="A763" s="183">
        <v>42067</v>
      </c>
      <c r="B763" s="184">
        <v>115.15309999999999</v>
      </c>
    </row>
    <row r="764" spans="1:2" hidden="1" x14ac:dyDescent="0.3">
      <c r="A764" s="183">
        <v>42068</v>
      </c>
      <c r="B764" s="184">
        <v>115.47020000000001</v>
      </c>
    </row>
    <row r="765" spans="1:2" hidden="1" x14ac:dyDescent="0.3">
      <c r="A765" s="183">
        <v>42069</v>
      </c>
      <c r="B765" s="184">
        <v>116.40989999999999</v>
      </c>
    </row>
    <row r="766" spans="1:2" hidden="1" x14ac:dyDescent="0.3">
      <c r="A766" s="183">
        <v>42072</v>
      </c>
      <c r="B766" s="184">
        <v>116.50839999999999</v>
      </c>
    </row>
    <row r="767" spans="1:2" hidden="1" x14ac:dyDescent="0.3">
      <c r="A767" s="183">
        <v>42073</v>
      </c>
      <c r="B767" s="184">
        <v>117.1371</v>
      </c>
    </row>
    <row r="768" spans="1:2" hidden="1" x14ac:dyDescent="0.3">
      <c r="A768" s="183">
        <v>42074</v>
      </c>
      <c r="B768" s="184">
        <v>117.5183</v>
      </c>
    </row>
    <row r="769" spans="1:3" hidden="1" x14ac:dyDescent="0.3">
      <c r="A769" s="183">
        <v>42075</v>
      </c>
      <c r="B769" s="184">
        <v>117.1525</v>
      </c>
    </row>
    <row r="770" spans="1:3" hidden="1" x14ac:dyDescent="0.3">
      <c r="A770" s="183">
        <v>42076</v>
      </c>
      <c r="B770" s="184">
        <v>117.886</v>
      </c>
    </row>
    <row r="771" spans="1:3" hidden="1" x14ac:dyDescent="0.3">
      <c r="A771" s="183">
        <v>42079</v>
      </c>
      <c r="B771" s="184">
        <v>117.6169</v>
      </c>
    </row>
    <row r="772" spans="1:3" hidden="1" x14ac:dyDescent="0.3">
      <c r="A772" s="183">
        <v>42080</v>
      </c>
      <c r="B772" s="184">
        <v>117.51779999999999</v>
      </c>
    </row>
    <row r="773" spans="1:3" hidden="1" x14ac:dyDescent="0.3">
      <c r="A773" s="183">
        <v>42081</v>
      </c>
      <c r="B773" s="184">
        <v>117.2884</v>
      </c>
    </row>
    <row r="774" spans="1:3" hidden="1" x14ac:dyDescent="0.3">
      <c r="A774" s="183">
        <v>42082</v>
      </c>
      <c r="B774" s="184">
        <v>117.0176</v>
      </c>
    </row>
    <row r="775" spans="1:3" hidden="1" x14ac:dyDescent="0.3">
      <c r="A775" s="183">
        <v>42083</v>
      </c>
      <c r="B775" s="184">
        <v>116.0377</v>
      </c>
    </row>
    <row r="776" spans="1:3" hidden="1" x14ac:dyDescent="0.3">
      <c r="A776" s="183">
        <v>42086</v>
      </c>
      <c r="B776" s="184">
        <v>115.3673</v>
      </c>
    </row>
    <row r="777" spans="1:3" hidden="1" x14ac:dyDescent="0.3">
      <c r="A777" s="183">
        <v>42087</v>
      </c>
      <c r="B777" s="184">
        <v>115.2651</v>
      </c>
    </row>
    <row r="778" spans="1:3" hidden="1" x14ac:dyDescent="0.3">
      <c r="A778" s="183">
        <v>42088</v>
      </c>
      <c r="B778" s="184">
        <v>115.0968</v>
      </c>
    </row>
    <row r="779" spans="1:3" hidden="1" x14ac:dyDescent="0.3">
      <c r="A779" s="183">
        <v>42089</v>
      </c>
      <c r="B779" s="184">
        <v>115.3858</v>
      </c>
    </row>
    <row r="780" spans="1:3" hidden="1" x14ac:dyDescent="0.3">
      <c r="A780" s="183">
        <v>42090</v>
      </c>
      <c r="B780" s="184">
        <v>115.7286</v>
      </c>
    </row>
    <row r="781" spans="1:3" hidden="1" x14ac:dyDescent="0.3">
      <c r="A781" s="183">
        <v>42093</v>
      </c>
      <c r="B781" s="184">
        <v>116.205</v>
      </c>
    </row>
    <row r="782" spans="1:3" x14ac:dyDescent="0.3">
      <c r="A782" s="183">
        <v>42094</v>
      </c>
      <c r="B782" s="184">
        <v>116.254</v>
      </c>
      <c r="C782" s="185">
        <f>AVERAGE(B722:B782)</f>
        <v>114.4538786885246</v>
      </c>
    </row>
    <row r="783" spans="1:3" hidden="1" x14ac:dyDescent="0.3">
      <c r="A783" s="183">
        <v>42095</v>
      </c>
      <c r="B783" s="184">
        <v>115.8532</v>
      </c>
    </row>
    <row r="784" spans="1:3" hidden="1" x14ac:dyDescent="0.3">
      <c r="A784" s="183">
        <v>42096</v>
      </c>
      <c r="B784" s="184">
        <v>115.44029999999999</v>
      </c>
    </row>
    <row r="785" spans="1:2" hidden="1" x14ac:dyDescent="0.3">
      <c r="A785" s="183">
        <v>42097</v>
      </c>
      <c r="B785" s="184">
        <v>114.6553</v>
      </c>
    </row>
    <row r="786" spans="1:2" hidden="1" x14ac:dyDescent="0.3">
      <c r="A786" s="183">
        <v>42100</v>
      </c>
      <c r="B786" s="184">
        <v>114.539</v>
      </c>
    </row>
    <row r="787" spans="1:2" hidden="1" x14ac:dyDescent="0.3">
      <c r="A787" s="183">
        <v>42101</v>
      </c>
      <c r="B787" s="184">
        <v>115.2054</v>
      </c>
    </row>
    <row r="788" spans="1:2" hidden="1" x14ac:dyDescent="0.3">
      <c r="A788" s="183">
        <v>42102</v>
      </c>
      <c r="B788" s="184">
        <v>115.1771</v>
      </c>
    </row>
    <row r="789" spans="1:2" hidden="1" x14ac:dyDescent="0.3">
      <c r="A789" s="183">
        <v>42103</v>
      </c>
      <c r="B789" s="184">
        <v>115.7487</v>
      </c>
    </row>
    <row r="790" spans="1:2" hidden="1" x14ac:dyDescent="0.3">
      <c r="A790" s="183">
        <v>42104</v>
      </c>
      <c r="B790" s="184">
        <v>116.18640000000001</v>
      </c>
    </row>
    <row r="791" spans="1:2" hidden="1" x14ac:dyDescent="0.3">
      <c r="A791" s="183">
        <v>42107</v>
      </c>
      <c r="B791" s="184">
        <v>116.4913</v>
      </c>
    </row>
    <row r="792" spans="1:2" hidden="1" x14ac:dyDescent="0.3">
      <c r="A792" s="183">
        <v>42108</v>
      </c>
      <c r="B792" s="184">
        <v>115.7834</v>
      </c>
    </row>
    <row r="793" spans="1:2" hidden="1" x14ac:dyDescent="0.3">
      <c r="A793" s="183">
        <v>42109</v>
      </c>
      <c r="B793" s="184">
        <v>115.9014</v>
      </c>
    </row>
    <row r="794" spans="1:2" hidden="1" x14ac:dyDescent="0.3">
      <c r="A794" s="183">
        <v>42110</v>
      </c>
      <c r="B794" s="184">
        <v>115.0004</v>
      </c>
    </row>
    <row r="795" spans="1:2" hidden="1" x14ac:dyDescent="0.3">
      <c r="A795" s="183">
        <v>42111</v>
      </c>
      <c r="B795" s="184">
        <v>115.0753</v>
      </c>
    </row>
    <row r="796" spans="1:2" hidden="1" x14ac:dyDescent="0.3">
      <c r="A796" s="183">
        <v>42114</v>
      </c>
      <c r="B796" s="184">
        <v>115.2598</v>
      </c>
    </row>
    <row r="797" spans="1:2" hidden="1" x14ac:dyDescent="0.3">
      <c r="A797" s="183">
        <v>42115</v>
      </c>
      <c r="B797" s="184">
        <v>115.3335</v>
      </c>
    </row>
    <row r="798" spans="1:2" hidden="1" x14ac:dyDescent="0.3">
      <c r="A798" s="183">
        <v>42116</v>
      </c>
      <c r="B798" s="184">
        <v>115.33450000000001</v>
      </c>
    </row>
    <row r="799" spans="1:2" hidden="1" x14ac:dyDescent="0.3">
      <c r="A799" s="183">
        <v>42117</v>
      </c>
      <c r="B799" s="184">
        <v>114.92059999999999</v>
      </c>
    </row>
    <row r="800" spans="1:2" hidden="1" x14ac:dyDescent="0.3">
      <c r="A800" s="183">
        <v>42118</v>
      </c>
      <c r="B800" s="184">
        <v>114.6486</v>
      </c>
    </row>
    <row r="801" spans="1:2" hidden="1" x14ac:dyDescent="0.3">
      <c r="A801" s="183">
        <v>42121</v>
      </c>
      <c r="B801" s="184">
        <v>114.488</v>
      </c>
    </row>
    <row r="802" spans="1:2" hidden="1" x14ac:dyDescent="0.3">
      <c r="A802" s="183">
        <v>42122</v>
      </c>
      <c r="B802" s="184">
        <v>113.9027</v>
      </c>
    </row>
    <row r="803" spans="1:2" hidden="1" x14ac:dyDescent="0.3">
      <c r="A803" s="183">
        <v>42123</v>
      </c>
      <c r="B803" s="184">
        <v>113.3599</v>
      </c>
    </row>
    <row r="804" spans="1:2" hidden="1" x14ac:dyDescent="0.3">
      <c r="A804" s="183">
        <v>42124</v>
      </c>
      <c r="B804" s="184">
        <v>114.1061</v>
      </c>
    </row>
    <row r="805" spans="1:2" hidden="1" x14ac:dyDescent="0.3">
      <c r="A805" s="183">
        <v>42125</v>
      </c>
      <c r="B805" s="184">
        <v>114.42149999999999</v>
      </c>
    </row>
    <row r="806" spans="1:2" hidden="1" x14ac:dyDescent="0.3">
      <c r="A806" s="183">
        <v>42128</v>
      </c>
      <c r="B806" s="184">
        <v>114.4684</v>
      </c>
    </row>
    <row r="807" spans="1:2" hidden="1" x14ac:dyDescent="0.3">
      <c r="A807" s="183">
        <v>42129</v>
      </c>
      <c r="B807" s="184">
        <v>114.0382</v>
      </c>
    </row>
    <row r="808" spans="1:2" hidden="1" x14ac:dyDescent="0.3">
      <c r="A808" s="183">
        <v>42130</v>
      </c>
      <c r="B808" s="184">
        <v>113.48569999999999</v>
      </c>
    </row>
    <row r="809" spans="1:2" hidden="1" x14ac:dyDescent="0.3">
      <c r="A809" s="183">
        <v>42131</v>
      </c>
      <c r="B809" s="184">
        <v>113.99720000000001</v>
      </c>
    </row>
    <row r="810" spans="1:2" hidden="1" x14ac:dyDescent="0.3">
      <c r="A810" s="183">
        <v>42132</v>
      </c>
      <c r="B810" s="184">
        <v>113.6798</v>
      </c>
    </row>
    <row r="811" spans="1:2" hidden="1" x14ac:dyDescent="0.3">
      <c r="A811" s="183">
        <v>42135</v>
      </c>
      <c r="B811" s="184">
        <v>114.176</v>
      </c>
    </row>
    <row r="812" spans="1:2" hidden="1" x14ac:dyDescent="0.3">
      <c r="A812" s="183">
        <v>42136</v>
      </c>
      <c r="B812" s="184">
        <v>113.7607</v>
      </c>
    </row>
    <row r="813" spans="1:2" hidden="1" x14ac:dyDescent="0.3">
      <c r="A813" s="183">
        <v>42137</v>
      </c>
      <c r="B813" s="184">
        <v>113.21080000000001</v>
      </c>
    </row>
    <row r="814" spans="1:2" hidden="1" x14ac:dyDescent="0.3">
      <c r="A814" s="183">
        <v>42138</v>
      </c>
      <c r="B814" s="184">
        <v>113.0797</v>
      </c>
    </row>
    <row r="815" spans="1:2" hidden="1" x14ac:dyDescent="0.3">
      <c r="A815" s="183">
        <v>42139</v>
      </c>
      <c r="B815" s="184">
        <v>112.84820000000001</v>
      </c>
    </row>
    <row r="816" spans="1:2" hidden="1" x14ac:dyDescent="0.3">
      <c r="A816" s="183">
        <v>42142</v>
      </c>
      <c r="B816" s="184">
        <v>113.40989999999999</v>
      </c>
    </row>
    <row r="817" spans="1:2" hidden="1" x14ac:dyDescent="0.3">
      <c r="A817" s="183">
        <v>42143</v>
      </c>
      <c r="B817" s="184">
        <v>114.1444</v>
      </c>
    </row>
    <row r="818" spans="1:2" hidden="1" x14ac:dyDescent="0.3">
      <c r="A818" s="183">
        <v>42144</v>
      </c>
      <c r="B818" s="184">
        <v>114.37390000000001</v>
      </c>
    </row>
    <row r="819" spans="1:2" hidden="1" x14ac:dyDescent="0.3">
      <c r="A819" s="183">
        <v>42145</v>
      </c>
      <c r="B819" s="184">
        <v>114.1889</v>
      </c>
    </row>
    <row r="820" spans="1:2" hidden="1" x14ac:dyDescent="0.3">
      <c r="A820" s="183">
        <v>42146</v>
      </c>
      <c r="B820" s="184">
        <v>114.6315</v>
      </c>
    </row>
    <row r="821" spans="1:2" hidden="1" x14ac:dyDescent="0.3">
      <c r="A821" s="183">
        <v>42150</v>
      </c>
      <c r="B821" s="184">
        <v>115.5373</v>
      </c>
    </row>
    <row r="822" spans="1:2" hidden="1" x14ac:dyDescent="0.3">
      <c r="A822" s="183">
        <v>42151</v>
      </c>
      <c r="B822" s="184">
        <v>115.7208</v>
      </c>
    </row>
    <row r="823" spans="1:2" hidden="1" x14ac:dyDescent="0.3">
      <c r="A823" s="183">
        <v>42152</v>
      </c>
      <c r="B823" s="184">
        <v>115.7435</v>
      </c>
    </row>
    <row r="824" spans="1:2" hidden="1" x14ac:dyDescent="0.3">
      <c r="A824" s="183">
        <v>42153</v>
      </c>
      <c r="B824" s="184">
        <v>115.5625</v>
      </c>
    </row>
    <row r="825" spans="1:2" hidden="1" x14ac:dyDescent="0.3">
      <c r="A825" s="183">
        <v>42156</v>
      </c>
      <c r="B825" s="184">
        <v>116.05889999999999</v>
      </c>
    </row>
    <row r="826" spans="1:2" hidden="1" x14ac:dyDescent="0.3">
      <c r="A826" s="183">
        <v>42157</v>
      </c>
      <c r="B826" s="184">
        <v>115.3036</v>
      </c>
    </row>
    <row r="827" spans="1:2" hidden="1" x14ac:dyDescent="0.3">
      <c r="A827" s="183">
        <v>42158</v>
      </c>
      <c r="B827" s="184">
        <v>115.0052</v>
      </c>
    </row>
    <row r="828" spans="1:2" hidden="1" x14ac:dyDescent="0.3">
      <c r="A828" s="183">
        <v>42159</v>
      </c>
      <c r="B828" s="184">
        <v>115.3755</v>
      </c>
    </row>
    <row r="829" spans="1:2" hidden="1" x14ac:dyDescent="0.3">
      <c r="A829" s="183">
        <v>42160</v>
      </c>
      <c r="B829" s="184">
        <v>116.048</v>
      </c>
    </row>
    <row r="830" spans="1:2" hidden="1" x14ac:dyDescent="0.3">
      <c r="A830" s="183">
        <v>42163</v>
      </c>
      <c r="B830" s="184">
        <v>115.7034</v>
      </c>
    </row>
    <row r="831" spans="1:2" hidden="1" x14ac:dyDescent="0.3">
      <c r="A831" s="183">
        <v>42164</v>
      </c>
      <c r="B831" s="184">
        <v>115.15949999999999</v>
      </c>
    </row>
    <row r="832" spans="1:2" hidden="1" x14ac:dyDescent="0.3">
      <c r="A832" s="183">
        <v>42165</v>
      </c>
      <c r="B832" s="184">
        <v>114.7231</v>
      </c>
    </row>
    <row r="833" spans="1:3" hidden="1" x14ac:dyDescent="0.3">
      <c r="A833" s="183">
        <v>42166</v>
      </c>
      <c r="B833" s="184">
        <v>115.0179</v>
      </c>
    </row>
    <row r="834" spans="1:3" hidden="1" x14ac:dyDescent="0.3">
      <c r="A834" s="183">
        <v>42167</v>
      </c>
      <c r="B834" s="184">
        <v>114.846</v>
      </c>
    </row>
    <row r="835" spans="1:3" hidden="1" x14ac:dyDescent="0.3">
      <c r="A835" s="183">
        <v>42170</v>
      </c>
      <c r="B835" s="184">
        <v>114.9345</v>
      </c>
    </row>
    <row r="836" spans="1:3" hidden="1" x14ac:dyDescent="0.3">
      <c r="A836" s="183">
        <v>42171</v>
      </c>
      <c r="B836" s="184">
        <v>114.9816</v>
      </c>
    </row>
    <row r="837" spans="1:3" hidden="1" x14ac:dyDescent="0.3">
      <c r="A837" s="183">
        <v>42172</v>
      </c>
      <c r="B837" s="184">
        <v>115.01179999999999</v>
      </c>
    </row>
    <row r="838" spans="1:3" hidden="1" x14ac:dyDescent="0.3">
      <c r="A838" s="183">
        <v>42173</v>
      </c>
      <c r="B838" s="184">
        <v>114.0412</v>
      </c>
    </row>
    <row r="839" spans="1:3" hidden="1" x14ac:dyDescent="0.3">
      <c r="A839" s="183">
        <v>42174</v>
      </c>
      <c r="B839" s="184">
        <v>114.39830000000001</v>
      </c>
    </row>
    <row r="840" spans="1:3" hidden="1" x14ac:dyDescent="0.3">
      <c r="A840" s="183">
        <v>42177</v>
      </c>
      <c r="B840" s="184">
        <v>114.3219</v>
      </c>
    </row>
    <row r="841" spans="1:3" hidden="1" x14ac:dyDescent="0.3">
      <c r="A841" s="183">
        <v>42178</v>
      </c>
      <c r="B841" s="184">
        <v>114.90089999999999</v>
      </c>
    </row>
    <row r="842" spans="1:3" hidden="1" x14ac:dyDescent="0.3">
      <c r="A842" s="183">
        <v>42179</v>
      </c>
      <c r="B842" s="184">
        <v>115.1896</v>
      </c>
    </row>
    <row r="843" spans="1:3" hidden="1" x14ac:dyDescent="0.3">
      <c r="A843" s="183">
        <v>42180</v>
      </c>
      <c r="B843" s="184">
        <v>115.1037</v>
      </c>
    </row>
    <row r="844" spans="1:3" hidden="1" x14ac:dyDescent="0.3">
      <c r="A844" s="183">
        <v>42181</v>
      </c>
      <c r="B844" s="184">
        <v>115.3794</v>
      </c>
    </row>
    <row r="845" spans="1:3" hidden="1" x14ac:dyDescent="0.3">
      <c r="A845" s="183">
        <v>42184</v>
      </c>
      <c r="B845" s="184">
        <v>115.35599999999999</v>
      </c>
    </row>
    <row r="846" spans="1:3" x14ac:dyDescent="0.3">
      <c r="A846" s="183">
        <v>42185</v>
      </c>
      <c r="B846" s="184">
        <v>115.4649</v>
      </c>
      <c r="C846" s="185">
        <f>AVERAGE(B783:B846)</f>
        <v>114.83147968749995</v>
      </c>
    </row>
    <row r="847" spans="1:3" hidden="1" x14ac:dyDescent="0.3">
      <c r="A847" s="183">
        <v>42186</v>
      </c>
      <c r="B847" s="184">
        <v>115.9494</v>
      </c>
    </row>
    <row r="848" spans="1:3" hidden="1" x14ac:dyDescent="0.3">
      <c r="A848" s="183">
        <v>42187</v>
      </c>
      <c r="B848" s="184">
        <v>115.8498</v>
      </c>
    </row>
    <row r="849" spans="1:2" hidden="1" x14ac:dyDescent="0.3">
      <c r="A849" s="183">
        <v>42191</v>
      </c>
      <c r="B849" s="184">
        <v>116.0975</v>
      </c>
    </row>
    <row r="850" spans="1:2" hidden="1" x14ac:dyDescent="0.3">
      <c r="A850" s="183">
        <v>42192</v>
      </c>
      <c r="B850" s="184">
        <v>116.72709999999999</v>
      </c>
    </row>
    <row r="851" spans="1:2" hidden="1" x14ac:dyDescent="0.3">
      <c r="A851" s="183">
        <v>42193</v>
      </c>
      <c r="B851" s="184">
        <v>116.40309999999999</v>
      </c>
    </row>
    <row r="852" spans="1:2" hidden="1" x14ac:dyDescent="0.3">
      <c r="A852" s="183">
        <v>42194</v>
      </c>
      <c r="B852" s="184">
        <v>116.4888</v>
      </c>
    </row>
    <row r="853" spans="1:2" hidden="1" x14ac:dyDescent="0.3">
      <c r="A853" s="183">
        <v>42195</v>
      </c>
      <c r="B853" s="184">
        <v>116.1497</v>
      </c>
    </row>
    <row r="854" spans="1:2" hidden="1" x14ac:dyDescent="0.3">
      <c r="A854" s="183">
        <v>42198</v>
      </c>
      <c r="B854" s="184">
        <v>116.5284</v>
      </c>
    </row>
    <row r="855" spans="1:2" hidden="1" x14ac:dyDescent="0.3">
      <c r="A855" s="183">
        <v>42199</v>
      </c>
      <c r="B855" s="184">
        <v>116.4495</v>
      </c>
    </row>
    <row r="856" spans="1:2" hidden="1" x14ac:dyDescent="0.3">
      <c r="A856" s="183">
        <v>42200</v>
      </c>
      <c r="B856" s="184">
        <v>116.9755</v>
      </c>
    </row>
    <row r="857" spans="1:2" hidden="1" x14ac:dyDescent="0.3">
      <c r="A857" s="183">
        <v>42201</v>
      </c>
      <c r="B857" s="184">
        <v>117.13549999999999</v>
      </c>
    </row>
    <row r="858" spans="1:2" hidden="1" x14ac:dyDescent="0.3">
      <c r="A858" s="183">
        <v>42202</v>
      </c>
      <c r="B858" s="184">
        <v>117.4979</v>
      </c>
    </row>
    <row r="859" spans="1:2" hidden="1" x14ac:dyDescent="0.3">
      <c r="A859" s="183">
        <v>42205</v>
      </c>
      <c r="B859" s="184">
        <v>117.6692</v>
      </c>
    </row>
    <row r="860" spans="1:2" hidden="1" x14ac:dyDescent="0.3">
      <c r="A860" s="183">
        <v>42206</v>
      </c>
      <c r="B860" s="184">
        <v>117.3557</v>
      </c>
    </row>
    <row r="861" spans="1:2" hidden="1" x14ac:dyDescent="0.3">
      <c r="A861" s="183">
        <v>42207</v>
      </c>
      <c r="B861" s="184">
        <v>117.76560000000001</v>
      </c>
    </row>
    <row r="862" spans="1:2" hidden="1" x14ac:dyDescent="0.3">
      <c r="A862" s="183">
        <v>42208</v>
      </c>
      <c r="B862" s="184">
        <v>117.7422</v>
      </c>
    </row>
    <row r="863" spans="1:2" hidden="1" x14ac:dyDescent="0.3">
      <c r="A863" s="183">
        <v>42209</v>
      </c>
      <c r="B863" s="184">
        <v>118.01609999999999</v>
      </c>
    </row>
    <row r="864" spans="1:2" hidden="1" x14ac:dyDescent="0.3">
      <c r="A864" s="183">
        <v>42212</v>
      </c>
      <c r="B864" s="184">
        <v>117.7154</v>
      </c>
    </row>
    <row r="865" spans="1:2" hidden="1" x14ac:dyDescent="0.3">
      <c r="A865" s="183">
        <v>42213</v>
      </c>
      <c r="B865" s="184">
        <v>117.717</v>
      </c>
    </row>
    <row r="866" spans="1:2" hidden="1" x14ac:dyDescent="0.3">
      <c r="A866" s="183">
        <v>42214</v>
      </c>
      <c r="B866" s="184">
        <v>117.6245</v>
      </c>
    </row>
    <row r="867" spans="1:2" hidden="1" x14ac:dyDescent="0.3">
      <c r="A867" s="183">
        <v>42215</v>
      </c>
      <c r="B867" s="184">
        <v>118.476</v>
      </c>
    </row>
    <row r="868" spans="1:2" hidden="1" x14ac:dyDescent="0.3">
      <c r="A868" s="183">
        <v>42216</v>
      </c>
      <c r="B868" s="184">
        <v>117.8293</v>
      </c>
    </row>
    <row r="869" spans="1:2" hidden="1" x14ac:dyDescent="0.3">
      <c r="A869" s="183">
        <v>42219</v>
      </c>
      <c r="B869" s="184">
        <v>118.28279999999999</v>
      </c>
    </row>
    <row r="870" spans="1:2" hidden="1" x14ac:dyDescent="0.3">
      <c r="A870" s="183">
        <v>42220</v>
      </c>
      <c r="B870" s="184">
        <v>118.2884</v>
      </c>
    </row>
    <row r="871" spans="1:2" hidden="1" x14ac:dyDescent="0.3">
      <c r="A871" s="183">
        <v>42221</v>
      </c>
      <c r="B871" s="184">
        <v>118.92959999999999</v>
      </c>
    </row>
    <row r="872" spans="1:2" hidden="1" x14ac:dyDescent="0.3">
      <c r="A872" s="183">
        <v>42222</v>
      </c>
      <c r="B872" s="184">
        <v>118.7988</v>
      </c>
    </row>
    <row r="873" spans="1:2" hidden="1" x14ac:dyDescent="0.3">
      <c r="A873" s="183">
        <v>42223</v>
      </c>
      <c r="B873" s="184">
        <v>118.51090000000001</v>
      </c>
    </row>
    <row r="874" spans="1:2" hidden="1" x14ac:dyDescent="0.3">
      <c r="A874" s="183">
        <v>42226</v>
      </c>
      <c r="B874" s="184">
        <v>118.26779999999999</v>
      </c>
    </row>
    <row r="875" spans="1:2" hidden="1" x14ac:dyDescent="0.3">
      <c r="A875" s="183">
        <v>42227</v>
      </c>
      <c r="B875" s="184">
        <v>119.2148</v>
      </c>
    </row>
    <row r="876" spans="1:2" hidden="1" x14ac:dyDescent="0.3">
      <c r="A876" s="183">
        <v>42228</v>
      </c>
      <c r="B876" s="184">
        <v>118.8466</v>
      </c>
    </row>
    <row r="877" spans="1:2" hidden="1" x14ac:dyDescent="0.3">
      <c r="A877" s="183">
        <v>42229</v>
      </c>
      <c r="B877" s="184">
        <v>119.28</v>
      </c>
    </row>
    <row r="878" spans="1:2" hidden="1" x14ac:dyDescent="0.3">
      <c r="A878" s="183">
        <v>42230</v>
      </c>
      <c r="B878" s="184">
        <v>119.30710000000001</v>
      </c>
    </row>
    <row r="879" spans="1:2" hidden="1" x14ac:dyDescent="0.3">
      <c r="A879" s="183">
        <v>42233</v>
      </c>
      <c r="B879" s="184">
        <v>119.5568</v>
      </c>
    </row>
    <row r="880" spans="1:2" hidden="1" x14ac:dyDescent="0.3">
      <c r="A880" s="183">
        <v>42234</v>
      </c>
      <c r="B880" s="184">
        <v>119.6767</v>
      </c>
    </row>
    <row r="881" spans="1:2" hidden="1" x14ac:dyDescent="0.3">
      <c r="A881" s="183">
        <v>42235</v>
      </c>
      <c r="B881" s="184">
        <v>119.85209999999999</v>
      </c>
    </row>
    <row r="882" spans="1:2" hidden="1" x14ac:dyDescent="0.3">
      <c r="A882" s="183">
        <v>42236</v>
      </c>
      <c r="B882" s="184">
        <v>119.5513</v>
      </c>
    </row>
    <row r="883" spans="1:2" hidden="1" x14ac:dyDescent="0.3">
      <c r="A883" s="183">
        <v>42237</v>
      </c>
      <c r="B883" s="184">
        <v>119.6046</v>
      </c>
    </row>
    <row r="884" spans="1:2" hidden="1" x14ac:dyDescent="0.3">
      <c r="A884" s="183">
        <v>42240</v>
      </c>
      <c r="B884" s="184">
        <v>119.422</v>
      </c>
    </row>
    <row r="885" spans="1:2" hidden="1" x14ac:dyDescent="0.3">
      <c r="A885" s="183">
        <v>42241</v>
      </c>
      <c r="B885" s="184">
        <v>119.8043</v>
      </c>
    </row>
    <row r="886" spans="1:2" hidden="1" x14ac:dyDescent="0.3">
      <c r="A886" s="183">
        <v>42242</v>
      </c>
      <c r="B886" s="184">
        <v>120.009</v>
      </c>
    </row>
    <row r="887" spans="1:2" hidden="1" x14ac:dyDescent="0.3">
      <c r="A887" s="183">
        <v>42243</v>
      </c>
      <c r="B887" s="184">
        <v>119.85769999999999</v>
      </c>
    </row>
    <row r="888" spans="1:2" hidden="1" x14ac:dyDescent="0.3">
      <c r="A888" s="183">
        <v>42244</v>
      </c>
      <c r="B888" s="184">
        <v>120.011</v>
      </c>
    </row>
    <row r="889" spans="1:2" hidden="1" x14ac:dyDescent="0.3">
      <c r="A889" s="183">
        <v>42247</v>
      </c>
      <c r="B889" s="184">
        <v>119.8776</v>
      </c>
    </row>
    <row r="890" spans="1:2" hidden="1" x14ac:dyDescent="0.3">
      <c r="A890" s="183">
        <v>42248</v>
      </c>
      <c r="B890" s="184">
        <v>119.7627</v>
      </c>
    </row>
    <row r="891" spans="1:2" hidden="1" x14ac:dyDescent="0.3">
      <c r="A891" s="183">
        <v>42249</v>
      </c>
      <c r="B891" s="184">
        <v>120.09350000000001</v>
      </c>
    </row>
    <row r="892" spans="1:2" hidden="1" x14ac:dyDescent="0.3">
      <c r="A892" s="183">
        <v>42250</v>
      </c>
      <c r="B892" s="184">
        <v>120.157</v>
      </c>
    </row>
    <row r="893" spans="1:2" hidden="1" x14ac:dyDescent="0.3">
      <c r="A893" s="183">
        <v>42251</v>
      </c>
      <c r="B893" s="184">
        <v>120.4158</v>
      </c>
    </row>
    <row r="894" spans="1:2" hidden="1" x14ac:dyDescent="0.3">
      <c r="A894" s="183">
        <v>42255</v>
      </c>
      <c r="B894" s="184">
        <v>120.1644</v>
      </c>
    </row>
    <row r="895" spans="1:2" hidden="1" x14ac:dyDescent="0.3">
      <c r="A895" s="183">
        <v>42256</v>
      </c>
      <c r="B895" s="184">
        <v>120.3013</v>
      </c>
    </row>
    <row r="896" spans="1:2" hidden="1" x14ac:dyDescent="0.3">
      <c r="A896" s="183">
        <v>42257</v>
      </c>
      <c r="B896" s="184">
        <v>120.0133</v>
      </c>
    </row>
    <row r="897" spans="1:3" hidden="1" x14ac:dyDescent="0.3">
      <c r="A897" s="183">
        <v>42258</v>
      </c>
      <c r="B897" s="184">
        <v>119.9764</v>
      </c>
    </row>
    <row r="898" spans="1:3" hidden="1" x14ac:dyDescent="0.3">
      <c r="A898" s="183">
        <v>42261</v>
      </c>
      <c r="B898" s="184">
        <v>119.85</v>
      </c>
    </row>
    <row r="899" spans="1:3" hidden="1" x14ac:dyDescent="0.3">
      <c r="A899" s="183">
        <v>42262</v>
      </c>
      <c r="B899" s="184">
        <v>119.96729999999999</v>
      </c>
    </row>
    <row r="900" spans="1:3" hidden="1" x14ac:dyDescent="0.3">
      <c r="A900" s="183">
        <v>42263</v>
      </c>
      <c r="B900" s="184">
        <v>119.4328</v>
      </c>
    </row>
    <row r="901" spans="1:3" hidden="1" x14ac:dyDescent="0.3">
      <c r="A901" s="183">
        <v>42264</v>
      </c>
      <c r="B901" s="184">
        <v>119.43</v>
      </c>
    </row>
    <row r="902" spans="1:3" hidden="1" x14ac:dyDescent="0.3">
      <c r="A902" s="183">
        <v>42265</v>
      </c>
      <c r="B902" s="184">
        <v>119.1352</v>
      </c>
    </row>
    <row r="903" spans="1:3" hidden="1" x14ac:dyDescent="0.3">
      <c r="A903" s="183">
        <v>42268</v>
      </c>
      <c r="B903" s="184">
        <v>119.9821</v>
      </c>
    </row>
    <row r="904" spans="1:3" hidden="1" x14ac:dyDescent="0.3">
      <c r="A904" s="183">
        <v>42269</v>
      </c>
      <c r="B904" s="184">
        <v>120.54989999999999</v>
      </c>
    </row>
    <row r="905" spans="1:3" hidden="1" x14ac:dyDescent="0.3">
      <c r="A905" s="183">
        <v>42270</v>
      </c>
      <c r="B905" s="184">
        <v>121.0056</v>
      </c>
    </row>
    <row r="906" spans="1:3" hidden="1" x14ac:dyDescent="0.3">
      <c r="A906" s="183">
        <v>42271</v>
      </c>
      <c r="B906" s="184">
        <v>120.8098</v>
      </c>
    </row>
    <row r="907" spans="1:3" hidden="1" x14ac:dyDescent="0.3">
      <c r="A907" s="183">
        <v>42272</v>
      </c>
      <c r="B907" s="184">
        <v>120.72029999999999</v>
      </c>
    </row>
    <row r="908" spans="1:3" hidden="1" x14ac:dyDescent="0.3">
      <c r="A908" s="183">
        <v>42275</v>
      </c>
      <c r="B908" s="184">
        <v>120.7522</v>
      </c>
    </row>
    <row r="909" spans="1:3" hidden="1" x14ac:dyDescent="0.3">
      <c r="A909" s="183">
        <v>42276</v>
      </c>
      <c r="B909" s="184">
        <v>120.86360000000001</v>
      </c>
    </row>
    <row r="910" spans="1:3" x14ac:dyDescent="0.3">
      <c r="A910" s="183">
        <v>42277</v>
      </c>
      <c r="B910" s="184">
        <v>120.6347</v>
      </c>
      <c r="C910" s="185">
        <f>AVERAGE(B847:B910)</f>
        <v>118.83017187499998</v>
      </c>
    </row>
    <row r="911" spans="1:3" hidden="1" x14ac:dyDescent="0.3">
      <c r="A911" s="183">
        <v>42278</v>
      </c>
      <c r="B911" s="184">
        <v>120.3678</v>
      </c>
    </row>
    <row r="912" spans="1:3" hidden="1" x14ac:dyDescent="0.3">
      <c r="A912" s="183">
        <v>42279</v>
      </c>
      <c r="B912" s="184">
        <v>120.035</v>
      </c>
    </row>
    <row r="913" spans="1:2" hidden="1" x14ac:dyDescent="0.3">
      <c r="A913" s="183">
        <v>42282</v>
      </c>
      <c r="B913" s="184">
        <v>119.73690000000001</v>
      </c>
    </row>
    <row r="914" spans="1:2" hidden="1" x14ac:dyDescent="0.3">
      <c r="A914" s="183">
        <v>42283</v>
      </c>
      <c r="B914" s="184">
        <v>119.4256</v>
      </c>
    </row>
    <row r="915" spans="1:2" hidden="1" x14ac:dyDescent="0.3">
      <c r="A915" s="183">
        <v>42284</v>
      </c>
      <c r="B915" s="184">
        <v>119.0624</v>
      </c>
    </row>
    <row r="916" spans="1:2" hidden="1" x14ac:dyDescent="0.3">
      <c r="A916" s="183">
        <v>42285</v>
      </c>
      <c r="B916" s="184">
        <v>118.8917</v>
      </c>
    </row>
    <row r="917" spans="1:2" hidden="1" x14ac:dyDescent="0.3">
      <c r="A917" s="183">
        <v>42286</v>
      </c>
      <c r="B917" s="184">
        <v>118.28489999999999</v>
      </c>
    </row>
    <row r="918" spans="1:2" hidden="1" x14ac:dyDescent="0.3">
      <c r="A918" s="183">
        <v>42290</v>
      </c>
      <c r="B918" s="184">
        <v>118.6232</v>
      </c>
    </row>
    <row r="919" spans="1:2" hidden="1" x14ac:dyDescent="0.3">
      <c r="A919" s="183">
        <v>42291</v>
      </c>
      <c r="B919" s="184">
        <v>118.3447</v>
      </c>
    </row>
    <row r="920" spans="1:2" hidden="1" x14ac:dyDescent="0.3">
      <c r="A920" s="183">
        <v>42292</v>
      </c>
      <c r="B920" s="184">
        <v>117.83969999999999</v>
      </c>
    </row>
    <row r="921" spans="1:2" hidden="1" x14ac:dyDescent="0.3">
      <c r="A921" s="183">
        <v>42293</v>
      </c>
      <c r="B921" s="184">
        <v>118.2002</v>
      </c>
    </row>
    <row r="922" spans="1:2" hidden="1" x14ac:dyDescent="0.3">
      <c r="A922" s="183">
        <v>42296</v>
      </c>
      <c r="B922" s="184">
        <v>118.6193</v>
      </c>
    </row>
    <row r="923" spans="1:2" hidden="1" x14ac:dyDescent="0.3">
      <c r="A923" s="183">
        <v>42297</v>
      </c>
      <c r="B923" s="184">
        <v>118.5671</v>
      </c>
    </row>
    <row r="924" spans="1:2" hidden="1" x14ac:dyDescent="0.3">
      <c r="A924" s="183">
        <v>42298</v>
      </c>
      <c r="B924" s="184">
        <v>119.0213</v>
      </c>
    </row>
    <row r="925" spans="1:2" hidden="1" x14ac:dyDescent="0.3">
      <c r="A925" s="183">
        <v>42299</v>
      </c>
      <c r="B925" s="184">
        <v>119.2735</v>
      </c>
    </row>
    <row r="926" spans="1:2" hidden="1" x14ac:dyDescent="0.3">
      <c r="A926" s="183">
        <v>42300</v>
      </c>
      <c r="B926" s="184">
        <v>119.6421</v>
      </c>
    </row>
    <row r="927" spans="1:2" hidden="1" x14ac:dyDescent="0.3">
      <c r="A927" s="183">
        <v>42303</v>
      </c>
      <c r="B927" s="184">
        <v>119.42010000000001</v>
      </c>
    </row>
    <row r="928" spans="1:2" hidden="1" x14ac:dyDescent="0.3">
      <c r="A928" s="183">
        <v>42304</v>
      </c>
      <c r="B928" s="184">
        <v>119.7169</v>
      </c>
    </row>
    <row r="929" spans="1:2" hidden="1" x14ac:dyDescent="0.3">
      <c r="A929" s="183">
        <v>42305</v>
      </c>
      <c r="B929" s="184">
        <v>119.4528</v>
      </c>
    </row>
    <row r="930" spans="1:2" hidden="1" x14ac:dyDescent="0.3">
      <c r="A930" s="183">
        <v>42306</v>
      </c>
      <c r="B930" s="184">
        <v>120.05240000000001</v>
      </c>
    </row>
    <row r="931" spans="1:2" hidden="1" x14ac:dyDescent="0.3">
      <c r="A931" s="183">
        <v>42307</v>
      </c>
      <c r="B931" s="184">
        <v>119.4196</v>
      </c>
    </row>
    <row r="932" spans="1:2" hidden="1" x14ac:dyDescent="0.3">
      <c r="A932" s="183">
        <v>42310</v>
      </c>
      <c r="B932" s="184">
        <v>119.4224</v>
      </c>
    </row>
    <row r="933" spans="1:2" hidden="1" x14ac:dyDescent="0.3">
      <c r="A933" s="183">
        <v>42311</v>
      </c>
      <c r="B933" s="184">
        <v>119.4329</v>
      </c>
    </row>
    <row r="934" spans="1:2" hidden="1" x14ac:dyDescent="0.3">
      <c r="A934" s="183">
        <v>42312</v>
      </c>
      <c r="B934" s="184">
        <v>119.9209</v>
      </c>
    </row>
    <row r="935" spans="1:2" hidden="1" x14ac:dyDescent="0.3">
      <c r="A935" s="183">
        <v>42313</v>
      </c>
      <c r="B935" s="184">
        <v>120.0097</v>
      </c>
    </row>
    <row r="936" spans="1:2" hidden="1" x14ac:dyDescent="0.3">
      <c r="A936" s="183">
        <v>42314</v>
      </c>
      <c r="B936" s="184">
        <v>120.9235</v>
      </c>
    </row>
    <row r="937" spans="1:2" hidden="1" x14ac:dyDescent="0.3">
      <c r="A937" s="183">
        <v>42317</v>
      </c>
      <c r="B937" s="184">
        <v>121.1827</v>
      </c>
    </row>
    <row r="938" spans="1:2" hidden="1" x14ac:dyDescent="0.3">
      <c r="A938" s="183">
        <v>42318</v>
      </c>
      <c r="B938" s="184">
        <v>121.2548</v>
      </c>
    </row>
    <row r="939" spans="1:2" hidden="1" x14ac:dyDescent="0.3">
      <c r="A939" s="183">
        <v>42320</v>
      </c>
      <c r="B939" s="184">
        <v>121.10169999999999</v>
      </c>
    </row>
    <row r="940" spans="1:2" hidden="1" x14ac:dyDescent="0.3">
      <c r="A940" s="183">
        <v>42321</v>
      </c>
      <c r="B940" s="184">
        <v>121.3516</v>
      </c>
    </row>
    <row r="941" spans="1:2" hidden="1" x14ac:dyDescent="0.3">
      <c r="A941" s="183">
        <v>42324</v>
      </c>
      <c r="B941" s="184">
        <v>121.53189999999999</v>
      </c>
    </row>
    <row r="942" spans="1:2" hidden="1" x14ac:dyDescent="0.3">
      <c r="A942" s="183">
        <v>42325</v>
      </c>
      <c r="B942" s="184">
        <v>121.6323</v>
      </c>
    </row>
    <row r="943" spans="1:2" hidden="1" x14ac:dyDescent="0.3">
      <c r="A943" s="183">
        <v>42326</v>
      </c>
      <c r="B943" s="184">
        <v>121.6842</v>
      </c>
    </row>
    <row r="944" spans="1:2" hidden="1" x14ac:dyDescent="0.3">
      <c r="A944" s="183">
        <v>42327</v>
      </c>
      <c r="B944" s="184">
        <v>120.88160000000001</v>
      </c>
    </row>
    <row r="945" spans="1:2" hidden="1" x14ac:dyDescent="0.3">
      <c r="A945" s="183">
        <v>42328</v>
      </c>
      <c r="B945" s="184">
        <v>121.054</v>
      </c>
    </row>
    <row r="946" spans="1:2" hidden="1" x14ac:dyDescent="0.3">
      <c r="A946" s="183">
        <v>42331</v>
      </c>
      <c r="B946" s="184">
        <v>121.4104</v>
      </c>
    </row>
    <row r="947" spans="1:2" hidden="1" x14ac:dyDescent="0.3">
      <c r="A947" s="183">
        <v>42332</v>
      </c>
      <c r="B947" s="184">
        <v>121.0324</v>
      </c>
    </row>
    <row r="948" spans="1:2" hidden="1" x14ac:dyDescent="0.3">
      <c r="A948" s="183">
        <v>42333</v>
      </c>
      <c r="B948" s="184">
        <v>121.1514</v>
      </c>
    </row>
    <row r="949" spans="1:2" hidden="1" x14ac:dyDescent="0.3">
      <c r="A949" s="183">
        <v>42335</v>
      </c>
      <c r="B949" s="184">
        <v>121.56950000000001</v>
      </c>
    </row>
    <row r="950" spans="1:2" hidden="1" x14ac:dyDescent="0.3">
      <c r="A950" s="183">
        <v>42338</v>
      </c>
      <c r="B950" s="184">
        <v>121.6117</v>
      </c>
    </row>
    <row r="951" spans="1:2" hidden="1" x14ac:dyDescent="0.3">
      <c r="A951" s="183">
        <v>42339</v>
      </c>
      <c r="B951" s="184">
        <v>121.3858</v>
      </c>
    </row>
    <row r="952" spans="1:2" hidden="1" x14ac:dyDescent="0.3">
      <c r="A952" s="183">
        <v>42340</v>
      </c>
      <c r="B952" s="184">
        <v>121.6395</v>
      </c>
    </row>
    <row r="953" spans="1:2" hidden="1" x14ac:dyDescent="0.3">
      <c r="A953" s="183">
        <v>42341</v>
      </c>
      <c r="B953" s="184">
        <v>120.9325</v>
      </c>
    </row>
    <row r="954" spans="1:2" hidden="1" x14ac:dyDescent="0.3">
      <c r="A954" s="183">
        <v>42342</v>
      </c>
      <c r="B954" s="184">
        <v>120.8503</v>
      </c>
    </row>
    <row r="955" spans="1:2" hidden="1" x14ac:dyDescent="0.3">
      <c r="A955" s="183">
        <v>42345</v>
      </c>
      <c r="B955" s="184">
        <v>121.6648</v>
      </c>
    </row>
    <row r="956" spans="1:2" hidden="1" x14ac:dyDescent="0.3">
      <c r="A956" s="183">
        <v>42346</v>
      </c>
      <c r="B956" s="184">
        <v>121.91800000000001</v>
      </c>
    </row>
    <row r="957" spans="1:2" hidden="1" x14ac:dyDescent="0.3">
      <c r="A957" s="183">
        <v>42347</v>
      </c>
      <c r="B957" s="184">
        <v>121.59610000000001</v>
      </c>
    </row>
    <row r="958" spans="1:2" hidden="1" x14ac:dyDescent="0.3">
      <c r="A958" s="183">
        <v>42348</v>
      </c>
      <c r="B958" s="184">
        <v>121.673</v>
      </c>
    </row>
    <row r="959" spans="1:2" hidden="1" x14ac:dyDescent="0.3">
      <c r="A959" s="183">
        <v>42349</v>
      </c>
      <c r="B959" s="184">
        <v>122.1773</v>
      </c>
    </row>
    <row r="960" spans="1:2" hidden="1" x14ac:dyDescent="0.3">
      <c r="A960" s="183">
        <v>42352</v>
      </c>
      <c r="B960" s="184">
        <v>122.2098</v>
      </c>
    </row>
    <row r="961" spans="1:3" hidden="1" x14ac:dyDescent="0.3">
      <c r="A961" s="183">
        <v>42353</v>
      </c>
      <c r="B961" s="184">
        <v>122.2838</v>
      </c>
    </row>
    <row r="962" spans="1:3" hidden="1" x14ac:dyDescent="0.3">
      <c r="A962" s="183">
        <v>42354</v>
      </c>
      <c r="B962" s="184">
        <v>122.4265</v>
      </c>
    </row>
    <row r="963" spans="1:3" hidden="1" x14ac:dyDescent="0.3">
      <c r="A963" s="183">
        <v>42355</v>
      </c>
      <c r="B963" s="184">
        <v>123.277</v>
      </c>
    </row>
    <row r="964" spans="1:3" hidden="1" x14ac:dyDescent="0.3">
      <c r="A964" s="183">
        <v>42356</v>
      </c>
      <c r="B964" s="184">
        <v>122.721</v>
      </c>
    </row>
    <row r="965" spans="1:3" hidden="1" x14ac:dyDescent="0.3">
      <c r="A965" s="183">
        <v>42359</v>
      </c>
      <c r="B965" s="184">
        <v>122.83459999999999</v>
      </c>
    </row>
    <row r="966" spans="1:3" hidden="1" x14ac:dyDescent="0.3">
      <c r="A966" s="183">
        <v>42360</v>
      </c>
      <c r="B966" s="184">
        <v>122.6157</v>
      </c>
    </row>
    <row r="967" spans="1:3" hidden="1" x14ac:dyDescent="0.3">
      <c r="A967" s="183">
        <v>42361</v>
      </c>
      <c r="B967" s="184">
        <v>122.5626</v>
      </c>
    </row>
    <row r="968" spans="1:3" hidden="1" x14ac:dyDescent="0.3">
      <c r="A968" s="183">
        <v>42362</v>
      </c>
      <c r="B968" s="184">
        <v>122.4696</v>
      </c>
    </row>
    <row r="969" spans="1:3" hidden="1" x14ac:dyDescent="0.3">
      <c r="A969" s="183">
        <v>42366</v>
      </c>
      <c r="B969" s="184">
        <v>122.4847</v>
      </c>
    </row>
    <row r="970" spans="1:3" hidden="1" x14ac:dyDescent="0.3">
      <c r="A970" s="183">
        <v>42367</v>
      </c>
      <c r="B970" s="184">
        <v>122.5988</v>
      </c>
    </row>
    <row r="971" spans="1:3" hidden="1" x14ac:dyDescent="0.3">
      <c r="A971" s="183">
        <v>42368</v>
      </c>
      <c r="B971" s="184">
        <v>122.94580000000001</v>
      </c>
    </row>
    <row r="972" spans="1:3" x14ac:dyDescent="0.3">
      <c r="A972" s="183">
        <v>42369</v>
      </c>
      <c r="B972" s="184">
        <v>122.7709</v>
      </c>
      <c r="C972" s="185">
        <f>AVERAGE(B911:B972)</f>
        <v>120.7773370967742</v>
      </c>
    </row>
    <row r="973" spans="1:3" hidden="1" x14ac:dyDescent="0.3">
      <c r="A973" s="183">
        <v>42373</v>
      </c>
      <c r="B973" s="184">
        <v>123.69289999999999</v>
      </c>
    </row>
    <row r="974" spans="1:3" hidden="1" x14ac:dyDescent="0.3">
      <c r="A974" s="183">
        <v>42374</v>
      </c>
      <c r="B974" s="184">
        <v>123.774</v>
      </c>
    </row>
    <row r="975" spans="1:3" hidden="1" x14ac:dyDescent="0.3">
      <c r="A975" s="183">
        <v>42375</v>
      </c>
      <c r="B975" s="184">
        <v>124.1992</v>
      </c>
    </row>
    <row r="976" spans="1:3" hidden="1" x14ac:dyDescent="0.3">
      <c r="A976" s="183">
        <v>42376</v>
      </c>
      <c r="B976" s="184">
        <v>124.2812</v>
      </c>
    </row>
    <row r="977" spans="1:2" hidden="1" x14ac:dyDescent="0.3">
      <c r="A977" s="183">
        <v>42377</v>
      </c>
      <c r="B977" s="184">
        <v>124.65389999999999</v>
      </c>
    </row>
    <row r="978" spans="1:2" hidden="1" x14ac:dyDescent="0.3">
      <c r="A978" s="183">
        <v>42380</v>
      </c>
      <c r="B978" s="184">
        <v>124.6357</v>
      </c>
    </row>
    <row r="979" spans="1:2" hidden="1" x14ac:dyDescent="0.3">
      <c r="A979" s="183">
        <v>42381</v>
      </c>
      <c r="B979" s="184">
        <v>124.928</v>
      </c>
    </row>
    <row r="980" spans="1:2" hidden="1" x14ac:dyDescent="0.3">
      <c r="A980" s="183">
        <v>42382</v>
      </c>
      <c r="B980" s="184">
        <v>124.7564</v>
      </c>
    </row>
    <row r="981" spans="1:2" hidden="1" x14ac:dyDescent="0.3">
      <c r="A981" s="183">
        <v>42383</v>
      </c>
      <c r="B981" s="184">
        <v>125.0039</v>
      </c>
    </row>
    <row r="982" spans="1:2" hidden="1" x14ac:dyDescent="0.3">
      <c r="A982" s="183">
        <v>42384</v>
      </c>
      <c r="B982" s="184">
        <v>125.3626</v>
      </c>
    </row>
    <row r="983" spans="1:2" hidden="1" x14ac:dyDescent="0.3">
      <c r="A983" s="183">
        <v>42388</v>
      </c>
      <c r="B983" s="184">
        <v>125.4068</v>
      </c>
    </row>
    <row r="984" spans="1:2" hidden="1" x14ac:dyDescent="0.3">
      <c r="A984" s="183">
        <v>42389</v>
      </c>
      <c r="B984" s="184">
        <v>125.98399999999999</v>
      </c>
    </row>
    <row r="985" spans="1:2" hidden="1" x14ac:dyDescent="0.3">
      <c r="A985" s="183">
        <v>42390</v>
      </c>
      <c r="B985" s="184">
        <v>125.6384</v>
      </c>
    </row>
    <row r="986" spans="1:2" hidden="1" x14ac:dyDescent="0.3">
      <c r="A986" s="183">
        <v>42391</v>
      </c>
      <c r="B986" s="184">
        <v>125.37179999999999</v>
      </c>
    </row>
    <row r="987" spans="1:2" hidden="1" x14ac:dyDescent="0.3">
      <c r="A987" s="183">
        <v>42394</v>
      </c>
      <c r="B987" s="184">
        <v>125.62439999999999</v>
      </c>
    </row>
    <row r="988" spans="1:2" hidden="1" x14ac:dyDescent="0.3">
      <c r="A988" s="183">
        <v>42395</v>
      </c>
      <c r="B988" s="184">
        <v>125.2761</v>
      </c>
    </row>
    <row r="989" spans="1:2" hidden="1" x14ac:dyDescent="0.3">
      <c r="A989" s="183">
        <v>42396</v>
      </c>
      <c r="B989" s="184">
        <v>125.1146</v>
      </c>
    </row>
    <row r="990" spans="1:2" hidden="1" x14ac:dyDescent="0.3">
      <c r="A990" s="183">
        <v>42397</v>
      </c>
      <c r="B990" s="184">
        <v>124.8181</v>
      </c>
    </row>
    <row r="991" spans="1:2" hidden="1" x14ac:dyDescent="0.3">
      <c r="A991" s="183">
        <v>42398</v>
      </c>
      <c r="B991" s="184">
        <v>125.13420000000001</v>
      </c>
    </row>
    <row r="992" spans="1:2" hidden="1" x14ac:dyDescent="0.3">
      <c r="A992" s="183">
        <v>42401</v>
      </c>
      <c r="B992" s="184">
        <v>124.93</v>
      </c>
    </row>
    <row r="993" spans="1:2" hidden="1" x14ac:dyDescent="0.3">
      <c r="A993" s="183">
        <v>42402</v>
      </c>
      <c r="B993" s="184">
        <v>125.2043</v>
      </c>
    </row>
    <row r="994" spans="1:2" hidden="1" x14ac:dyDescent="0.3">
      <c r="A994" s="183">
        <v>42403</v>
      </c>
      <c r="B994" s="184">
        <v>124.26519999999999</v>
      </c>
    </row>
    <row r="995" spans="1:2" hidden="1" x14ac:dyDescent="0.3">
      <c r="A995" s="183">
        <v>42404</v>
      </c>
      <c r="B995" s="184">
        <v>123.1948</v>
      </c>
    </row>
    <row r="996" spans="1:2" hidden="1" x14ac:dyDescent="0.3">
      <c r="A996" s="183">
        <v>42405</v>
      </c>
      <c r="B996" s="184">
        <v>123.90860000000001</v>
      </c>
    </row>
    <row r="997" spans="1:2" hidden="1" x14ac:dyDescent="0.3">
      <c r="A997" s="183">
        <v>42408</v>
      </c>
      <c r="B997" s="184">
        <v>124.0496</v>
      </c>
    </row>
    <row r="998" spans="1:2" hidden="1" x14ac:dyDescent="0.3">
      <c r="A998" s="183">
        <v>42409</v>
      </c>
      <c r="B998" s="184">
        <v>123.773</v>
      </c>
    </row>
    <row r="999" spans="1:2" hidden="1" x14ac:dyDescent="0.3">
      <c r="A999" s="183">
        <v>42410</v>
      </c>
      <c r="B999" s="184">
        <v>123.89060000000001</v>
      </c>
    </row>
    <row r="1000" spans="1:2" hidden="1" x14ac:dyDescent="0.3">
      <c r="A1000" s="183">
        <v>42411</v>
      </c>
      <c r="B1000" s="184">
        <v>123.8013</v>
      </c>
    </row>
    <row r="1001" spans="1:2" hidden="1" x14ac:dyDescent="0.3">
      <c r="A1001" s="183">
        <v>42412</v>
      </c>
      <c r="B1001" s="184">
        <v>123.9271</v>
      </c>
    </row>
    <row r="1002" spans="1:2" hidden="1" x14ac:dyDescent="0.3">
      <c r="A1002" s="183">
        <v>42416</v>
      </c>
      <c r="B1002" s="184">
        <v>124.01309999999999</v>
      </c>
    </row>
    <row r="1003" spans="1:2" hidden="1" x14ac:dyDescent="0.3">
      <c r="A1003" s="183">
        <v>42417</v>
      </c>
      <c r="B1003" s="184">
        <v>123.3877</v>
      </c>
    </row>
    <row r="1004" spans="1:2" hidden="1" x14ac:dyDescent="0.3">
      <c r="A1004" s="183">
        <v>42418</v>
      </c>
      <c r="B1004" s="184">
        <v>123.40860000000001</v>
      </c>
    </row>
    <row r="1005" spans="1:2" hidden="1" x14ac:dyDescent="0.3">
      <c r="A1005" s="183">
        <v>42419</v>
      </c>
      <c r="B1005" s="184">
        <v>123.49120000000001</v>
      </c>
    </row>
    <row r="1006" spans="1:2" hidden="1" x14ac:dyDescent="0.3">
      <c r="A1006" s="183">
        <v>42422</v>
      </c>
      <c r="B1006" s="184">
        <v>123.29900000000001</v>
      </c>
    </row>
    <row r="1007" spans="1:2" hidden="1" x14ac:dyDescent="0.3">
      <c r="A1007" s="183">
        <v>42423</v>
      </c>
      <c r="B1007" s="184">
        <v>123.66679999999999</v>
      </c>
    </row>
    <row r="1008" spans="1:2" hidden="1" x14ac:dyDescent="0.3">
      <c r="A1008" s="183">
        <v>42424</v>
      </c>
      <c r="B1008" s="184">
        <v>123.6557</v>
      </c>
    </row>
    <row r="1009" spans="1:2" hidden="1" x14ac:dyDescent="0.3">
      <c r="A1009" s="183">
        <v>42425</v>
      </c>
      <c r="B1009" s="184">
        <v>123.42189999999999</v>
      </c>
    </row>
    <row r="1010" spans="1:2" hidden="1" x14ac:dyDescent="0.3">
      <c r="A1010" s="183">
        <v>42426</v>
      </c>
      <c r="B1010" s="184">
        <v>123.8895</v>
      </c>
    </row>
    <row r="1011" spans="1:2" hidden="1" x14ac:dyDescent="0.3">
      <c r="A1011" s="183">
        <v>42429</v>
      </c>
      <c r="B1011" s="184">
        <v>123.7694</v>
      </c>
    </row>
    <row r="1012" spans="1:2" hidden="1" x14ac:dyDescent="0.3">
      <c r="A1012" s="183">
        <v>42430</v>
      </c>
      <c r="B1012" s="184">
        <v>123.4263</v>
      </c>
    </row>
    <row r="1013" spans="1:2" hidden="1" x14ac:dyDescent="0.3">
      <c r="A1013" s="183">
        <v>42431</v>
      </c>
      <c r="B1013" s="184">
        <v>123.2988</v>
      </c>
    </row>
    <row r="1014" spans="1:2" hidden="1" x14ac:dyDescent="0.3">
      <c r="A1014" s="183">
        <v>42432</v>
      </c>
      <c r="B1014" s="184">
        <v>122.7182</v>
      </c>
    </row>
    <row r="1015" spans="1:2" hidden="1" x14ac:dyDescent="0.3">
      <c r="A1015" s="183">
        <v>42433</v>
      </c>
      <c r="B1015" s="184">
        <v>122.04259999999999</v>
      </c>
    </row>
    <row r="1016" spans="1:2" hidden="1" x14ac:dyDescent="0.3">
      <c r="A1016" s="183">
        <v>42436</v>
      </c>
      <c r="B1016" s="184">
        <v>122.0398</v>
      </c>
    </row>
    <row r="1017" spans="1:2" hidden="1" x14ac:dyDescent="0.3">
      <c r="A1017" s="183">
        <v>42437</v>
      </c>
      <c r="B1017" s="184">
        <v>122.27030000000001</v>
      </c>
    </row>
    <row r="1018" spans="1:2" hidden="1" x14ac:dyDescent="0.3">
      <c r="A1018" s="183">
        <v>42438</v>
      </c>
      <c r="B1018" s="184">
        <v>121.8477</v>
      </c>
    </row>
    <row r="1019" spans="1:2" hidden="1" x14ac:dyDescent="0.3">
      <c r="A1019" s="183">
        <v>42439</v>
      </c>
      <c r="B1019" s="184">
        <v>121.8399</v>
      </c>
    </row>
    <row r="1020" spans="1:2" hidden="1" x14ac:dyDescent="0.3">
      <c r="A1020" s="183">
        <v>42440</v>
      </c>
      <c r="B1020" s="184">
        <v>121.2693</v>
      </c>
    </row>
    <row r="1021" spans="1:2" hidden="1" x14ac:dyDescent="0.3">
      <c r="A1021" s="183">
        <v>42443</v>
      </c>
      <c r="B1021" s="184">
        <v>121.6902</v>
      </c>
    </row>
    <row r="1022" spans="1:2" hidden="1" x14ac:dyDescent="0.3">
      <c r="A1022" s="183">
        <v>42444</v>
      </c>
      <c r="B1022" s="184">
        <v>122.10129999999999</v>
      </c>
    </row>
    <row r="1023" spans="1:2" hidden="1" x14ac:dyDescent="0.3">
      <c r="A1023" s="183">
        <v>42445</v>
      </c>
      <c r="B1023" s="184">
        <v>122.3051</v>
      </c>
    </row>
    <row r="1024" spans="1:2" hidden="1" x14ac:dyDescent="0.3">
      <c r="A1024" s="183">
        <v>42446</v>
      </c>
      <c r="B1024" s="184">
        <v>119.9002</v>
      </c>
    </row>
    <row r="1025" spans="1:3" hidden="1" x14ac:dyDescent="0.3">
      <c r="A1025" s="183">
        <v>42447</v>
      </c>
      <c r="B1025" s="184">
        <v>119.85939999999999</v>
      </c>
    </row>
    <row r="1026" spans="1:3" hidden="1" x14ac:dyDescent="0.3">
      <c r="A1026" s="183">
        <v>42450</v>
      </c>
      <c r="B1026" s="184">
        <v>120.1925</v>
      </c>
    </row>
    <row r="1027" spans="1:3" hidden="1" x14ac:dyDescent="0.3">
      <c r="A1027" s="183">
        <v>42451</v>
      </c>
      <c r="B1027" s="184">
        <v>120.2167</v>
      </c>
    </row>
    <row r="1028" spans="1:3" hidden="1" x14ac:dyDescent="0.3">
      <c r="A1028" s="183">
        <v>42452</v>
      </c>
      <c r="B1028" s="184">
        <v>121.0072</v>
      </c>
    </row>
    <row r="1029" spans="1:3" hidden="1" x14ac:dyDescent="0.3">
      <c r="A1029" s="183">
        <v>42453</v>
      </c>
      <c r="B1029" s="184">
        <v>121.3006</v>
      </c>
    </row>
    <row r="1030" spans="1:3" hidden="1" x14ac:dyDescent="0.3">
      <c r="A1030" s="183">
        <v>42454</v>
      </c>
      <c r="B1030" s="184">
        <v>121.2496</v>
      </c>
    </row>
    <row r="1031" spans="1:3" hidden="1" x14ac:dyDescent="0.3">
      <c r="A1031" s="183">
        <v>42457</v>
      </c>
      <c r="B1031" s="184">
        <v>120.85129999999999</v>
      </c>
    </row>
    <row r="1032" spans="1:3" hidden="1" x14ac:dyDescent="0.3">
      <c r="A1032" s="183">
        <v>42458</v>
      </c>
      <c r="B1032" s="184">
        <v>120.87430000000001</v>
      </c>
    </row>
    <row r="1033" spans="1:3" hidden="1" x14ac:dyDescent="0.3">
      <c r="A1033" s="183">
        <v>42459</v>
      </c>
      <c r="B1033" s="184">
        <v>119.6551</v>
      </c>
    </row>
    <row r="1034" spans="1:3" x14ac:dyDescent="0.3">
      <c r="A1034" s="183">
        <v>42460</v>
      </c>
      <c r="B1034" s="184">
        <v>119.2912</v>
      </c>
      <c r="C1034" s="185">
        <f>AVERAGE(B973:B1034)</f>
        <v>123.25566451612904</v>
      </c>
    </row>
    <row r="1035" spans="1:3" hidden="1" x14ac:dyDescent="0.3">
      <c r="A1035" s="183">
        <v>42461</v>
      </c>
      <c r="B1035" s="184">
        <v>119.703</v>
      </c>
    </row>
    <row r="1036" spans="1:3" hidden="1" x14ac:dyDescent="0.3">
      <c r="A1036" s="183">
        <v>42464</v>
      </c>
      <c r="B1036" s="184">
        <v>119.83499999999999</v>
      </c>
    </row>
    <row r="1037" spans="1:3" hidden="1" x14ac:dyDescent="0.3">
      <c r="A1037" s="183">
        <v>42465</v>
      </c>
      <c r="B1037" s="184">
        <v>120.3716</v>
      </c>
    </row>
    <row r="1038" spans="1:3" hidden="1" x14ac:dyDescent="0.3">
      <c r="A1038" s="183">
        <v>42466</v>
      </c>
      <c r="B1038" s="184">
        <v>119.9539</v>
      </c>
    </row>
    <row r="1039" spans="1:3" hidden="1" x14ac:dyDescent="0.3">
      <c r="A1039" s="183">
        <v>42467</v>
      </c>
      <c r="B1039" s="184">
        <v>120.2687</v>
      </c>
    </row>
    <row r="1040" spans="1:3" hidden="1" x14ac:dyDescent="0.3">
      <c r="A1040" s="183">
        <v>42468</v>
      </c>
      <c r="B1040" s="184">
        <v>119.7988</v>
      </c>
    </row>
    <row r="1041" spans="1:2" hidden="1" x14ac:dyDescent="0.3">
      <c r="A1041" s="183">
        <v>42471</v>
      </c>
      <c r="B1041" s="184">
        <v>119.3462</v>
      </c>
    </row>
    <row r="1042" spans="1:2" hidden="1" x14ac:dyDescent="0.3">
      <c r="A1042" s="183">
        <v>42472</v>
      </c>
      <c r="B1042" s="184">
        <v>119.1878</v>
      </c>
    </row>
    <row r="1043" spans="1:2" hidden="1" x14ac:dyDescent="0.3">
      <c r="A1043" s="183">
        <v>42473</v>
      </c>
      <c r="B1043" s="184">
        <v>119.5343</v>
      </c>
    </row>
    <row r="1044" spans="1:2" hidden="1" x14ac:dyDescent="0.3">
      <c r="A1044" s="183">
        <v>42474</v>
      </c>
      <c r="B1044" s="184">
        <v>119.5583</v>
      </c>
    </row>
    <row r="1045" spans="1:2" hidden="1" x14ac:dyDescent="0.3">
      <c r="A1045" s="183">
        <v>42475</v>
      </c>
      <c r="B1045" s="184">
        <v>119.5789</v>
      </c>
    </row>
    <row r="1046" spans="1:2" hidden="1" x14ac:dyDescent="0.3">
      <c r="A1046" s="183">
        <v>42478</v>
      </c>
      <c r="B1046" s="184">
        <v>119.3827</v>
      </c>
    </row>
    <row r="1047" spans="1:2" hidden="1" x14ac:dyDescent="0.3">
      <c r="A1047" s="183">
        <v>42479</v>
      </c>
      <c r="B1047" s="184">
        <v>118.64060000000001</v>
      </c>
    </row>
    <row r="1048" spans="1:2" hidden="1" x14ac:dyDescent="0.3">
      <c r="A1048" s="183">
        <v>42480</v>
      </c>
      <c r="B1048" s="184">
        <v>118.7623</v>
      </c>
    </row>
    <row r="1049" spans="1:2" hidden="1" x14ac:dyDescent="0.3">
      <c r="A1049" s="183">
        <v>42481</v>
      </c>
      <c r="B1049" s="184">
        <v>119.26609999999999</v>
      </c>
    </row>
    <row r="1050" spans="1:2" hidden="1" x14ac:dyDescent="0.3">
      <c r="A1050" s="183">
        <v>42482</v>
      </c>
      <c r="B1050" s="184">
        <v>119.6956</v>
      </c>
    </row>
    <row r="1051" spans="1:2" hidden="1" x14ac:dyDescent="0.3">
      <c r="A1051" s="183">
        <v>42485</v>
      </c>
      <c r="B1051" s="184">
        <v>119.64870000000001</v>
      </c>
    </row>
    <row r="1052" spans="1:2" hidden="1" x14ac:dyDescent="0.3">
      <c r="A1052" s="183">
        <v>42486</v>
      </c>
      <c r="B1052" s="184">
        <v>119.2174</v>
      </c>
    </row>
    <row r="1053" spans="1:2" hidden="1" x14ac:dyDescent="0.3">
      <c r="A1053" s="183">
        <v>42487</v>
      </c>
      <c r="B1053" s="184">
        <v>119.3103</v>
      </c>
    </row>
    <row r="1054" spans="1:2" hidden="1" x14ac:dyDescent="0.3">
      <c r="A1054" s="183">
        <v>42488</v>
      </c>
      <c r="B1054" s="184">
        <v>118.6206</v>
      </c>
    </row>
    <row r="1055" spans="1:2" hidden="1" x14ac:dyDescent="0.3">
      <c r="A1055" s="183">
        <v>42489</v>
      </c>
      <c r="B1055" s="184">
        <v>118.242</v>
      </c>
    </row>
    <row r="1056" spans="1:2" hidden="1" x14ac:dyDescent="0.3">
      <c r="A1056" s="183">
        <v>42492</v>
      </c>
      <c r="B1056" s="184">
        <v>118.09139999999999</v>
      </c>
    </row>
    <row r="1057" spans="1:2" hidden="1" x14ac:dyDescent="0.3">
      <c r="A1057" s="183">
        <v>42493</v>
      </c>
      <c r="B1057" s="184">
        <v>118.8186</v>
      </c>
    </row>
    <row r="1058" spans="1:2" hidden="1" x14ac:dyDescent="0.3">
      <c r="A1058" s="183">
        <v>42494</v>
      </c>
      <c r="B1058" s="184">
        <v>119.46639999999999</v>
      </c>
    </row>
    <row r="1059" spans="1:2" hidden="1" x14ac:dyDescent="0.3">
      <c r="A1059" s="183">
        <v>42495</v>
      </c>
      <c r="B1059" s="184">
        <v>119.72629999999999</v>
      </c>
    </row>
    <row r="1060" spans="1:2" hidden="1" x14ac:dyDescent="0.3">
      <c r="A1060" s="183">
        <v>42496</v>
      </c>
      <c r="B1060" s="184">
        <v>119.85080000000001</v>
      </c>
    </row>
    <row r="1061" spans="1:2" hidden="1" x14ac:dyDescent="0.3">
      <c r="A1061" s="183">
        <v>42499</v>
      </c>
      <c r="B1061" s="184">
        <v>120.4594</v>
      </c>
    </row>
    <row r="1062" spans="1:2" hidden="1" x14ac:dyDescent="0.3">
      <c r="A1062" s="183">
        <v>42500</v>
      </c>
      <c r="B1062" s="184">
        <v>120.34010000000001</v>
      </c>
    </row>
    <row r="1063" spans="1:2" hidden="1" x14ac:dyDescent="0.3">
      <c r="A1063" s="183">
        <v>42501</v>
      </c>
      <c r="B1063" s="184">
        <v>119.754</v>
      </c>
    </row>
    <row r="1064" spans="1:2" hidden="1" x14ac:dyDescent="0.3">
      <c r="A1064" s="183">
        <v>42502</v>
      </c>
      <c r="B1064" s="184">
        <v>120.2008</v>
      </c>
    </row>
    <row r="1065" spans="1:2" hidden="1" x14ac:dyDescent="0.3">
      <c r="A1065" s="183">
        <v>42503</v>
      </c>
      <c r="B1065" s="184">
        <v>120.78019999999999</v>
      </c>
    </row>
    <row r="1066" spans="1:2" hidden="1" x14ac:dyDescent="0.3">
      <c r="A1066" s="183">
        <v>42506</v>
      </c>
      <c r="B1066" s="184">
        <v>120.6443</v>
      </c>
    </row>
    <row r="1067" spans="1:2" hidden="1" x14ac:dyDescent="0.3">
      <c r="A1067" s="183">
        <v>42507</v>
      </c>
      <c r="B1067" s="184">
        <v>120.6069</v>
      </c>
    </row>
    <row r="1068" spans="1:2" hidden="1" x14ac:dyDescent="0.3">
      <c r="A1068" s="183">
        <v>42508</v>
      </c>
      <c r="B1068" s="184">
        <v>121.101</v>
      </c>
    </row>
    <row r="1069" spans="1:2" hidden="1" x14ac:dyDescent="0.3">
      <c r="A1069" s="183">
        <v>42509</v>
      </c>
      <c r="B1069" s="184">
        <v>121.84439999999999</v>
      </c>
    </row>
    <row r="1070" spans="1:2" hidden="1" x14ac:dyDescent="0.3">
      <c r="A1070" s="183">
        <v>42510</v>
      </c>
      <c r="B1070" s="184">
        <v>121.7846</v>
      </c>
    </row>
    <row r="1071" spans="1:2" hidden="1" x14ac:dyDescent="0.3">
      <c r="A1071" s="183">
        <v>42513</v>
      </c>
      <c r="B1071" s="184">
        <v>121.8813</v>
      </c>
    </row>
    <row r="1072" spans="1:2" hidden="1" x14ac:dyDescent="0.3">
      <c r="A1072" s="183">
        <v>42514</v>
      </c>
      <c r="B1072" s="184">
        <v>121.9091</v>
      </c>
    </row>
    <row r="1073" spans="1:2" hidden="1" x14ac:dyDescent="0.3">
      <c r="A1073" s="183">
        <v>42515</v>
      </c>
      <c r="B1073" s="184">
        <v>121.8107</v>
      </c>
    </row>
    <row r="1074" spans="1:2" hidden="1" x14ac:dyDescent="0.3">
      <c r="A1074" s="183">
        <v>42516</v>
      </c>
      <c r="B1074" s="184">
        <v>121.50830000000001</v>
      </c>
    </row>
    <row r="1075" spans="1:2" hidden="1" x14ac:dyDescent="0.3">
      <c r="A1075" s="183">
        <v>42517</v>
      </c>
      <c r="B1075" s="184">
        <v>121.7016</v>
      </c>
    </row>
    <row r="1076" spans="1:2" hidden="1" x14ac:dyDescent="0.3">
      <c r="A1076" s="183">
        <v>42521</v>
      </c>
      <c r="B1076" s="184">
        <v>122.0814</v>
      </c>
    </row>
    <row r="1077" spans="1:2" hidden="1" x14ac:dyDescent="0.3">
      <c r="A1077" s="183">
        <v>42522</v>
      </c>
      <c r="B1077" s="184">
        <v>122.1022</v>
      </c>
    </row>
    <row r="1078" spans="1:2" hidden="1" x14ac:dyDescent="0.3">
      <c r="A1078" s="183">
        <v>42523</v>
      </c>
      <c r="B1078" s="184">
        <v>122.0993</v>
      </c>
    </row>
    <row r="1079" spans="1:2" hidden="1" x14ac:dyDescent="0.3">
      <c r="A1079" s="183">
        <v>42524</v>
      </c>
      <c r="B1079" s="184">
        <v>121.0335</v>
      </c>
    </row>
    <row r="1080" spans="1:2" hidden="1" x14ac:dyDescent="0.3">
      <c r="A1080" s="183">
        <v>42527</v>
      </c>
      <c r="B1080" s="184">
        <v>120.8005</v>
      </c>
    </row>
    <row r="1081" spans="1:2" hidden="1" x14ac:dyDescent="0.3">
      <c r="A1081" s="183">
        <v>42528</v>
      </c>
      <c r="B1081" s="184">
        <v>120.4166</v>
      </c>
    </row>
    <row r="1082" spans="1:2" hidden="1" x14ac:dyDescent="0.3">
      <c r="A1082" s="183">
        <v>42529</v>
      </c>
      <c r="B1082" s="184">
        <v>119.7398</v>
      </c>
    </row>
    <row r="1083" spans="1:2" hidden="1" x14ac:dyDescent="0.3">
      <c r="A1083" s="183">
        <v>42530</v>
      </c>
      <c r="B1083" s="184">
        <v>120.1674</v>
      </c>
    </row>
    <row r="1084" spans="1:2" hidden="1" x14ac:dyDescent="0.3">
      <c r="A1084" s="183">
        <v>42531</v>
      </c>
      <c r="B1084" s="184">
        <v>120.6748</v>
      </c>
    </row>
    <row r="1085" spans="1:2" hidden="1" x14ac:dyDescent="0.3">
      <c r="A1085" s="183">
        <v>42534</v>
      </c>
      <c r="B1085" s="184">
        <v>121.0971</v>
      </c>
    </row>
    <row r="1086" spans="1:2" hidden="1" x14ac:dyDescent="0.3">
      <c r="A1086" s="183">
        <v>42535</v>
      </c>
      <c r="B1086" s="184">
        <v>121.60120000000001</v>
      </c>
    </row>
    <row r="1087" spans="1:2" hidden="1" x14ac:dyDescent="0.3">
      <c r="A1087" s="183">
        <v>42536</v>
      </c>
      <c r="B1087" s="184">
        <v>121.3468</v>
      </c>
    </row>
    <row r="1088" spans="1:2" hidden="1" x14ac:dyDescent="0.3">
      <c r="A1088" s="183">
        <v>42537</v>
      </c>
      <c r="B1088" s="184">
        <v>121.8135</v>
      </c>
    </row>
    <row r="1089" spans="1:3" hidden="1" x14ac:dyDescent="0.3">
      <c r="A1089" s="183">
        <v>42538</v>
      </c>
      <c r="B1089" s="184">
        <v>121.12520000000001</v>
      </c>
    </row>
    <row r="1090" spans="1:3" hidden="1" x14ac:dyDescent="0.3">
      <c r="A1090" s="183">
        <v>42541</v>
      </c>
      <c r="B1090" s="184">
        <v>120.4602</v>
      </c>
    </row>
    <row r="1091" spans="1:3" hidden="1" x14ac:dyDescent="0.3">
      <c r="A1091" s="183">
        <v>42542</v>
      </c>
      <c r="B1091" s="184">
        <v>120.59829999999999</v>
      </c>
    </row>
    <row r="1092" spans="1:3" hidden="1" x14ac:dyDescent="0.3">
      <c r="A1092" s="183">
        <v>42543</v>
      </c>
      <c r="B1092" s="184">
        <v>120.34350000000001</v>
      </c>
    </row>
    <row r="1093" spans="1:3" hidden="1" x14ac:dyDescent="0.3">
      <c r="A1093" s="183">
        <v>42544</v>
      </c>
      <c r="B1093" s="184">
        <v>119.8338</v>
      </c>
    </row>
    <row r="1094" spans="1:3" hidden="1" x14ac:dyDescent="0.3">
      <c r="A1094" s="183">
        <v>42545</v>
      </c>
      <c r="B1094" s="184">
        <v>121.6726</v>
      </c>
    </row>
    <row r="1095" spans="1:3" hidden="1" x14ac:dyDescent="0.3">
      <c r="A1095" s="183">
        <v>42548</v>
      </c>
      <c r="B1095" s="184">
        <v>122.6726</v>
      </c>
    </row>
    <row r="1096" spans="1:3" hidden="1" x14ac:dyDescent="0.3">
      <c r="A1096" s="183">
        <v>42549</v>
      </c>
      <c r="B1096" s="184">
        <v>122.25790000000001</v>
      </c>
    </row>
    <row r="1097" spans="1:3" hidden="1" x14ac:dyDescent="0.3">
      <c r="A1097" s="183">
        <v>42550</v>
      </c>
      <c r="B1097" s="184">
        <v>121.3413</v>
      </c>
    </row>
    <row r="1098" spans="1:3" x14ac:dyDescent="0.3">
      <c r="A1098" s="183">
        <v>42551</v>
      </c>
      <c r="B1098" s="184">
        <v>121.624</v>
      </c>
      <c r="C1098" s="185">
        <f>AVERAGE(B1035:B1098)</f>
        <v>120.42353906250003</v>
      </c>
    </row>
    <row r="1099" spans="1:3" hidden="1" x14ac:dyDescent="0.3">
      <c r="A1099" s="183">
        <v>42552</v>
      </c>
      <c r="B1099" s="184">
        <v>121.1271</v>
      </c>
    </row>
    <row r="1100" spans="1:3" hidden="1" x14ac:dyDescent="0.3">
      <c r="A1100" s="183">
        <v>42556</v>
      </c>
      <c r="B1100" s="184">
        <v>121.9258</v>
      </c>
    </row>
    <row r="1101" spans="1:3" hidden="1" x14ac:dyDescent="0.3">
      <c r="A1101" s="183">
        <v>42557</v>
      </c>
      <c r="B1101" s="184">
        <v>122.0519</v>
      </c>
    </row>
    <row r="1102" spans="1:3" hidden="1" x14ac:dyDescent="0.3">
      <c r="A1102" s="183">
        <v>42558</v>
      </c>
      <c r="B1102" s="184">
        <v>122.0684</v>
      </c>
    </row>
    <row r="1103" spans="1:3" hidden="1" x14ac:dyDescent="0.3">
      <c r="A1103" s="183">
        <v>42559</v>
      </c>
      <c r="B1103" s="184">
        <v>121.8706</v>
      </c>
    </row>
    <row r="1104" spans="1:3" hidden="1" x14ac:dyDescent="0.3">
      <c r="A1104" s="183">
        <v>42562</v>
      </c>
      <c r="B1104" s="184">
        <v>122.01009999999999</v>
      </c>
    </row>
    <row r="1105" spans="1:2" hidden="1" x14ac:dyDescent="0.3">
      <c r="A1105" s="183">
        <v>42563</v>
      </c>
      <c r="B1105" s="184">
        <v>121.6161</v>
      </c>
    </row>
    <row r="1106" spans="1:2" hidden="1" x14ac:dyDescent="0.3">
      <c r="A1106" s="183">
        <v>42564</v>
      </c>
      <c r="B1106" s="184">
        <v>121.5288</v>
      </c>
    </row>
    <row r="1107" spans="1:2" hidden="1" x14ac:dyDescent="0.3">
      <c r="A1107" s="183">
        <v>42565</v>
      </c>
      <c r="B1107" s="184">
        <v>121.2548</v>
      </c>
    </row>
    <row r="1108" spans="1:2" hidden="1" x14ac:dyDescent="0.3">
      <c r="A1108" s="183">
        <v>42566</v>
      </c>
      <c r="B1108" s="184">
        <v>121.7714</v>
      </c>
    </row>
    <row r="1109" spans="1:2" hidden="1" x14ac:dyDescent="0.3">
      <c r="A1109" s="183">
        <v>42569</v>
      </c>
      <c r="B1109" s="184">
        <v>121.7578</v>
      </c>
    </row>
    <row r="1110" spans="1:2" hidden="1" x14ac:dyDescent="0.3">
      <c r="A1110" s="183">
        <v>42570</v>
      </c>
      <c r="B1110" s="184">
        <v>122.1362</v>
      </c>
    </row>
    <row r="1111" spans="1:2" hidden="1" x14ac:dyDescent="0.3">
      <c r="A1111" s="183">
        <v>42571</v>
      </c>
      <c r="B1111" s="184">
        <v>122.1652</v>
      </c>
    </row>
    <row r="1112" spans="1:2" hidden="1" x14ac:dyDescent="0.3">
      <c r="A1112" s="183">
        <v>42572</v>
      </c>
      <c r="B1112" s="184">
        <v>122.1127</v>
      </c>
    </row>
    <row r="1113" spans="1:2" hidden="1" x14ac:dyDescent="0.3">
      <c r="A1113" s="183">
        <v>42573</v>
      </c>
      <c r="B1113" s="184">
        <v>122.465</v>
      </c>
    </row>
    <row r="1114" spans="1:2" hidden="1" x14ac:dyDescent="0.3">
      <c r="A1114" s="183">
        <v>42576</v>
      </c>
      <c r="B1114" s="184">
        <v>122.681</v>
      </c>
    </row>
    <row r="1115" spans="1:2" hidden="1" x14ac:dyDescent="0.3">
      <c r="A1115" s="183">
        <v>42577</v>
      </c>
      <c r="B1115" s="184">
        <v>122.5485</v>
      </c>
    </row>
    <row r="1116" spans="1:2" hidden="1" x14ac:dyDescent="0.3">
      <c r="A1116" s="183">
        <v>42578</v>
      </c>
      <c r="B1116" s="184">
        <v>122.6998</v>
      </c>
    </row>
    <row r="1117" spans="1:2" hidden="1" x14ac:dyDescent="0.3">
      <c r="A1117" s="183">
        <v>42579</v>
      </c>
      <c r="B1117" s="184">
        <v>122.21729999999999</v>
      </c>
    </row>
    <row r="1118" spans="1:2" hidden="1" x14ac:dyDescent="0.3">
      <c r="A1118" s="183">
        <v>42580</v>
      </c>
      <c r="B1118" s="184">
        <v>121.32250000000001</v>
      </c>
    </row>
    <row r="1119" spans="1:2" hidden="1" x14ac:dyDescent="0.3">
      <c r="A1119" s="183">
        <v>42583</v>
      </c>
      <c r="B1119" s="184">
        <v>121.41589999999999</v>
      </c>
    </row>
    <row r="1120" spans="1:2" hidden="1" x14ac:dyDescent="0.3">
      <c r="A1120" s="183">
        <v>42584</v>
      </c>
      <c r="B1120" s="184">
        <v>121.1434</v>
      </c>
    </row>
    <row r="1121" spans="1:2" hidden="1" x14ac:dyDescent="0.3">
      <c r="A1121" s="183">
        <v>42585</v>
      </c>
      <c r="B1121" s="184">
        <v>121.3934</v>
      </c>
    </row>
    <row r="1122" spans="1:2" hidden="1" x14ac:dyDescent="0.3">
      <c r="A1122" s="183">
        <v>42586</v>
      </c>
      <c r="B1122" s="184">
        <v>121.3385</v>
      </c>
    </row>
    <row r="1123" spans="1:2" hidden="1" x14ac:dyDescent="0.3">
      <c r="A1123" s="183">
        <v>42587</v>
      </c>
      <c r="B1123" s="184">
        <v>121.77670000000001</v>
      </c>
    </row>
    <row r="1124" spans="1:2" hidden="1" x14ac:dyDescent="0.3">
      <c r="A1124" s="183">
        <v>42590</v>
      </c>
      <c r="B1124" s="184">
        <v>121.5492</v>
      </c>
    </row>
    <row r="1125" spans="1:2" hidden="1" x14ac:dyDescent="0.3">
      <c r="A1125" s="183">
        <v>42591</v>
      </c>
      <c r="B1125" s="184">
        <v>121.0973</v>
      </c>
    </row>
    <row r="1126" spans="1:2" hidden="1" x14ac:dyDescent="0.3">
      <c r="A1126" s="183">
        <v>42592</v>
      </c>
      <c r="B1126" s="184">
        <v>120.66289999999999</v>
      </c>
    </row>
    <row r="1127" spans="1:2" hidden="1" x14ac:dyDescent="0.3">
      <c r="A1127" s="183">
        <v>42593</v>
      </c>
      <c r="B1127" s="184">
        <v>120.52</v>
      </c>
    </row>
    <row r="1128" spans="1:2" hidden="1" x14ac:dyDescent="0.3">
      <c r="A1128" s="183">
        <v>42594</v>
      </c>
      <c r="B1128" s="184">
        <v>120.5257</v>
      </c>
    </row>
    <row r="1129" spans="1:2" hidden="1" x14ac:dyDescent="0.3">
      <c r="A1129" s="183">
        <v>42597</v>
      </c>
      <c r="B1129" s="184">
        <v>120.2457</v>
      </c>
    </row>
    <row r="1130" spans="1:2" hidden="1" x14ac:dyDescent="0.3">
      <c r="A1130" s="183">
        <v>42598</v>
      </c>
      <c r="B1130" s="184">
        <v>119.7535</v>
      </c>
    </row>
    <row r="1131" spans="1:2" hidden="1" x14ac:dyDescent="0.3">
      <c r="A1131" s="183">
        <v>42599</v>
      </c>
      <c r="B1131" s="184">
        <v>120.32170000000001</v>
      </c>
    </row>
    <row r="1132" spans="1:2" hidden="1" x14ac:dyDescent="0.3">
      <c r="A1132" s="183">
        <v>42600</v>
      </c>
      <c r="B1132" s="184">
        <v>119.6884</v>
      </c>
    </row>
    <row r="1133" spans="1:2" hidden="1" x14ac:dyDescent="0.3">
      <c r="A1133" s="183">
        <v>42601</v>
      </c>
      <c r="B1133" s="184">
        <v>120.2269</v>
      </c>
    </row>
    <row r="1134" spans="1:2" hidden="1" x14ac:dyDescent="0.3">
      <c r="A1134" s="183">
        <v>42604</v>
      </c>
      <c r="B1134" s="184">
        <v>120.4329</v>
      </c>
    </row>
    <row r="1135" spans="1:2" hidden="1" x14ac:dyDescent="0.3">
      <c r="A1135" s="183">
        <v>42605</v>
      </c>
      <c r="B1135" s="184">
        <v>120.3652</v>
      </c>
    </row>
    <row r="1136" spans="1:2" hidden="1" x14ac:dyDescent="0.3">
      <c r="A1136" s="183">
        <v>42606</v>
      </c>
      <c r="B1136" s="184">
        <v>120.7641</v>
      </c>
    </row>
    <row r="1137" spans="1:2" hidden="1" x14ac:dyDescent="0.3">
      <c r="A1137" s="183">
        <v>42607</v>
      </c>
      <c r="B1137" s="184">
        <v>120.6161</v>
      </c>
    </row>
    <row r="1138" spans="1:2" hidden="1" x14ac:dyDescent="0.3">
      <c r="A1138" s="183">
        <v>42608</v>
      </c>
      <c r="B1138" s="184">
        <v>120.6506</v>
      </c>
    </row>
    <row r="1139" spans="1:2" hidden="1" x14ac:dyDescent="0.3">
      <c r="A1139" s="183">
        <v>42611</v>
      </c>
      <c r="B1139" s="184">
        <v>121.3439</v>
      </c>
    </row>
    <row r="1140" spans="1:2" hidden="1" x14ac:dyDescent="0.3">
      <c r="A1140" s="183">
        <v>42612</v>
      </c>
      <c r="B1140" s="184">
        <v>121.7676</v>
      </c>
    </row>
    <row r="1141" spans="1:2" hidden="1" x14ac:dyDescent="0.3">
      <c r="A1141" s="183">
        <v>42613</v>
      </c>
      <c r="B1141" s="184">
        <v>121.8847</v>
      </c>
    </row>
    <row r="1142" spans="1:2" hidden="1" x14ac:dyDescent="0.3">
      <c r="A1142" s="183">
        <v>42614</v>
      </c>
      <c r="B1142" s="184">
        <v>121.67870000000001</v>
      </c>
    </row>
    <row r="1143" spans="1:2" hidden="1" x14ac:dyDescent="0.3">
      <c r="A1143" s="183">
        <v>42615</v>
      </c>
      <c r="B1143" s="184">
        <v>121.5145</v>
      </c>
    </row>
    <row r="1144" spans="1:2" hidden="1" x14ac:dyDescent="0.3">
      <c r="A1144" s="183">
        <v>42619</v>
      </c>
      <c r="B1144" s="184">
        <v>120.4402</v>
      </c>
    </row>
    <row r="1145" spans="1:2" hidden="1" x14ac:dyDescent="0.3">
      <c r="A1145" s="183">
        <v>42620</v>
      </c>
      <c r="B1145" s="184">
        <v>120.4057</v>
      </c>
    </row>
    <row r="1146" spans="1:2" hidden="1" x14ac:dyDescent="0.3">
      <c r="A1146" s="183">
        <v>42621</v>
      </c>
      <c r="B1146" s="184">
        <v>120.70610000000001</v>
      </c>
    </row>
    <row r="1147" spans="1:2" hidden="1" x14ac:dyDescent="0.3">
      <c r="A1147" s="183">
        <v>42622</v>
      </c>
      <c r="B1147" s="184">
        <v>121.4739</v>
      </c>
    </row>
    <row r="1148" spans="1:2" hidden="1" x14ac:dyDescent="0.3">
      <c r="A1148" s="183">
        <v>42625</v>
      </c>
      <c r="B1148" s="184">
        <v>121.65600000000001</v>
      </c>
    </row>
    <row r="1149" spans="1:2" hidden="1" x14ac:dyDescent="0.3">
      <c r="A1149" s="183">
        <v>42626</v>
      </c>
      <c r="B1149" s="184">
        <v>122.0296</v>
      </c>
    </row>
    <row r="1150" spans="1:2" hidden="1" x14ac:dyDescent="0.3">
      <c r="A1150" s="183">
        <v>42627</v>
      </c>
      <c r="B1150" s="184">
        <v>121.9688</v>
      </c>
    </row>
    <row r="1151" spans="1:2" hidden="1" x14ac:dyDescent="0.3">
      <c r="A1151" s="183">
        <v>42628</v>
      </c>
      <c r="B1151" s="184">
        <v>121.9751</v>
      </c>
    </row>
    <row r="1152" spans="1:2" hidden="1" x14ac:dyDescent="0.3">
      <c r="A1152" s="183">
        <v>42629</v>
      </c>
      <c r="B1152" s="184">
        <v>122.6698</v>
      </c>
    </row>
    <row r="1153" spans="1:3" hidden="1" x14ac:dyDescent="0.3">
      <c r="A1153" s="183">
        <v>42632</v>
      </c>
      <c r="B1153" s="184">
        <v>122.35809999999999</v>
      </c>
    </row>
    <row r="1154" spans="1:3" hidden="1" x14ac:dyDescent="0.3">
      <c r="A1154" s="183">
        <v>42633</v>
      </c>
      <c r="B1154" s="184">
        <v>122.6369</v>
      </c>
    </row>
    <row r="1155" spans="1:3" hidden="1" x14ac:dyDescent="0.3">
      <c r="A1155" s="183">
        <v>42634</v>
      </c>
      <c r="B1155" s="184">
        <v>122.4165</v>
      </c>
    </row>
    <row r="1156" spans="1:3" hidden="1" x14ac:dyDescent="0.3">
      <c r="A1156" s="183">
        <v>42635</v>
      </c>
      <c r="B1156" s="184">
        <v>121.6889</v>
      </c>
    </row>
    <row r="1157" spans="1:3" hidden="1" x14ac:dyDescent="0.3">
      <c r="A1157" s="183">
        <v>42636</v>
      </c>
      <c r="B1157" s="184">
        <v>122.1416</v>
      </c>
    </row>
    <row r="1158" spans="1:3" hidden="1" x14ac:dyDescent="0.3">
      <c r="A1158" s="183">
        <v>42639</v>
      </c>
      <c r="B1158" s="184">
        <v>122.1438</v>
      </c>
    </row>
    <row r="1159" spans="1:3" hidden="1" x14ac:dyDescent="0.3">
      <c r="A1159" s="183">
        <v>42640</v>
      </c>
      <c r="B1159" s="184">
        <v>121.9609</v>
      </c>
    </row>
    <row r="1160" spans="1:3" hidden="1" x14ac:dyDescent="0.3">
      <c r="A1160" s="183">
        <v>42641</v>
      </c>
      <c r="B1160" s="184">
        <v>122.03579999999999</v>
      </c>
    </row>
    <row r="1161" spans="1:3" hidden="1" x14ac:dyDescent="0.3">
      <c r="A1161" s="183">
        <v>42642</v>
      </c>
      <c r="B1161" s="184">
        <v>121.696</v>
      </c>
    </row>
    <row r="1162" spans="1:3" x14ac:dyDescent="0.3">
      <c r="A1162" s="183">
        <v>42643</v>
      </c>
      <c r="B1162" s="184">
        <v>121.6921</v>
      </c>
      <c r="C1162" s="185">
        <f>AVERAGE(B1099:B1162)</f>
        <v>121.50162968749999</v>
      </c>
    </row>
    <row r="1163" spans="1:3" hidden="1" x14ac:dyDescent="0.3">
      <c r="A1163" s="183">
        <v>42646</v>
      </c>
      <c r="B1163" s="184">
        <v>121.89570000000001</v>
      </c>
    </row>
    <row r="1164" spans="1:3" hidden="1" x14ac:dyDescent="0.3">
      <c r="A1164" s="183">
        <v>42647</v>
      </c>
      <c r="B1164" s="184">
        <v>122.0467</v>
      </c>
    </row>
    <row r="1165" spans="1:3" hidden="1" x14ac:dyDescent="0.3">
      <c r="A1165" s="183">
        <v>42648</v>
      </c>
      <c r="B1165" s="184">
        <v>122.1887</v>
      </c>
    </row>
    <row r="1166" spans="1:3" hidden="1" x14ac:dyDescent="0.3">
      <c r="A1166" s="183">
        <v>42649</v>
      </c>
      <c r="B1166" s="184">
        <v>122.38160000000001</v>
      </c>
    </row>
    <row r="1167" spans="1:3" hidden="1" x14ac:dyDescent="0.3">
      <c r="A1167" s="183">
        <v>42650</v>
      </c>
      <c r="B1167" s="184">
        <v>122.6397</v>
      </c>
    </row>
    <row r="1168" spans="1:3" hidden="1" x14ac:dyDescent="0.3">
      <c r="A1168" s="183">
        <v>42654</v>
      </c>
      <c r="B1168" s="184">
        <v>122.8552</v>
      </c>
    </row>
    <row r="1169" spans="1:2" hidden="1" x14ac:dyDescent="0.3">
      <c r="A1169" s="183">
        <v>42655</v>
      </c>
      <c r="B1169" s="184">
        <v>123.1617</v>
      </c>
    </row>
    <row r="1170" spans="1:2" hidden="1" x14ac:dyDescent="0.3">
      <c r="A1170" s="183">
        <v>42656</v>
      </c>
      <c r="B1170" s="184">
        <v>123.0637</v>
      </c>
    </row>
    <row r="1171" spans="1:2" hidden="1" x14ac:dyDescent="0.3">
      <c r="A1171" s="183">
        <v>42657</v>
      </c>
      <c r="B1171" s="184">
        <v>123.15600000000001</v>
      </c>
    </row>
    <row r="1172" spans="1:2" hidden="1" x14ac:dyDescent="0.3">
      <c r="A1172" s="183">
        <v>42660</v>
      </c>
      <c r="B1172" s="184">
        <v>123.0115</v>
      </c>
    </row>
    <row r="1173" spans="1:2" hidden="1" x14ac:dyDescent="0.3">
      <c r="A1173" s="183">
        <v>42661</v>
      </c>
      <c r="B1173" s="184">
        <v>122.58839999999999</v>
      </c>
    </row>
    <row r="1174" spans="1:2" hidden="1" x14ac:dyDescent="0.3">
      <c r="A1174" s="183">
        <v>42662</v>
      </c>
      <c r="B1174" s="184">
        <v>122.4804</v>
      </c>
    </row>
    <row r="1175" spans="1:2" hidden="1" x14ac:dyDescent="0.3">
      <c r="A1175" s="183">
        <v>42663</v>
      </c>
      <c r="B1175" s="184">
        <v>122.84</v>
      </c>
    </row>
    <row r="1176" spans="1:2" hidden="1" x14ac:dyDescent="0.3">
      <c r="A1176" s="183">
        <v>42664</v>
      </c>
      <c r="B1176" s="184">
        <v>123.36369999999999</v>
      </c>
    </row>
    <row r="1177" spans="1:2" hidden="1" x14ac:dyDescent="0.3">
      <c r="A1177" s="183">
        <v>42667</v>
      </c>
      <c r="B1177" s="184">
        <v>123.31399999999999</v>
      </c>
    </row>
    <row r="1178" spans="1:2" hidden="1" x14ac:dyDescent="0.3">
      <c r="A1178" s="183">
        <v>42668</v>
      </c>
      <c r="B1178" s="184">
        <v>123.1234</v>
      </c>
    </row>
    <row r="1179" spans="1:2" hidden="1" x14ac:dyDescent="0.3">
      <c r="A1179" s="183">
        <v>42669</v>
      </c>
      <c r="B1179" s="184">
        <v>123.2764</v>
      </c>
    </row>
    <row r="1180" spans="1:2" hidden="1" x14ac:dyDescent="0.3">
      <c r="A1180" s="183">
        <v>42670</v>
      </c>
      <c r="B1180" s="184">
        <v>123.6923</v>
      </c>
    </row>
    <row r="1181" spans="1:2" hidden="1" x14ac:dyDescent="0.3">
      <c r="A1181" s="183">
        <v>42671</v>
      </c>
      <c r="B1181" s="184">
        <v>123.5783</v>
      </c>
    </row>
    <row r="1182" spans="1:2" hidden="1" x14ac:dyDescent="0.3">
      <c r="A1182" s="183">
        <v>42674</v>
      </c>
      <c r="B1182" s="184">
        <v>123.5141</v>
      </c>
    </row>
    <row r="1183" spans="1:2" hidden="1" x14ac:dyDescent="0.3">
      <c r="A1183" s="183">
        <v>42675</v>
      </c>
      <c r="B1183" s="184">
        <v>123.482</v>
      </c>
    </row>
    <row r="1184" spans="1:2" hidden="1" x14ac:dyDescent="0.3">
      <c r="A1184" s="183">
        <v>42676</v>
      </c>
      <c r="B1184" s="184">
        <v>123.4359</v>
      </c>
    </row>
    <row r="1185" spans="1:2" hidden="1" x14ac:dyDescent="0.3">
      <c r="A1185" s="183">
        <v>42677</v>
      </c>
      <c r="B1185" s="184">
        <v>123.2915</v>
      </c>
    </row>
    <row r="1186" spans="1:2" hidden="1" x14ac:dyDescent="0.3">
      <c r="A1186" s="183">
        <v>42678</v>
      </c>
      <c r="B1186" s="184">
        <v>123.1203</v>
      </c>
    </row>
    <row r="1187" spans="1:2" hidden="1" x14ac:dyDescent="0.3">
      <c r="A1187" s="183">
        <v>42681</v>
      </c>
      <c r="B1187" s="184">
        <v>123.07599999999999</v>
      </c>
    </row>
    <row r="1188" spans="1:2" hidden="1" x14ac:dyDescent="0.3">
      <c r="A1188" s="183">
        <v>42682</v>
      </c>
      <c r="B1188" s="184">
        <v>122.8327</v>
      </c>
    </row>
    <row r="1189" spans="1:2" hidden="1" x14ac:dyDescent="0.3">
      <c r="A1189" s="183">
        <v>42683</v>
      </c>
      <c r="B1189" s="184">
        <v>124.2711</v>
      </c>
    </row>
    <row r="1190" spans="1:2" hidden="1" x14ac:dyDescent="0.3">
      <c r="A1190" s="183">
        <v>42684</v>
      </c>
      <c r="B1190" s="184">
        <v>125.6112</v>
      </c>
    </row>
    <row r="1191" spans="1:2" hidden="1" x14ac:dyDescent="0.3">
      <c r="A1191" s="183">
        <v>42688</v>
      </c>
      <c r="B1191" s="184">
        <v>126.98480000000001</v>
      </c>
    </row>
    <row r="1192" spans="1:2" hidden="1" x14ac:dyDescent="0.3">
      <c r="A1192" s="183">
        <v>42689</v>
      </c>
      <c r="B1192" s="184">
        <v>126.5164</v>
      </c>
    </row>
    <row r="1193" spans="1:2" hidden="1" x14ac:dyDescent="0.3">
      <c r="A1193" s="183">
        <v>42690</v>
      </c>
      <c r="B1193" s="184">
        <v>126.5903</v>
      </c>
    </row>
    <row r="1194" spans="1:2" hidden="1" x14ac:dyDescent="0.3">
      <c r="A1194" s="183">
        <v>42691</v>
      </c>
      <c r="B1194" s="184">
        <v>126.6666</v>
      </c>
    </row>
    <row r="1195" spans="1:2" hidden="1" x14ac:dyDescent="0.3">
      <c r="A1195" s="183">
        <v>42692</v>
      </c>
      <c r="B1195" s="184">
        <v>127.38030000000001</v>
      </c>
    </row>
    <row r="1196" spans="1:2" hidden="1" x14ac:dyDescent="0.3">
      <c r="A1196" s="183">
        <v>42695</v>
      </c>
      <c r="B1196" s="184">
        <v>127.2803</v>
      </c>
    </row>
    <row r="1197" spans="1:2" hidden="1" x14ac:dyDescent="0.3">
      <c r="A1197" s="183">
        <v>42696</v>
      </c>
      <c r="B1197" s="184">
        <v>127.2312</v>
      </c>
    </row>
    <row r="1198" spans="1:2" hidden="1" x14ac:dyDescent="0.3">
      <c r="A1198" s="183">
        <v>42697</v>
      </c>
      <c r="B1198" s="184">
        <v>127.8914</v>
      </c>
    </row>
    <row r="1199" spans="1:2" hidden="1" x14ac:dyDescent="0.3">
      <c r="A1199" s="183">
        <v>42699</v>
      </c>
      <c r="B1199" s="184">
        <v>127.8604</v>
      </c>
    </row>
    <row r="1200" spans="1:2" hidden="1" x14ac:dyDescent="0.3">
      <c r="A1200" s="183">
        <v>42702</v>
      </c>
      <c r="B1200" s="184">
        <v>127.5444</v>
      </c>
    </row>
    <row r="1201" spans="1:2" hidden="1" x14ac:dyDescent="0.3">
      <c r="A1201" s="183">
        <v>42703</v>
      </c>
      <c r="B1201" s="184">
        <v>127.4658</v>
      </c>
    </row>
    <row r="1202" spans="1:2" hidden="1" x14ac:dyDescent="0.3">
      <c r="A1202" s="183">
        <v>42704</v>
      </c>
      <c r="B1202" s="184">
        <v>127.5646</v>
      </c>
    </row>
    <row r="1203" spans="1:2" hidden="1" x14ac:dyDescent="0.3">
      <c r="A1203" s="183">
        <v>42705</v>
      </c>
      <c r="B1203" s="184">
        <v>127.48820000000001</v>
      </c>
    </row>
    <row r="1204" spans="1:2" hidden="1" x14ac:dyDescent="0.3">
      <c r="A1204" s="183">
        <v>42706</v>
      </c>
      <c r="B1204" s="184">
        <v>127.14100000000001</v>
      </c>
    </row>
    <row r="1205" spans="1:2" hidden="1" x14ac:dyDescent="0.3">
      <c r="A1205" s="183">
        <v>42709</v>
      </c>
      <c r="B1205" s="184">
        <v>126.92659999999999</v>
      </c>
    </row>
    <row r="1206" spans="1:2" hidden="1" x14ac:dyDescent="0.3">
      <c r="A1206" s="183">
        <v>42710</v>
      </c>
      <c r="B1206" s="184">
        <v>126.74120000000001</v>
      </c>
    </row>
    <row r="1207" spans="1:2" hidden="1" x14ac:dyDescent="0.3">
      <c r="A1207" s="183">
        <v>42711</v>
      </c>
      <c r="B1207" s="184">
        <v>126.45829999999999</v>
      </c>
    </row>
    <row r="1208" spans="1:2" hidden="1" x14ac:dyDescent="0.3">
      <c r="A1208" s="183">
        <v>42712</v>
      </c>
      <c r="B1208" s="184">
        <v>126.81440000000001</v>
      </c>
    </row>
    <row r="1209" spans="1:2" hidden="1" x14ac:dyDescent="0.3">
      <c r="A1209" s="183">
        <v>42713</v>
      </c>
      <c r="B1209" s="184">
        <v>127.1143</v>
      </c>
    </row>
    <row r="1210" spans="1:2" hidden="1" x14ac:dyDescent="0.3">
      <c r="A1210" s="183">
        <v>42716</v>
      </c>
      <c r="B1210" s="184">
        <v>126.73050000000001</v>
      </c>
    </row>
    <row r="1211" spans="1:2" hidden="1" x14ac:dyDescent="0.3">
      <c r="A1211" s="183">
        <v>42717</v>
      </c>
      <c r="B1211" s="184">
        <v>126.60469999999999</v>
      </c>
    </row>
    <row r="1212" spans="1:2" hidden="1" x14ac:dyDescent="0.3">
      <c r="A1212" s="183">
        <v>42718</v>
      </c>
      <c r="B1212" s="184">
        <v>126.5634</v>
      </c>
    </row>
    <row r="1213" spans="1:2" hidden="1" x14ac:dyDescent="0.3">
      <c r="A1213" s="183">
        <v>42719</v>
      </c>
      <c r="B1213" s="184">
        <v>128.6568</v>
      </c>
    </row>
    <row r="1214" spans="1:2" hidden="1" x14ac:dyDescent="0.3">
      <c r="A1214" s="183">
        <v>42720</v>
      </c>
      <c r="B1214" s="184">
        <v>128.2517</v>
      </c>
    </row>
    <row r="1215" spans="1:2" hidden="1" x14ac:dyDescent="0.3">
      <c r="A1215" s="183">
        <v>42723</v>
      </c>
      <c r="B1215" s="184">
        <v>128.2576</v>
      </c>
    </row>
    <row r="1216" spans="1:2" hidden="1" x14ac:dyDescent="0.3">
      <c r="A1216" s="183">
        <v>42724</v>
      </c>
      <c r="B1216" s="184">
        <v>128.49010000000001</v>
      </c>
    </row>
    <row r="1217" spans="1:3" hidden="1" x14ac:dyDescent="0.3">
      <c r="A1217" s="183">
        <v>42725</v>
      </c>
      <c r="B1217" s="184">
        <v>128.42449999999999</v>
      </c>
    </row>
    <row r="1218" spans="1:3" hidden="1" x14ac:dyDescent="0.3">
      <c r="A1218" s="183">
        <v>42726</v>
      </c>
      <c r="B1218" s="184">
        <v>128.67949999999999</v>
      </c>
    </row>
    <row r="1219" spans="1:3" hidden="1" x14ac:dyDescent="0.3">
      <c r="A1219" s="183">
        <v>42727</v>
      </c>
      <c r="B1219" s="184">
        <v>128.61969999999999</v>
      </c>
    </row>
    <row r="1220" spans="1:3" hidden="1" x14ac:dyDescent="0.3">
      <c r="A1220" s="183">
        <v>42731</v>
      </c>
      <c r="B1220" s="184">
        <v>128.7938</v>
      </c>
    </row>
    <row r="1221" spans="1:3" hidden="1" x14ac:dyDescent="0.3">
      <c r="A1221" s="183">
        <v>42732</v>
      </c>
      <c r="B1221" s="184">
        <v>129.0778</v>
      </c>
    </row>
    <row r="1222" spans="1:3" hidden="1" x14ac:dyDescent="0.3">
      <c r="A1222" s="183">
        <v>42733</v>
      </c>
      <c r="B1222" s="184">
        <v>128.5027</v>
      </c>
    </row>
    <row r="1223" spans="1:3" x14ac:dyDescent="0.3">
      <c r="A1223" s="183">
        <v>42734</v>
      </c>
      <c r="B1223" s="184">
        <v>128.2131</v>
      </c>
      <c r="C1223" s="185">
        <f>AVERAGE(B1163:B1223)</f>
        <v>125.5216163934426</v>
      </c>
    </row>
    <row r="1224" spans="1:3" hidden="1" x14ac:dyDescent="0.3">
      <c r="A1224" s="183">
        <v>42737</v>
      </c>
      <c r="B1224" s="184">
        <v>128.21029999999999</v>
      </c>
    </row>
    <row r="1225" spans="1:3" hidden="1" x14ac:dyDescent="0.3">
      <c r="A1225" s="183">
        <v>42738</v>
      </c>
      <c r="B1225" s="184">
        <v>128.96270000000001</v>
      </c>
    </row>
    <row r="1226" spans="1:3" hidden="1" x14ac:dyDescent="0.3">
      <c r="A1226" s="183">
        <v>42739</v>
      </c>
      <c r="B1226" s="184">
        <v>128.73439999999999</v>
      </c>
    </row>
    <row r="1227" spans="1:3" hidden="1" x14ac:dyDescent="0.3">
      <c r="A1227" s="183">
        <v>42740</v>
      </c>
      <c r="B1227" s="184">
        <v>127.7769</v>
      </c>
    </row>
    <row r="1228" spans="1:3" hidden="1" x14ac:dyDescent="0.3">
      <c r="A1228" s="183">
        <v>42741</v>
      </c>
      <c r="B1228" s="184">
        <v>128.18020000000001</v>
      </c>
    </row>
    <row r="1229" spans="1:3" hidden="1" x14ac:dyDescent="0.3">
      <c r="A1229" s="183">
        <v>42744</v>
      </c>
      <c r="B1229" s="184">
        <v>128.2527</v>
      </c>
    </row>
    <row r="1230" spans="1:3" hidden="1" x14ac:dyDescent="0.3">
      <c r="A1230" s="183">
        <v>42745</v>
      </c>
      <c r="B1230" s="184">
        <v>128.35400000000001</v>
      </c>
    </row>
    <row r="1231" spans="1:3" hidden="1" x14ac:dyDescent="0.3">
      <c r="A1231" s="183">
        <v>42746</v>
      </c>
      <c r="B1231" s="184">
        <v>128.8561</v>
      </c>
    </row>
    <row r="1232" spans="1:3" hidden="1" x14ac:dyDescent="0.3">
      <c r="A1232" s="183">
        <v>42747</v>
      </c>
      <c r="B1232" s="184">
        <v>127.5389</v>
      </c>
    </row>
    <row r="1233" spans="1:2" hidden="1" x14ac:dyDescent="0.3">
      <c r="A1233" s="183">
        <v>42748</v>
      </c>
      <c r="B1233" s="184">
        <v>127.7486</v>
      </c>
    </row>
    <row r="1234" spans="1:2" hidden="1" x14ac:dyDescent="0.3">
      <c r="A1234" s="183">
        <v>42751</v>
      </c>
      <c r="B1234" s="184">
        <v>127.7692</v>
      </c>
    </row>
    <row r="1235" spans="1:2" hidden="1" x14ac:dyDescent="0.3">
      <c r="A1235" s="183">
        <v>42752</v>
      </c>
      <c r="B1235" s="184">
        <v>126.9705</v>
      </c>
    </row>
    <row r="1236" spans="1:2" hidden="1" x14ac:dyDescent="0.3">
      <c r="A1236" s="183">
        <v>42753</v>
      </c>
      <c r="B1236" s="184">
        <v>127.411</v>
      </c>
    </row>
    <row r="1237" spans="1:2" hidden="1" x14ac:dyDescent="0.3">
      <c r="A1237" s="183">
        <v>42754</v>
      </c>
      <c r="B1237" s="184">
        <v>128.06</v>
      </c>
    </row>
    <row r="1238" spans="1:2" hidden="1" x14ac:dyDescent="0.3">
      <c r="A1238" s="183">
        <v>42755</v>
      </c>
      <c r="B1238" s="184">
        <v>128.0386</v>
      </c>
    </row>
    <row r="1239" spans="1:2" hidden="1" x14ac:dyDescent="0.3">
      <c r="A1239" s="183">
        <v>42758</v>
      </c>
      <c r="B1239" s="184">
        <v>126.9517</v>
      </c>
    </row>
    <row r="1240" spans="1:2" hidden="1" x14ac:dyDescent="0.3">
      <c r="A1240" s="183">
        <v>42759</v>
      </c>
      <c r="B1240" s="184">
        <v>126.7655</v>
      </c>
    </row>
    <row r="1241" spans="1:2" hidden="1" x14ac:dyDescent="0.3">
      <c r="A1241" s="183">
        <v>42760</v>
      </c>
      <c r="B1241" s="184">
        <v>126.69799999999999</v>
      </c>
    </row>
    <row r="1242" spans="1:2" hidden="1" x14ac:dyDescent="0.3">
      <c r="A1242" s="183">
        <v>42761</v>
      </c>
      <c r="B1242" s="184">
        <v>127.04510000000001</v>
      </c>
    </row>
    <row r="1243" spans="1:2" hidden="1" x14ac:dyDescent="0.3">
      <c r="A1243" s="183">
        <v>42762</v>
      </c>
      <c r="B1243" s="184">
        <v>126.83710000000001</v>
      </c>
    </row>
    <row r="1244" spans="1:2" hidden="1" x14ac:dyDescent="0.3">
      <c r="A1244" s="183">
        <v>42765</v>
      </c>
      <c r="B1244" s="184">
        <v>126.4712</v>
      </c>
    </row>
    <row r="1245" spans="1:2" hidden="1" x14ac:dyDescent="0.3">
      <c r="A1245" s="183">
        <v>42766</v>
      </c>
      <c r="B1245" s="184">
        <v>125.9632</v>
      </c>
    </row>
    <row r="1246" spans="1:2" hidden="1" x14ac:dyDescent="0.3">
      <c r="A1246" s="183">
        <v>42767</v>
      </c>
      <c r="B1246" s="184">
        <v>126.13590000000001</v>
      </c>
    </row>
    <row r="1247" spans="1:2" hidden="1" x14ac:dyDescent="0.3">
      <c r="A1247" s="183">
        <v>42768</v>
      </c>
      <c r="B1247" s="184">
        <v>125.6026</v>
      </c>
    </row>
    <row r="1248" spans="1:2" hidden="1" x14ac:dyDescent="0.3">
      <c r="A1248" s="183">
        <v>42769</v>
      </c>
      <c r="B1248" s="184">
        <v>125.28270000000001</v>
      </c>
    </row>
    <row r="1249" spans="1:2" hidden="1" x14ac:dyDescent="0.3">
      <c r="A1249" s="183">
        <v>42772</v>
      </c>
      <c r="B1249" s="184">
        <v>125.6922</v>
      </c>
    </row>
    <row r="1250" spans="1:2" hidden="1" x14ac:dyDescent="0.3">
      <c r="A1250" s="183">
        <v>42773</v>
      </c>
      <c r="B1250" s="184">
        <v>126.09990000000001</v>
      </c>
    </row>
    <row r="1251" spans="1:2" hidden="1" x14ac:dyDescent="0.3">
      <c r="A1251" s="183">
        <v>42774</v>
      </c>
      <c r="B1251" s="184">
        <v>125.815</v>
      </c>
    </row>
    <row r="1252" spans="1:2" hidden="1" x14ac:dyDescent="0.3">
      <c r="A1252" s="183">
        <v>42775</v>
      </c>
      <c r="B1252" s="184">
        <v>125.9791</v>
      </c>
    </row>
    <row r="1253" spans="1:2" hidden="1" x14ac:dyDescent="0.3">
      <c r="A1253" s="183">
        <v>42776</v>
      </c>
      <c r="B1253" s="184">
        <v>125.82299999999999</v>
      </c>
    </row>
    <row r="1254" spans="1:2" hidden="1" x14ac:dyDescent="0.3">
      <c r="A1254" s="183">
        <v>42779</v>
      </c>
      <c r="B1254" s="184">
        <v>126.017</v>
      </c>
    </row>
    <row r="1255" spans="1:2" hidden="1" x14ac:dyDescent="0.3">
      <c r="A1255" s="183">
        <v>42780</v>
      </c>
      <c r="B1255" s="184">
        <v>126.0155</v>
      </c>
    </row>
    <row r="1256" spans="1:2" hidden="1" x14ac:dyDescent="0.3">
      <c r="A1256" s="183">
        <v>42781</v>
      </c>
      <c r="B1256" s="184">
        <v>125.83880000000001</v>
      </c>
    </row>
    <row r="1257" spans="1:2" hidden="1" x14ac:dyDescent="0.3">
      <c r="A1257" s="183">
        <v>42782</v>
      </c>
      <c r="B1257" s="184">
        <v>125.6195</v>
      </c>
    </row>
    <row r="1258" spans="1:2" hidden="1" x14ac:dyDescent="0.3">
      <c r="A1258" s="183">
        <v>42783</v>
      </c>
      <c r="B1258" s="184">
        <v>126.0425</v>
      </c>
    </row>
    <row r="1259" spans="1:2" hidden="1" x14ac:dyDescent="0.3">
      <c r="A1259" s="183">
        <v>42786</v>
      </c>
      <c r="B1259" s="184">
        <v>126.0389</v>
      </c>
    </row>
    <row r="1260" spans="1:2" hidden="1" x14ac:dyDescent="0.3">
      <c r="A1260" s="183">
        <v>42787</v>
      </c>
      <c r="B1260" s="184">
        <v>126.23350000000001</v>
      </c>
    </row>
    <row r="1261" spans="1:2" hidden="1" x14ac:dyDescent="0.3">
      <c r="A1261" s="183">
        <v>42788</v>
      </c>
      <c r="B1261" s="184">
        <v>125.83459999999999</v>
      </c>
    </row>
    <row r="1262" spans="1:2" hidden="1" x14ac:dyDescent="0.3">
      <c r="A1262" s="183">
        <v>42789</v>
      </c>
      <c r="B1262" s="184">
        <v>125.24809999999999</v>
      </c>
    </row>
    <row r="1263" spans="1:2" hidden="1" x14ac:dyDescent="0.3">
      <c r="A1263" s="183">
        <v>42790</v>
      </c>
      <c r="B1263" s="184">
        <v>125.41540000000001</v>
      </c>
    </row>
    <row r="1264" spans="1:2" hidden="1" x14ac:dyDescent="0.3">
      <c r="A1264" s="183">
        <v>42793</v>
      </c>
      <c r="B1264" s="184">
        <v>125.2778</v>
      </c>
    </row>
    <row r="1265" spans="1:2" hidden="1" x14ac:dyDescent="0.3">
      <c r="A1265" s="183">
        <v>42794</v>
      </c>
      <c r="B1265" s="184">
        <v>125.5992</v>
      </c>
    </row>
    <row r="1266" spans="1:2" hidden="1" x14ac:dyDescent="0.3">
      <c r="A1266" s="183">
        <v>42795</v>
      </c>
      <c r="B1266" s="184">
        <v>126.044</v>
      </c>
    </row>
    <row r="1267" spans="1:2" hidden="1" x14ac:dyDescent="0.3">
      <c r="A1267" s="183">
        <v>42796</v>
      </c>
      <c r="B1267" s="184">
        <v>126.4661</v>
      </c>
    </row>
    <row r="1268" spans="1:2" hidden="1" x14ac:dyDescent="0.3">
      <c r="A1268" s="183">
        <v>42797</v>
      </c>
      <c r="B1268" s="184">
        <v>126.2717</v>
      </c>
    </row>
    <row r="1269" spans="1:2" hidden="1" x14ac:dyDescent="0.3">
      <c r="A1269" s="183">
        <v>42800</v>
      </c>
      <c r="B1269" s="184">
        <v>126.05459999999999</v>
      </c>
    </row>
    <row r="1270" spans="1:2" hidden="1" x14ac:dyDescent="0.3">
      <c r="A1270" s="183">
        <v>42801</v>
      </c>
      <c r="B1270" s="184">
        <v>126.04689999999999</v>
      </c>
    </row>
    <row r="1271" spans="1:2" hidden="1" x14ac:dyDescent="0.3">
      <c r="A1271" s="183">
        <v>42802</v>
      </c>
      <c r="B1271" s="184">
        <v>126.5172</v>
      </c>
    </row>
    <row r="1272" spans="1:2" hidden="1" x14ac:dyDescent="0.3">
      <c r="A1272" s="183">
        <v>42803</v>
      </c>
      <c r="B1272" s="184">
        <v>126.6562</v>
      </c>
    </row>
    <row r="1273" spans="1:2" hidden="1" x14ac:dyDescent="0.3">
      <c r="A1273" s="183">
        <v>42804</v>
      </c>
      <c r="B1273" s="184">
        <v>126.2568</v>
      </c>
    </row>
  </sheetData>
  <autoFilter ref="A15:C1273" xr:uid="{00000000-0009-0000-0000-000001000000}">
    <filterColumn colId="2">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AAPL Earnings Model</vt:lpstr>
      <vt:lpstr>Dollar Index</vt:lpstr>
      <vt:lpstr>'AAPL Earnings Model'!Print_Area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Jim</cp:lastModifiedBy>
  <cp:lastPrinted>2019-08-08T21:58:36Z</cp:lastPrinted>
  <dcterms:created xsi:type="dcterms:W3CDTF">2014-10-18T18:34:10Z</dcterms:created>
  <dcterms:modified xsi:type="dcterms:W3CDTF">2019-08-10T21:38:14Z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