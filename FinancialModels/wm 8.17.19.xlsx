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1929"/>
  <workbookPr codeName="ThisWorkbook" defaultThemeVersion="124226"/>
  <mc:AlternateContent xmlns:mc="http://schemas.openxmlformats.org/markup-compatibility/2006">
    <mc:Choice Requires="x15">
      <x15ac:absPath xmlns:x15ac="http://schemas.microsoft.com/office/spreadsheetml/2010/11/ac" url="C:\Users\Jim\Desktop\Equity Research Stuff\WM\"/>
    </mc:Choice>
  </mc:AlternateContent>
  <xr:revisionPtr revIDLastSave="0" documentId="13_ncr:1_{89BD5597-F069-454E-8A5F-2DC1EE89C4AD}" xr6:coauthVersionLast="44" xr6:coauthVersionMax="44" xr10:uidLastSave="{00000000-0000-0000-0000-000000000000}"/>
  <bookViews>
    <workbookView xWindow="-108" yWindow="-108" windowWidth="23256" windowHeight="12576" tabRatio="700" xr2:uid="{00000000-000D-0000-FFFF-FFFF00000000}"/>
  </bookViews>
  <sheets>
    <sheet name="Waste Management Earnings Model" sheetId="3" r:id="rId1"/>
    <sheet name="Comps Multiples" sheetId="19" r:id="rId2"/>
    <sheet name="Dollar Index" sheetId="18" state="hidden" r:id="rId3"/>
  </sheets>
  <definedNames>
    <definedName name="_xlnm._FilterDatabase" localSheetId="2" hidden="1">'Dollar Index'!$A$15:$C$1273</definedName>
    <definedName name="DATA">#REF!</definedName>
    <definedName name="_xlnm.Print_Area" localSheetId="0">'Waste Management Earnings Model'!$A$1:$AL$239</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C11" i="19" l="1"/>
  <c r="C10" i="19"/>
  <c r="C12" i="19" l="1"/>
  <c r="M64" i="3"/>
  <c r="P92" i="3" l="1"/>
  <c r="Q92" i="3" s="1"/>
  <c r="C200" i="3" l="1"/>
  <c r="C197" i="3"/>
  <c r="D194" i="3"/>
  <c r="R80" i="3" l="1"/>
  <c r="S80" i="3" s="1"/>
  <c r="T80" i="3" s="1"/>
  <c r="U80" i="3" s="1"/>
  <c r="V80" i="3" s="1"/>
  <c r="P100" i="3"/>
  <c r="Q100" i="3" s="1"/>
  <c r="P96" i="3"/>
  <c r="Q96" i="3" s="1"/>
  <c r="P93" i="3"/>
  <c r="Q93" i="3" s="1"/>
  <c r="P87" i="3"/>
  <c r="Q87" i="3" s="1"/>
  <c r="P82" i="3"/>
  <c r="Q82" i="3" s="1"/>
  <c r="P76" i="3"/>
  <c r="Q76" i="3" s="1"/>
  <c r="M173" i="3"/>
  <c r="P156" i="3"/>
  <c r="P181" i="3" l="1"/>
  <c r="P146" i="3"/>
  <c r="P143" i="3"/>
  <c r="P142" i="3"/>
  <c r="P141" i="3"/>
  <c r="J169" i="3"/>
  <c r="K169" i="3" s="1"/>
  <c r="L169" i="3" s="1"/>
  <c r="H169" i="3"/>
  <c r="M104" i="3"/>
  <c r="H104" i="3"/>
  <c r="O103" i="3"/>
  <c r="O105" i="3" s="1"/>
  <c r="N103" i="3"/>
  <c r="N105" i="3" s="1"/>
  <c r="L103" i="3"/>
  <c r="L105" i="3" s="1"/>
  <c r="K103" i="3"/>
  <c r="K105" i="3" s="1"/>
  <c r="J103" i="3"/>
  <c r="J105" i="3" s="1"/>
  <c r="I103" i="3"/>
  <c r="I105" i="3" s="1"/>
  <c r="G103" i="3"/>
  <c r="G105" i="3" s="1"/>
  <c r="F103" i="3"/>
  <c r="F105" i="3" s="1"/>
  <c r="E103" i="3"/>
  <c r="E105" i="3" s="1"/>
  <c r="D103" i="3"/>
  <c r="D105" i="3" s="1"/>
  <c r="O166" i="3"/>
  <c r="J166" i="3"/>
  <c r="K166" i="3" s="1"/>
  <c r="L166" i="3" s="1"/>
  <c r="E166" i="3"/>
  <c r="F166" i="3" s="1"/>
  <c r="G166" i="3" s="1"/>
  <c r="O154" i="3"/>
  <c r="P154" i="3" s="1"/>
  <c r="J154" i="3"/>
  <c r="K154" i="3" s="1"/>
  <c r="L154" i="3" s="1"/>
  <c r="E154" i="3"/>
  <c r="F154" i="3" s="1"/>
  <c r="G154" i="3" s="1"/>
  <c r="O153" i="3"/>
  <c r="J153" i="3"/>
  <c r="K153" i="3" s="1"/>
  <c r="L153" i="3" s="1"/>
  <c r="E153" i="3"/>
  <c r="F153" i="3" s="1"/>
  <c r="G153" i="3" s="1"/>
  <c r="O145" i="3"/>
  <c r="J145" i="3"/>
  <c r="K145" i="3" s="1"/>
  <c r="L145" i="3" s="1"/>
  <c r="E145" i="3"/>
  <c r="F145" i="3" s="1"/>
  <c r="G145" i="3" s="1"/>
  <c r="O144" i="3"/>
  <c r="J144" i="3"/>
  <c r="K144" i="3" s="1"/>
  <c r="L144" i="3" s="1"/>
  <c r="E144" i="3"/>
  <c r="F144" i="3" s="1"/>
  <c r="G144" i="3" s="1"/>
  <c r="O140" i="3"/>
  <c r="J140" i="3"/>
  <c r="K140" i="3" s="1"/>
  <c r="L140" i="3" s="1"/>
  <c r="E140" i="3"/>
  <c r="F140" i="3" s="1"/>
  <c r="G140" i="3" s="1"/>
  <c r="O136" i="3"/>
  <c r="J136" i="3"/>
  <c r="K136" i="3" s="1"/>
  <c r="L136" i="3" s="1"/>
  <c r="E136" i="3"/>
  <c r="F136" i="3" s="1"/>
  <c r="G136" i="3" s="1"/>
  <c r="M102" i="3"/>
  <c r="H102" i="3"/>
  <c r="M101" i="3"/>
  <c r="H101" i="3"/>
  <c r="H96" i="3"/>
  <c r="M96" i="3"/>
  <c r="M63" i="3"/>
  <c r="M62" i="3"/>
  <c r="M61" i="3"/>
  <c r="M60" i="3"/>
  <c r="M59" i="3"/>
  <c r="M57" i="3"/>
  <c r="M56" i="3"/>
  <c r="M55" i="3"/>
  <c r="M54" i="3"/>
  <c r="M48" i="3"/>
  <c r="M47" i="3"/>
  <c r="P47" i="3"/>
  <c r="Q47" i="3" s="1"/>
  <c r="P48" i="3"/>
  <c r="P164" i="3" s="1"/>
  <c r="H48" i="3"/>
  <c r="H47" i="3"/>
  <c r="P29" i="3"/>
  <c r="P19" i="3"/>
  <c r="M133" i="3"/>
  <c r="H133" i="3"/>
  <c r="G134" i="3"/>
  <c r="F134" i="3"/>
  <c r="E134" i="3"/>
  <c r="D134" i="3"/>
  <c r="M29" i="3"/>
  <c r="M23" i="3"/>
  <c r="M20" i="3"/>
  <c r="P20" i="3" s="1"/>
  <c r="M19" i="3"/>
  <c r="M18" i="3"/>
  <c r="M14" i="3"/>
  <c r="M13" i="3"/>
  <c r="M11" i="3"/>
  <c r="H11" i="3"/>
  <c r="H63" i="3"/>
  <c r="H62" i="3"/>
  <c r="H61" i="3"/>
  <c r="H60" i="3"/>
  <c r="H59" i="3"/>
  <c r="O58" i="3"/>
  <c r="O65" i="3" s="1"/>
  <c r="N58" i="3"/>
  <c r="N65" i="3" s="1"/>
  <c r="L58" i="3"/>
  <c r="L65" i="3" s="1"/>
  <c r="K58" i="3"/>
  <c r="K65" i="3" s="1"/>
  <c r="J58" i="3"/>
  <c r="J65" i="3" s="1"/>
  <c r="I58" i="3"/>
  <c r="I65" i="3" s="1"/>
  <c r="G58" i="3"/>
  <c r="F58" i="3"/>
  <c r="E58" i="3"/>
  <c r="D58" i="3"/>
  <c r="H57" i="3"/>
  <c r="H56" i="3"/>
  <c r="H55" i="3"/>
  <c r="H54" i="3"/>
  <c r="J10" i="3" l="1"/>
  <c r="F65" i="3"/>
  <c r="F10" i="3" s="1"/>
  <c r="K10" i="3"/>
  <c r="G65" i="3"/>
  <c r="G10" i="3" s="1"/>
  <c r="L10" i="3"/>
  <c r="E65" i="3"/>
  <c r="E10" i="3" s="1"/>
  <c r="O10" i="3"/>
  <c r="D65" i="3"/>
  <c r="D10" i="3" s="1"/>
  <c r="I10" i="3"/>
  <c r="N10" i="3"/>
  <c r="R47" i="3"/>
  <c r="S47" i="3"/>
  <c r="T47" i="3" s="1"/>
  <c r="U47" i="3" s="1"/>
  <c r="V47" i="3" s="1"/>
  <c r="X47" i="3" s="1"/>
  <c r="Y47" i="3" s="1"/>
  <c r="H134" i="3"/>
  <c r="M58" i="3"/>
  <c r="M65" i="3" s="1"/>
  <c r="H58" i="3"/>
  <c r="H65" i="3" s="1"/>
  <c r="M15" i="3"/>
  <c r="M21" i="3"/>
  <c r="Q48" i="3"/>
  <c r="Q164" i="3" s="1"/>
  <c r="R164" i="3" s="1"/>
  <c r="M80" i="3"/>
  <c r="S156" i="3"/>
  <c r="W80" i="3"/>
  <c r="M71" i="3"/>
  <c r="M78" i="3"/>
  <c r="O111" i="3"/>
  <c r="P111" i="3" s="1"/>
  <c r="S111" i="3" s="1"/>
  <c r="T111" i="3" s="1"/>
  <c r="U111" i="3" s="1"/>
  <c r="X111" i="3" s="1"/>
  <c r="Y111" i="3" s="1"/>
  <c r="Z111" i="3" s="1"/>
  <c r="AC111" i="3" s="1"/>
  <c r="AD111" i="3" s="1"/>
  <c r="AE111" i="3" s="1"/>
  <c r="AH111" i="3" s="1"/>
  <c r="AI111" i="3" s="1"/>
  <c r="AJ111" i="3" s="1"/>
  <c r="AK111" i="3" s="1"/>
  <c r="N111" i="3"/>
  <c r="L111" i="3"/>
  <c r="N190" i="3"/>
  <c r="S190" i="3" s="1"/>
  <c r="X190" i="3" s="1"/>
  <c r="AC190" i="3" s="1"/>
  <c r="AH190" i="3" s="1"/>
  <c r="N191" i="3"/>
  <c r="S191" i="3" s="1"/>
  <c r="X191" i="3" s="1"/>
  <c r="AC191" i="3" s="1"/>
  <c r="AH191" i="3" s="1"/>
  <c r="O190" i="3"/>
  <c r="T190" i="3" s="1"/>
  <c r="Y190" i="3" s="1"/>
  <c r="AD190" i="3" s="1"/>
  <c r="AI190" i="3" s="1"/>
  <c r="O191" i="3"/>
  <c r="T191" i="3" s="1"/>
  <c r="Y191" i="3" s="1"/>
  <c r="AD191" i="3" s="1"/>
  <c r="AI191" i="3" s="1"/>
  <c r="Q20" i="3"/>
  <c r="R20" i="3" s="1"/>
  <c r="Q29" i="3"/>
  <c r="S100" i="3"/>
  <c r="T100" i="3" s="1"/>
  <c r="U100" i="3" s="1"/>
  <c r="V100" i="3" s="1"/>
  <c r="X100" i="3" s="1"/>
  <c r="Y100" i="3" s="1"/>
  <c r="Z100" i="3" s="1"/>
  <c r="AA100" i="3" s="1"/>
  <c r="AC100" i="3" s="1"/>
  <c r="AD100" i="3" s="1"/>
  <c r="AE100" i="3" s="1"/>
  <c r="AF100" i="3" s="1"/>
  <c r="O124" i="3"/>
  <c r="N124" i="3"/>
  <c r="L124" i="3"/>
  <c r="O126" i="3"/>
  <c r="N126" i="3"/>
  <c r="L126" i="3"/>
  <c r="S29" i="3"/>
  <c r="X29" i="3" s="1"/>
  <c r="AC29" i="3" s="1"/>
  <c r="AH29" i="3" s="1"/>
  <c r="T29" i="3"/>
  <c r="Y29" i="3" s="1"/>
  <c r="AD29" i="3" s="1"/>
  <c r="AI29" i="3" s="1"/>
  <c r="L114" i="3"/>
  <c r="L115" i="3" s="1"/>
  <c r="K114" i="3"/>
  <c r="K115" i="3" s="1"/>
  <c r="N114" i="3"/>
  <c r="N115" i="3" s="1"/>
  <c r="O114" i="3"/>
  <c r="L113" i="3"/>
  <c r="K113" i="3"/>
  <c r="N113" i="3"/>
  <c r="O113" i="3"/>
  <c r="L118" i="3"/>
  <c r="L119" i="3" s="1"/>
  <c r="K118" i="3"/>
  <c r="K119" i="3" s="1"/>
  <c r="N118" i="3"/>
  <c r="N119" i="3" s="1"/>
  <c r="O118" i="3"/>
  <c r="X132" i="3"/>
  <c r="Y132" i="3"/>
  <c r="Z132" i="3"/>
  <c r="AA132" i="3"/>
  <c r="AL136" i="3"/>
  <c r="AL137" i="3"/>
  <c r="R74" i="3"/>
  <c r="S76" i="3"/>
  <c r="T76" i="3" s="1"/>
  <c r="U76" i="3" s="1"/>
  <c r="V76" i="3" s="1"/>
  <c r="S82" i="3"/>
  <c r="T82" i="3" s="1"/>
  <c r="U82" i="3" s="1"/>
  <c r="V82" i="3" s="1"/>
  <c r="S87" i="3"/>
  <c r="T87" i="3" s="1"/>
  <c r="R93" i="3"/>
  <c r="S93" i="3" s="1"/>
  <c r="AL160" i="3"/>
  <c r="AL151" i="3"/>
  <c r="AL152" i="3"/>
  <c r="AL153" i="3"/>
  <c r="R160" i="3"/>
  <c r="R136" i="3"/>
  <c r="R137" i="3"/>
  <c r="R151" i="3"/>
  <c r="R152" i="3"/>
  <c r="R153" i="3"/>
  <c r="Q156" i="3"/>
  <c r="R156" i="3" s="1"/>
  <c r="H160" i="3"/>
  <c r="H161" i="3"/>
  <c r="H162" i="3"/>
  <c r="H163" i="3"/>
  <c r="H164" i="3"/>
  <c r="H165" i="3"/>
  <c r="H166" i="3"/>
  <c r="H167" i="3"/>
  <c r="H150" i="3"/>
  <c r="H151" i="3"/>
  <c r="H152" i="3"/>
  <c r="H153" i="3"/>
  <c r="H154" i="3"/>
  <c r="H155" i="3"/>
  <c r="H156" i="3"/>
  <c r="H135" i="3"/>
  <c r="H136" i="3"/>
  <c r="H140" i="3"/>
  <c r="H141" i="3"/>
  <c r="H142" i="3"/>
  <c r="H143" i="3"/>
  <c r="H144" i="3"/>
  <c r="H145" i="3"/>
  <c r="H146" i="3"/>
  <c r="H14" i="3"/>
  <c r="H13" i="3"/>
  <c r="H18" i="3"/>
  <c r="H19" i="3"/>
  <c r="H20" i="3"/>
  <c r="H23" i="3"/>
  <c r="M160" i="3"/>
  <c r="M161" i="3"/>
  <c r="M162" i="3"/>
  <c r="M163" i="3"/>
  <c r="M164" i="3"/>
  <c r="M165" i="3"/>
  <c r="M166" i="3"/>
  <c r="M167" i="3"/>
  <c r="M150" i="3"/>
  <c r="M151" i="3"/>
  <c r="M152" i="3"/>
  <c r="M153" i="3"/>
  <c r="M154" i="3"/>
  <c r="M155" i="3"/>
  <c r="P155" i="3" s="1"/>
  <c r="P81" i="3" s="1"/>
  <c r="M156" i="3"/>
  <c r="M135" i="3"/>
  <c r="M136" i="3"/>
  <c r="M137" i="3"/>
  <c r="M140" i="3"/>
  <c r="M141" i="3"/>
  <c r="M142" i="3"/>
  <c r="M143" i="3"/>
  <c r="M144" i="3"/>
  <c r="M145" i="3"/>
  <c r="M146" i="3"/>
  <c r="W160" i="3"/>
  <c r="W136" i="3"/>
  <c r="W137" i="3"/>
  <c r="R87" i="3"/>
  <c r="W151" i="3"/>
  <c r="W152" i="3"/>
  <c r="W153" i="3"/>
  <c r="T156" i="3"/>
  <c r="U156" i="3"/>
  <c r="V156" i="3"/>
  <c r="AB160" i="3"/>
  <c r="AB136" i="3"/>
  <c r="AB137" i="3"/>
  <c r="AB151" i="3"/>
  <c r="AB152" i="3"/>
  <c r="AB153" i="3"/>
  <c r="AG160" i="3"/>
  <c r="AG136" i="3"/>
  <c r="AG137" i="3"/>
  <c r="AG151" i="3"/>
  <c r="AG152" i="3"/>
  <c r="AG153" i="3"/>
  <c r="N168" i="3"/>
  <c r="N157" i="3"/>
  <c r="N21" i="3"/>
  <c r="O168" i="3"/>
  <c r="O157" i="3"/>
  <c r="O21" i="3"/>
  <c r="P21" i="3"/>
  <c r="E181" i="3"/>
  <c r="E184" i="3" s="1"/>
  <c r="C203" i="3" s="1"/>
  <c r="C215" i="3"/>
  <c r="C217" i="3" s="1"/>
  <c r="R100" i="3"/>
  <c r="R179" i="3"/>
  <c r="R182" i="3" s="1"/>
  <c r="I21" i="3"/>
  <c r="J21" i="3"/>
  <c r="K21" i="3"/>
  <c r="L21" i="3"/>
  <c r="M92" i="3"/>
  <c r="M89" i="3"/>
  <c r="M179" i="3"/>
  <c r="M182" i="3" s="1"/>
  <c r="G168" i="3"/>
  <c r="D168" i="3"/>
  <c r="D157" i="3"/>
  <c r="D21" i="3"/>
  <c r="E168" i="3"/>
  <c r="E157" i="3"/>
  <c r="E21" i="3"/>
  <c r="F21" i="3"/>
  <c r="F168" i="3"/>
  <c r="F157" i="3"/>
  <c r="G21" i="3"/>
  <c r="G157" i="3"/>
  <c r="I168" i="3"/>
  <c r="I157" i="3"/>
  <c r="J168" i="3"/>
  <c r="J157" i="3"/>
  <c r="K168" i="3"/>
  <c r="K157" i="3"/>
  <c r="L168" i="3"/>
  <c r="L157" i="3"/>
  <c r="R96" i="3"/>
  <c r="S96" i="3" s="1"/>
  <c r="T96" i="3" s="1"/>
  <c r="U96" i="3" s="1"/>
  <c r="V96" i="3" s="1"/>
  <c r="W96" i="3" s="1"/>
  <c r="X96" i="3" s="1"/>
  <c r="Y96" i="3" s="1"/>
  <c r="Z96" i="3" s="1"/>
  <c r="AA96" i="3" s="1"/>
  <c r="AB96" i="3" s="1"/>
  <c r="AC96" i="3" s="1"/>
  <c r="AD96" i="3" s="1"/>
  <c r="AE96" i="3" s="1"/>
  <c r="AF96" i="3" s="1"/>
  <c r="AG96" i="3" s="1"/>
  <c r="AH96" i="3" s="1"/>
  <c r="AI96" i="3" s="1"/>
  <c r="AJ96" i="3" s="1"/>
  <c r="AK96" i="3" s="1"/>
  <c r="AL96" i="3" s="1"/>
  <c r="O194" i="3"/>
  <c r="N194" i="3"/>
  <c r="L194" i="3"/>
  <c r="K194" i="3"/>
  <c r="J194" i="3"/>
  <c r="I194" i="3"/>
  <c r="L191" i="3"/>
  <c r="K191" i="3"/>
  <c r="J191" i="3"/>
  <c r="I191" i="3"/>
  <c r="L190" i="3"/>
  <c r="K190" i="3"/>
  <c r="J190" i="3"/>
  <c r="I190" i="3"/>
  <c r="G194" i="3"/>
  <c r="F194" i="3"/>
  <c r="G191" i="3"/>
  <c r="F191" i="3"/>
  <c r="G190" i="3"/>
  <c r="F190" i="3"/>
  <c r="O181" i="3"/>
  <c r="O184" i="3" s="1"/>
  <c r="N181" i="3"/>
  <c r="N184" i="3" s="1"/>
  <c r="L181" i="3"/>
  <c r="L184" i="3" s="1"/>
  <c r="K181" i="3"/>
  <c r="K184" i="3" s="1"/>
  <c r="J181" i="3"/>
  <c r="J184" i="3" s="1"/>
  <c r="I181" i="3"/>
  <c r="I184" i="3" s="1"/>
  <c r="G181" i="3"/>
  <c r="G184" i="3" s="1"/>
  <c r="F181" i="3"/>
  <c r="F184" i="3" s="1"/>
  <c r="E43" i="3"/>
  <c r="H71" i="3"/>
  <c r="H78" i="3"/>
  <c r="H92" i="3"/>
  <c r="H89" i="3"/>
  <c r="H179" i="3"/>
  <c r="H182" i="3" s="1"/>
  <c r="O125" i="3"/>
  <c r="N125" i="3"/>
  <c r="O122" i="3"/>
  <c r="N122" i="3"/>
  <c r="O110" i="3"/>
  <c r="N110" i="3"/>
  <c r="K126" i="3"/>
  <c r="J126" i="3"/>
  <c r="I126" i="3"/>
  <c r="L125" i="3"/>
  <c r="K125" i="3"/>
  <c r="J125" i="3"/>
  <c r="I125" i="3"/>
  <c r="K124" i="3"/>
  <c r="J124" i="3"/>
  <c r="I124" i="3"/>
  <c r="L122" i="3"/>
  <c r="K122" i="3"/>
  <c r="J122" i="3"/>
  <c r="I122" i="3"/>
  <c r="J114" i="3"/>
  <c r="J115" i="3" s="1"/>
  <c r="J118" i="3"/>
  <c r="J119" i="3" s="1"/>
  <c r="I114" i="3"/>
  <c r="I115" i="3" s="1"/>
  <c r="I118" i="3"/>
  <c r="I119" i="3" s="1"/>
  <c r="J113" i="3"/>
  <c r="I113" i="3"/>
  <c r="K111" i="3"/>
  <c r="J111" i="3"/>
  <c r="I111" i="3"/>
  <c r="L110" i="3"/>
  <c r="K110" i="3"/>
  <c r="J110" i="3"/>
  <c r="I110" i="3"/>
  <c r="G126" i="3"/>
  <c r="F126" i="3"/>
  <c r="G125" i="3"/>
  <c r="F125" i="3"/>
  <c r="G124" i="3"/>
  <c r="F124" i="3"/>
  <c r="G123" i="3"/>
  <c r="F123" i="3"/>
  <c r="G122" i="3"/>
  <c r="F122" i="3"/>
  <c r="G114" i="3"/>
  <c r="G115" i="3" s="1"/>
  <c r="G118" i="3"/>
  <c r="G119" i="3" s="1"/>
  <c r="F114" i="3"/>
  <c r="F115" i="3" s="1"/>
  <c r="F118" i="3"/>
  <c r="F119" i="3" s="1"/>
  <c r="G113" i="3"/>
  <c r="F113" i="3"/>
  <c r="G111" i="3"/>
  <c r="F111" i="3"/>
  <c r="G110" i="3"/>
  <c r="F110" i="3"/>
  <c r="M100" i="3"/>
  <c r="H100" i="3"/>
  <c r="M99" i="3"/>
  <c r="H99" i="3"/>
  <c r="M98" i="3"/>
  <c r="H98" i="3"/>
  <c r="M93" i="3"/>
  <c r="H93" i="3"/>
  <c r="M91" i="3"/>
  <c r="H91" i="3"/>
  <c r="M88" i="3"/>
  <c r="H88" i="3"/>
  <c r="M87" i="3"/>
  <c r="H87" i="3"/>
  <c r="M86" i="3"/>
  <c r="H86" i="3"/>
  <c r="M82" i="3"/>
  <c r="H82" i="3"/>
  <c r="M81" i="3"/>
  <c r="H81" i="3"/>
  <c r="H80" i="3"/>
  <c r="M79" i="3"/>
  <c r="H79" i="3"/>
  <c r="O90" i="3"/>
  <c r="O94" i="3" s="1"/>
  <c r="O106" i="3" s="1"/>
  <c r="N90" i="3"/>
  <c r="N94" i="3" s="1"/>
  <c r="N106" i="3" s="1"/>
  <c r="L90" i="3"/>
  <c r="L94" i="3" s="1"/>
  <c r="L106" i="3" s="1"/>
  <c r="K90" i="3"/>
  <c r="K94" i="3" s="1"/>
  <c r="K106" i="3" s="1"/>
  <c r="J90" i="3"/>
  <c r="J94" i="3" s="1"/>
  <c r="J106" i="3" s="1"/>
  <c r="I90" i="3"/>
  <c r="I94" i="3" s="1"/>
  <c r="I106" i="3" s="1"/>
  <c r="G90" i="3"/>
  <c r="G94" i="3" s="1"/>
  <c r="G106" i="3" s="1"/>
  <c r="F90" i="3"/>
  <c r="F94" i="3" s="1"/>
  <c r="F106" i="3" s="1"/>
  <c r="M72" i="3"/>
  <c r="M73" i="3"/>
  <c r="M74" i="3"/>
  <c r="M75" i="3"/>
  <c r="M76" i="3"/>
  <c r="H72" i="3"/>
  <c r="H73" i="3"/>
  <c r="H74" i="3"/>
  <c r="H75" i="3"/>
  <c r="H76" i="3"/>
  <c r="P49" i="3"/>
  <c r="O49" i="3"/>
  <c r="O46" i="3" s="1"/>
  <c r="O43" i="3"/>
  <c r="N49" i="3"/>
  <c r="L49" i="3"/>
  <c r="L43" i="3"/>
  <c r="K49" i="3"/>
  <c r="K46" i="3" s="1"/>
  <c r="K43" i="3"/>
  <c r="J49" i="3"/>
  <c r="J46" i="3" s="1"/>
  <c r="J43" i="3"/>
  <c r="I49" i="3"/>
  <c r="G49" i="3"/>
  <c r="G43" i="3"/>
  <c r="F49" i="3"/>
  <c r="F43" i="3"/>
  <c r="O15" i="3"/>
  <c r="N15" i="3"/>
  <c r="L15" i="3"/>
  <c r="K15" i="3"/>
  <c r="J15" i="3"/>
  <c r="I15" i="3"/>
  <c r="O30" i="3"/>
  <c r="N30" i="3"/>
  <c r="H29" i="3"/>
  <c r="L30" i="3"/>
  <c r="K30" i="3"/>
  <c r="J30" i="3"/>
  <c r="I30" i="3"/>
  <c r="G15" i="3"/>
  <c r="F15" i="3"/>
  <c r="E49" i="3"/>
  <c r="E46" i="3" s="1"/>
  <c r="D49" i="3"/>
  <c r="E122" i="3"/>
  <c r="E118" i="3"/>
  <c r="E119" i="3" s="1"/>
  <c r="E114" i="3"/>
  <c r="E115" i="3" s="1"/>
  <c r="E113" i="3"/>
  <c r="E111" i="3"/>
  <c r="E110" i="3"/>
  <c r="E194" i="3"/>
  <c r="E123" i="3"/>
  <c r="E126" i="3"/>
  <c r="E191" i="3"/>
  <c r="E190" i="3"/>
  <c r="D191" i="3"/>
  <c r="D190" i="3"/>
  <c r="D111" i="3"/>
  <c r="D110" i="3"/>
  <c r="D122" i="3"/>
  <c r="D123" i="3"/>
  <c r="D181" i="3"/>
  <c r="D184" i="3" s="1"/>
  <c r="C94" i="18"/>
  <c r="C157" i="18"/>
  <c r="C219" i="18"/>
  <c r="C280" i="18"/>
  <c r="C344" i="18"/>
  <c r="C408" i="18"/>
  <c r="C470" i="18"/>
  <c r="C531" i="18"/>
  <c r="C595" i="18"/>
  <c r="C659" i="18"/>
  <c r="C721" i="18"/>
  <c r="C782" i="18"/>
  <c r="C846" i="18"/>
  <c r="C910" i="18"/>
  <c r="C972" i="18"/>
  <c r="C1034" i="18"/>
  <c r="C1098" i="18"/>
  <c r="C1162" i="18"/>
  <c r="C1223" i="18"/>
  <c r="D118" i="3"/>
  <c r="D119" i="3" s="1"/>
  <c r="D113" i="3"/>
  <c r="D114" i="3"/>
  <c r="D115" i="3" s="1"/>
  <c r="E125" i="3"/>
  <c r="D126" i="3"/>
  <c r="D125" i="3"/>
  <c r="D43" i="3"/>
  <c r="D15" i="3"/>
  <c r="E15" i="3"/>
  <c r="D90" i="3"/>
  <c r="D94" i="3" s="1"/>
  <c r="D106" i="3" s="1"/>
  <c r="E124" i="3"/>
  <c r="E90" i="3"/>
  <c r="E94" i="3" s="1"/>
  <c r="E106" i="3" s="1"/>
  <c r="Q181" i="3"/>
  <c r="K33" i="3" l="1"/>
  <c r="P33" i="3" s="1"/>
  <c r="K12" i="3"/>
  <c r="K189" i="3"/>
  <c r="K116" i="3"/>
  <c r="K117" i="3" s="1"/>
  <c r="K120" i="3" s="1"/>
  <c r="K34" i="3"/>
  <c r="K40" i="3"/>
  <c r="P40" i="3" s="1"/>
  <c r="U40" i="3" s="1"/>
  <c r="Z40" i="3" s="1"/>
  <c r="AE40" i="3" s="1"/>
  <c r="AJ40" i="3" s="1"/>
  <c r="K39" i="3"/>
  <c r="P39" i="3" s="1"/>
  <c r="U39" i="3" s="1"/>
  <c r="Z39" i="3" s="1"/>
  <c r="AE39" i="3" s="1"/>
  <c r="AJ39" i="3" s="1"/>
  <c r="K121" i="3"/>
  <c r="D34" i="3"/>
  <c r="D39" i="3"/>
  <c r="D121" i="3"/>
  <c r="D12" i="3"/>
  <c r="D35" i="3" s="1"/>
  <c r="D116" i="3"/>
  <c r="D117" i="3" s="1"/>
  <c r="D40" i="3"/>
  <c r="D189" i="3"/>
  <c r="H10" i="3"/>
  <c r="H12" i="3" s="1"/>
  <c r="H35" i="3" s="1"/>
  <c r="O121" i="3"/>
  <c r="O12" i="3"/>
  <c r="O34" i="3"/>
  <c r="O116" i="3"/>
  <c r="O117" i="3" s="1"/>
  <c r="O189" i="3"/>
  <c r="O40" i="3"/>
  <c r="T40" i="3" s="1"/>
  <c r="Y40" i="3" s="1"/>
  <c r="AD40" i="3" s="1"/>
  <c r="AI40" i="3" s="1"/>
  <c r="O33" i="3"/>
  <c r="O39" i="3"/>
  <c r="T39" i="3" s="1"/>
  <c r="Y39" i="3" s="1"/>
  <c r="AD39" i="3" s="1"/>
  <c r="AI39" i="3" s="1"/>
  <c r="N34" i="3"/>
  <c r="N33" i="3"/>
  <c r="N116" i="3"/>
  <c r="N117" i="3" s="1"/>
  <c r="N120" i="3" s="1"/>
  <c r="N40" i="3"/>
  <c r="S40" i="3" s="1"/>
  <c r="X40" i="3" s="1"/>
  <c r="AC40" i="3" s="1"/>
  <c r="AH40" i="3" s="1"/>
  <c r="N189" i="3"/>
  <c r="N121" i="3"/>
  <c r="N39" i="3"/>
  <c r="N12" i="3"/>
  <c r="N35" i="3" s="1"/>
  <c r="S35" i="3" s="1"/>
  <c r="X35" i="3" s="1"/>
  <c r="AC35" i="3" s="1"/>
  <c r="AH35" i="3" s="1"/>
  <c r="E121" i="3"/>
  <c r="E189" i="3"/>
  <c r="E40" i="3"/>
  <c r="E12" i="3"/>
  <c r="E35" i="3" s="1"/>
  <c r="E116" i="3"/>
  <c r="E117" i="3" s="1"/>
  <c r="E34" i="3"/>
  <c r="E39" i="3"/>
  <c r="F121" i="3"/>
  <c r="F39" i="3"/>
  <c r="F12" i="3"/>
  <c r="F40" i="3"/>
  <c r="F189" i="3"/>
  <c r="P189" i="3" s="1"/>
  <c r="F116" i="3"/>
  <c r="F117" i="3" s="1"/>
  <c r="F34" i="3"/>
  <c r="G34" i="3"/>
  <c r="G40" i="3"/>
  <c r="G121" i="3"/>
  <c r="G189" i="3"/>
  <c r="G116" i="3"/>
  <c r="G117" i="3" s="1"/>
  <c r="G12" i="3"/>
  <c r="G16" i="3" s="1"/>
  <c r="G39" i="3"/>
  <c r="I34" i="3"/>
  <c r="M10" i="3"/>
  <c r="M12" i="3" s="1"/>
  <c r="M35" i="3" s="1"/>
  <c r="I12" i="3"/>
  <c r="I35" i="3" s="1"/>
  <c r="I189" i="3"/>
  <c r="I39" i="3"/>
  <c r="I33" i="3"/>
  <c r="I121" i="3"/>
  <c r="I116" i="3"/>
  <c r="I117" i="3" s="1"/>
  <c r="I40" i="3"/>
  <c r="L12" i="3"/>
  <c r="L40" i="3"/>
  <c r="Q40" i="3" s="1"/>
  <c r="V40" i="3" s="1"/>
  <c r="AA40" i="3" s="1"/>
  <c r="AF40" i="3" s="1"/>
  <c r="AK40" i="3" s="1"/>
  <c r="L121" i="3"/>
  <c r="L34" i="3"/>
  <c r="L189" i="3"/>
  <c r="L33" i="3"/>
  <c r="Q33" i="3" s="1"/>
  <c r="L39" i="3"/>
  <c r="Q39" i="3" s="1"/>
  <c r="V39" i="3" s="1"/>
  <c r="AA39" i="3" s="1"/>
  <c r="AF39" i="3" s="1"/>
  <c r="AK39" i="3" s="1"/>
  <c r="L116" i="3"/>
  <c r="L117" i="3" s="1"/>
  <c r="J121" i="3"/>
  <c r="J34" i="3"/>
  <c r="J40" i="3"/>
  <c r="J33" i="3"/>
  <c r="J116" i="3"/>
  <c r="J117" i="3" s="1"/>
  <c r="J120" i="3" s="1"/>
  <c r="J189" i="3"/>
  <c r="J12" i="3"/>
  <c r="J35" i="3" s="1"/>
  <c r="J39" i="3"/>
  <c r="P191" i="3"/>
  <c r="H193" i="3"/>
  <c r="Q111" i="3"/>
  <c r="H190" i="3"/>
  <c r="Q190" i="3"/>
  <c r="V190" i="3" s="1"/>
  <c r="Q191" i="3"/>
  <c r="V191" i="3" s="1"/>
  <c r="O119" i="3"/>
  <c r="P118" i="3"/>
  <c r="P119" i="3" s="1"/>
  <c r="P113" i="3"/>
  <c r="O115" i="3"/>
  <c r="P114" i="3"/>
  <c r="P115" i="3" s="1"/>
  <c r="P124" i="3"/>
  <c r="Q124" i="3" s="1"/>
  <c r="S124" i="3" s="1"/>
  <c r="T124" i="3" s="1"/>
  <c r="U124" i="3" s="1"/>
  <c r="V124" i="3" s="1"/>
  <c r="X124" i="3" s="1"/>
  <c r="Y124" i="3" s="1"/>
  <c r="Z124" i="3" s="1"/>
  <c r="AA124" i="3" s="1"/>
  <c r="AC124" i="3" s="1"/>
  <c r="AD124" i="3" s="1"/>
  <c r="AE124" i="3" s="1"/>
  <c r="AF124" i="3" s="1"/>
  <c r="AH124" i="3" s="1"/>
  <c r="AI124" i="3" s="1"/>
  <c r="AJ124" i="3" s="1"/>
  <c r="AK124" i="3" s="1"/>
  <c r="Q155" i="3"/>
  <c r="Q81" i="3" s="1"/>
  <c r="P157" i="3"/>
  <c r="P190" i="3"/>
  <c r="P126" i="3"/>
  <c r="Q126" i="3" s="1"/>
  <c r="S126" i="3" s="1"/>
  <c r="T126" i="3" s="1"/>
  <c r="U126" i="3" s="1"/>
  <c r="V126" i="3" s="1"/>
  <c r="X126" i="3" s="1"/>
  <c r="Y126" i="3" s="1"/>
  <c r="Z126" i="3" s="1"/>
  <c r="AA126" i="3" s="1"/>
  <c r="AC126" i="3" s="1"/>
  <c r="AD126" i="3" s="1"/>
  <c r="AE126" i="3" s="1"/>
  <c r="AF126" i="3" s="1"/>
  <c r="AH126" i="3" s="1"/>
  <c r="AI126" i="3" s="1"/>
  <c r="AJ126" i="3" s="1"/>
  <c r="AK126" i="3" s="1"/>
  <c r="X80" i="3"/>
  <c r="Y80" i="3" s="1"/>
  <c r="Z47" i="3"/>
  <c r="AA47" i="3" s="1"/>
  <c r="AC47" i="3" s="1"/>
  <c r="AD47" i="3" s="1"/>
  <c r="AE47" i="3" s="1"/>
  <c r="AF47" i="3" s="1"/>
  <c r="AH47" i="3" s="1"/>
  <c r="M49" i="3"/>
  <c r="H103" i="3"/>
  <c r="H105" i="3" s="1"/>
  <c r="W47" i="3"/>
  <c r="P60" i="3"/>
  <c r="P55" i="3"/>
  <c r="P63" i="3"/>
  <c r="P59" i="3"/>
  <c r="P54" i="3"/>
  <c r="P56" i="3"/>
  <c r="P62" i="3"/>
  <c r="P57" i="3"/>
  <c r="P61" i="3"/>
  <c r="H49" i="3"/>
  <c r="J45" i="3"/>
  <c r="Q49" i="3"/>
  <c r="R49" i="3" s="1"/>
  <c r="R48" i="3"/>
  <c r="S48" i="3"/>
  <c r="M103" i="3"/>
  <c r="M105" i="3" s="1"/>
  <c r="M191" i="3"/>
  <c r="H191" i="3"/>
  <c r="I43" i="3"/>
  <c r="M90" i="3"/>
  <c r="M94" i="3" s="1"/>
  <c r="M39" i="3"/>
  <c r="M193" i="3"/>
  <c r="P26" i="3"/>
  <c r="P25" i="3"/>
  <c r="P163" i="3" s="1"/>
  <c r="O45" i="3"/>
  <c r="W100" i="3"/>
  <c r="N43" i="3"/>
  <c r="K45" i="3"/>
  <c r="R82" i="3"/>
  <c r="R155" i="3"/>
  <c r="M190" i="3"/>
  <c r="Q146" i="3"/>
  <c r="R146" i="3" s="1"/>
  <c r="AH100" i="3"/>
  <c r="AI100" i="3" s="1"/>
  <c r="AJ100" i="3" s="1"/>
  <c r="AK100" i="3" s="1"/>
  <c r="AL100" i="3" s="1"/>
  <c r="AG100" i="3"/>
  <c r="F120" i="3"/>
  <c r="AB100" i="3"/>
  <c r="F16" i="3"/>
  <c r="R76" i="3"/>
  <c r="Q143" i="3"/>
  <c r="R143" i="3" s="1"/>
  <c r="R18" i="3"/>
  <c r="V29" i="3"/>
  <c r="AA29" i="3" s="1"/>
  <c r="E45" i="3"/>
  <c r="H90" i="3"/>
  <c r="H94" i="3" s="1"/>
  <c r="W156" i="3"/>
  <c r="V111" i="3"/>
  <c r="M30" i="3"/>
  <c r="L35" i="3"/>
  <c r="Q35" i="3" s="1"/>
  <c r="V35" i="3" s="1"/>
  <c r="AA35" i="3" s="1"/>
  <c r="AF35" i="3" s="1"/>
  <c r="AK35" i="3" s="1"/>
  <c r="O35" i="3"/>
  <c r="T35" i="3" s="1"/>
  <c r="Y35" i="3" s="1"/>
  <c r="AD35" i="3" s="1"/>
  <c r="AI35" i="3" s="1"/>
  <c r="S20" i="3"/>
  <c r="H21" i="3"/>
  <c r="K35" i="3"/>
  <c r="P35" i="3" s="1"/>
  <c r="L120" i="3"/>
  <c r="E120" i="3"/>
  <c r="I120" i="3"/>
  <c r="D120" i="3"/>
  <c r="H15" i="3"/>
  <c r="D124" i="3"/>
  <c r="G120" i="3"/>
  <c r="F35" i="3"/>
  <c r="X76" i="3"/>
  <c r="Y76" i="3" s="1"/>
  <c r="Z76" i="3" s="1"/>
  <c r="AA76" i="3" s="1"/>
  <c r="W76" i="3"/>
  <c r="F46" i="3"/>
  <c r="F45" i="3"/>
  <c r="G46" i="3"/>
  <c r="G45" i="3"/>
  <c r="L46" i="3"/>
  <c r="L45" i="3"/>
  <c r="T93" i="3"/>
  <c r="U93" i="3" s="1"/>
  <c r="V93" i="3" s="1"/>
  <c r="W93" i="3" s="1"/>
  <c r="X93" i="3" s="1"/>
  <c r="Y93" i="3" s="1"/>
  <c r="Z93" i="3" s="1"/>
  <c r="AA93" i="3" s="1"/>
  <c r="AB93" i="3" s="1"/>
  <c r="AC93" i="3" s="1"/>
  <c r="AD93" i="3" s="1"/>
  <c r="AE93" i="3" s="1"/>
  <c r="AF93" i="3" s="1"/>
  <c r="AG93" i="3" s="1"/>
  <c r="AH93" i="3" s="1"/>
  <c r="AI93" i="3" s="1"/>
  <c r="AJ93" i="3" s="1"/>
  <c r="AK93" i="3" s="1"/>
  <c r="AL93" i="3" s="1"/>
  <c r="S146" i="3"/>
  <c r="M168" i="3"/>
  <c r="U87" i="3"/>
  <c r="W82" i="3"/>
  <c r="X82" i="3"/>
  <c r="Y82" i="3" s="1"/>
  <c r="Z82" i="3" s="1"/>
  <c r="AA82" i="3" s="1"/>
  <c r="M157" i="3"/>
  <c r="H168" i="3"/>
  <c r="H157" i="3"/>
  <c r="AA111" i="3"/>
  <c r="AF111" i="3"/>
  <c r="AA191" i="3" l="1"/>
  <c r="H39" i="3"/>
  <c r="D16" i="3"/>
  <c r="D17" i="3" s="1"/>
  <c r="G35" i="3"/>
  <c r="V33" i="3"/>
  <c r="AA33" i="3" s="1"/>
  <c r="AF33" i="3" s="1"/>
  <c r="AK33" i="3" s="1"/>
  <c r="Q64" i="3"/>
  <c r="T33" i="3"/>
  <c r="Y33" i="3" s="1"/>
  <c r="AD33" i="3" s="1"/>
  <c r="AI33" i="3" s="1"/>
  <c r="O64" i="3"/>
  <c r="U33" i="3"/>
  <c r="Z33" i="3" s="1"/>
  <c r="AE33" i="3" s="1"/>
  <c r="AJ33" i="3" s="1"/>
  <c r="P64" i="3"/>
  <c r="Q63" i="3"/>
  <c r="R63" i="3" s="1"/>
  <c r="M40" i="3"/>
  <c r="Q189" i="3"/>
  <c r="V189" i="3" s="1"/>
  <c r="AA189" i="3" s="1"/>
  <c r="AF189" i="3" s="1"/>
  <c r="AK189" i="3" s="1"/>
  <c r="Q56" i="3"/>
  <c r="R56" i="3" s="1"/>
  <c r="H40" i="3"/>
  <c r="Q62" i="3"/>
  <c r="R62" i="3" s="1"/>
  <c r="Q61" i="3"/>
  <c r="R61" i="3" s="1"/>
  <c r="Q60" i="3"/>
  <c r="S39" i="3"/>
  <c r="X39" i="3" s="1"/>
  <c r="AC39" i="3" s="1"/>
  <c r="AH39" i="3" s="1"/>
  <c r="H16" i="3"/>
  <c r="H36" i="3" s="1"/>
  <c r="E16" i="3"/>
  <c r="E36" i="3" s="1"/>
  <c r="Q55" i="3"/>
  <c r="Q54" i="3"/>
  <c r="P116" i="3"/>
  <c r="P117" i="3" s="1"/>
  <c r="P120" i="3" s="1"/>
  <c r="S33" i="3"/>
  <c r="S54" i="3" s="1"/>
  <c r="R33" i="3"/>
  <c r="M33" i="3"/>
  <c r="Q57" i="3"/>
  <c r="R57" i="3" s="1"/>
  <c r="Q59" i="3"/>
  <c r="V59" i="3" s="1"/>
  <c r="AA59" i="3" s="1"/>
  <c r="AF59" i="3" s="1"/>
  <c r="AK59" i="3" s="1"/>
  <c r="S155" i="3"/>
  <c r="S81" i="3" s="1"/>
  <c r="AB47" i="3"/>
  <c r="O120" i="3"/>
  <c r="M106" i="3"/>
  <c r="Z80" i="3"/>
  <c r="Y156" i="3"/>
  <c r="AA190" i="3"/>
  <c r="C210" i="3"/>
  <c r="C211" i="3" s="1"/>
  <c r="C218" i="3" s="1"/>
  <c r="P184" i="3"/>
  <c r="X156" i="3"/>
  <c r="R81" i="3"/>
  <c r="AG47" i="3"/>
  <c r="H106" i="3"/>
  <c r="T63" i="3"/>
  <c r="T59" i="3"/>
  <c r="T60" i="3"/>
  <c r="Q25" i="3"/>
  <c r="Q163" i="3" s="1"/>
  <c r="R163" i="3" s="1"/>
  <c r="AI47" i="3"/>
  <c r="AJ47" i="3" s="1"/>
  <c r="AK47" i="3" s="1"/>
  <c r="T48" i="3"/>
  <c r="S164" i="3"/>
  <c r="S49" i="3"/>
  <c r="P58" i="3"/>
  <c r="P65" i="3" s="1"/>
  <c r="T146" i="3"/>
  <c r="Q26" i="3"/>
  <c r="D22" i="3"/>
  <c r="D24" i="3" s="1"/>
  <c r="AF29" i="3"/>
  <c r="AK29" i="3" s="1"/>
  <c r="S143" i="3"/>
  <c r="D36" i="3"/>
  <c r="T20" i="3"/>
  <c r="U20" i="3" s="1"/>
  <c r="V20" i="3" s="1"/>
  <c r="X20" i="3" s="1"/>
  <c r="R78" i="3"/>
  <c r="G36" i="3"/>
  <c r="G22" i="3"/>
  <c r="G17" i="3"/>
  <c r="T155" i="3"/>
  <c r="U155" i="3" s="1"/>
  <c r="V155" i="3" s="1"/>
  <c r="X155" i="3" s="1"/>
  <c r="R71" i="3"/>
  <c r="T143" i="3"/>
  <c r="AC82" i="3"/>
  <c r="AD82" i="3" s="1"/>
  <c r="AE82" i="3" s="1"/>
  <c r="AF82" i="3" s="1"/>
  <c r="AB82" i="3"/>
  <c r="AB76" i="3"/>
  <c r="AC76" i="3"/>
  <c r="AD76" i="3" s="1"/>
  <c r="AE76" i="3" s="1"/>
  <c r="AF76" i="3" s="1"/>
  <c r="V87" i="3"/>
  <c r="U146" i="3"/>
  <c r="F36" i="3"/>
  <c r="F17" i="3"/>
  <c r="F22" i="3"/>
  <c r="D38" i="3" l="1"/>
  <c r="H22" i="3"/>
  <c r="H24" i="3" s="1"/>
  <c r="H131" i="3" s="1"/>
  <c r="H147" i="3" s="1"/>
  <c r="V54" i="3"/>
  <c r="V60" i="3"/>
  <c r="AA60" i="3" s="1"/>
  <c r="AF60" i="3" s="1"/>
  <c r="AK60" i="3" s="1"/>
  <c r="R60" i="3"/>
  <c r="V56" i="3"/>
  <c r="AA56" i="3" s="1"/>
  <c r="AF56" i="3" s="1"/>
  <c r="AK56" i="3" s="1"/>
  <c r="U64" i="3"/>
  <c r="Z64" i="3" s="1"/>
  <c r="AE64" i="3" s="1"/>
  <c r="AJ64" i="3" s="1"/>
  <c r="V64" i="3"/>
  <c r="AA64" i="3" s="1"/>
  <c r="AF64" i="3" s="1"/>
  <c r="AK64" i="3" s="1"/>
  <c r="R59" i="3"/>
  <c r="S62" i="3"/>
  <c r="T55" i="3"/>
  <c r="R54" i="3"/>
  <c r="T57" i="3"/>
  <c r="T56" i="3"/>
  <c r="Y56" i="3" s="1"/>
  <c r="AD56" i="3" s="1"/>
  <c r="AI56" i="3" s="1"/>
  <c r="T62" i="3"/>
  <c r="H17" i="3"/>
  <c r="V63" i="3"/>
  <c r="AA63" i="3" s="1"/>
  <c r="AF63" i="3" s="1"/>
  <c r="AK63" i="3" s="1"/>
  <c r="T61" i="3"/>
  <c r="Y61" i="3" s="1"/>
  <c r="AD61" i="3" s="1"/>
  <c r="AI61" i="3" s="1"/>
  <c r="T54" i="3"/>
  <c r="T64" i="3"/>
  <c r="Y64" i="3" s="1"/>
  <c r="AD64" i="3" s="1"/>
  <c r="AI64" i="3" s="1"/>
  <c r="R64" i="3"/>
  <c r="S63" i="3"/>
  <c r="S64" i="3"/>
  <c r="E22" i="3"/>
  <c r="E24" i="3" s="1"/>
  <c r="E131" i="3" s="1"/>
  <c r="E147" i="3" s="1"/>
  <c r="E192" i="3" s="1"/>
  <c r="E17" i="3"/>
  <c r="Q58" i="3"/>
  <c r="Q65" i="3" s="1"/>
  <c r="Q10" i="3" s="1"/>
  <c r="V57" i="3"/>
  <c r="AA57" i="3" s="1"/>
  <c r="AF57" i="3" s="1"/>
  <c r="AK57" i="3" s="1"/>
  <c r="V61" i="3"/>
  <c r="AA61" i="3" s="1"/>
  <c r="AF61" i="3" s="1"/>
  <c r="AK61" i="3" s="1"/>
  <c r="S56" i="3"/>
  <c r="S57" i="3"/>
  <c r="S55" i="3"/>
  <c r="V62" i="3"/>
  <c r="AA62" i="3" s="1"/>
  <c r="AF62" i="3" s="1"/>
  <c r="AK62" i="3" s="1"/>
  <c r="V55" i="3"/>
  <c r="AA55" i="3" s="1"/>
  <c r="AF55" i="3" s="1"/>
  <c r="AK55" i="3" s="1"/>
  <c r="S61" i="3"/>
  <c r="X33" i="3"/>
  <c r="X54" i="3" s="1"/>
  <c r="W33" i="3"/>
  <c r="P10" i="3"/>
  <c r="R55" i="3"/>
  <c r="S59" i="3"/>
  <c r="X59" i="3" s="1"/>
  <c r="S60" i="3"/>
  <c r="AL47" i="3"/>
  <c r="S25" i="3"/>
  <c r="S163" i="3" s="1"/>
  <c r="AA80" i="3"/>
  <c r="Z156" i="3"/>
  <c r="P167" i="3"/>
  <c r="W155" i="3"/>
  <c r="Y62" i="3"/>
  <c r="AD62" i="3" s="1"/>
  <c r="AI62" i="3" s="1"/>
  <c r="E27" i="3"/>
  <c r="Y54" i="3"/>
  <c r="Y55" i="3"/>
  <c r="AD55" i="3" s="1"/>
  <c r="AI55" i="3" s="1"/>
  <c r="Y59" i="3"/>
  <c r="AD59" i="3" s="1"/>
  <c r="AI59" i="3" s="1"/>
  <c r="U48" i="3"/>
  <c r="T164" i="3"/>
  <c r="T49" i="3"/>
  <c r="AA54" i="3"/>
  <c r="Y60" i="3"/>
  <c r="AD60" i="3" s="1"/>
  <c r="AI60" i="3" s="1"/>
  <c r="Y57" i="3"/>
  <c r="AD57" i="3" s="1"/>
  <c r="AI57" i="3" s="1"/>
  <c r="Y63" i="3"/>
  <c r="AD63" i="3" s="1"/>
  <c r="AI63" i="3" s="1"/>
  <c r="S26" i="3"/>
  <c r="Q184" i="3"/>
  <c r="W20" i="3"/>
  <c r="Y20" i="3"/>
  <c r="Z20" i="3" s="1"/>
  <c r="AA20" i="3" s="1"/>
  <c r="AC20" i="3" s="1"/>
  <c r="F24" i="3"/>
  <c r="F38" i="3"/>
  <c r="D131" i="3"/>
  <c r="D147" i="3" s="1"/>
  <c r="D192" i="3" s="1"/>
  <c r="D37" i="3"/>
  <c r="D27" i="3"/>
  <c r="D28" i="3"/>
  <c r="U143" i="3"/>
  <c r="G24" i="3"/>
  <c r="G38" i="3"/>
  <c r="H37" i="3"/>
  <c r="R150" i="3"/>
  <c r="AH76" i="3"/>
  <c r="AI76" i="3" s="1"/>
  <c r="AJ76" i="3" s="1"/>
  <c r="AK76" i="3" s="1"/>
  <c r="AL76" i="3" s="1"/>
  <c r="AG76" i="3"/>
  <c r="Y155" i="3"/>
  <c r="Z155" i="3" s="1"/>
  <c r="AA155" i="3" s="1"/>
  <c r="AC155" i="3" s="1"/>
  <c r="X87" i="3"/>
  <c r="V146" i="3"/>
  <c r="W146" i="3" s="1"/>
  <c r="W87" i="3"/>
  <c r="AH82" i="3"/>
  <c r="AI82" i="3" s="1"/>
  <c r="AJ82" i="3" s="1"/>
  <c r="AK82" i="3" s="1"/>
  <c r="AL82" i="3" s="1"/>
  <c r="AG82" i="3"/>
  <c r="T81" i="3"/>
  <c r="U81" i="3" s="1"/>
  <c r="V81" i="3" s="1"/>
  <c r="W18" i="3"/>
  <c r="E28" i="3" l="1"/>
  <c r="H38" i="3"/>
  <c r="E37" i="3"/>
  <c r="E38" i="3"/>
  <c r="T58" i="3"/>
  <c r="R58" i="3"/>
  <c r="R65" i="3" s="1"/>
  <c r="T25" i="3"/>
  <c r="T163" i="3" s="1"/>
  <c r="V58" i="3"/>
  <c r="V65" i="3" s="1"/>
  <c r="V10" i="3" s="1"/>
  <c r="E170" i="3"/>
  <c r="X64" i="3"/>
  <c r="W64" i="3"/>
  <c r="S58" i="3"/>
  <c r="S65" i="3" s="1"/>
  <c r="S10" i="3" s="1"/>
  <c r="X60" i="3"/>
  <c r="X63" i="3"/>
  <c r="X55" i="3"/>
  <c r="X61" i="3"/>
  <c r="X57" i="3"/>
  <c r="P135" i="3"/>
  <c r="P162" i="3" s="1"/>
  <c r="P98" i="3" s="1"/>
  <c r="P88" i="3"/>
  <c r="P145" i="3" s="1"/>
  <c r="R10" i="3"/>
  <c r="Q88" i="3"/>
  <c r="P72" i="3"/>
  <c r="P140" i="3" s="1"/>
  <c r="Q13" i="3"/>
  <c r="Q14" i="3"/>
  <c r="Q11" i="3"/>
  <c r="Q12" i="3" s="1"/>
  <c r="Q135" i="3"/>
  <c r="Q162" i="3" s="1"/>
  <c r="AC33" i="3"/>
  <c r="AB33" i="3"/>
  <c r="X56" i="3"/>
  <c r="T65" i="3"/>
  <c r="T10" i="3" s="1"/>
  <c r="X62" i="3"/>
  <c r="AB80" i="3"/>
  <c r="AA156" i="3"/>
  <c r="AB156" i="3" s="1"/>
  <c r="H170" i="3"/>
  <c r="H172" i="3" s="1"/>
  <c r="H174" i="3" s="1"/>
  <c r="H70" i="3" s="1"/>
  <c r="H192" i="3"/>
  <c r="T26" i="3"/>
  <c r="AB155" i="3"/>
  <c r="V48" i="3"/>
  <c r="U49" i="3"/>
  <c r="U164" i="3"/>
  <c r="Y58" i="3"/>
  <c r="AD54" i="3"/>
  <c r="AA58" i="3"/>
  <c r="AF54" i="3"/>
  <c r="AB20" i="3"/>
  <c r="AD20" i="3"/>
  <c r="AE20" i="3" s="1"/>
  <c r="AF20" i="3" s="1"/>
  <c r="AH20" i="3" s="1"/>
  <c r="F131" i="3"/>
  <c r="F147" i="3" s="1"/>
  <c r="F27" i="3"/>
  <c r="F28" i="3"/>
  <c r="F37" i="3"/>
  <c r="W81" i="3"/>
  <c r="X81" i="3"/>
  <c r="Y81" i="3" s="1"/>
  <c r="Z81" i="3" s="1"/>
  <c r="AA81" i="3" s="1"/>
  <c r="X146" i="3"/>
  <c r="Y87" i="3"/>
  <c r="G131" i="3"/>
  <c r="G147" i="3" s="1"/>
  <c r="G27" i="3"/>
  <c r="G37" i="3"/>
  <c r="G28" i="3"/>
  <c r="V143" i="3"/>
  <c r="W143" i="3" s="1"/>
  <c r="W74" i="3"/>
  <c r="H25" i="3"/>
  <c r="D172" i="3"/>
  <c r="D174" i="3" s="1"/>
  <c r="D70" i="3" s="1"/>
  <c r="D183" i="3" s="1"/>
  <c r="AD155" i="3"/>
  <c r="AE155" i="3" s="1"/>
  <c r="AF155" i="3" s="1"/>
  <c r="AH155" i="3" s="1"/>
  <c r="W150" i="3"/>
  <c r="H26" i="3"/>
  <c r="U25" i="3" l="1"/>
  <c r="AC57" i="3"/>
  <c r="X58" i="3"/>
  <c r="X65" i="3" s="1"/>
  <c r="X10" i="3" s="1"/>
  <c r="AC64" i="3"/>
  <c r="AB64" i="3"/>
  <c r="AC56" i="3"/>
  <c r="T14" i="3"/>
  <c r="T13" i="3"/>
  <c r="T34" i="3"/>
  <c r="T11" i="3"/>
  <c r="T12" i="3" s="1"/>
  <c r="T135" i="3"/>
  <c r="T162" i="3" s="1"/>
  <c r="S13" i="3"/>
  <c r="S14" i="3"/>
  <c r="S135" i="3"/>
  <c r="S162" i="3" s="1"/>
  <c r="S11" i="3"/>
  <c r="S12" i="3" s="1"/>
  <c r="S34" i="3"/>
  <c r="V13" i="3"/>
  <c r="V135" i="3"/>
  <c r="V162" i="3" s="1"/>
  <c r="V11" i="3"/>
  <c r="V12" i="3" s="1"/>
  <c r="V14" i="3"/>
  <c r="AH33" i="3"/>
  <c r="AL33" i="3" s="1"/>
  <c r="AG33" i="3"/>
  <c r="AC54" i="3"/>
  <c r="AC55" i="3"/>
  <c r="AC62" i="3"/>
  <c r="AA65" i="3"/>
  <c r="AA10" i="3" s="1"/>
  <c r="Y65" i="3"/>
  <c r="Y10" i="3" s="1"/>
  <c r="Q15" i="3"/>
  <c r="AC60" i="3"/>
  <c r="AC61" i="3"/>
  <c r="AC63" i="3"/>
  <c r="AC59" i="3"/>
  <c r="H183" i="3"/>
  <c r="F170" i="3"/>
  <c r="F192" i="3"/>
  <c r="Q98" i="3"/>
  <c r="R98" i="3" s="1"/>
  <c r="AC80" i="3"/>
  <c r="AD80" i="3" s="1"/>
  <c r="G170" i="3"/>
  <c r="G192" i="3"/>
  <c r="U26" i="3"/>
  <c r="AG155" i="3"/>
  <c r="X48" i="3"/>
  <c r="V164" i="3"/>
  <c r="W164" i="3" s="1"/>
  <c r="V49" i="3"/>
  <c r="W49" i="3" s="1"/>
  <c r="AD58" i="3"/>
  <c r="AI54" i="3"/>
  <c r="AI58" i="3" s="1"/>
  <c r="W48" i="3"/>
  <c r="AF58" i="3"/>
  <c r="AK54" i="3"/>
  <c r="AK58" i="3" s="1"/>
  <c r="AI20" i="3"/>
  <c r="AJ20" i="3" s="1"/>
  <c r="AK20" i="3" s="1"/>
  <c r="AG20" i="3"/>
  <c r="E171" i="3"/>
  <c r="E172" i="3" s="1"/>
  <c r="E174" i="3" s="1"/>
  <c r="E70" i="3" s="1"/>
  <c r="E183" i="3" s="1"/>
  <c r="AC81" i="3"/>
  <c r="AD81" i="3" s="1"/>
  <c r="AE81" i="3" s="1"/>
  <c r="AF81" i="3" s="1"/>
  <c r="AB81" i="3"/>
  <c r="I171" i="3"/>
  <c r="M171" i="3"/>
  <c r="H184" i="3"/>
  <c r="I46" i="3"/>
  <c r="H28" i="3"/>
  <c r="H27" i="3"/>
  <c r="I45" i="3"/>
  <c r="AI155" i="3"/>
  <c r="AJ155" i="3" s="1"/>
  <c r="AK155" i="3" s="1"/>
  <c r="X143" i="3"/>
  <c r="Z87" i="3"/>
  <c r="Y146" i="3"/>
  <c r="V15" i="3" l="1"/>
  <c r="S15" i="3"/>
  <c r="AH64" i="3"/>
  <c r="AL64" i="3" s="1"/>
  <c r="AG64" i="3"/>
  <c r="AH63" i="3"/>
  <c r="X11" i="3"/>
  <c r="X12" i="3" s="1"/>
  <c r="X135" i="3"/>
  <c r="X162" i="3" s="1"/>
  <c r="AH62" i="3"/>
  <c r="AH55" i="3"/>
  <c r="AH56" i="3"/>
  <c r="AH57" i="3"/>
  <c r="AC58" i="3"/>
  <c r="AC65" i="3" s="1"/>
  <c r="AC10" i="3" s="1"/>
  <c r="AH59" i="3"/>
  <c r="X13" i="3"/>
  <c r="AH54" i="3"/>
  <c r="AH61" i="3"/>
  <c r="AH60" i="3"/>
  <c r="Y13" i="3"/>
  <c r="Y11" i="3"/>
  <c r="Y12" i="3" s="1"/>
  <c r="Y14" i="3"/>
  <c r="Y135" i="3"/>
  <c r="Y162" i="3" s="1"/>
  <c r="Y34" i="3"/>
  <c r="AA13" i="3"/>
  <c r="AA14" i="3"/>
  <c r="AA135" i="3"/>
  <c r="AA162" i="3" s="1"/>
  <c r="AA11" i="3"/>
  <c r="AA12" i="3" s="1"/>
  <c r="AF65" i="3"/>
  <c r="AF10" i="3" s="1"/>
  <c r="AI65" i="3"/>
  <c r="AI10" i="3" s="1"/>
  <c r="X14" i="3"/>
  <c r="AD65" i="3"/>
  <c r="AD10" i="3" s="1"/>
  <c r="X34" i="3"/>
  <c r="T15" i="3"/>
  <c r="AK65" i="3"/>
  <c r="AK10" i="3" s="1"/>
  <c r="S98" i="3"/>
  <c r="T98" i="3" s="1"/>
  <c r="AE80" i="3"/>
  <c r="AD156" i="3"/>
  <c r="AC156" i="3"/>
  <c r="AL155" i="3"/>
  <c r="Y48" i="3"/>
  <c r="X49" i="3"/>
  <c r="X164" i="3"/>
  <c r="V26" i="3"/>
  <c r="V25" i="3"/>
  <c r="AL20" i="3"/>
  <c r="F171" i="3"/>
  <c r="F172" i="3" s="1"/>
  <c r="F174" i="3" s="1"/>
  <c r="F70" i="3" s="1"/>
  <c r="F183" i="3" s="1"/>
  <c r="AH81" i="3"/>
  <c r="AI81" i="3" s="1"/>
  <c r="AJ81" i="3" s="1"/>
  <c r="AK81" i="3" s="1"/>
  <c r="AL81" i="3" s="1"/>
  <c r="AG81" i="3"/>
  <c r="Y143" i="3"/>
  <c r="W71" i="3"/>
  <c r="W78" i="3"/>
  <c r="AA87" i="3"/>
  <c r="Z146" i="3"/>
  <c r="H77" i="3"/>
  <c r="H83" i="3" s="1"/>
  <c r="H107" i="3" s="1"/>
  <c r="H180" i="3"/>
  <c r="D180" i="3"/>
  <c r="D77" i="3"/>
  <c r="D83" i="3" s="1"/>
  <c r="D107" i="3" s="1"/>
  <c r="AH58" i="3" l="1"/>
  <c r="Y15" i="3"/>
  <c r="X15" i="3"/>
  <c r="AF135" i="3"/>
  <c r="AF13" i="3"/>
  <c r="AD14" i="3"/>
  <c r="AD13" i="3"/>
  <c r="AD34" i="3"/>
  <c r="AD11" i="3"/>
  <c r="AD12" i="3" s="1"/>
  <c r="AD135" i="3"/>
  <c r="AD162" i="3" s="1"/>
  <c r="AK135" i="3"/>
  <c r="AK14" i="3"/>
  <c r="AK13" i="3"/>
  <c r="AK11" i="3"/>
  <c r="AK12" i="3" s="1"/>
  <c r="AC34" i="3"/>
  <c r="AC14" i="3"/>
  <c r="AC135" i="3"/>
  <c r="AC162" i="3" s="1"/>
  <c r="AC13" i="3"/>
  <c r="AC11" i="3"/>
  <c r="AC12" i="3" s="1"/>
  <c r="AI13" i="3"/>
  <c r="AI135" i="3"/>
  <c r="AI162" i="3" s="1"/>
  <c r="AI14" i="3"/>
  <c r="AI11" i="3"/>
  <c r="AI12" i="3" s="1"/>
  <c r="AH65" i="3"/>
  <c r="AH10" i="3" s="1"/>
  <c r="AF14" i="3"/>
  <c r="AF15" i="3" s="1"/>
  <c r="AA15" i="3"/>
  <c r="AF11" i="3"/>
  <c r="AF12" i="3" s="1"/>
  <c r="AF80" i="3"/>
  <c r="AE156" i="3"/>
  <c r="X26" i="3"/>
  <c r="V163" i="3"/>
  <c r="X25" i="3"/>
  <c r="Z48" i="3"/>
  <c r="Y164" i="3"/>
  <c r="Y49" i="3"/>
  <c r="AB18" i="3"/>
  <c r="AB87" i="3"/>
  <c r="AC87" i="3"/>
  <c r="AA146" i="3"/>
  <c r="AB146" i="3" s="1"/>
  <c r="Z143" i="3"/>
  <c r="E180" i="3"/>
  <c r="E77" i="3"/>
  <c r="E83" i="3" s="1"/>
  <c r="E107" i="3" s="1"/>
  <c r="G171" i="3"/>
  <c r="G172" i="3" s="1"/>
  <c r="G174" i="3" s="1"/>
  <c r="G70" i="3" s="1"/>
  <c r="G183" i="3" s="1"/>
  <c r="AK15" i="3" l="1"/>
  <c r="AC15" i="3"/>
  <c r="AD15" i="3"/>
  <c r="AI15" i="3"/>
  <c r="AH34" i="3"/>
  <c r="AH14" i="3"/>
  <c r="AH13" i="3"/>
  <c r="AH11" i="3"/>
  <c r="AH12" i="3" s="1"/>
  <c r="AH135" i="3"/>
  <c r="AH162" i="3" s="1"/>
  <c r="AI34" i="3"/>
  <c r="Y26" i="3"/>
  <c r="AG80" i="3"/>
  <c r="AF156" i="3"/>
  <c r="AG156" i="3" s="1"/>
  <c r="AA48" i="3"/>
  <c r="AB48" i="3" s="1"/>
  <c r="Z49" i="3"/>
  <c r="Z164" i="3"/>
  <c r="Y25" i="3"/>
  <c r="X163" i="3"/>
  <c r="F180" i="3"/>
  <c r="F77" i="3"/>
  <c r="F83" i="3" s="1"/>
  <c r="F107" i="3" s="1"/>
  <c r="G180" i="3"/>
  <c r="G77" i="3"/>
  <c r="G83" i="3" s="1"/>
  <c r="G107" i="3" s="1"/>
  <c r="AC146" i="3"/>
  <c r="AD87" i="3"/>
  <c r="AB150" i="3"/>
  <c r="AA143" i="3"/>
  <c r="AB143" i="3" s="1"/>
  <c r="AB74" i="3"/>
  <c r="AH15" i="3" l="1"/>
  <c r="AH80" i="3"/>
  <c r="AI80" i="3" s="1"/>
  <c r="Z25" i="3"/>
  <c r="Y163" i="3"/>
  <c r="AC48" i="3"/>
  <c r="AA164" i="3"/>
  <c r="AB164" i="3" s="1"/>
  <c r="AA49" i="3"/>
  <c r="AB49" i="3" s="1"/>
  <c r="Z26" i="3"/>
  <c r="AC143" i="3"/>
  <c r="AE87" i="3"/>
  <c r="AD146" i="3"/>
  <c r="AJ80" i="3" l="1"/>
  <c r="AI156" i="3"/>
  <c r="AH156" i="3"/>
  <c r="AD48" i="3"/>
  <c r="AC49" i="3"/>
  <c r="AC164" i="3"/>
  <c r="AA25" i="3"/>
  <c r="AA26" i="3"/>
  <c r="AB78" i="3"/>
  <c r="AF87" i="3"/>
  <c r="AE146" i="3"/>
  <c r="AB71" i="3"/>
  <c r="AD143" i="3"/>
  <c r="AK80" i="3" l="1"/>
  <c r="AJ156" i="3"/>
  <c r="AC26" i="3"/>
  <c r="AC25" i="3"/>
  <c r="AA163" i="3"/>
  <c r="AE48" i="3"/>
  <c r="AD49" i="3"/>
  <c r="AD164" i="3"/>
  <c r="AE143" i="3"/>
  <c r="AG18" i="3"/>
  <c r="AF146" i="3"/>
  <c r="AG146" i="3" s="1"/>
  <c r="AH87" i="3"/>
  <c r="AG87" i="3"/>
  <c r="AK156" i="3" l="1"/>
  <c r="AL156" i="3" s="1"/>
  <c r="AL80" i="3"/>
  <c r="AF48" i="3"/>
  <c r="AE49" i="3"/>
  <c r="AE164" i="3"/>
  <c r="AD25" i="3"/>
  <c r="AC163" i="3"/>
  <c r="AD26" i="3"/>
  <c r="AH146" i="3"/>
  <c r="AI87" i="3"/>
  <c r="AG74" i="3"/>
  <c r="AF143" i="3"/>
  <c r="AG143" i="3" s="1"/>
  <c r="AG150" i="3"/>
  <c r="AE25" i="3" l="1"/>
  <c r="AD163" i="3"/>
  <c r="AH48" i="3"/>
  <c r="AF164" i="3"/>
  <c r="AG164" i="3" s="1"/>
  <c r="AF49" i="3"/>
  <c r="AG49" i="3" s="1"/>
  <c r="AG48" i="3"/>
  <c r="AE26" i="3"/>
  <c r="AH143" i="3"/>
  <c r="AI146" i="3"/>
  <c r="AJ87" i="3"/>
  <c r="AF25" i="3" l="1"/>
  <c r="AF26" i="3"/>
  <c r="AI48" i="3"/>
  <c r="AH49" i="3"/>
  <c r="AH164" i="3"/>
  <c r="AG71" i="3"/>
  <c r="AG78" i="3"/>
  <c r="AJ146" i="3"/>
  <c r="AK87" i="3"/>
  <c r="AI143" i="3"/>
  <c r="AH26" i="3" l="1"/>
  <c r="AJ48" i="3"/>
  <c r="AI164" i="3"/>
  <c r="AI49" i="3"/>
  <c r="AH25" i="3"/>
  <c r="AF163" i="3"/>
  <c r="AK146" i="3"/>
  <c r="AL146" i="3" s="1"/>
  <c r="AL87" i="3"/>
  <c r="AJ143" i="3"/>
  <c r="AL18" i="3"/>
  <c r="AI26" i="3" l="1"/>
  <c r="AH163" i="3"/>
  <c r="AI25" i="3"/>
  <c r="AK48" i="3"/>
  <c r="AL48" i="3" s="1"/>
  <c r="AJ49" i="3"/>
  <c r="AJ26" i="3" s="1"/>
  <c r="AJ164" i="3"/>
  <c r="AK143" i="3"/>
  <c r="AL143" i="3" s="1"/>
  <c r="AL74" i="3"/>
  <c r="AL150" i="3"/>
  <c r="AI163" i="3" l="1"/>
  <c r="AJ25" i="3"/>
  <c r="AK49" i="3"/>
  <c r="AK26" i="3" s="1"/>
  <c r="AK164" i="3"/>
  <c r="AL164" i="3" s="1"/>
  <c r="AL78" i="3"/>
  <c r="AK25" i="3" l="1"/>
  <c r="AK163" i="3" s="1"/>
  <c r="AL49" i="3"/>
  <c r="AL71" i="3"/>
  <c r="J134" i="3" l="1"/>
  <c r="K134" i="3"/>
  <c r="L134" i="3"/>
  <c r="I134" i="3"/>
  <c r="I16" i="3" s="1"/>
  <c r="L123" i="3" l="1"/>
  <c r="L16" i="3"/>
  <c r="L17" i="3" s="1"/>
  <c r="L42" i="3" s="1"/>
  <c r="I36" i="3"/>
  <c r="I22" i="3"/>
  <c r="J16" i="3"/>
  <c r="K123" i="3"/>
  <c r="K16" i="3"/>
  <c r="J123" i="3"/>
  <c r="M134" i="3"/>
  <c r="M16" i="3" s="1"/>
  <c r="I123" i="3"/>
  <c r="I17" i="3"/>
  <c r="I42" i="3" s="1"/>
  <c r="M36" i="3" l="1"/>
  <c r="M22" i="3"/>
  <c r="I24" i="3"/>
  <c r="I38" i="3"/>
  <c r="J36" i="3"/>
  <c r="J22" i="3"/>
  <c r="L22" i="3"/>
  <c r="L36" i="3"/>
  <c r="K36" i="3"/>
  <c r="K22" i="3"/>
  <c r="K17" i="3"/>
  <c r="K42" i="3" s="1"/>
  <c r="J17" i="3"/>
  <c r="J42" i="3" s="1"/>
  <c r="M17" i="3"/>
  <c r="M42" i="3" s="1"/>
  <c r="L38" i="3" l="1"/>
  <c r="Q38" i="3" s="1"/>
  <c r="V38" i="3" s="1"/>
  <c r="AA38" i="3" s="1"/>
  <c r="AF38" i="3" s="1"/>
  <c r="AK38" i="3" s="1"/>
  <c r="L24" i="3"/>
  <c r="K24" i="3"/>
  <c r="K38" i="3"/>
  <c r="J38" i="3"/>
  <c r="J24" i="3"/>
  <c r="M24" i="3"/>
  <c r="M38" i="3"/>
  <c r="C220" i="3" s="1"/>
  <c r="I27" i="3"/>
  <c r="I131" i="3"/>
  <c r="I147" i="3" s="1"/>
  <c r="I192" i="3" s="1"/>
  <c r="I28" i="3"/>
  <c r="I37" i="3"/>
  <c r="P38" i="3" l="1"/>
  <c r="U38" i="3" s="1"/>
  <c r="Z38" i="3" s="1"/>
  <c r="AE38" i="3" s="1"/>
  <c r="AJ38" i="3" s="1"/>
  <c r="I170" i="3"/>
  <c r="I172" i="3" s="1"/>
  <c r="I174" i="3" s="1"/>
  <c r="I70" i="3" s="1"/>
  <c r="I183" i="3" s="1"/>
  <c r="M131" i="3"/>
  <c r="M147" i="3" s="1"/>
  <c r="M37" i="3"/>
  <c r="K131" i="3"/>
  <c r="K147" i="3" s="1"/>
  <c r="K192" i="3" s="1"/>
  <c r="K37" i="3"/>
  <c r="K27" i="3"/>
  <c r="K28" i="3"/>
  <c r="M25" i="3"/>
  <c r="J131" i="3"/>
  <c r="J147" i="3" s="1"/>
  <c r="J192" i="3" s="1"/>
  <c r="J27" i="3"/>
  <c r="J28" i="3"/>
  <c r="J37" i="3"/>
  <c r="L27" i="3"/>
  <c r="L28" i="3"/>
  <c r="L131" i="3"/>
  <c r="L147" i="3" s="1"/>
  <c r="L192" i="3" s="1"/>
  <c r="L37" i="3"/>
  <c r="C221" i="3"/>
  <c r="H175" i="3"/>
  <c r="M26" i="3"/>
  <c r="M170" i="3" l="1"/>
  <c r="M192" i="3"/>
  <c r="J170" i="3"/>
  <c r="L170" i="3"/>
  <c r="Q192" i="3"/>
  <c r="V192" i="3" s="1"/>
  <c r="AA192" i="3" s="1"/>
  <c r="AF192" i="3" s="1"/>
  <c r="AK192" i="3" s="1"/>
  <c r="K170" i="3"/>
  <c r="P192" i="3"/>
  <c r="C227" i="3"/>
  <c r="C222" i="3"/>
  <c r="M27" i="3"/>
  <c r="N45" i="3"/>
  <c r="J171" i="3"/>
  <c r="M28" i="3"/>
  <c r="N46" i="3"/>
  <c r="M184" i="3"/>
  <c r="M175" i="3"/>
  <c r="J172" i="3" l="1"/>
  <c r="M177" i="3"/>
  <c r="H177" i="3"/>
  <c r="I180" i="3"/>
  <c r="I77" i="3"/>
  <c r="I83" i="3" s="1"/>
  <c r="I107" i="3" s="1"/>
  <c r="N134" i="3"/>
  <c r="N16" i="3" s="1"/>
  <c r="J174" i="3" l="1"/>
  <c r="J70" i="3" s="1"/>
  <c r="J180" i="3" s="1"/>
  <c r="K171" i="3"/>
  <c r="K172" i="3" s="1"/>
  <c r="N36" i="3"/>
  <c r="N22" i="3"/>
  <c r="N123" i="3"/>
  <c r="N17" i="3"/>
  <c r="N42" i="3" s="1"/>
  <c r="J77" i="3" l="1"/>
  <c r="J83" i="3" s="1"/>
  <c r="J107" i="3" s="1"/>
  <c r="J183" i="3"/>
  <c r="K174" i="3"/>
  <c r="K70" i="3" s="1"/>
  <c r="L171" i="3"/>
  <c r="L172" i="3" s="1"/>
  <c r="M172" i="3" s="1"/>
  <c r="N24" i="3"/>
  <c r="N38" i="3"/>
  <c r="S38" i="3" s="1"/>
  <c r="X38" i="3" s="1"/>
  <c r="AC38" i="3" s="1"/>
  <c r="AH38" i="3" s="1"/>
  <c r="K180" i="3" l="1"/>
  <c r="K183" i="3"/>
  <c r="M174" i="3"/>
  <c r="M70" i="3" s="1"/>
  <c r="R171" i="3"/>
  <c r="N171" i="3"/>
  <c r="K77" i="3"/>
  <c r="K83" i="3" s="1"/>
  <c r="K107" i="3" s="1"/>
  <c r="L174" i="3"/>
  <c r="L70" i="3" s="1"/>
  <c r="L183" i="3" s="1"/>
  <c r="N28" i="3"/>
  <c r="N131" i="3"/>
  <c r="N147" i="3" s="1"/>
  <c r="N27" i="3"/>
  <c r="N37" i="3"/>
  <c r="M183" i="3" l="1"/>
  <c r="M77" i="3"/>
  <c r="M83" i="3" s="1"/>
  <c r="M107" i="3" s="1"/>
  <c r="M180" i="3"/>
  <c r="N170" i="3"/>
  <c r="N172" i="3" s="1"/>
  <c r="N174" i="3" s="1"/>
  <c r="N70" i="3" s="1"/>
  <c r="N183" i="3" s="1"/>
  <c r="N192" i="3"/>
  <c r="L180" i="3"/>
  <c r="L77" i="3"/>
  <c r="L83" i="3" s="1"/>
  <c r="L107" i="3" s="1"/>
  <c r="O134" i="3"/>
  <c r="O123" i="3" l="1"/>
  <c r="O16" i="3"/>
  <c r="O171" i="3"/>
  <c r="P123" i="3" l="1"/>
  <c r="P134" i="3" s="1"/>
  <c r="N77" i="3"/>
  <c r="N83" i="3" s="1"/>
  <c r="N107" i="3" s="1"/>
  <c r="N180" i="3"/>
  <c r="O36" i="3"/>
  <c r="O22" i="3"/>
  <c r="O17" i="3"/>
  <c r="O42" i="3" s="1"/>
  <c r="P133" i="3" l="1"/>
  <c r="P79" i="3" s="1"/>
  <c r="Q123" i="3"/>
  <c r="O24" i="3"/>
  <c r="O38" i="3"/>
  <c r="T38" i="3" s="1"/>
  <c r="Y38" i="3" s="1"/>
  <c r="AD38" i="3" s="1"/>
  <c r="AI38" i="3" s="1"/>
  <c r="S123" i="3" l="1"/>
  <c r="T123" i="3" s="1"/>
  <c r="U123" i="3" s="1"/>
  <c r="V123" i="3" s="1"/>
  <c r="X123" i="3" s="1"/>
  <c r="Y123" i="3" s="1"/>
  <c r="Z123" i="3" s="1"/>
  <c r="AA123" i="3" s="1"/>
  <c r="AC123" i="3" s="1"/>
  <c r="AD123" i="3" s="1"/>
  <c r="AE123" i="3" s="1"/>
  <c r="AF123" i="3" s="1"/>
  <c r="AH123" i="3" s="1"/>
  <c r="AI123" i="3" s="1"/>
  <c r="AJ123" i="3" s="1"/>
  <c r="AK123" i="3" s="1"/>
  <c r="Q134" i="3"/>
  <c r="Q16" i="3" s="1"/>
  <c r="Q36" i="3" s="1"/>
  <c r="O37" i="3"/>
  <c r="O131" i="3"/>
  <c r="O147" i="3" s="1"/>
  <c r="O27" i="3"/>
  <c r="O28" i="3"/>
  <c r="Q133" i="3" l="1"/>
  <c r="R133" i="3" s="1"/>
  <c r="Q17" i="3"/>
  <c r="Q42" i="3" s="1"/>
  <c r="R134" i="3"/>
  <c r="O170" i="3"/>
  <c r="O172" i="3" s="1"/>
  <c r="O192" i="3"/>
  <c r="O174" i="3" l="1"/>
  <c r="O70" i="3" s="1"/>
  <c r="O183" i="3" s="1"/>
  <c r="C202" i="3" s="1"/>
  <c r="P171" i="3"/>
  <c r="O77" i="3" l="1"/>
  <c r="O83" i="3" s="1"/>
  <c r="O107" i="3" s="1"/>
  <c r="O180" i="3"/>
  <c r="P180" i="3" s="1"/>
  <c r="U35" i="3"/>
  <c r="Z35" i="3" s="1"/>
  <c r="AE35" i="3" s="1"/>
  <c r="AJ35" i="3" s="1"/>
  <c r="U63" i="3" l="1"/>
  <c r="U56" i="3"/>
  <c r="U54" i="3"/>
  <c r="U61" i="3"/>
  <c r="U57" i="3"/>
  <c r="U62" i="3"/>
  <c r="U59" i="3"/>
  <c r="U55" i="3"/>
  <c r="U60" i="3"/>
  <c r="U29" i="3"/>
  <c r="U163" i="3" s="1"/>
  <c r="W29" i="3"/>
  <c r="R29" i="3"/>
  <c r="R30" i="3" s="1"/>
  <c r="Z54" i="3" l="1"/>
  <c r="U58" i="3"/>
  <c r="W54" i="3"/>
  <c r="W62" i="3"/>
  <c r="Z62" i="3"/>
  <c r="Z56" i="3"/>
  <c r="W56" i="3"/>
  <c r="W59" i="3"/>
  <c r="Z59" i="3"/>
  <c r="W30" i="3"/>
  <c r="Z60" i="3"/>
  <c r="W60" i="3"/>
  <c r="Z57" i="3"/>
  <c r="W57" i="3"/>
  <c r="W63" i="3"/>
  <c r="Z63" i="3"/>
  <c r="Z55" i="3"/>
  <c r="W55" i="3"/>
  <c r="Z61" i="3"/>
  <c r="W61" i="3"/>
  <c r="W163" i="3"/>
  <c r="Z29" i="3"/>
  <c r="U65" i="3" l="1"/>
  <c r="U10" i="3" s="1"/>
  <c r="W10" i="3" s="1"/>
  <c r="AE55" i="3"/>
  <c r="AB55" i="3"/>
  <c r="AE57" i="3"/>
  <c r="AB57" i="3"/>
  <c r="AE59" i="3"/>
  <c r="AB59" i="3"/>
  <c r="AE63" i="3"/>
  <c r="AB63" i="3"/>
  <c r="AE61" i="3"/>
  <c r="AB61" i="3"/>
  <c r="AE60" i="3"/>
  <c r="AB60" i="3"/>
  <c r="W58" i="3"/>
  <c r="W65" i="3" s="1"/>
  <c r="AE56" i="3"/>
  <c r="AB56" i="3"/>
  <c r="AE62" i="3"/>
  <c r="AB62" i="3"/>
  <c r="Z58" i="3"/>
  <c r="AE54" i="3"/>
  <c r="AB54" i="3"/>
  <c r="AB29" i="3"/>
  <c r="AB30" i="3" s="1"/>
  <c r="Z163" i="3"/>
  <c r="AB163" i="3" s="1"/>
  <c r="AE29" i="3"/>
  <c r="Z65" i="3" l="1"/>
  <c r="Z10" i="3" s="1"/>
  <c r="AB10" i="3" s="1"/>
  <c r="AB58" i="3"/>
  <c r="AB65" i="3" s="1"/>
  <c r="AJ62" i="3"/>
  <c r="AL62" i="3" s="1"/>
  <c r="AG62" i="3"/>
  <c r="AJ63" i="3"/>
  <c r="AL63" i="3" s="1"/>
  <c r="AG63" i="3"/>
  <c r="AJ56" i="3"/>
  <c r="AL56" i="3" s="1"/>
  <c r="AG56" i="3"/>
  <c r="AE58" i="3"/>
  <c r="AJ54" i="3"/>
  <c r="AG54" i="3"/>
  <c r="AJ60" i="3"/>
  <c r="AL60" i="3" s="1"/>
  <c r="AG60" i="3"/>
  <c r="AJ57" i="3"/>
  <c r="AL57" i="3" s="1"/>
  <c r="AG57" i="3"/>
  <c r="AJ61" i="3"/>
  <c r="AL61" i="3" s="1"/>
  <c r="AG61" i="3"/>
  <c r="AJ59" i="3"/>
  <c r="AL59" i="3" s="1"/>
  <c r="AG59" i="3"/>
  <c r="AJ55" i="3"/>
  <c r="AL55" i="3" s="1"/>
  <c r="AG55" i="3"/>
  <c r="AG29" i="3"/>
  <c r="AG30" i="3" s="1"/>
  <c r="AJ29" i="3"/>
  <c r="AE163" i="3"/>
  <c r="AG163" i="3" s="1"/>
  <c r="AE65" i="3" l="1"/>
  <c r="AE10" i="3" s="1"/>
  <c r="AG10" i="3" s="1"/>
  <c r="AJ58" i="3"/>
  <c r="AL54" i="3"/>
  <c r="AL58" i="3" s="1"/>
  <c r="AL65" i="3" s="1"/>
  <c r="AG58" i="3"/>
  <c r="AG65" i="3" s="1"/>
  <c r="AJ163" i="3"/>
  <c r="AL163" i="3" s="1"/>
  <c r="AL29" i="3"/>
  <c r="AL30" i="3" s="1"/>
  <c r="AJ65" i="3" l="1"/>
  <c r="AJ10" i="3" s="1"/>
  <c r="AL10" i="3" s="1"/>
  <c r="T167" i="3"/>
  <c r="T88" i="3"/>
  <c r="P11" i="3"/>
  <c r="P86" i="3" s="1"/>
  <c r="P144" i="3" s="1"/>
  <c r="P13" i="3"/>
  <c r="P34" i="3"/>
  <c r="P14" i="3"/>
  <c r="R14" i="3" s="1"/>
  <c r="Q34" i="3"/>
  <c r="S88" i="3"/>
  <c r="Q145" i="3" l="1"/>
  <c r="R145" i="3" s="1"/>
  <c r="R88" i="3"/>
  <c r="S145" i="3" s="1"/>
  <c r="R39" i="3"/>
  <c r="Y88" i="3"/>
  <c r="U14" i="3"/>
  <c r="W14" i="3" s="1"/>
  <c r="U167" i="3"/>
  <c r="V34" i="3"/>
  <c r="U88" i="3"/>
  <c r="U145" i="3" s="1"/>
  <c r="U11" i="3"/>
  <c r="U135" i="3"/>
  <c r="U13" i="3"/>
  <c r="U34" i="3"/>
  <c r="X88" i="3"/>
  <c r="V88" i="3"/>
  <c r="R91" i="3"/>
  <c r="S167" i="3" s="1"/>
  <c r="Q167" i="3"/>
  <c r="P15" i="3"/>
  <c r="R13" i="3"/>
  <c r="R11" i="3"/>
  <c r="R12" i="3" s="1"/>
  <c r="Q113" i="3"/>
  <c r="P12" i="3"/>
  <c r="P16" i="3" s="1"/>
  <c r="T145" i="3"/>
  <c r="R167" i="3" l="1"/>
  <c r="R35" i="3"/>
  <c r="W88" i="3"/>
  <c r="X145" i="3" s="1"/>
  <c r="V145" i="3"/>
  <c r="W145" i="3" s="1"/>
  <c r="U15" i="3"/>
  <c r="W13" i="3"/>
  <c r="Y167" i="3"/>
  <c r="Q118" i="3"/>
  <c r="Q86" i="3" s="1"/>
  <c r="W135" i="3"/>
  <c r="W11" i="3"/>
  <c r="W12" i="3" s="1"/>
  <c r="P22" i="3"/>
  <c r="P36" i="3"/>
  <c r="P17" i="3"/>
  <c r="P42" i="3" s="1"/>
  <c r="Q114" i="3"/>
  <c r="V167" i="3"/>
  <c r="W167" i="3" s="1"/>
  <c r="W91" i="3"/>
  <c r="X167" i="3" s="1"/>
  <c r="W39" i="3"/>
  <c r="S113" i="3"/>
  <c r="R40" i="3"/>
  <c r="R15" i="3"/>
  <c r="R16" i="3" s="1"/>
  <c r="Z11" i="3"/>
  <c r="Z12" i="3" s="1"/>
  <c r="AC88" i="3"/>
  <c r="Z135" i="3"/>
  <c r="Z14" i="3"/>
  <c r="AB14" i="3" s="1"/>
  <c r="AD88" i="3"/>
  <c r="Z167" i="3"/>
  <c r="AA34" i="3"/>
  <c r="Z13" i="3"/>
  <c r="AA88" i="3"/>
  <c r="Z34" i="3"/>
  <c r="Z88" i="3"/>
  <c r="Z145" i="3" s="1"/>
  <c r="U12" i="3"/>
  <c r="Y145" i="3"/>
  <c r="P23" i="3" l="1"/>
  <c r="P24" i="3" s="1"/>
  <c r="AD145" i="3"/>
  <c r="AB39" i="3"/>
  <c r="AA167" i="3"/>
  <c r="AB167" i="3" s="1"/>
  <c r="AB91" i="3"/>
  <c r="AC167" i="3" s="1"/>
  <c r="S118" i="3"/>
  <c r="Q119" i="3"/>
  <c r="AB11" i="3"/>
  <c r="AB12" i="3" s="1"/>
  <c r="Q142" i="3"/>
  <c r="R142" i="3" s="1"/>
  <c r="R75" i="3"/>
  <c r="W15" i="3"/>
  <c r="W40" i="3"/>
  <c r="W35" i="3"/>
  <c r="AE11" i="3"/>
  <c r="AE13" i="3"/>
  <c r="AF34" i="3"/>
  <c r="AE34" i="3"/>
  <c r="AI88" i="3"/>
  <c r="AE135" i="3"/>
  <c r="AF88" i="3"/>
  <c r="AE14" i="3"/>
  <c r="AG14" i="3" s="1"/>
  <c r="AE167" i="3"/>
  <c r="AH88" i="3"/>
  <c r="AE88" i="3"/>
  <c r="AE145" i="3" s="1"/>
  <c r="AA145" i="3"/>
  <c r="AB145" i="3" s="1"/>
  <c r="AB88" i="3"/>
  <c r="AC145" i="3" s="1"/>
  <c r="AB135" i="3"/>
  <c r="R17" i="3"/>
  <c r="R42" i="3" s="1"/>
  <c r="C199" i="3" s="1"/>
  <c r="R36" i="3"/>
  <c r="T113" i="3"/>
  <c r="AB13" i="3"/>
  <c r="Z15" i="3"/>
  <c r="AD167" i="3"/>
  <c r="Q115" i="3"/>
  <c r="S114" i="3"/>
  <c r="P131" i="3" l="1"/>
  <c r="P27" i="3"/>
  <c r="P37" i="3"/>
  <c r="P28" i="3"/>
  <c r="S142" i="3"/>
  <c r="AG39" i="3"/>
  <c r="T114" i="3"/>
  <c r="S115" i="3"/>
  <c r="AB35" i="3"/>
  <c r="AG11" i="3"/>
  <c r="AG12" i="3" s="1"/>
  <c r="AG91" i="3"/>
  <c r="AH167" i="3" s="1"/>
  <c r="AF167" i="3"/>
  <c r="AJ11" i="3"/>
  <c r="AJ12" i="3" s="1"/>
  <c r="AJ135" i="3"/>
  <c r="AJ14" i="3"/>
  <c r="AL14" i="3" s="1"/>
  <c r="AK88" i="3"/>
  <c r="AJ13" i="3"/>
  <c r="AJ88" i="3"/>
  <c r="AJ145" i="3" s="1"/>
  <c r="AK34" i="3"/>
  <c r="AJ34" i="3"/>
  <c r="AJ167" i="3"/>
  <c r="R86" i="3"/>
  <c r="Q144" i="3"/>
  <c r="R144" i="3" s="1"/>
  <c r="AI145" i="3"/>
  <c r="AB40" i="3"/>
  <c r="AB15" i="3"/>
  <c r="AI167" i="3"/>
  <c r="AE12" i="3"/>
  <c r="AG135" i="3"/>
  <c r="R73" i="3"/>
  <c r="Q141" i="3"/>
  <c r="R141" i="3" s="1"/>
  <c r="AG167" i="3"/>
  <c r="U113" i="3"/>
  <c r="T142" i="3"/>
  <c r="AF145" i="3"/>
  <c r="AG145" i="3" s="1"/>
  <c r="AG88" i="3"/>
  <c r="AH145" i="3" s="1"/>
  <c r="AG13" i="3"/>
  <c r="AE15" i="3"/>
  <c r="S86" i="3"/>
  <c r="T118" i="3"/>
  <c r="S119" i="3"/>
  <c r="P99" i="3" l="1"/>
  <c r="P103" i="3" s="1"/>
  <c r="P147" i="3"/>
  <c r="AL39" i="3"/>
  <c r="V113" i="3"/>
  <c r="U142" i="3"/>
  <c r="AL135" i="3"/>
  <c r="S141" i="3"/>
  <c r="U118" i="3"/>
  <c r="T86" i="3"/>
  <c r="T119" i="3"/>
  <c r="AG15" i="3"/>
  <c r="AG40" i="3"/>
  <c r="S144" i="3"/>
  <c r="AG35" i="3"/>
  <c r="AL13" i="3"/>
  <c r="AJ15" i="3"/>
  <c r="AL11" i="3"/>
  <c r="AL12" i="3" s="1"/>
  <c r="U114" i="3"/>
  <c r="T115" i="3"/>
  <c r="T141" i="3"/>
  <c r="AL91" i="3"/>
  <c r="AK167" i="3"/>
  <c r="AL167" i="3" s="1"/>
  <c r="AK145" i="3"/>
  <c r="AL145" i="3" s="1"/>
  <c r="AL88" i="3"/>
  <c r="P105" i="3" l="1"/>
  <c r="P165" i="3"/>
  <c r="P89" i="3"/>
  <c r="AL40" i="3"/>
  <c r="AL15" i="3"/>
  <c r="AL35" i="3"/>
  <c r="Q180" i="3"/>
  <c r="S180" i="3" s="1"/>
  <c r="T180" i="3" s="1"/>
  <c r="U180" i="3" s="1"/>
  <c r="V180" i="3" s="1"/>
  <c r="X180" i="3" s="1"/>
  <c r="Y180" i="3" s="1"/>
  <c r="Z180" i="3" s="1"/>
  <c r="AA180" i="3" s="1"/>
  <c r="AC180" i="3" s="1"/>
  <c r="AD180" i="3" s="1"/>
  <c r="AE180" i="3" s="1"/>
  <c r="AF180" i="3" s="1"/>
  <c r="AH180" i="3" s="1"/>
  <c r="AI180" i="3" s="1"/>
  <c r="AJ180" i="3" s="1"/>
  <c r="AK180" i="3" s="1"/>
  <c r="U119" i="3"/>
  <c r="V118" i="3"/>
  <c r="U86" i="3"/>
  <c r="X113" i="3"/>
  <c r="U115" i="3"/>
  <c r="V114" i="3"/>
  <c r="U141" i="3"/>
  <c r="T144" i="3"/>
  <c r="P90" i="3" l="1"/>
  <c r="P94" i="3" s="1"/>
  <c r="P106" i="3" s="1"/>
  <c r="P166" i="3"/>
  <c r="P168" i="3" s="1"/>
  <c r="P170" i="3" s="1"/>
  <c r="P172" i="3" s="1"/>
  <c r="P174" i="3" s="1"/>
  <c r="P70" i="3" s="1"/>
  <c r="Q19" i="3"/>
  <c r="P125" i="3"/>
  <c r="X118" i="3"/>
  <c r="V119" i="3"/>
  <c r="V86" i="3"/>
  <c r="W75" i="3"/>
  <c r="V142" i="3"/>
  <c r="W142" i="3" s="1"/>
  <c r="Y113" i="3"/>
  <c r="V115" i="3"/>
  <c r="X114" i="3"/>
  <c r="U144" i="3"/>
  <c r="P77" i="3" l="1"/>
  <c r="P83" i="3" s="1"/>
  <c r="P183" i="3"/>
  <c r="Q21" i="3"/>
  <c r="Q22" i="3" s="1"/>
  <c r="R19" i="3"/>
  <c r="R21" i="3" s="1"/>
  <c r="R22" i="3" s="1"/>
  <c r="W73" i="3"/>
  <c r="V141" i="3"/>
  <c r="W141" i="3" s="1"/>
  <c r="Y118" i="3"/>
  <c r="X119" i="3"/>
  <c r="X86" i="3"/>
  <c r="X142" i="3"/>
  <c r="V144" i="3"/>
  <c r="W144" i="3" s="1"/>
  <c r="W86" i="3"/>
  <c r="Z113" i="3"/>
  <c r="Y142" i="3"/>
  <c r="X115" i="3"/>
  <c r="Y114" i="3"/>
  <c r="X141" i="3"/>
  <c r="Q23" i="3" l="1"/>
  <c r="R23" i="3" s="1"/>
  <c r="R38" i="3" s="1"/>
  <c r="Z114" i="3"/>
  <c r="Y141" i="3"/>
  <c r="Y115" i="3"/>
  <c r="AA113" i="3"/>
  <c r="Z142" i="3"/>
  <c r="X144" i="3"/>
  <c r="Z118" i="3"/>
  <c r="Y86" i="3"/>
  <c r="Y119" i="3"/>
  <c r="Q24" i="3" l="1"/>
  <c r="Q131" i="3" s="1"/>
  <c r="Q99" i="3" s="1"/>
  <c r="R24" i="3"/>
  <c r="Z119" i="3"/>
  <c r="AA118" i="3"/>
  <c r="Z86" i="3"/>
  <c r="Y144" i="3"/>
  <c r="AC113" i="3"/>
  <c r="AA114" i="3"/>
  <c r="Z115" i="3"/>
  <c r="Z141" i="3"/>
  <c r="Q37" i="3" l="1"/>
  <c r="Q28" i="3"/>
  <c r="Q27" i="3"/>
  <c r="R26" i="3"/>
  <c r="R184" i="3" s="1"/>
  <c r="R37" i="3"/>
  <c r="R131" i="3"/>
  <c r="R25" i="3"/>
  <c r="R27" i="3" s="1"/>
  <c r="Q103" i="3"/>
  <c r="R99" i="3"/>
  <c r="R103" i="3" s="1"/>
  <c r="AC114" i="3"/>
  <c r="AA115" i="3"/>
  <c r="AA142" i="3"/>
  <c r="AB142" i="3" s="1"/>
  <c r="AB75" i="3"/>
  <c r="AC142" i="3" s="1"/>
  <c r="Z144" i="3"/>
  <c r="AD113" i="3"/>
  <c r="AC118" i="3"/>
  <c r="AA86" i="3"/>
  <c r="AA119" i="3"/>
  <c r="R28" i="3" l="1"/>
  <c r="R105" i="3"/>
  <c r="Q105" i="3"/>
  <c r="Q89" i="3"/>
  <c r="AA144" i="3"/>
  <c r="AB144" i="3" s="1"/>
  <c r="AB86" i="3"/>
  <c r="AE113" i="3"/>
  <c r="AD142" i="3"/>
  <c r="AB73" i="3"/>
  <c r="AA141" i="3"/>
  <c r="AB141" i="3" s="1"/>
  <c r="AC86" i="3"/>
  <c r="AD118" i="3"/>
  <c r="AC119" i="3"/>
  <c r="AC115" i="3"/>
  <c r="AD114" i="3"/>
  <c r="AC141" i="3"/>
  <c r="R92" i="3" l="1"/>
  <c r="Q165" i="3"/>
  <c r="R89" i="3"/>
  <c r="R90" i="3" s="1"/>
  <c r="Q125" i="3"/>
  <c r="S19" i="3"/>
  <c r="S21" i="3" s="1"/>
  <c r="Q166" i="3"/>
  <c r="R166" i="3" s="1"/>
  <c r="Q90" i="3"/>
  <c r="Q94" i="3" s="1"/>
  <c r="Q106" i="3" s="1"/>
  <c r="AE118" i="3"/>
  <c r="AD86" i="3"/>
  <c r="AD119" i="3"/>
  <c r="AC144" i="3"/>
  <c r="AF113" i="3"/>
  <c r="AE142" i="3"/>
  <c r="AD115" i="3"/>
  <c r="AE114" i="3"/>
  <c r="AD141" i="3"/>
  <c r="R94" i="3" l="1"/>
  <c r="R106" i="3" s="1"/>
  <c r="Q168" i="3"/>
  <c r="R165" i="3"/>
  <c r="AE115" i="3"/>
  <c r="AF114" i="3"/>
  <c r="AE141" i="3"/>
  <c r="AD144" i="3"/>
  <c r="AE119" i="3"/>
  <c r="AF118" i="3"/>
  <c r="AE86" i="3"/>
  <c r="AH113" i="3"/>
  <c r="AI113" i="3" l="1"/>
  <c r="AH114" i="3"/>
  <c r="AF115" i="3"/>
  <c r="AF142" i="3"/>
  <c r="AG142" i="3" s="1"/>
  <c r="AG75" i="3"/>
  <c r="AE144" i="3"/>
  <c r="AF86" i="3"/>
  <c r="AH118" i="3"/>
  <c r="AF119" i="3"/>
  <c r="AH86" i="3" l="1"/>
  <c r="AH119" i="3"/>
  <c r="AI118" i="3"/>
  <c r="AI114" i="3"/>
  <c r="AH115" i="3"/>
  <c r="AF141" i="3"/>
  <c r="AG141" i="3" s="1"/>
  <c r="AG73" i="3"/>
  <c r="AJ113" i="3"/>
  <c r="AI142" i="3"/>
  <c r="AG86" i="3"/>
  <c r="AF144" i="3"/>
  <c r="AG144" i="3" s="1"/>
  <c r="AH142" i="3"/>
  <c r="AH141" i="3" l="1"/>
  <c r="AK113" i="3"/>
  <c r="AJ142" i="3"/>
  <c r="AJ118" i="3"/>
  <c r="AI86" i="3"/>
  <c r="AI119" i="3"/>
  <c r="AI115" i="3"/>
  <c r="AJ114" i="3"/>
  <c r="AI141" i="3"/>
  <c r="AH144" i="3"/>
  <c r="AK142" i="3" l="1"/>
  <c r="AL142" i="3" s="1"/>
  <c r="AL75" i="3"/>
  <c r="AJ115" i="3"/>
  <c r="AK114" i="3"/>
  <c r="AJ141" i="3"/>
  <c r="AI144" i="3"/>
  <c r="AJ119" i="3"/>
  <c r="AK118" i="3"/>
  <c r="AJ86" i="3"/>
  <c r="AK115" i="3" l="1"/>
  <c r="AK86" i="3"/>
  <c r="AK119" i="3"/>
  <c r="AJ144" i="3"/>
  <c r="AK141" i="3" l="1"/>
  <c r="AL141" i="3" s="1"/>
  <c r="AL73" i="3"/>
  <c r="AL86" i="3"/>
  <c r="AK144" i="3"/>
  <c r="AL144" i="3" s="1"/>
  <c r="Q116" i="3" l="1"/>
  <c r="Q72" i="3" s="1"/>
  <c r="Q117" i="3" l="1"/>
  <c r="Q120" i="3" s="1"/>
  <c r="S116" i="3"/>
  <c r="T116" i="3" l="1"/>
  <c r="S72" i="3"/>
  <c r="S117" i="3"/>
  <c r="S120" i="3" s="1"/>
  <c r="R72" i="3"/>
  <c r="Q140" i="3"/>
  <c r="R140" i="3" l="1"/>
  <c r="Q147" i="3"/>
  <c r="S140" i="3"/>
  <c r="T117" i="3"/>
  <c r="T120" i="3" s="1"/>
  <c r="T72" i="3"/>
  <c r="T140" i="3" s="1"/>
  <c r="U116" i="3"/>
  <c r="U72" i="3" l="1"/>
  <c r="U140" i="3" s="1"/>
  <c r="V116" i="3"/>
  <c r="U117" i="3"/>
  <c r="U120" i="3" s="1"/>
  <c r="V72" i="3" l="1"/>
  <c r="X116" i="3"/>
  <c r="V117" i="3"/>
  <c r="V120" i="3" s="1"/>
  <c r="X72" i="3" l="1"/>
  <c r="X117" i="3"/>
  <c r="X120" i="3" s="1"/>
  <c r="Y116" i="3"/>
  <c r="V140" i="3"/>
  <c r="W140" i="3" s="1"/>
  <c r="W72" i="3"/>
  <c r="Z116" i="3" l="1"/>
  <c r="Y117" i="3"/>
  <c r="Y120" i="3" s="1"/>
  <c r="Y72" i="3"/>
  <c r="Y140" i="3" s="1"/>
  <c r="X140" i="3"/>
  <c r="Z117" i="3" l="1"/>
  <c r="Z120" i="3" s="1"/>
  <c r="Z72" i="3"/>
  <c r="Z140" i="3" s="1"/>
  <c r="AA116" i="3"/>
  <c r="AA117" i="3" l="1"/>
  <c r="AA120" i="3" s="1"/>
  <c r="AA72" i="3"/>
  <c r="AC116" i="3"/>
  <c r="AC117" i="3" l="1"/>
  <c r="AC120" i="3" s="1"/>
  <c r="AD116" i="3"/>
  <c r="AC72" i="3"/>
  <c r="AB72" i="3"/>
  <c r="AA140" i="3"/>
  <c r="AB140" i="3" s="1"/>
  <c r="AC140" i="3" l="1"/>
  <c r="AD117" i="3"/>
  <c r="AD120" i="3" s="1"/>
  <c r="AE116" i="3"/>
  <c r="AD72" i="3"/>
  <c r="AD140" i="3" s="1"/>
  <c r="AF116" i="3" l="1"/>
  <c r="AE117" i="3"/>
  <c r="AE120" i="3" s="1"/>
  <c r="AE72" i="3"/>
  <c r="AE140" i="3" s="1"/>
  <c r="AH116" i="3" l="1"/>
  <c r="AF117" i="3"/>
  <c r="AF120" i="3" s="1"/>
  <c r="AF72" i="3"/>
  <c r="AG72" i="3" l="1"/>
  <c r="AF140" i="3"/>
  <c r="AG140" i="3" s="1"/>
  <c r="AH72" i="3"/>
  <c r="AI116" i="3"/>
  <c r="AH117" i="3"/>
  <c r="AH120" i="3" s="1"/>
  <c r="AH140" i="3" l="1"/>
  <c r="AJ116" i="3"/>
  <c r="AI117" i="3"/>
  <c r="AI120" i="3" s="1"/>
  <c r="AI72" i="3"/>
  <c r="AI140" i="3" s="1"/>
  <c r="AK116" i="3" l="1"/>
  <c r="AJ117" i="3"/>
  <c r="AJ120" i="3" s="1"/>
  <c r="AJ72" i="3"/>
  <c r="AJ140" i="3" s="1"/>
  <c r="AK72" i="3" l="1"/>
  <c r="AK117" i="3"/>
  <c r="AK120" i="3" s="1"/>
  <c r="AL72" i="3" l="1"/>
  <c r="AK140" i="3"/>
  <c r="AL140" i="3" s="1"/>
  <c r="U190" i="3"/>
  <c r="U191" i="3"/>
  <c r="R135" i="3"/>
  <c r="R147" i="3" s="1"/>
  <c r="R192" i="3" s="1"/>
  <c r="R161" i="3"/>
  <c r="R190" i="3" l="1"/>
  <c r="Z190" i="3"/>
  <c r="AE190" i="3" s="1"/>
  <c r="AJ190" i="3" s="1"/>
  <c r="AF190" i="3"/>
  <c r="U162" i="3"/>
  <c r="W162" i="3" s="1"/>
  <c r="W191" i="3" s="1"/>
  <c r="Z191" i="3"/>
  <c r="AE191" i="3" s="1"/>
  <c r="AJ191" i="3" s="1"/>
  <c r="AJ162" i="3" s="1"/>
  <c r="AF191" i="3"/>
  <c r="Q154" i="3"/>
  <c r="W161" i="3"/>
  <c r="W190" i="3" s="1"/>
  <c r="R162" i="3"/>
  <c r="AK190" i="3" l="1"/>
  <c r="AE162" i="3"/>
  <c r="U98" i="3"/>
  <c r="Q157" i="3"/>
  <c r="Q170" i="3" s="1"/>
  <c r="Q79" i="3"/>
  <c r="R168" i="3"/>
  <c r="R191" i="3"/>
  <c r="Z162" i="3"/>
  <c r="AB162" i="3" s="1"/>
  <c r="AK191" i="3"/>
  <c r="AK162" i="3" s="1"/>
  <c r="AL162" i="3" s="1"/>
  <c r="AF162" i="3"/>
  <c r="AB161" i="3"/>
  <c r="S154" i="3"/>
  <c r="S157" i="3" s="1"/>
  <c r="R154" i="3"/>
  <c r="AG162" i="3" l="1"/>
  <c r="V98" i="3"/>
  <c r="W98" i="3" s="1"/>
  <c r="R193" i="3"/>
  <c r="R157" i="3"/>
  <c r="R170" i="3" s="1"/>
  <c r="R172" i="3" s="1"/>
  <c r="AL161" i="3"/>
  <c r="Q171" i="3"/>
  <c r="Q172" i="3" s="1"/>
  <c r="T154" i="3"/>
  <c r="R175" i="3"/>
  <c r="R177" i="3" s="1"/>
  <c r="AG161" i="3"/>
  <c r="S134" i="3"/>
  <c r="S16" i="3" s="1"/>
  <c r="R79" i="3"/>
  <c r="X98" i="3" l="1"/>
  <c r="Y98" i="3" s="1"/>
  <c r="S36" i="3"/>
  <c r="S22" i="3"/>
  <c r="S23" i="3" s="1"/>
  <c r="S24" i="3" s="1"/>
  <c r="R174" i="3"/>
  <c r="R70" i="3" s="1"/>
  <c r="R183" i="3" s="1"/>
  <c r="W171" i="3"/>
  <c r="S171" i="3"/>
  <c r="U154" i="3"/>
  <c r="T157" i="3"/>
  <c r="Q174" i="3"/>
  <c r="Q70" i="3" s="1"/>
  <c r="S133" i="3"/>
  <c r="S17" i="3"/>
  <c r="S42" i="3" s="1"/>
  <c r="C204" i="3"/>
  <c r="P107" i="3"/>
  <c r="S37" i="3" l="1"/>
  <c r="S28" i="3"/>
  <c r="S27" i="3"/>
  <c r="S131" i="3"/>
  <c r="V154" i="3"/>
  <c r="W154" i="3" s="1"/>
  <c r="W193" i="3" s="1"/>
  <c r="U157" i="3"/>
  <c r="Q77" i="3"/>
  <c r="Q83" i="3" s="1"/>
  <c r="Q107" i="3" s="1"/>
  <c r="Q183" i="3"/>
  <c r="S79" i="3"/>
  <c r="T134" i="3" s="1"/>
  <c r="T16" i="3" s="1"/>
  <c r="T36" i="3" s="1"/>
  <c r="Z98" i="3"/>
  <c r="C231" i="3"/>
  <c r="R180" i="3"/>
  <c r="R77" i="3"/>
  <c r="R83" i="3" s="1"/>
  <c r="R107" i="3" s="1"/>
  <c r="S99" i="3" l="1"/>
  <c r="S103" i="3" s="1"/>
  <c r="S92" i="3" s="1"/>
  <c r="S147" i="3"/>
  <c r="S192" i="3" s="1"/>
  <c r="W157" i="3"/>
  <c r="X154" i="3"/>
  <c r="V157" i="3"/>
  <c r="AA98" i="3"/>
  <c r="T17" i="3"/>
  <c r="T42" i="3" s="1"/>
  <c r="T133" i="3"/>
  <c r="S89" i="3" l="1"/>
  <c r="S165" i="3"/>
  <c r="S105" i="3"/>
  <c r="X157" i="3"/>
  <c r="Y154" i="3"/>
  <c r="T79" i="3"/>
  <c r="U134" i="3" s="1"/>
  <c r="U16" i="3" s="1"/>
  <c r="U36" i="3" s="1"/>
  <c r="AB98" i="3"/>
  <c r="AC98" i="3"/>
  <c r="S166" i="3" l="1"/>
  <c r="S168" i="3" s="1"/>
  <c r="S170" i="3" s="1"/>
  <c r="S172" i="3" s="1"/>
  <c r="S125" i="3"/>
  <c r="S90" i="3"/>
  <c r="S94" i="3" s="1"/>
  <c r="S106" i="3" s="1"/>
  <c r="T19" i="3"/>
  <c r="Z154" i="3"/>
  <c r="Y157" i="3"/>
  <c r="AD98" i="3"/>
  <c r="U17" i="3"/>
  <c r="U42" i="3" s="1"/>
  <c r="U133" i="3"/>
  <c r="T21" i="3" l="1"/>
  <c r="T22" i="3" s="1"/>
  <c r="T23" i="3" s="1"/>
  <c r="S174" i="3"/>
  <c r="S70" i="3" s="1"/>
  <c r="T171" i="3"/>
  <c r="AA154" i="3"/>
  <c r="AB154" i="3" s="1"/>
  <c r="Z157" i="3"/>
  <c r="U79" i="3"/>
  <c r="V134" i="3" s="1"/>
  <c r="V16" i="3" s="1"/>
  <c r="V36" i="3" s="1"/>
  <c r="AE98" i="3"/>
  <c r="S183" i="3" l="1"/>
  <c r="S179" i="3"/>
  <c r="S181" i="3" s="1"/>
  <c r="S184" i="3" s="1"/>
  <c r="S77" i="3"/>
  <c r="S83" i="3" s="1"/>
  <c r="S107" i="3" s="1"/>
  <c r="T24" i="3"/>
  <c r="AB157" i="3"/>
  <c r="AB193" i="3"/>
  <c r="AA157" i="3"/>
  <c r="AC154" i="3"/>
  <c r="V17" i="3"/>
  <c r="V42" i="3" s="1"/>
  <c r="V133" i="3"/>
  <c r="W134" i="3"/>
  <c r="W16" i="3" s="1"/>
  <c r="W36" i="3" s="1"/>
  <c r="AF98" i="3"/>
  <c r="T37" i="3" l="1"/>
  <c r="T28" i="3"/>
  <c r="C205" i="3" s="1"/>
  <c r="C3" i="3" s="1"/>
  <c r="T27" i="3"/>
  <c r="T131" i="3"/>
  <c r="AC157" i="3"/>
  <c r="AD154" i="3"/>
  <c r="V79" i="3"/>
  <c r="X134" i="3" s="1"/>
  <c r="X16" i="3" s="1"/>
  <c r="X36" i="3" s="1"/>
  <c r="W133" i="3"/>
  <c r="AG98" i="3"/>
  <c r="AH98" i="3"/>
  <c r="W17" i="3"/>
  <c r="W42" i="3" s="1"/>
  <c r="T99" i="3" l="1"/>
  <c r="T103" i="3" s="1"/>
  <c r="T92" i="3" s="1"/>
  <c r="T147" i="3"/>
  <c r="T192" i="3" s="1"/>
  <c r="W79" i="3"/>
  <c r="AE154" i="3"/>
  <c r="AD157" i="3"/>
  <c r="AI98" i="3"/>
  <c r="X17" i="3"/>
  <c r="X42" i="3" s="1"/>
  <c r="X133" i="3"/>
  <c r="T105" i="3" l="1"/>
  <c r="T165" i="3"/>
  <c r="T89" i="3"/>
  <c r="AF154" i="3"/>
  <c r="AG154" i="3" s="1"/>
  <c r="AE157" i="3"/>
  <c r="X79" i="3"/>
  <c r="Y134" i="3" s="1"/>
  <c r="Y16" i="3" s="1"/>
  <c r="Y36" i="3" s="1"/>
  <c r="AJ98" i="3"/>
  <c r="T125" i="3" l="1"/>
  <c r="T90" i="3"/>
  <c r="T94" i="3" s="1"/>
  <c r="T106" i="3" s="1"/>
  <c r="T166" i="3"/>
  <c r="T168" i="3" s="1"/>
  <c r="T170" i="3" s="1"/>
  <c r="T172" i="3" s="1"/>
  <c r="U19" i="3"/>
  <c r="AG193" i="3"/>
  <c r="AG157" i="3"/>
  <c r="AH154" i="3"/>
  <c r="AF157" i="3"/>
  <c r="Y133" i="3"/>
  <c r="Y17" i="3"/>
  <c r="Y42" i="3" s="1"/>
  <c r="AK98" i="3"/>
  <c r="U21" i="3" l="1"/>
  <c r="U22" i="3" s="1"/>
  <c r="U23" i="3" s="1"/>
  <c r="T174" i="3"/>
  <c r="T70" i="3" s="1"/>
  <c r="U171" i="3"/>
  <c r="AH157" i="3"/>
  <c r="AI154" i="3"/>
  <c r="Y79" i="3"/>
  <c r="Z134" i="3" s="1"/>
  <c r="Z16" i="3" s="1"/>
  <c r="Z36" i="3" s="1"/>
  <c r="AL98" i="3"/>
  <c r="T183" i="3" l="1"/>
  <c r="T179" i="3"/>
  <c r="T181" i="3" s="1"/>
  <c r="T184" i="3" s="1"/>
  <c r="T77" i="3"/>
  <c r="T83" i="3" s="1"/>
  <c r="T107" i="3" s="1"/>
  <c r="U24" i="3"/>
  <c r="AJ154" i="3"/>
  <c r="AI157" i="3"/>
  <c r="Z133" i="3"/>
  <c r="Z17" i="3"/>
  <c r="Z42" i="3" s="1"/>
  <c r="U28" i="3" l="1"/>
  <c r="U131" i="3"/>
  <c r="U27" i="3"/>
  <c r="U37" i="3"/>
  <c r="AK154" i="3"/>
  <c r="AJ157" i="3"/>
  <c r="Z79" i="3"/>
  <c r="AA134" i="3" s="1"/>
  <c r="AA16" i="3" s="1"/>
  <c r="AA36" i="3" s="1"/>
  <c r="U99" i="3" l="1"/>
  <c r="U103" i="3" s="1"/>
  <c r="U92" i="3" s="1"/>
  <c r="U147" i="3"/>
  <c r="U192" i="3" s="1"/>
  <c r="AK157" i="3"/>
  <c r="AL154" i="3"/>
  <c r="AA17" i="3"/>
  <c r="AA42" i="3" s="1"/>
  <c r="AA133" i="3"/>
  <c r="AB134" i="3"/>
  <c r="AB16" i="3" s="1"/>
  <c r="AB36" i="3" s="1"/>
  <c r="U105" i="3" l="1"/>
  <c r="U89" i="3"/>
  <c r="U165" i="3"/>
  <c r="AL157" i="3"/>
  <c r="AL193" i="3"/>
  <c r="AA79" i="3"/>
  <c r="AB79" i="3" s="1"/>
  <c r="AB133" i="3"/>
  <c r="AB17" i="3"/>
  <c r="AB42" i="3" s="1"/>
  <c r="U166" i="3" l="1"/>
  <c r="U168" i="3" s="1"/>
  <c r="U170" i="3" s="1"/>
  <c r="U172" i="3" s="1"/>
  <c r="V19" i="3"/>
  <c r="U90" i="3"/>
  <c r="U94" i="3" s="1"/>
  <c r="U106" i="3" s="1"/>
  <c r="U125" i="3"/>
  <c r="AC134" i="3"/>
  <c r="AC133" i="3" l="1"/>
  <c r="AC16" i="3"/>
  <c r="AC36" i="3" s="1"/>
  <c r="V21" i="3"/>
  <c r="V22" i="3" s="1"/>
  <c r="W19" i="3"/>
  <c r="W21" i="3" s="1"/>
  <c r="W22" i="3" s="1"/>
  <c r="U174" i="3"/>
  <c r="U70" i="3" s="1"/>
  <c r="V171" i="3"/>
  <c r="AC79" i="3"/>
  <c r="AD134" i="3" s="1"/>
  <c r="AD16" i="3" s="1"/>
  <c r="AD36" i="3" s="1"/>
  <c r="AC17" i="3" l="1"/>
  <c r="AC42" i="3" s="1"/>
  <c r="V23" i="3"/>
  <c r="W23" i="3" s="1"/>
  <c r="W38" i="3" s="1"/>
  <c r="U183" i="3"/>
  <c r="U179" i="3"/>
  <c r="U181" i="3" s="1"/>
  <c r="U184" i="3" s="1"/>
  <c r="U77" i="3"/>
  <c r="U83" i="3" s="1"/>
  <c r="U107" i="3" s="1"/>
  <c r="AD133" i="3"/>
  <c r="AD17" i="3"/>
  <c r="AD42" i="3" s="1"/>
  <c r="W24" i="3" l="1"/>
  <c r="W37" i="3" s="1"/>
  <c r="V24" i="3"/>
  <c r="V131" i="3" s="1"/>
  <c r="AD79" i="3"/>
  <c r="AE134" i="3" s="1"/>
  <c r="AE16" i="3" s="1"/>
  <c r="AE36" i="3" s="1"/>
  <c r="V28" i="3" l="1"/>
  <c r="W25" i="3"/>
  <c r="W27" i="3" s="1"/>
  <c r="W131" i="3"/>
  <c r="W26" i="3"/>
  <c r="W184" i="3" s="1"/>
  <c r="V37" i="3"/>
  <c r="V27" i="3"/>
  <c r="V99" i="3"/>
  <c r="V147" i="3"/>
  <c r="AE133" i="3"/>
  <c r="AE17" i="3"/>
  <c r="AE42" i="3" s="1"/>
  <c r="W147" i="3" l="1"/>
  <c r="W192" i="3" s="1"/>
  <c r="W28" i="3"/>
  <c r="V103" i="3"/>
  <c r="V92" i="3" s="1"/>
  <c r="W99" i="3"/>
  <c r="W103" i="3" s="1"/>
  <c r="W105" i="3" s="1"/>
  <c r="AE79" i="3"/>
  <c r="AF134" i="3" s="1"/>
  <c r="AF16" i="3" s="1"/>
  <c r="AF36" i="3" s="1"/>
  <c r="V105" i="3" l="1"/>
  <c r="V89" i="3"/>
  <c r="AF17" i="3"/>
  <c r="AF42" i="3" s="1"/>
  <c r="AF133" i="3"/>
  <c r="AG134" i="3"/>
  <c r="AG16" i="3" s="1"/>
  <c r="AG36" i="3" s="1"/>
  <c r="V165" i="3" l="1"/>
  <c r="W92" i="3"/>
  <c r="W175" i="3" s="1"/>
  <c r="W177" i="3" s="1"/>
  <c r="V166" i="3"/>
  <c r="W166" i="3" s="1"/>
  <c r="V90" i="3"/>
  <c r="V94" i="3" s="1"/>
  <c r="V106" i="3" s="1"/>
  <c r="X19" i="3"/>
  <c r="X21" i="3" s="1"/>
  <c r="X22" i="3" s="1"/>
  <c r="X23" i="3" s="1"/>
  <c r="X24" i="3" s="1"/>
  <c r="W89" i="3"/>
  <c r="W90" i="3" s="1"/>
  <c r="W94" i="3" s="1"/>
  <c r="W106" i="3" s="1"/>
  <c r="V125" i="3"/>
  <c r="AF79" i="3"/>
  <c r="AG79" i="3" s="1"/>
  <c r="AG133" i="3"/>
  <c r="AG17" i="3"/>
  <c r="AG42" i="3" s="1"/>
  <c r="X27" i="3" l="1"/>
  <c r="X37" i="3"/>
  <c r="X28" i="3"/>
  <c r="X131" i="3"/>
  <c r="V168" i="3"/>
  <c r="V170" i="3" s="1"/>
  <c r="V172" i="3" s="1"/>
  <c r="V174" i="3" s="1"/>
  <c r="V70" i="3" s="1"/>
  <c r="W165" i="3"/>
  <c r="W168" i="3" s="1"/>
  <c r="W170" i="3" s="1"/>
  <c r="W172" i="3" s="1"/>
  <c r="AH134" i="3"/>
  <c r="X99" i="3" l="1"/>
  <c r="X147" i="3"/>
  <c r="X192" i="3" s="1"/>
  <c r="AH133" i="3"/>
  <c r="AH16" i="3"/>
  <c r="W174" i="3"/>
  <c r="W70" i="3" s="1"/>
  <c r="AB171" i="3"/>
  <c r="X171" i="3"/>
  <c r="V183" i="3"/>
  <c r="V77" i="3"/>
  <c r="V83" i="3" s="1"/>
  <c r="V107" i="3" s="1"/>
  <c r="V179" i="3"/>
  <c r="AH79" i="3"/>
  <c r="AI134" i="3" s="1"/>
  <c r="AI16" i="3" s="1"/>
  <c r="AI36" i="3" s="1"/>
  <c r="AH36" i="3" l="1"/>
  <c r="AH17" i="3"/>
  <c r="AH42" i="3" s="1"/>
  <c r="V181" i="3"/>
  <c r="V184" i="3" s="1"/>
  <c r="W179" i="3"/>
  <c r="W183" i="3"/>
  <c r="W77" i="3"/>
  <c r="W83" i="3" s="1"/>
  <c r="W107" i="3" s="1"/>
  <c r="X103" i="3"/>
  <c r="AI133" i="3"/>
  <c r="AI17" i="3"/>
  <c r="AI42" i="3" s="1"/>
  <c r="X105" i="3" l="1"/>
  <c r="X89" i="3"/>
  <c r="X92" i="3"/>
  <c r="X165" i="3" s="1"/>
  <c r="W182" i="3"/>
  <c r="W180" i="3"/>
  <c r="AI79" i="3"/>
  <c r="AJ134" i="3" s="1"/>
  <c r="AJ16" i="3" s="1"/>
  <c r="AJ36" i="3" s="1"/>
  <c r="X125" i="3" l="1"/>
  <c r="X166" i="3"/>
  <c r="X168" i="3" s="1"/>
  <c r="X170" i="3" s="1"/>
  <c r="X172" i="3" s="1"/>
  <c r="Y19" i="3"/>
  <c r="X90" i="3"/>
  <c r="X94" i="3" s="1"/>
  <c r="X106" i="3" s="1"/>
  <c r="AJ133" i="3"/>
  <c r="AJ17" i="3"/>
  <c r="AJ42" i="3" s="1"/>
  <c r="X174" i="3" l="1"/>
  <c r="X70" i="3" s="1"/>
  <c r="Y171" i="3"/>
  <c r="Y21" i="3"/>
  <c r="Y22" i="3" s="1"/>
  <c r="AJ79" i="3"/>
  <c r="AK134" i="3" s="1"/>
  <c r="AK16" i="3" s="1"/>
  <c r="AK36" i="3" s="1"/>
  <c r="Y23" i="3" l="1"/>
  <c r="Y24" i="3" s="1"/>
  <c r="X183" i="3"/>
  <c r="X77" i="3"/>
  <c r="X83" i="3" s="1"/>
  <c r="X107" i="3" s="1"/>
  <c r="X179" i="3"/>
  <c r="X181" i="3" s="1"/>
  <c r="X184" i="3" s="1"/>
  <c r="AK133" i="3"/>
  <c r="AK17" i="3"/>
  <c r="AK42" i="3" s="1"/>
  <c r="AL134" i="3"/>
  <c r="AL16" i="3" s="1"/>
  <c r="AL36" i="3" s="1"/>
  <c r="Y131" i="3" l="1"/>
  <c r="Y37" i="3"/>
  <c r="Y27" i="3"/>
  <c r="Y28" i="3"/>
  <c r="AK79" i="3"/>
  <c r="AL79" i="3" s="1"/>
  <c r="AL133" i="3"/>
  <c r="AL17" i="3"/>
  <c r="AL42" i="3" s="1"/>
  <c r="Y147" i="3" l="1"/>
  <c r="Y192" i="3" s="1"/>
  <c r="Y99" i="3"/>
  <c r="Y103" i="3" l="1"/>
  <c r="Y92" i="3" l="1"/>
  <c r="Y165" i="3" s="1"/>
  <c r="Y105" i="3"/>
  <c r="Y89" i="3"/>
  <c r="Y125" i="3" l="1"/>
  <c r="Z19" i="3"/>
  <c r="Y166" i="3"/>
  <c r="Y168" i="3" s="1"/>
  <c r="Y170" i="3" s="1"/>
  <c r="Y172" i="3" s="1"/>
  <c r="Y90" i="3"/>
  <c r="Y94" i="3" s="1"/>
  <c r="Y106" i="3" s="1"/>
  <c r="Y174" i="3" l="1"/>
  <c r="Y70" i="3" s="1"/>
  <c r="Z171" i="3"/>
  <c r="Z21" i="3"/>
  <c r="Z22" i="3" s="1"/>
  <c r="Z23" i="3" l="1"/>
  <c r="Z24" i="3" s="1"/>
  <c r="Y183" i="3"/>
  <c r="Y77" i="3"/>
  <c r="Y83" i="3" s="1"/>
  <c r="Y107" i="3" s="1"/>
  <c r="Y179" i="3"/>
  <c r="Y181" i="3" s="1"/>
  <c r="Y184" i="3" s="1"/>
  <c r="Z37" i="3" l="1"/>
  <c r="Z27" i="3"/>
  <c r="Z131" i="3"/>
  <c r="Z28" i="3"/>
  <c r="Z147" i="3" l="1"/>
  <c r="Z192" i="3" s="1"/>
  <c r="Z99" i="3"/>
  <c r="Z103" i="3" l="1"/>
  <c r="Z105" i="3" l="1"/>
  <c r="Z92" i="3"/>
  <c r="Z165" i="3" s="1"/>
  <c r="Z89" i="3"/>
  <c r="Z125" i="3" l="1"/>
  <c r="AA19" i="3"/>
  <c r="Z90" i="3"/>
  <c r="Z94" i="3" s="1"/>
  <c r="Z106" i="3" s="1"/>
  <c r="Z166" i="3"/>
  <c r="Z168" i="3" s="1"/>
  <c r="Z170" i="3" s="1"/>
  <c r="Z172" i="3" s="1"/>
  <c r="Z174" i="3" l="1"/>
  <c r="Z70" i="3" s="1"/>
  <c r="AA171" i="3"/>
  <c r="AA21" i="3"/>
  <c r="AA22" i="3" s="1"/>
  <c r="AB19" i="3"/>
  <c r="AB21" i="3" s="1"/>
  <c r="AB22" i="3" s="1"/>
  <c r="AA23" i="3" l="1"/>
  <c r="AB23" i="3" s="1"/>
  <c r="AB38" i="3" s="1"/>
  <c r="Z183" i="3"/>
  <c r="Z179" i="3"/>
  <c r="Z181" i="3" s="1"/>
  <c r="Z184" i="3" s="1"/>
  <c r="Z77" i="3"/>
  <c r="Z83" i="3" s="1"/>
  <c r="Z107" i="3" s="1"/>
  <c r="AB24" i="3" l="1"/>
  <c r="AB131" i="3" s="1"/>
  <c r="AB147" i="3" s="1"/>
  <c r="AB192" i="3" s="1"/>
  <c r="AA24" i="3"/>
  <c r="AB26" i="3" l="1"/>
  <c r="AB184" i="3" s="1"/>
  <c r="AB37" i="3"/>
  <c r="AA27" i="3"/>
  <c r="AA37" i="3"/>
  <c r="AA131" i="3"/>
  <c r="AA28" i="3"/>
  <c r="AB25" i="3"/>
  <c r="AB27" i="3" s="1"/>
  <c r="AB28" i="3" l="1"/>
  <c r="AA147" i="3"/>
  <c r="AA99" i="3"/>
  <c r="AA103" i="3" l="1"/>
  <c r="AB99" i="3"/>
  <c r="AB103" i="3" s="1"/>
  <c r="AB105" i="3" s="1"/>
  <c r="AA105" i="3" l="1"/>
  <c r="AA92" i="3"/>
  <c r="AA89" i="3"/>
  <c r="AA90" i="3" l="1"/>
  <c r="AA94" i="3" s="1"/>
  <c r="AA106" i="3" s="1"/>
  <c r="AC19" i="3"/>
  <c r="AC21" i="3" s="1"/>
  <c r="AC22" i="3" s="1"/>
  <c r="AC23" i="3" s="1"/>
  <c r="AC24" i="3" s="1"/>
  <c r="AA166" i="3"/>
  <c r="AB166" i="3" s="1"/>
  <c r="AB89" i="3"/>
  <c r="AB90" i="3" s="1"/>
  <c r="AA125" i="3"/>
  <c r="AB92" i="3"/>
  <c r="AB175" i="3" s="1"/>
  <c r="AB177" i="3" s="1"/>
  <c r="AA165" i="3"/>
  <c r="AB94" i="3" l="1"/>
  <c r="AB106" i="3" s="1"/>
  <c r="AA168" i="3"/>
  <c r="AA170" i="3" s="1"/>
  <c r="AA172" i="3" s="1"/>
  <c r="AA174" i="3" s="1"/>
  <c r="AA70" i="3" s="1"/>
  <c r="AB165" i="3"/>
  <c r="AB168" i="3" s="1"/>
  <c r="AB170" i="3" s="1"/>
  <c r="AB172" i="3" s="1"/>
  <c r="AC28" i="3"/>
  <c r="AC131" i="3"/>
  <c r="AC27" i="3"/>
  <c r="AC37" i="3"/>
  <c r="AC147" i="3" l="1"/>
  <c r="AC192" i="3" s="1"/>
  <c r="AC99" i="3"/>
  <c r="AB174" i="3"/>
  <c r="AB70" i="3" s="1"/>
  <c r="AG171" i="3"/>
  <c r="AC171" i="3"/>
  <c r="AA183" i="3"/>
  <c r="AA77" i="3"/>
  <c r="AA83" i="3" s="1"/>
  <c r="AA107" i="3" s="1"/>
  <c r="AA179" i="3"/>
  <c r="AA181" i="3" l="1"/>
  <c r="AA184" i="3" s="1"/>
  <c r="AB179" i="3"/>
  <c r="AB183" i="3"/>
  <c r="AB77" i="3"/>
  <c r="AB83" i="3" s="1"/>
  <c r="AB107" i="3" s="1"/>
  <c r="AC103" i="3"/>
  <c r="AB180" i="3" l="1"/>
  <c r="AB182" i="3"/>
  <c r="AC105" i="3"/>
  <c r="AC92" i="3"/>
  <c r="AC165" i="3" s="1"/>
  <c r="AC89" i="3"/>
  <c r="AC90" i="3" l="1"/>
  <c r="AC94" i="3" s="1"/>
  <c r="AC106" i="3" s="1"/>
  <c r="AC166" i="3"/>
  <c r="AC168" i="3" s="1"/>
  <c r="AC170" i="3" s="1"/>
  <c r="AC172" i="3" s="1"/>
  <c r="AC125" i="3"/>
  <c r="AD19" i="3"/>
  <c r="AD21" i="3" l="1"/>
  <c r="AD22" i="3" s="1"/>
  <c r="AC174" i="3"/>
  <c r="AC70" i="3" s="1"/>
  <c r="AD171" i="3"/>
  <c r="AC183" i="3" l="1"/>
  <c r="AC77" i="3"/>
  <c r="AC83" i="3" s="1"/>
  <c r="AC107" i="3" s="1"/>
  <c r="AC179" i="3"/>
  <c r="AC181" i="3" s="1"/>
  <c r="AC184" i="3" s="1"/>
  <c r="AD23" i="3"/>
  <c r="AD24" i="3" l="1"/>
  <c r="AD37" i="3" l="1"/>
  <c r="AD28" i="3"/>
  <c r="AD27" i="3"/>
  <c r="AD131" i="3"/>
  <c r="AD147" i="3" l="1"/>
  <c r="AD192" i="3" s="1"/>
  <c r="AD99" i="3"/>
  <c r="AD103" i="3" l="1"/>
  <c r="AD89" i="3" l="1"/>
  <c r="AD92" i="3"/>
  <c r="AD165" i="3" s="1"/>
  <c r="AD105" i="3"/>
  <c r="AD125" i="3" l="1"/>
  <c r="AD166" i="3"/>
  <c r="AD168" i="3" s="1"/>
  <c r="AD170" i="3" s="1"/>
  <c r="AD172" i="3" s="1"/>
  <c r="AD90" i="3"/>
  <c r="AD94" i="3" s="1"/>
  <c r="AD106" i="3" s="1"/>
  <c r="AE19" i="3"/>
  <c r="AD174" i="3" l="1"/>
  <c r="AD70" i="3" s="1"/>
  <c r="AE171" i="3"/>
  <c r="AE21" i="3"/>
  <c r="AE22" i="3" s="1"/>
  <c r="AE23" i="3" l="1"/>
  <c r="AE24" i="3" s="1"/>
  <c r="AD183" i="3"/>
  <c r="AD179" i="3"/>
  <c r="AD181" i="3" s="1"/>
  <c r="AD184" i="3" s="1"/>
  <c r="AD77" i="3"/>
  <c r="AD83" i="3" s="1"/>
  <c r="AD107" i="3" s="1"/>
  <c r="AE37" i="3" l="1"/>
  <c r="AE27" i="3"/>
  <c r="AE28" i="3"/>
  <c r="AE131" i="3"/>
  <c r="AE147" i="3" l="1"/>
  <c r="AE192" i="3" s="1"/>
  <c r="AE99" i="3"/>
  <c r="AE103" i="3" l="1"/>
  <c r="AE105" i="3" l="1"/>
  <c r="AE89" i="3"/>
  <c r="AE92" i="3"/>
  <c r="AE165" i="3" s="1"/>
  <c r="AE166" i="3" l="1"/>
  <c r="AE168" i="3" s="1"/>
  <c r="AE170" i="3" s="1"/>
  <c r="AE172" i="3" s="1"/>
  <c r="AE125" i="3"/>
  <c r="AF19" i="3"/>
  <c r="AE90" i="3"/>
  <c r="AE94" i="3" s="1"/>
  <c r="AE106" i="3" s="1"/>
  <c r="AF21" i="3" l="1"/>
  <c r="AF22" i="3" s="1"/>
  <c r="AG19" i="3"/>
  <c r="AG21" i="3" s="1"/>
  <c r="AG22" i="3" s="1"/>
  <c r="AE174" i="3"/>
  <c r="AE70" i="3" s="1"/>
  <c r="AF171" i="3"/>
  <c r="AE183" i="3" l="1"/>
  <c r="AE179" i="3"/>
  <c r="AE181" i="3" s="1"/>
  <c r="AE184" i="3" s="1"/>
  <c r="AE77" i="3"/>
  <c r="AE83" i="3" s="1"/>
  <c r="AE107" i="3" s="1"/>
  <c r="AF23" i="3"/>
  <c r="AG23" i="3" s="1"/>
  <c r="AG38" i="3" s="1"/>
  <c r="AF24" i="3" l="1"/>
  <c r="AG24" i="3"/>
  <c r="AG26" i="3" l="1"/>
  <c r="AG184" i="3" s="1"/>
  <c r="AG131" i="3"/>
  <c r="AG147" i="3" s="1"/>
  <c r="AG192" i="3" s="1"/>
  <c r="AG25" i="3"/>
  <c r="AG27" i="3" s="1"/>
  <c r="AG37" i="3"/>
  <c r="AF37" i="3"/>
  <c r="AF28" i="3"/>
  <c r="AF27" i="3"/>
  <c r="AF131" i="3"/>
  <c r="AG28" i="3" l="1"/>
  <c r="AF147" i="3"/>
  <c r="AF99" i="3"/>
  <c r="AF103" i="3" l="1"/>
  <c r="AG99" i="3"/>
  <c r="AG103" i="3" s="1"/>
  <c r="AG105" i="3" s="1"/>
  <c r="AF105" i="3" l="1"/>
  <c r="AF89" i="3"/>
  <c r="AF92" i="3"/>
  <c r="AF165" i="3" l="1"/>
  <c r="AG92" i="3"/>
  <c r="AG175" i="3" s="1"/>
  <c r="AG177" i="3" s="1"/>
  <c r="AH19" i="3"/>
  <c r="AF125" i="3"/>
  <c r="AF90" i="3"/>
  <c r="AF94" i="3" s="1"/>
  <c r="AF106" i="3" s="1"/>
  <c r="AF166" i="3"/>
  <c r="AG166" i="3" s="1"/>
  <c r="AG89" i="3"/>
  <c r="AG90" i="3" s="1"/>
  <c r="AF168" i="3" l="1"/>
  <c r="AF170" i="3" s="1"/>
  <c r="AF172" i="3" s="1"/>
  <c r="AF174" i="3" s="1"/>
  <c r="AF70" i="3" s="1"/>
  <c r="AG165" i="3"/>
  <c r="AG168" i="3" s="1"/>
  <c r="AG170" i="3" s="1"/>
  <c r="AG172" i="3" s="1"/>
  <c r="AG94" i="3"/>
  <c r="AG106" i="3" s="1"/>
  <c r="AH21" i="3"/>
  <c r="AH22" i="3" s="1"/>
  <c r="AH23" i="3" s="1"/>
  <c r="AH24" i="3" l="1"/>
  <c r="AG174" i="3"/>
  <c r="AG70" i="3" s="1"/>
  <c r="AL171" i="3"/>
  <c r="AH171" i="3"/>
  <c r="AF77" i="3"/>
  <c r="AF83" i="3" s="1"/>
  <c r="AF107" i="3" s="1"/>
  <c r="AF179" i="3"/>
  <c r="AF183" i="3"/>
  <c r="AG179" i="3" l="1"/>
  <c r="AF181" i="3"/>
  <c r="AF184" i="3" s="1"/>
  <c r="AG183" i="3"/>
  <c r="AG77" i="3"/>
  <c r="AG83" i="3" s="1"/>
  <c r="AG107" i="3" s="1"/>
  <c r="AH28" i="3"/>
  <c r="AH27" i="3"/>
  <c r="AH131" i="3"/>
  <c r="AH37" i="3"/>
  <c r="AH147" i="3" l="1"/>
  <c r="AH192" i="3" s="1"/>
  <c r="AH99" i="3"/>
  <c r="AG180" i="3"/>
  <c r="AG182" i="3"/>
  <c r="AH103" i="3" l="1"/>
  <c r="AH105" i="3" l="1"/>
  <c r="AH92" i="3"/>
  <c r="AH165" i="3" s="1"/>
  <c r="AH89" i="3"/>
  <c r="AI19" i="3" l="1"/>
  <c r="AH125" i="3"/>
  <c r="AH90" i="3"/>
  <c r="AH94" i="3" s="1"/>
  <c r="AH106" i="3" s="1"/>
  <c r="AH166" i="3"/>
  <c r="AH168" i="3" s="1"/>
  <c r="AH170" i="3" s="1"/>
  <c r="AH172" i="3" s="1"/>
  <c r="AH174" i="3" l="1"/>
  <c r="AH70" i="3" s="1"/>
  <c r="AI171" i="3"/>
  <c r="AI21" i="3"/>
  <c r="AI22" i="3" s="1"/>
  <c r="AI23" i="3" l="1"/>
  <c r="AI24" i="3" s="1"/>
  <c r="AH183" i="3"/>
  <c r="AH77" i="3"/>
  <c r="AH83" i="3" s="1"/>
  <c r="AH107" i="3" s="1"/>
  <c r="AH179" i="3"/>
  <c r="AH181" i="3" s="1"/>
  <c r="AH184" i="3" s="1"/>
  <c r="AI28" i="3" l="1"/>
  <c r="AI27" i="3"/>
  <c r="AI131" i="3"/>
  <c r="AI37" i="3"/>
  <c r="AI147" i="3" l="1"/>
  <c r="AI192" i="3" s="1"/>
  <c r="AI99" i="3"/>
  <c r="AI103" i="3" l="1"/>
  <c r="AI92" i="3" l="1"/>
  <c r="AI165" i="3" s="1"/>
  <c r="AI89" i="3"/>
  <c r="AI105" i="3"/>
  <c r="AI125" i="3" l="1"/>
  <c r="AJ19" i="3"/>
  <c r="AI166" i="3"/>
  <c r="AI168" i="3" s="1"/>
  <c r="AI170" i="3" s="1"/>
  <c r="AI172" i="3" s="1"/>
  <c r="AI90" i="3"/>
  <c r="AI94" i="3" s="1"/>
  <c r="AI106" i="3" s="1"/>
  <c r="AI174" i="3" l="1"/>
  <c r="AI70" i="3" s="1"/>
  <c r="AJ171" i="3"/>
  <c r="AJ21" i="3"/>
  <c r="AJ22" i="3" s="1"/>
  <c r="AJ23" i="3" l="1"/>
  <c r="AJ24" i="3" s="1"/>
  <c r="AI183" i="3"/>
  <c r="AI179" i="3"/>
  <c r="AI181" i="3" s="1"/>
  <c r="AI184" i="3" s="1"/>
  <c r="AI77" i="3"/>
  <c r="AI83" i="3" s="1"/>
  <c r="AI107" i="3" s="1"/>
  <c r="AJ27" i="3" l="1"/>
  <c r="AJ28" i="3"/>
  <c r="AJ131" i="3"/>
  <c r="AJ37" i="3"/>
  <c r="AJ147" i="3" l="1"/>
  <c r="AJ192" i="3" s="1"/>
  <c r="AJ99" i="3"/>
  <c r="AJ103" i="3" l="1"/>
  <c r="AJ92" i="3" l="1"/>
  <c r="AJ165" i="3" s="1"/>
  <c r="AJ105" i="3"/>
  <c r="AJ89" i="3"/>
  <c r="AJ125" i="3" l="1"/>
  <c r="AK19" i="3"/>
  <c r="AJ90" i="3"/>
  <c r="AJ94" i="3" s="1"/>
  <c r="AJ106" i="3" s="1"/>
  <c r="AJ166" i="3"/>
  <c r="AJ168" i="3" s="1"/>
  <c r="AJ170" i="3" s="1"/>
  <c r="AJ172" i="3" s="1"/>
  <c r="AJ174" i="3" l="1"/>
  <c r="AJ70" i="3" s="1"/>
  <c r="AK171" i="3"/>
  <c r="AK21" i="3"/>
  <c r="AK22" i="3" s="1"/>
  <c r="AL19" i="3"/>
  <c r="AL21" i="3" s="1"/>
  <c r="AL22" i="3" s="1"/>
  <c r="AK23" i="3" l="1"/>
  <c r="AL23" i="3" s="1"/>
  <c r="AL38" i="3" s="1"/>
  <c r="AJ183" i="3"/>
  <c r="AJ179" i="3"/>
  <c r="AJ181" i="3" s="1"/>
  <c r="AJ184" i="3" s="1"/>
  <c r="AJ77" i="3"/>
  <c r="AJ83" i="3" s="1"/>
  <c r="AJ107" i="3" s="1"/>
  <c r="AK24" i="3" l="1"/>
  <c r="AL24" i="3"/>
  <c r="AL37" i="3" l="1"/>
  <c r="AL131" i="3"/>
  <c r="AL147" i="3" s="1"/>
  <c r="AL26" i="3"/>
  <c r="AL184" i="3" s="1"/>
  <c r="AL25" i="3"/>
  <c r="AL27" i="3" s="1"/>
  <c r="AK27" i="3"/>
  <c r="AK131" i="3"/>
  <c r="AK28" i="3"/>
  <c r="AK37" i="3"/>
  <c r="AK147" i="3" l="1"/>
  <c r="AK99" i="3"/>
  <c r="AL28" i="3"/>
  <c r="AL192" i="3"/>
  <c r="AK103" i="3" l="1"/>
  <c r="AL99" i="3"/>
  <c r="AL103" i="3" s="1"/>
  <c r="AL105" i="3" s="1"/>
  <c r="AK89" i="3" l="1"/>
  <c r="AK92" i="3"/>
  <c r="AK105" i="3"/>
  <c r="AL92" i="3" l="1"/>
  <c r="AK165" i="3"/>
  <c r="AK166" i="3"/>
  <c r="AL166" i="3" s="1"/>
  <c r="AL89" i="3"/>
  <c r="AL90" i="3" s="1"/>
  <c r="AK125" i="3"/>
  <c r="AK90" i="3"/>
  <c r="AK94" i="3" s="1"/>
  <c r="AK106" i="3" s="1"/>
  <c r="AL94" i="3" l="1"/>
  <c r="AL106" i="3" s="1"/>
  <c r="AK168" i="3"/>
  <c r="AK170" i="3" s="1"/>
  <c r="AK172" i="3" s="1"/>
  <c r="AK174" i="3" s="1"/>
  <c r="AK70" i="3" s="1"/>
  <c r="AL165" i="3"/>
  <c r="AL168" i="3" s="1"/>
  <c r="AL170" i="3" s="1"/>
  <c r="AL172" i="3" s="1"/>
  <c r="AL174" i="3" s="1"/>
  <c r="AL70" i="3" s="1"/>
  <c r="AL175" i="3"/>
  <c r="AL177" i="3" s="1"/>
  <c r="C230" i="3" s="1"/>
  <c r="C229" i="3"/>
  <c r="C232" i="3" l="1"/>
  <c r="C4" i="3" s="1"/>
  <c r="C5" i="3" s="1"/>
  <c r="C237" i="3" s="1"/>
  <c r="AL183" i="3"/>
  <c r="AL77" i="3"/>
  <c r="AL83" i="3" s="1"/>
  <c r="AL107" i="3" s="1"/>
  <c r="AK179" i="3"/>
  <c r="AK183" i="3"/>
  <c r="AK77" i="3"/>
  <c r="AK83" i="3" s="1"/>
  <c r="AK107" i="3" s="1"/>
  <c r="AL179" i="3" l="1"/>
  <c r="AK181" i="3"/>
  <c r="AK184" i="3" s="1"/>
  <c r="C239" i="3"/>
  <c r="C238" i="3"/>
  <c r="C6" i="3" l="1"/>
  <c r="AL182" i="3"/>
  <c r="AL180"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Jim</author>
  </authors>
  <commentList>
    <comment ref="R64" authorId="0" shapeId="0" xr:uid="{6DF24AB7-8AAD-4B96-B78A-9A297104589B}">
      <text>
        <r>
          <rPr>
            <b/>
            <sz val="9"/>
            <color indexed="81"/>
            <rFont val="Tahoma"/>
            <family val="2"/>
          </rPr>
          <t>Jim:</t>
        </r>
        <r>
          <rPr>
            <sz val="9"/>
            <color indexed="81"/>
            <rFont val="Tahoma"/>
            <family val="2"/>
          </rPr>
          <t xml:space="preserve">
ADSW Revenues not being included in total rev prior to March 2020.</t>
        </r>
      </text>
    </comment>
    <comment ref="P92" authorId="0" shapeId="0" xr:uid="{3AC7A13E-814A-46D6-80D4-7EABF7AE9692}">
      <text>
        <r>
          <rPr>
            <b/>
            <sz val="9"/>
            <color indexed="81"/>
            <rFont val="Tahoma"/>
            <family val="2"/>
          </rPr>
          <t>Jim:</t>
        </r>
        <r>
          <rPr>
            <sz val="9"/>
            <color indexed="81"/>
            <rFont val="Tahoma"/>
            <family val="2"/>
          </rPr>
          <t xml:space="preserve">
flatlined to account for cash needed for pending acquisition</t>
        </r>
      </text>
    </comment>
    <comment ref="C219" authorId="0" shapeId="0" xr:uid="{951F56CA-33CB-4ED6-AB1C-BEB7C351695F}">
      <text>
        <r>
          <rPr>
            <b/>
            <sz val="9"/>
            <color indexed="81"/>
            <rFont val="Tahoma"/>
            <family val="2"/>
          </rPr>
          <t>Jim:</t>
        </r>
        <r>
          <rPr>
            <sz val="9"/>
            <color indexed="81"/>
            <rFont val="Tahoma"/>
            <family val="2"/>
          </rPr>
          <t xml:space="preserve">
Avg cost of debt taken from June 19 10Q - Senior notes, maturing through 2049, interest rates ranging from 2.4% to 7.75% (weighted
average interest rate of 3.9% as of June 30, 2019 and 4.3% as of December 31, 2018) 9,965 6,222
Tax-exempt bonds, maturing through 2048, fixed and variable interest rates ranging from
1.35% to 4.3% (weighted average interest rate of 2.4% as of June 30, 2019 and 2.35% as of
December 31, 2018) 2,294 2,388</t>
        </r>
      </text>
    </comment>
  </commentList>
</comments>
</file>

<file path=xl/sharedStrings.xml><?xml version="1.0" encoding="utf-8"?>
<sst xmlns="http://schemas.openxmlformats.org/spreadsheetml/2006/main" count="655" uniqueCount="297">
  <si>
    <t>Gross Profit</t>
  </si>
  <si>
    <t xml:space="preserve">Operating Income </t>
  </si>
  <si>
    <t xml:space="preserve">Income before income taxes </t>
  </si>
  <si>
    <t>Basic shares outstanding</t>
  </si>
  <si>
    <t xml:space="preserve">Diluted shares outstanding </t>
  </si>
  <si>
    <t>Selling, general and administrative</t>
  </si>
  <si>
    <t>Effective tax rate</t>
  </si>
  <si>
    <t>(Dollars in millions, except per share data)</t>
  </si>
  <si>
    <t>Inventories</t>
  </si>
  <si>
    <t>Total Current Assets</t>
  </si>
  <si>
    <t xml:space="preserve">Property, plant and equipment, net </t>
  </si>
  <si>
    <t>Total Assets</t>
  </si>
  <si>
    <t>Assets</t>
  </si>
  <si>
    <t>Liabilities</t>
  </si>
  <si>
    <t>Total Current liabilities</t>
  </si>
  <si>
    <t>Other current assets</t>
  </si>
  <si>
    <t>Deferred tax assets</t>
  </si>
  <si>
    <t>Other noncurrent assets</t>
  </si>
  <si>
    <t>Total liabilities</t>
  </si>
  <si>
    <t>Equity</t>
  </si>
  <si>
    <t>Common stock</t>
  </si>
  <si>
    <t>Accumulated other comprehensive income</t>
  </si>
  <si>
    <t>Total liabilities and equity</t>
  </si>
  <si>
    <t>Cash flows from operating activities</t>
  </si>
  <si>
    <t>Net income (loss)</t>
  </si>
  <si>
    <t>Deferred income taxes, net</t>
  </si>
  <si>
    <t>Other</t>
  </si>
  <si>
    <t>Net cash provided by operating activities</t>
  </si>
  <si>
    <t>Cash flows from investing activities</t>
  </si>
  <si>
    <t>Net cash provided by (used for) investing</t>
  </si>
  <si>
    <t>Cash flows from financing activities</t>
  </si>
  <si>
    <t>Net cash provided by (used for) financing</t>
  </si>
  <si>
    <t>Net increase (decrease) in cash and equivalents</t>
  </si>
  <si>
    <t>Cash and equivalents at beginning of period</t>
  </si>
  <si>
    <t>Cash and equivalents at end of period</t>
  </si>
  <si>
    <t>Change in operating assets and liabilities</t>
  </si>
  <si>
    <t>Revenue growth rate (year over year)</t>
  </si>
  <si>
    <t>Revenue growth rate (quarter over quarter)</t>
  </si>
  <si>
    <t>Multiple Valuation</t>
  </si>
  <si>
    <t>Ratios</t>
  </si>
  <si>
    <t>SG&amp;A to sales</t>
  </si>
  <si>
    <t>Balance Sheet Ratios &amp; Assumptions</t>
  </si>
  <si>
    <t>Receivables turnover</t>
  </si>
  <si>
    <t>Inventory turnover</t>
  </si>
  <si>
    <t>Number of days of payables</t>
  </si>
  <si>
    <t>Cash Flow Ratios &amp; Assumptions</t>
  </si>
  <si>
    <t>Gross margin percentage (GAAP)</t>
  </si>
  <si>
    <t>Operating margin (GAAP)</t>
  </si>
  <si>
    <t>Share repurchase assumptions: average price</t>
  </si>
  <si>
    <t>Share repurchase: amount in the period ($M)</t>
  </si>
  <si>
    <t>Diluted share impact (convertible retirement)</t>
  </si>
  <si>
    <t>Free Cash Flow to Firm (FCFF)*</t>
  </si>
  <si>
    <t>Discounted FCFF</t>
  </si>
  <si>
    <t>Discounted Cash Flow Valuation</t>
  </si>
  <si>
    <t>Current share price</t>
  </si>
  <si>
    <t>Shares outstanding</t>
  </si>
  <si>
    <t>Market Capitalization ($M)</t>
  </si>
  <si>
    <t>Equity market risk premium</t>
  </si>
  <si>
    <t>Required return on equity (CAPM)</t>
  </si>
  <si>
    <t>Equity to total capital</t>
  </si>
  <si>
    <t>Average cost of debt</t>
  </si>
  <si>
    <t xml:space="preserve">After tax cost of debt </t>
  </si>
  <si>
    <t>WACC Inputs</t>
  </si>
  <si>
    <t>Net income to revenue</t>
  </si>
  <si>
    <t>P/E used for valuation</t>
  </si>
  <si>
    <t>Net sales</t>
  </si>
  <si>
    <t>Cost of sales</t>
  </si>
  <si>
    <t>Provisions for income tax</t>
  </si>
  <si>
    <t>Mar-17</t>
  </si>
  <si>
    <t>Dec-17</t>
  </si>
  <si>
    <t>Mar-18</t>
  </si>
  <si>
    <t>Dec-18</t>
  </si>
  <si>
    <t>Mar-19</t>
  </si>
  <si>
    <t>Dividends per share</t>
  </si>
  <si>
    <t>Cash and equivalents</t>
  </si>
  <si>
    <t>Short-term marketable securities</t>
  </si>
  <si>
    <t xml:space="preserve">Accounts receivables </t>
  </si>
  <si>
    <t>Long-term marketable securities</t>
  </si>
  <si>
    <t>Goodwill</t>
  </si>
  <si>
    <t>Acquired intangible assets, net</t>
  </si>
  <si>
    <t>Accounts payable</t>
  </si>
  <si>
    <t>Accrued expenses</t>
  </si>
  <si>
    <t>Deferred revenue</t>
  </si>
  <si>
    <t>Deferred revenue (non-current)</t>
  </si>
  <si>
    <t>Long-term debt</t>
  </si>
  <si>
    <t>Other non-current liabilities</t>
  </si>
  <si>
    <t>Commitments and contingencies</t>
  </si>
  <si>
    <t xml:space="preserve">Retained earnings </t>
  </si>
  <si>
    <t>Total shareholders' equity</t>
  </si>
  <si>
    <t>Share-based compensation expense</t>
  </si>
  <si>
    <t>Accounts receivable</t>
  </si>
  <si>
    <t>Vendor non-trade receivables</t>
  </si>
  <si>
    <t>Other current and non-current liabilities</t>
  </si>
  <si>
    <t>Purchases of marketable securities</t>
  </si>
  <si>
    <t>Proceeds from maturities of securities</t>
  </si>
  <si>
    <t>Proceeds from sales of securities</t>
  </si>
  <si>
    <t>Payments made for acquisitions</t>
  </si>
  <si>
    <t>Proceeds from issuance of common stock</t>
  </si>
  <si>
    <t>Excess tax benefits from equity awards</t>
  </si>
  <si>
    <t>Taxes paid related to equity awards</t>
  </si>
  <si>
    <t>Dividends paid</t>
  </si>
  <si>
    <t>Repurchase of common stock</t>
  </si>
  <si>
    <t>Proceeds from issuance of long-term debt</t>
  </si>
  <si>
    <t>Proceeds from issuance of commercial paper</t>
  </si>
  <si>
    <t>Other investing activities</t>
  </si>
  <si>
    <t>Other financing activities</t>
  </si>
  <si>
    <t>Other current and non-current assets</t>
  </si>
  <si>
    <t>Adjusted cash per share</t>
  </si>
  <si>
    <t>Beta (relative to the S&amp;P500)</t>
  </si>
  <si>
    <t>Revenue growth (in perpetuity)</t>
  </si>
  <si>
    <t>NPV of stage-one cash flows</t>
  </si>
  <si>
    <t>Constant CFO growth rate</t>
  </si>
  <si>
    <t>Ave CapEx (% of sales)</t>
  </si>
  <si>
    <t>DCF Valuation</t>
  </si>
  <si>
    <t>PV of terminal value</t>
  </si>
  <si>
    <t xml:space="preserve">Net income </t>
  </si>
  <si>
    <t xml:space="preserve">Basic EPS </t>
  </si>
  <si>
    <t xml:space="preserve">Diluted EPS </t>
  </si>
  <si>
    <t>DCF Period (approximate number of years)</t>
  </si>
  <si>
    <t>Commercial paper/current portion of LT debt</t>
  </si>
  <si>
    <t xml:space="preserve">Plus cash/(debt) per share </t>
  </si>
  <si>
    <t>Constant market Sharpe ratio(b)</t>
  </si>
  <si>
    <t>S&amp;P500 implied volatility(c)</t>
  </si>
  <si>
    <t>Implied P/E 12-month target value</t>
  </si>
  <si>
    <t>Implied DCF 12-month target value</t>
  </si>
  <si>
    <t>Total operating expenses</t>
  </si>
  <si>
    <t>Change in basic shares  (excluding repurchases)</t>
  </si>
  <si>
    <t>Change in diluted shares  (excluding repurchases)</t>
  </si>
  <si>
    <t>F1Q20E</t>
  </si>
  <si>
    <t>Dec-19</t>
  </si>
  <si>
    <t>Mar-20</t>
  </si>
  <si>
    <t>June-20</t>
  </si>
  <si>
    <t>Sept-20</t>
  </si>
  <si>
    <t>F2Q20E</t>
  </si>
  <si>
    <t>F3Q20E</t>
  </si>
  <si>
    <t>F4Q20E</t>
  </si>
  <si>
    <t>FY 2020E</t>
  </si>
  <si>
    <t>Ratio Analysis</t>
  </si>
  <si>
    <t>Shares repurchased (in millions)</t>
  </si>
  <si>
    <t>Risk Free (12 mo ave 10yr US-T)</t>
  </si>
  <si>
    <t>Dec-20</t>
  </si>
  <si>
    <t>Mar-21</t>
  </si>
  <si>
    <t>June-21</t>
  </si>
  <si>
    <t>Sept-21</t>
  </si>
  <si>
    <t>F1Q21E</t>
  </si>
  <si>
    <t>F2Q21E</t>
  </si>
  <si>
    <t>F3Q21E</t>
  </si>
  <si>
    <t>FY 2021E</t>
  </si>
  <si>
    <t>F1Q17</t>
  </si>
  <si>
    <t>Trade Weighted U.S. Dollar Index</t>
  </si>
  <si>
    <t>A weighted average of the foreign exchange value of the U.S. dollar against the currencies of a broad group of major U.S. trading partners.
Broad currency index includes the Euro Area, Canada, Japan, Mexico, China, United Kingdom, Taiwan, Korea, Singapore, Hong Kong, Malaysia, Brazil, Switzerland, Thailand, Philippines, Australia, Indonesia, India, Israel, Saudi Arabia, Russia, Sweden, Argentina, Venezuela, Chile and Colombia.</t>
  </si>
  <si>
    <t>Source: Board of Governors of the Federal Reserve System (US), Trade Weighted U.S. Dollar Index: Broad [DTWEXB], retrieved from FRED, Federal Reserve Bank of St. Louis; https://fred.stlouisfed.org/series/DTWEXB, March 17, 2017.</t>
  </si>
  <si>
    <t>FRED Graph Observations</t>
  </si>
  <si>
    <t>Federal Reserve Economic Data</t>
  </si>
  <si>
    <t>Link: https://fred.stlouisfed.org</t>
  </si>
  <si>
    <t>Help: https://fred.stlouisfed.org/help-faq</t>
  </si>
  <si>
    <t>Economic Research Division</t>
  </si>
  <si>
    <t>Federal Reserve Bank of St. Louis</t>
  </si>
  <si>
    <t>DTWEXB</t>
  </si>
  <si>
    <t>Trade Weighted U.S. Dollar Index: Broad, Index Jan 1997=100, Daily, Not Seasonally Adjusted</t>
  </si>
  <si>
    <t>Frequency: Daily</t>
  </si>
  <si>
    <t>observation_date</t>
  </si>
  <si>
    <t>Average</t>
  </si>
  <si>
    <t>Repatriation tax estimate per share</t>
  </si>
  <si>
    <t>Cash and investments held by foreign subsidiaries</t>
  </si>
  <si>
    <t>Net cash and investments per share  (pre-DTL)</t>
  </si>
  <si>
    <t xml:space="preserve">Estimate of tax adjustment on net cash and investments per share </t>
  </si>
  <si>
    <t xml:space="preserve">Net Cash and investments per share </t>
  </si>
  <si>
    <t>DTL to foreign cash and investment balance</t>
  </si>
  <si>
    <t xml:space="preserve">Net cash &amp; investments per share </t>
  </si>
  <si>
    <t>Debt-to-Equity Ratio</t>
  </si>
  <si>
    <t>Dividend growth rate (YoY)</t>
  </si>
  <si>
    <t>Commercial Paper and ST Debt-to-Total Debt</t>
  </si>
  <si>
    <t xml:space="preserve">Total Depreciation and amortization </t>
  </si>
  <si>
    <t>Amortization of Acquired Intangibles</t>
  </si>
  <si>
    <t>Capex-to-Sales</t>
  </si>
  <si>
    <t>Capex growth rate (QoQ)</t>
  </si>
  <si>
    <t>All other depreciation and Amortization</t>
  </si>
  <si>
    <t>Current Deferred Revenue-to-Total Deferred Revenue</t>
  </si>
  <si>
    <t>Growth in total investments (QoQ)</t>
  </si>
  <si>
    <t>Short-term marketable securities as a % total investments</t>
  </si>
  <si>
    <t>Day Count (number of days in the quarter)</t>
  </si>
  <si>
    <t>Days of inventory on hand</t>
  </si>
  <si>
    <t>Days sales outstanding</t>
  </si>
  <si>
    <t>Payables turnover</t>
  </si>
  <si>
    <t>Cash conversion cycle</t>
  </si>
  <si>
    <t>Interest and dividend income</t>
  </si>
  <si>
    <t>Interest expense</t>
  </si>
  <si>
    <t>Other income/(expense)</t>
  </si>
  <si>
    <t>Total other income/(expense)</t>
  </si>
  <si>
    <t>Interest expense as a percentage of average debt</t>
  </si>
  <si>
    <t>Share Count Analysis</t>
  </si>
  <si>
    <t>Growth in total debt (QoQ)</t>
  </si>
  <si>
    <t>Net Cash from Operations growth rate (YoY)</t>
  </si>
  <si>
    <t>Excess tax benefits from equity awards as a percentage of stock-based comp</t>
  </si>
  <si>
    <t>Taxes paid related to equity awards  as a percentage of stock-based comp</t>
  </si>
  <si>
    <t>F2Q17</t>
  </si>
  <si>
    <t>EBITDA</t>
  </si>
  <si>
    <t>Interest and dividend income as a % of investments</t>
  </si>
  <si>
    <t>Total Deferred Revenue-to-Prior 4 Quarters of Revenue</t>
  </si>
  <si>
    <t>Depreciation &amp; Amort Exp-to-Average PP&amp;E &amp; Intangibles</t>
  </si>
  <si>
    <t>% of total cash and investments held by foreign subs</t>
  </si>
  <si>
    <t>Def Tax Liability (DTL) for unremitted earnings of foreign subs</t>
  </si>
  <si>
    <t>Mean monthly return</t>
  </si>
  <si>
    <t xml:space="preserve">Standard deviation </t>
  </si>
  <si>
    <t>Implied upper bound</t>
  </si>
  <si>
    <t>Implied Lower bound</t>
  </si>
  <si>
    <t>Implied target value</t>
  </si>
  <si>
    <t>Implied 50/50 average target value</t>
  </si>
  <si>
    <t>Risk Estimation Summary (g)</t>
  </si>
  <si>
    <t xml:space="preserve">Implied target price band </t>
  </si>
  <si>
    <t>S1 Weighted Average Cost of Capital</t>
  </si>
  <si>
    <t>Stage 2 Long-Term WACC (f)</t>
  </si>
  <si>
    <t>Deferred revenue (current portion)</t>
  </si>
  <si>
    <t>Vendor non-trade receivables turnover</t>
  </si>
  <si>
    <t>Payments for acquisition of PPE</t>
  </si>
  <si>
    <t>Payments for acquisition of intangible assets</t>
  </si>
  <si>
    <t>Share-based compensation to Sales</t>
  </si>
  <si>
    <t>Blue cells = Primary estimates</t>
  </si>
  <si>
    <t>Dec-21</t>
  </si>
  <si>
    <t>Mar-22</t>
  </si>
  <si>
    <t>June-22</t>
  </si>
  <si>
    <t>Sept-22</t>
  </si>
  <si>
    <t>FY 2022E</t>
  </si>
  <si>
    <t>Sept-23</t>
  </si>
  <si>
    <t>FY 2023E</t>
  </si>
  <si>
    <t>F2Q22E</t>
  </si>
  <si>
    <t>F3Q22E</t>
  </si>
  <si>
    <t>F4Q22E</t>
  </si>
  <si>
    <t>Dec-22</t>
  </si>
  <si>
    <t>F1Q23E</t>
  </si>
  <si>
    <t>Mar-23</t>
  </si>
  <si>
    <t>F2Q23E</t>
  </si>
  <si>
    <t>June-23</t>
  </si>
  <si>
    <t>F3Q23E</t>
  </si>
  <si>
    <t>F4Q23E</t>
  </si>
  <si>
    <t>F3Q17</t>
  </si>
  <si>
    <t>F4Q17</t>
  </si>
  <si>
    <t>FY 2017</t>
  </si>
  <si>
    <t>F1Q18</t>
  </si>
  <si>
    <t>F2Q18</t>
  </si>
  <si>
    <t>F3Q18</t>
  </si>
  <si>
    <t>F4Q18</t>
  </si>
  <si>
    <t>FY 2018</t>
  </si>
  <si>
    <t>Jun-17</t>
  </si>
  <si>
    <t>Sep-17</t>
  </si>
  <si>
    <t>FY</t>
  </si>
  <si>
    <t>Jun-18</t>
  </si>
  <si>
    <t>Sep-18</t>
  </si>
  <si>
    <t>Jun-19</t>
  </si>
  <si>
    <t>Sep-19</t>
  </si>
  <si>
    <t>2019E</t>
  </si>
  <si>
    <t>Segment &amp; Product Data</t>
  </si>
  <si>
    <t>Commercial</t>
  </si>
  <si>
    <t>Residential</t>
  </si>
  <si>
    <t>Industrial</t>
  </si>
  <si>
    <t>Total Collection</t>
  </si>
  <si>
    <t>Landfill</t>
  </si>
  <si>
    <t>Transfer</t>
  </si>
  <si>
    <t>Recycling</t>
  </si>
  <si>
    <t>Other(a)</t>
  </si>
  <si>
    <t>Intercompany (b)</t>
  </si>
  <si>
    <t xml:space="preserve">Total  </t>
  </si>
  <si>
    <t>FY '2019E</t>
  </si>
  <si>
    <t>Other Operating Expenses</t>
  </si>
  <si>
    <t>F1Q22E</t>
  </si>
  <si>
    <t>F4Q21E</t>
  </si>
  <si>
    <t>Dec-23</t>
  </si>
  <si>
    <t>APIC</t>
  </si>
  <si>
    <t>Treasury Stock</t>
  </si>
  <si>
    <t>Restricted casn and equivalents in restricted trust and escrow accounts</t>
  </si>
  <si>
    <t>Reconciliation of Cash and Cash Equivalents</t>
  </si>
  <si>
    <t>Total equity</t>
  </si>
  <si>
    <t>non-controlling interest</t>
  </si>
  <si>
    <t>effect of exchange rate changes on cash</t>
  </si>
  <si>
    <t>Waste Management Inc Cash Flow Statement</t>
  </si>
  <si>
    <t>Waste Management Inc Balance Sheet</t>
  </si>
  <si>
    <t>Waste Management Inc Income Statement</t>
  </si>
  <si>
    <t>Constant Growth Stage Assumptions</t>
  </si>
  <si>
    <t>EBITDA Growth Rate</t>
  </si>
  <si>
    <t>PEG Ratio</t>
  </si>
  <si>
    <t>Avg EBITDA Growth Rate</t>
  </si>
  <si>
    <t>Current P/E Ratio</t>
  </si>
  <si>
    <t>Current Share Price</t>
  </si>
  <si>
    <t>Other Operating Expenses to Sales</t>
  </si>
  <si>
    <t>Income from ADSW Merger</t>
  </si>
  <si>
    <t>WM</t>
  </si>
  <si>
    <t>RSG</t>
  </si>
  <si>
    <t>WCN</t>
  </si>
  <si>
    <t>BIN</t>
  </si>
  <si>
    <t>CWST</t>
  </si>
  <si>
    <t>ECOL</t>
  </si>
  <si>
    <t>IDSA</t>
  </si>
  <si>
    <t>Median</t>
  </si>
  <si>
    <t>50/50</t>
  </si>
  <si>
    <t>Ticker</t>
  </si>
  <si>
    <t>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</si>
</sst>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2">
    <numFmt numFmtId="5" formatCode="&quot;$&quot;#,##0_);\(&quot;$&quot;#,##0\)"/>
    <numFmt numFmtId="6" formatCode="&quot;$&quot;#,##0_);[Red]\(&quot;$&quot;#,##0\)"/>
    <numFmt numFmtId="7" formatCode="&quot;$&quot;#,##0.00_);\(&quot;$&quot;#,##0.00\)"/>
    <numFmt numFmtId="8" formatCode="&quot;$&quot;#,##0.00_);[Red]\(&quot;$&quot;#,##0.00\)"/>
    <numFmt numFmtId="41" formatCode="_(* #,##0_);_(* \(#,##0\);_(* &quot;-&quot;_);_(@_)"/>
    <numFmt numFmtId="44" formatCode="_(&quot;$&quot;* #,##0.00_);_(&quot;$&quot;* \(#,##0.00\);_(&quot;$&quot;* &quot;-&quot;??_);_(@_)"/>
    <numFmt numFmtId="43" formatCode="_(* #,##0.00_);_(* \(#,##0.00\);_(* &quot;-&quot;??_);_(@_)"/>
    <numFmt numFmtId="164" formatCode="_(* #,##0.0_);_(* \(#,##0.0\);_(* &quot;-&quot;??_);_(@_)"/>
    <numFmt numFmtId="165" formatCode="_(* #,##0_);_(* \(#,##0\);_(* &quot;-&quot;??_);_(@_)"/>
    <numFmt numFmtId="166" formatCode="0.0%"/>
    <numFmt numFmtId="167" formatCode="_(* #,##0.000_);_(* \(#,##0.000\);_(* &quot;-&quot;??_);_(@_)"/>
    <numFmt numFmtId="168" formatCode="0.0_)\%;\(0.0\)\%;0.0_)\%;@_)_%"/>
    <numFmt numFmtId="169" formatCode="#,##0.0_)_%;\(#,##0.0\)_%;0.0_)_%;@_)_%"/>
    <numFmt numFmtId="170" formatCode="#,##0.0_);\(#,##0.0\);#,##0.0_);@_)"/>
    <numFmt numFmtId="171" formatCode="&quot;$&quot;_(#,##0.00_);&quot;$&quot;\(#,##0.00\);&quot;$&quot;_(0.00_);@_)"/>
    <numFmt numFmtId="172" formatCode="#,##0.00_);\(#,##0.00\);0.00_);@_)"/>
    <numFmt numFmtId="173" formatCode="\€_(#,##0.00_);\€\(#,##0.00\);\€_(0.00_);@_)"/>
    <numFmt numFmtId="174" formatCode="#,##0_)\x;\(#,##0\)\x;0_)\x;@_)_x"/>
    <numFmt numFmtId="175" formatCode="#,##0_)_x;\(#,##0\)_x;0_)_x;@_)_x"/>
    <numFmt numFmtId="176" formatCode="* #,##0.00_);\(#,##0.00\)"/>
    <numFmt numFmtId="177" formatCode="&quot;$&quot;#,##0;\-&quot;$&quot;#,##0"/>
    <numFmt numFmtId="178" formatCode="#,##0;\-#,##0;&quot;-&quot;"/>
    <numFmt numFmtId="179" formatCode="0.000000"/>
    <numFmt numFmtId="180" formatCode="_(* #,##0,,_);_(* \(#,##0,,\);_(* &quot;-&quot;_)"/>
    <numFmt numFmtId="181" formatCode="_(* #,##0_);[Red]_(* \(#,##0\);_(* &quot;&quot;&quot;&quot;&quot;&quot;&quot;&quot;\ \-\ &quot;&quot;&quot;&quot;&quot;&quot;&quot;&quot;_);_(@_)"/>
    <numFmt numFmtId="182" formatCode="&quot;£&quot;#,##0;[Red]\-&quot;£&quot;#,##0"/>
    <numFmt numFmtId="183" formatCode="_(* #,##0,_);[Red]_(* \(#,##0,\);_(* &quot;&quot;&quot;&quot;&quot;&quot;&quot;&quot;\ \-\ &quot;&quot;&quot;&quot;&quot;&quot;&quot;&quot;_);_(@_)"/>
    <numFmt numFmtId="184" formatCode="0.00_);[Red]\(0.00\)"/>
    <numFmt numFmtId="185" formatCode="0%;\(0%\);;"/>
    <numFmt numFmtId="186" formatCode="&quot;£&quot;#,##0.00;[Red]\-&quot;£&quot;#,##0.00"/>
    <numFmt numFmtId="187" formatCode="_(* #,##0.000_);_(* \(#,##0.000\);_(* &quot;-&quot;_);_(@_)"/>
    <numFmt numFmtId="188" formatCode="0%;\(0%\);&quot;-&quot;"/>
    <numFmt numFmtId="189" formatCode="_-&quot;£&quot;* #,##0_-;\-&quot;£&quot;* #,##0_-;_-&quot;£&quot;* &quot;-&quot;_-;_-@_-"/>
    <numFmt numFmtId="190" formatCode="_(&quot;$&quot;* #,##0,_);_(&quot;$&quot;* \(#,##0,\);_(&quot;$&quot;* &quot;-&quot;_);_(@_)"/>
    <numFmt numFmtId="191" formatCode="#,##0\ ;\(#,##0.0\)"/>
    <numFmt numFmtId="192" formatCode="0.0"/>
    <numFmt numFmtId="193" formatCode="#,##0.00;\-#,##0.00;&quot;-&quot;"/>
    <numFmt numFmtId="194" formatCode="_._.* \(#,##0\)_%;_._.* #,##0_)_%;_._.* 0_)_%;_._.@_)_%"/>
    <numFmt numFmtId="195" formatCode="_._.&quot;$&quot;* \(#,##0\)_%;_._.&quot;$&quot;* #,##0_)_%;_._.&quot;$&quot;* 0_)_%;_._.@_)_%"/>
    <numFmt numFmtId="196" formatCode="&quot;$&quot;0.00_)"/>
    <numFmt numFmtId="197" formatCode="&quot;SFr.&quot;\ #,##0.00;&quot;SFr.&quot;\ \-#,##0.00"/>
    <numFmt numFmtId="198" formatCode="#,##0;\(#,##0\)"/>
    <numFmt numFmtId="199" formatCode="_([$€-2]* #,##0.00_);_([$€-2]* \(#,##0.00\);_([$€-2]* &quot;-&quot;??_)"/>
    <numFmt numFmtId="200" formatCode="_-* #,##0\ _D_M_-;\-* #,##0\ _D_M_-;_-* &quot;-&quot;\ _D_M_-;_-@_-"/>
    <numFmt numFmtId="201" formatCode="_-* #,##0.00\ _D_M_-;\-* #,##0.00\ _D_M_-;_-* &quot;-&quot;??\ _D_M_-;_-@_-"/>
    <numFmt numFmtId="202" formatCode="_-* #,##0\ &quot;DM&quot;_-;\-* #,##0\ &quot;DM&quot;_-;_-* &quot;-&quot;\ &quot;DM&quot;_-;_-@_-"/>
    <numFmt numFmtId="203" formatCode="_-* #,##0.00\ &quot;DM&quot;_-;\-* #,##0.00\ &quot;DM&quot;_-;_-* &quot;-&quot;??\ &quot;DM&quot;_-;_-@_-"/>
    <numFmt numFmtId="204" formatCode="#,##0.0_);\(#,##0.0\)"/>
    <numFmt numFmtId="205" formatCode="#,##0.0\ ;\(#,##0.0\)"/>
    <numFmt numFmtId="206" formatCode="0%;\(0%\)"/>
    <numFmt numFmtId="207" formatCode="&quot;SFr.&quot;#,##0;[Red]&quot;SFr.&quot;\-#,##0"/>
    <numFmt numFmtId="208" formatCode="#,##0.0000000000;\-#,##0.0000000000"/>
    <numFmt numFmtId="209" formatCode="#,##0.0;\-#,##0.0"/>
    <numFmt numFmtId="210" formatCode="#,##0.000;\-#,##0.000"/>
    <numFmt numFmtId="211" formatCode="#,##0.0000;\-#,##0.0000"/>
    <numFmt numFmtId="212" formatCode="#,##0.00000;\-#,##0.00000"/>
    <numFmt numFmtId="213" formatCode="#,##0.000000;\-#,##0.000000"/>
    <numFmt numFmtId="214" formatCode="#,##0.0000000;\-#,##0.0000000"/>
    <numFmt numFmtId="215" formatCode="#,##0.00000000;\-#,##0.00000000"/>
    <numFmt numFmtId="216" formatCode="#,##0.000000000;\-#,##0.000000000"/>
    <numFmt numFmtId="217" formatCode="#,##0___);\(#,##0.00\)"/>
    <numFmt numFmtId="218" formatCode="#,##0&quot;%&quot;"/>
    <numFmt numFmtId="219" formatCode="#,##0_);[Red]\(#,##0\);&quot;-&quot;"/>
    <numFmt numFmtId="220" formatCode="_-&quot;£&quot;* #,##0.00_-;\-&quot;£&quot;* #,##0.00_-;_-&quot;£&quot;* &quot;-&quot;??_-;_-@_-"/>
    <numFmt numFmtId="221" formatCode="*-"/>
    <numFmt numFmtId="222" formatCode="#,##0;[Red]\(#,##0\)"/>
    <numFmt numFmtId="223" formatCode="_-&quot;$&quot;* #,##0_-;\-&quot;$&quot;* #,##0_-;_-&quot;$&quot;* &quot;-&quot;_-;_-@_-"/>
    <numFmt numFmtId="224" formatCode="_-&quot;$&quot;* #,##0.00_-;\-&quot;$&quot;* #,##0.00_-;_-&quot;$&quot;* &quot;-&quot;??_-;_-@_-"/>
    <numFmt numFmtId="225" formatCode="0\x"/>
    <numFmt numFmtId="226" formatCode="yyyy\-mm\-dd"/>
    <numFmt numFmtId="227" formatCode="0.0000"/>
    <numFmt numFmtId="228" formatCode="0_);\(0\)"/>
  </numFmts>
  <fonts count="73" x14ac:knownFonts="1">
    <font>
      <sz val="11"/>
      <color theme="1"/>
      <name val="Calibri"/>
      <family val="2"/>
      <scheme val="minor"/>
    </font>
    <font>
      <sz val="11"/>
      <color theme="1"/>
      <name val="Calibri"/>
      <family val="2"/>
      <scheme val="minor"/>
    </font>
    <font>
      <b/>
      <sz val="11"/>
      <color theme="1"/>
      <name val="Calibri"/>
      <family val="2"/>
      <scheme val="minor"/>
    </font>
    <font>
      <b/>
      <u val="singleAccounting"/>
      <sz val="11"/>
      <color theme="1"/>
      <name val="Calibri"/>
      <family val="2"/>
      <scheme val="minor"/>
    </font>
    <font>
      <u val="singleAccounting"/>
      <sz val="11"/>
      <color theme="1"/>
      <name val="Calibri"/>
      <family val="2"/>
      <scheme val="minor"/>
    </font>
    <font>
      <sz val="11"/>
      <color rgb="FF7030A0"/>
      <name val="Calibri"/>
      <family val="2"/>
      <scheme val="minor"/>
    </font>
    <font>
      <sz val="11"/>
      <color theme="3"/>
      <name val="Calibri"/>
      <family val="2"/>
      <scheme val="minor"/>
    </font>
    <font>
      <b/>
      <sz val="11"/>
      <color theme="9" tint="-0.499984740745262"/>
      <name val="Calibri"/>
      <family val="2"/>
      <scheme val="minor"/>
    </font>
    <font>
      <sz val="11"/>
      <color theme="9" tint="-0.499984740745262"/>
      <name val="Calibri"/>
      <family val="2"/>
      <scheme val="minor"/>
    </font>
    <font>
      <b/>
      <u/>
      <sz val="11"/>
      <color theme="1"/>
      <name val="Calibri"/>
      <family val="2"/>
      <scheme val="minor"/>
    </font>
    <font>
      <sz val="10"/>
      <name val="Arial"/>
      <family val="2"/>
    </font>
    <font>
      <sz val="11"/>
      <name val="Calibri"/>
      <family val="2"/>
      <scheme val="minor"/>
    </font>
    <font>
      <u val="singleAccounting"/>
      <sz val="11"/>
      <name val="Calibri"/>
      <family val="2"/>
      <scheme val="minor"/>
    </font>
    <font>
      <b/>
      <sz val="11"/>
      <name val="Calibri"/>
      <family val="2"/>
      <scheme val="minor"/>
    </font>
    <font>
      <b/>
      <sz val="11"/>
      <color rgb="FFFF0000"/>
      <name val="Calibri"/>
      <family val="2"/>
      <scheme val="minor"/>
    </font>
    <font>
      <sz val="11"/>
      <color rgb="FFFF0000"/>
      <name val="Calibri"/>
      <family val="2"/>
      <scheme val="minor"/>
    </font>
    <font>
      <sz val="11"/>
      <name val="Calibri"/>
      <family val="2"/>
    </font>
    <font>
      <b/>
      <u/>
      <sz val="12"/>
      <color theme="0" tint="-0.14999847407452621"/>
      <name val="Calibri"/>
      <family val="2"/>
      <scheme val="minor"/>
    </font>
    <font>
      <b/>
      <sz val="11"/>
      <color theme="0" tint="-0.14999847407452621"/>
      <name val="Calibri"/>
      <family val="2"/>
      <scheme val="minor"/>
    </font>
    <font>
      <sz val="10"/>
      <color theme="0" tint="-0.14999847407452621"/>
      <name val="Calibri"/>
      <family val="2"/>
      <scheme val="minor"/>
    </font>
    <font>
      <b/>
      <u val="singleAccounting"/>
      <sz val="11"/>
      <color theme="0" tint="-0.14999847407452621"/>
      <name val="Calibri"/>
      <family val="2"/>
      <scheme val="minor"/>
    </font>
    <font>
      <sz val="9"/>
      <color indexed="81"/>
      <name val="Tahoma"/>
      <family val="2"/>
    </font>
    <font>
      <b/>
      <sz val="22"/>
      <color indexed="18"/>
      <name val="Arial"/>
      <family val="2"/>
    </font>
    <font>
      <b/>
      <sz val="14"/>
      <color indexed="18"/>
      <name val="Arial"/>
      <family val="2"/>
    </font>
    <font>
      <sz val="9"/>
      <color indexed="8"/>
      <name val="Arial"/>
      <family val="2"/>
    </font>
    <font>
      <b/>
      <sz val="10"/>
      <color indexed="18"/>
      <name val="Arial"/>
      <family val="2"/>
    </font>
    <font>
      <b/>
      <u val="singleAccounting"/>
      <sz val="10"/>
      <color indexed="18"/>
      <name val="Arial"/>
      <family val="2"/>
    </font>
    <font>
      <sz val="12"/>
      <name val="Times New Roman"/>
      <family val="1"/>
    </font>
    <font>
      <sz val="10"/>
      <name val="Helv"/>
      <family val="2"/>
    </font>
    <font>
      <sz val="8"/>
      <name val="Helv"/>
    </font>
    <font>
      <b/>
      <sz val="12"/>
      <name val="Tms Rmn"/>
    </font>
    <font>
      <b/>
      <i/>
      <sz val="12"/>
      <name val="Tms Rmn"/>
    </font>
    <font>
      <b/>
      <sz val="10"/>
      <name val="MS Sans Serif"/>
      <family val="2"/>
    </font>
    <font>
      <sz val="10"/>
      <color indexed="8"/>
      <name val="Arial"/>
      <family val="2"/>
    </font>
    <font>
      <b/>
      <sz val="11"/>
      <name val="Arial"/>
      <family val="2"/>
    </font>
    <font>
      <sz val="10"/>
      <name val="Helv"/>
    </font>
    <font>
      <sz val="10"/>
      <color theme="1"/>
      <name val="Arial"/>
      <family val="2"/>
    </font>
    <font>
      <sz val="10"/>
      <color indexed="0"/>
      <name val="MS Sans Serif"/>
      <family val="2"/>
    </font>
    <font>
      <b/>
      <sz val="14"/>
      <name val="Arial"/>
      <family val="2"/>
    </font>
    <font>
      <sz val="11"/>
      <color indexed="12"/>
      <name val="Times New Roman"/>
      <family val="1"/>
    </font>
    <font>
      <sz val="11"/>
      <name val="Times New Roman"/>
      <family val="1"/>
    </font>
    <font>
      <sz val="10"/>
      <color indexed="12"/>
      <name val="Helv"/>
    </font>
    <font>
      <sz val="8"/>
      <color indexed="18"/>
      <name val="Helv"/>
    </font>
    <font>
      <b/>
      <u/>
      <sz val="10"/>
      <color indexed="8"/>
      <name val="Times New Roman"/>
      <family val="1"/>
    </font>
    <font>
      <sz val="10"/>
      <color indexed="12"/>
      <name val="Arial"/>
      <family val="2"/>
    </font>
    <font>
      <sz val="8"/>
      <name val="Arial"/>
      <family val="2"/>
    </font>
    <font>
      <b/>
      <sz val="12"/>
      <name val="Arial"/>
      <family val="2"/>
    </font>
    <font>
      <b/>
      <sz val="10"/>
      <name val="Arial"/>
      <family val="2"/>
    </font>
    <font>
      <u/>
      <sz val="11"/>
      <color theme="10"/>
      <name val="Calibri"/>
      <family val="2"/>
    </font>
    <font>
      <u/>
      <sz val="10"/>
      <color indexed="12"/>
      <name val="Arial"/>
      <family val="2"/>
    </font>
    <font>
      <u/>
      <sz val="10"/>
      <color theme="10"/>
      <name val="Trebuchet MS"/>
      <family val="2"/>
    </font>
    <font>
      <sz val="10"/>
      <color indexed="14"/>
      <name val="Arial"/>
      <family val="2"/>
    </font>
    <font>
      <sz val="10"/>
      <name val="MS Sans Serif"/>
      <family val="2"/>
    </font>
    <font>
      <sz val="7"/>
      <name val="Small Fonts"/>
      <family val="2"/>
    </font>
    <font>
      <sz val="12"/>
      <name val="Helv"/>
      <family val="2"/>
    </font>
    <font>
      <sz val="10"/>
      <name val="Trebuchet MS"/>
      <family val="2"/>
    </font>
    <font>
      <sz val="10"/>
      <name val="Tms Rmn"/>
    </font>
    <font>
      <sz val="10"/>
      <name val="Tms Rmn"/>
      <family val="1"/>
    </font>
    <font>
      <sz val="11"/>
      <color indexed="8"/>
      <name val="Calibri"/>
      <family val="2"/>
    </font>
    <font>
      <b/>
      <u/>
      <sz val="26"/>
      <color indexed="9"/>
      <name val="Arial"/>
      <family val="2"/>
    </font>
    <font>
      <sz val="10"/>
      <color indexed="10"/>
      <name val="Arial"/>
      <family val="2"/>
    </font>
    <font>
      <sz val="12"/>
      <name val="Helv"/>
    </font>
    <font>
      <sz val="10"/>
      <color rgb="FF404040"/>
      <name val="Segoe UI"/>
      <family val="2"/>
    </font>
    <font>
      <b/>
      <sz val="10"/>
      <color rgb="FF404040"/>
      <name val="Segoe UI"/>
      <family val="2"/>
    </font>
    <font>
      <b/>
      <sz val="10"/>
      <color indexed="10"/>
      <name val="Arial"/>
      <family val="2"/>
    </font>
    <font>
      <sz val="8"/>
      <name val="Tms Rmn"/>
    </font>
    <font>
      <b/>
      <sz val="11"/>
      <color theme="1" tint="0.14999847407452621"/>
      <name val="Calibri"/>
      <family val="2"/>
      <scheme val="minor"/>
    </font>
    <font>
      <b/>
      <u val="singleAccounting"/>
      <sz val="11"/>
      <color theme="1" tint="0.14999847407452621"/>
      <name val="Calibri"/>
      <family val="2"/>
      <scheme val="minor"/>
    </font>
    <font>
      <i/>
      <sz val="11"/>
      <color theme="1"/>
      <name val="Calibri"/>
      <family val="2"/>
      <scheme val="minor"/>
    </font>
    <font>
      <b/>
      <u val="singleAccounting"/>
      <sz val="11"/>
      <name val="Calibri"/>
      <family val="2"/>
      <scheme val="minor"/>
    </font>
    <font>
      <b/>
      <i/>
      <sz val="11"/>
      <color theme="1"/>
      <name val="Calibri"/>
      <family val="2"/>
      <scheme val="minor"/>
    </font>
    <font>
      <b/>
      <i/>
      <sz val="11"/>
      <name val="Calibri"/>
      <family val="2"/>
      <scheme val="minor"/>
    </font>
    <font>
      <b/>
      <sz val="9"/>
      <color indexed="81"/>
      <name val="Tahoma"/>
      <family val="2"/>
    </font>
  </fonts>
  <fills count="11">
    <fill>
      <patternFill patternType="none"/>
    </fill>
    <fill>
      <patternFill patternType="gray125"/>
    </fill>
    <fill>
      <patternFill patternType="solid">
        <fgColor theme="1" tint="0.34998626667073579"/>
        <bgColor indexed="64"/>
      </patternFill>
    </fill>
    <fill>
      <patternFill patternType="solid">
        <fgColor theme="0" tint="-0.14999847407452621"/>
        <bgColor indexed="64"/>
      </patternFill>
    </fill>
    <fill>
      <patternFill patternType="solid">
        <fgColor indexed="43"/>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44"/>
        <bgColor indexed="64"/>
      </patternFill>
    </fill>
    <fill>
      <patternFill patternType="solid">
        <fgColor theme="4" tint="0.39997558519241921"/>
        <bgColor indexed="64"/>
      </patternFill>
    </fill>
    <fill>
      <patternFill patternType="solid">
        <fgColor theme="0"/>
        <bgColor indexed="64"/>
      </patternFill>
    </fill>
  </fills>
  <borders count="34">
    <border>
      <left/>
      <right/>
      <top/>
      <bottom/>
      <diagonal/>
    </border>
    <border>
      <left style="thin">
        <color auto="1"/>
      </left>
      <right/>
      <top style="thin">
        <color auto="1"/>
      </top>
      <bottom/>
      <diagonal/>
    </border>
    <border>
      <left/>
      <right/>
      <top style="thin">
        <color auto="1"/>
      </top>
      <bottom/>
      <diagonal/>
    </border>
    <border>
      <left style="thin">
        <color auto="1"/>
      </left>
      <right/>
      <top/>
      <bottom/>
      <diagonal/>
    </border>
    <border>
      <left/>
      <right style="thin">
        <color auto="1"/>
      </right>
      <top/>
      <bottom/>
      <diagonal/>
    </border>
    <border>
      <left style="thin">
        <color auto="1"/>
      </left>
      <right style="thin">
        <color auto="1"/>
      </right>
      <top/>
      <bottom/>
      <diagonal/>
    </border>
    <border>
      <left style="thin">
        <color auto="1"/>
      </left>
      <right/>
      <top/>
      <bottom style="thin">
        <color auto="1"/>
      </bottom>
      <diagonal/>
    </border>
    <border>
      <left/>
      <right/>
      <top/>
      <bottom style="thin">
        <color auto="1"/>
      </bottom>
      <diagonal/>
    </border>
    <border>
      <left style="thin">
        <color auto="1"/>
      </left>
      <right style="thin">
        <color auto="1"/>
      </right>
      <top/>
      <bottom style="thin">
        <color auto="1"/>
      </bottom>
      <diagonal/>
    </border>
    <border>
      <left/>
      <right/>
      <top style="thin">
        <color auto="1"/>
      </top>
      <bottom style="thin">
        <color auto="1"/>
      </bottom>
      <diagonal/>
    </border>
    <border>
      <left/>
      <right style="thin">
        <color auto="1"/>
      </right>
      <top/>
      <bottom style="thin">
        <color auto="1"/>
      </bottom>
      <diagonal/>
    </border>
    <border>
      <left/>
      <right style="thin">
        <color auto="1"/>
      </right>
      <top style="thin">
        <color auto="1"/>
      </top>
      <bottom/>
      <diagonal/>
    </border>
    <border>
      <left style="thin">
        <color auto="1"/>
      </left>
      <right/>
      <top/>
      <bottom style="hair">
        <color auto="1"/>
      </bottom>
      <diagonal/>
    </border>
    <border>
      <left/>
      <right style="thin">
        <color auto="1"/>
      </right>
      <top/>
      <bottom style="hair">
        <color auto="1"/>
      </bottom>
      <diagonal/>
    </border>
    <border>
      <left style="thin">
        <color auto="1"/>
      </left>
      <right style="thin">
        <color auto="1"/>
      </right>
      <top style="thin">
        <color auto="1"/>
      </top>
      <bottom style="thin">
        <color auto="1"/>
      </bottom>
      <diagonal/>
    </border>
    <border>
      <left/>
      <right/>
      <top style="hair">
        <color indexed="8"/>
      </top>
      <bottom style="hair">
        <color indexed="8"/>
      </bottom>
      <diagonal/>
    </border>
    <border>
      <left/>
      <right/>
      <top/>
      <bottom style="medium">
        <color indexed="18"/>
      </bottom>
      <diagonal/>
    </border>
    <border>
      <left/>
      <right/>
      <top/>
      <bottom style="medium">
        <color indexed="64"/>
      </bottom>
      <diagonal/>
    </border>
    <border>
      <left/>
      <right/>
      <top style="medium">
        <color indexed="64"/>
      </top>
      <bottom style="medium">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top style="thin">
        <color indexed="64"/>
      </top>
      <bottom style="double">
        <color indexed="64"/>
      </bottom>
      <diagonal/>
    </border>
    <border>
      <left/>
      <right/>
      <top/>
      <bottom style="double">
        <color indexed="64"/>
      </bottom>
      <diagonal/>
    </border>
    <border>
      <left style="thin">
        <color auto="1"/>
      </left>
      <right/>
      <top style="hair">
        <color auto="1"/>
      </top>
      <bottom style="thin">
        <color auto="1"/>
      </bottom>
      <diagonal/>
    </border>
    <border>
      <left/>
      <right style="thin">
        <color auto="1"/>
      </right>
      <top style="hair">
        <color auto="1"/>
      </top>
      <bottom style="thin">
        <color auto="1"/>
      </bottom>
      <diagonal/>
    </border>
    <border>
      <left style="thin">
        <color auto="1"/>
      </left>
      <right/>
      <top style="hair">
        <color auto="1"/>
      </top>
      <bottom/>
      <diagonal/>
    </border>
    <border>
      <left/>
      <right style="thin">
        <color auto="1"/>
      </right>
      <top style="hair">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hair">
        <color auto="1"/>
      </bottom>
      <diagonal/>
    </border>
    <border>
      <left/>
      <right/>
      <top/>
      <bottom style="hair">
        <color auto="1"/>
      </bottom>
      <diagonal/>
    </border>
    <border>
      <left/>
      <right/>
      <top style="hair">
        <color auto="1"/>
      </top>
      <bottom/>
      <diagonal/>
    </border>
    <border>
      <left style="thin">
        <color auto="1"/>
      </left>
      <right style="thin">
        <color auto="1"/>
      </right>
      <top style="hair">
        <color auto="1"/>
      </top>
      <bottom/>
      <diagonal/>
    </border>
    <border>
      <left style="thin">
        <color auto="1"/>
      </left>
      <right style="thin">
        <color auto="1"/>
      </right>
      <top style="thin">
        <color auto="1"/>
      </top>
      <bottom/>
      <diagonal/>
    </border>
  </borders>
  <cellStyleXfs count="329">
    <xf numFmtId="0" fontId="0" fillId="0" borderId="0"/>
    <xf numFmtId="43" fontId="1" fillId="0" borderId="0" applyFont="0" applyFill="0" applyBorder="0" applyAlignment="0" applyProtection="0"/>
    <xf numFmtId="9" fontId="1" fillId="0" borderId="0" applyFont="0" applyFill="0" applyBorder="0" applyAlignment="0" applyProtection="0"/>
    <xf numFmtId="0" fontId="10" fillId="0" borderId="0">
      <alignment vertical="top"/>
    </xf>
    <xf numFmtId="0" fontId="16" fillId="0" borderId="0"/>
    <xf numFmtId="43" fontId="16" fillId="0" borderId="0" applyFont="0" applyFill="0" applyBorder="0" applyAlignment="0" applyProtection="0"/>
    <xf numFmtId="168" fontId="10" fillId="0" borderId="0" applyFont="0" applyFill="0" applyBorder="0" applyAlignment="0" applyProtection="0"/>
    <xf numFmtId="169" fontId="10" fillId="0" borderId="0" applyFont="0" applyFill="0" applyBorder="0" applyAlignment="0" applyProtection="0"/>
    <xf numFmtId="170" fontId="10" fillId="0" borderId="0" applyFont="0" applyFill="0" applyBorder="0" applyAlignment="0" applyProtection="0"/>
    <xf numFmtId="171" fontId="10" fillId="0" borderId="0" applyFont="0" applyFill="0" applyBorder="0" applyAlignment="0" applyProtection="0"/>
    <xf numFmtId="172" fontId="10" fillId="0" borderId="0" applyFont="0" applyFill="0" applyBorder="0" applyAlignment="0" applyProtection="0"/>
    <xf numFmtId="173" fontId="10" fillId="0" borderId="0" applyFon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10" fillId="4" borderId="0" applyNumberFormat="0" applyFont="0" applyAlignment="0" applyProtection="0"/>
    <xf numFmtId="174" fontId="10" fillId="0" borderId="0" applyFont="0" applyFill="0" applyBorder="0" applyAlignment="0" applyProtection="0"/>
    <xf numFmtId="175" fontId="10" fillId="0" borderId="0" applyFont="0" applyFill="0" applyBorder="0" applyProtection="0">
      <alignment horizontal="right"/>
    </xf>
    <xf numFmtId="0" fontId="23" fillId="0" borderId="0" applyNumberFormat="0" applyFill="0" applyBorder="0" applyProtection="0">
      <alignment vertical="top"/>
    </xf>
    <xf numFmtId="0" fontId="23" fillId="0" borderId="0" applyNumberFormat="0" applyFill="0" applyBorder="0" applyProtection="0">
      <alignment vertical="top"/>
    </xf>
    <xf numFmtId="0" fontId="23" fillId="0" borderId="0" applyNumberFormat="0" applyFill="0" applyBorder="0" applyProtection="0">
      <alignment vertical="top"/>
    </xf>
    <xf numFmtId="0" fontId="23" fillId="0" borderId="0" applyNumberFormat="0" applyFill="0" applyBorder="0" applyProtection="0">
      <alignment vertical="top"/>
    </xf>
    <xf numFmtId="0" fontId="23" fillId="0" borderId="0" applyNumberFormat="0" applyFill="0" applyBorder="0" applyProtection="0">
      <alignment vertical="top"/>
    </xf>
    <xf numFmtId="0" fontId="24" fillId="0" borderId="15" applyNumberFormat="0" applyFill="0" applyAlignment="0" applyProtection="0"/>
    <xf numFmtId="0" fontId="25" fillId="0" borderId="16" applyNumberFormat="0" applyFill="0" applyProtection="0">
      <alignment horizontal="center"/>
    </xf>
    <xf numFmtId="0" fontId="25" fillId="0" borderId="0" applyNumberFormat="0" applyFill="0" applyBorder="0" applyProtection="0">
      <alignment horizontal="left"/>
    </xf>
    <xf numFmtId="0" fontId="26" fillId="0" borderId="0" applyNumberFormat="0" applyFill="0" applyBorder="0" applyProtection="0">
      <alignment horizontal="centerContinuous"/>
    </xf>
    <xf numFmtId="0" fontId="27" fillId="0" borderId="0" applyNumberFormat="0" applyFill="0" applyBorder="0" applyAlignment="0" applyProtection="0"/>
    <xf numFmtId="0" fontId="28" fillId="0" borderId="0"/>
    <xf numFmtId="176" fontId="29" fillId="0" borderId="0">
      <alignment horizontal="center"/>
    </xf>
    <xf numFmtId="37" fontId="30" fillId="0" borderId="0"/>
    <xf numFmtId="37" fontId="31" fillId="0" borderId="0"/>
    <xf numFmtId="177" fontId="32" fillId="0" borderId="2" applyAlignment="0" applyProtection="0"/>
    <xf numFmtId="177" fontId="1" fillId="0" borderId="0" applyAlignment="0" applyProtection="0"/>
    <xf numFmtId="177" fontId="1" fillId="0" borderId="0" applyAlignment="0" applyProtection="0"/>
    <xf numFmtId="177" fontId="1" fillId="0" borderId="0" applyAlignment="0" applyProtection="0"/>
    <xf numFmtId="177" fontId="1" fillId="0" borderId="0" applyAlignment="0" applyProtection="0"/>
    <xf numFmtId="177" fontId="1" fillId="0" borderId="0" applyAlignment="0" applyProtection="0"/>
    <xf numFmtId="177" fontId="1" fillId="0" borderId="0" applyAlignment="0" applyProtection="0"/>
    <xf numFmtId="177" fontId="1" fillId="0" borderId="0" applyAlignment="0" applyProtection="0"/>
    <xf numFmtId="177" fontId="1" fillId="0" borderId="0" applyAlignment="0" applyProtection="0"/>
    <xf numFmtId="177" fontId="1" fillId="0" borderId="0" applyAlignment="0" applyProtection="0"/>
    <xf numFmtId="177" fontId="1" fillId="0" borderId="0" applyAlignment="0" applyProtection="0"/>
    <xf numFmtId="177" fontId="32" fillId="0" borderId="2" applyAlignment="0" applyProtection="0"/>
    <xf numFmtId="177" fontId="1" fillId="0" borderId="0" applyAlignment="0" applyProtection="0"/>
    <xf numFmtId="177" fontId="1" fillId="0" borderId="0" applyAlignment="0" applyProtection="0"/>
    <xf numFmtId="177" fontId="1" fillId="0" borderId="0" applyAlignment="0" applyProtection="0"/>
    <xf numFmtId="177" fontId="1" fillId="0" borderId="0" applyAlignment="0" applyProtection="0"/>
    <xf numFmtId="177" fontId="1" fillId="0" borderId="0" applyAlignment="0" applyProtection="0"/>
    <xf numFmtId="177" fontId="1" fillId="0" borderId="0" applyAlignment="0" applyProtection="0"/>
    <xf numFmtId="177" fontId="1" fillId="0" borderId="0" applyAlignment="0" applyProtection="0"/>
    <xf numFmtId="177" fontId="1" fillId="0" borderId="0" applyAlignment="0" applyProtection="0"/>
    <xf numFmtId="177" fontId="1" fillId="0" borderId="0" applyAlignment="0" applyProtection="0"/>
    <xf numFmtId="177" fontId="1" fillId="0" borderId="0" applyAlignment="0" applyProtection="0"/>
    <xf numFmtId="177" fontId="32" fillId="0" borderId="2" applyAlignment="0" applyProtection="0"/>
    <xf numFmtId="177" fontId="1" fillId="0" borderId="0" applyAlignment="0" applyProtection="0"/>
    <xf numFmtId="177" fontId="1" fillId="0" borderId="0" applyAlignment="0" applyProtection="0"/>
    <xf numFmtId="177" fontId="1" fillId="0" borderId="0" applyAlignment="0" applyProtection="0"/>
    <xf numFmtId="177" fontId="1" fillId="0" borderId="0" applyAlignment="0" applyProtection="0"/>
    <xf numFmtId="177" fontId="1" fillId="0" borderId="0" applyAlignment="0" applyProtection="0"/>
    <xf numFmtId="177" fontId="1" fillId="0" borderId="0" applyAlignment="0" applyProtection="0"/>
    <xf numFmtId="177" fontId="1" fillId="0" borderId="0" applyAlignment="0" applyProtection="0"/>
    <xf numFmtId="177" fontId="1" fillId="0" borderId="0" applyAlignment="0" applyProtection="0"/>
    <xf numFmtId="177" fontId="1" fillId="0" borderId="0" applyAlignment="0" applyProtection="0"/>
    <xf numFmtId="177" fontId="1" fillId="0" borderId="0" applyAlignment="0" applyProtection="0"/>
    <xf numFmtId="177" fontId="32" fillId="0" borderId="2" applyAlignment="0" applyProtection="0"/>
    <xf numFmtId="177" fontId="1" fillId="0" borderId="0" applyAlignment="0" applyProtection="0"/>
    <xf numFmtId="177" fontId="1" fillId="0" borderId="0" applyAlignment="0" applyProtection="0"/>
    <xf numFmtId="177" fontId="1" fillId="0" borderId="0" applyAlignment="0" applyProtection="0"/>
    <xf numFmtId="177" fontId="32" fillId="0" borderId="2" applyAlignment="0" applyProtection="0"/>
    <xf numFmtId="177" fontId="32" fillId="0" borderId="2" applyAlignment="0" applyProtection="0"/>
    <xf numFmtId="177" fontId="32" fillId="0" borderId="2" applyAlignment="0" applyProtection="0"/>
    <xf numFmtId="177" fontId="32" fillId="0" borderId="2" applyAlignment="0" applyProtection="0"/>
    <xf numFmtId="177" fontId="1" fillId="0" borderId="0" applyAlignment="0" applyProtection="0"/>
    <xf numFmtId="178" fontId="33" fillId="0" borderId="0" applyFill="0" applyBorder="0" applyAlignment="0"/>
    <xf numFmtId="179" fontId="10" fillId="0" borderId="0" applyFill="0" applyBorder="0" applyAlignment="0"/>
    <xf numFmtId="180" fontId="10" fillId="0" borderId="0" applyFill="0" applyBorder="0" applyAlignment="0"/>
    <xf numFmtId="164" fontId="10" fillId="0" borderId="0" applyFill="0" applyBorder="0" applyAlignment="0"/>
    <xf numFmtId="181" fontId="10" fillId="0" borderId="0" applyFill="0" applyBorder="0" applyAlignment="0"/>
    <xf numFmtId="182" fontId="10" fillId="0" borderId="0" applyFill="0" applyBorder="0" applyAlignment="0"/>
    <xf numFmtId="183" fontId="10" fillId="0" borderId="0" applyFill="0" applyBorder="0" applyAlignment="0"/>
    <xf numFmtId="184" fontId="10" fillId="0" borderId="0" applyFill="0" applyBorder="0" applyAlignment="0"/>
    <xf numFmtId="185" fontId="10" fillId="0" borderId="0" applyFill="0" applyBorder="0" applyAlignment="0"/>
    <xf numFmtId="186" fontId="10" fillId="0" borderId="0" applyFill="0" applyBorder="0" applyAlignment="0"/>
    <xf numFmtId="178" fontId="33" fillId="0" borderId="0" applyFill="0" applyBorder="0" applyAlignment="0"/>
    <xf numFmtId="187" fontId="10" fillId="0" borderId="0" applyFill="0" applyBorder="0" applyAlignment="0"/>
    <xf numFmtId="188" fontId="10" fillId="0" borderId="0" applyFill="0" applyBorder="0" applyAlignment="0"/>
    <xf numFmtId="189" fontId="10" fillId="0" borderId="0" applyFill="0" applyBorder="0" applyAlignment="0"/>
    <xf numFmtId="180" fontId="10" fillId="0" borderId="0" applyFill="0" applyBorder="0" applyAlignment="0"/>
    <xf numFmtId="164" fontId="10" fillId="0" borderId="0" applyFill="0" applyBorder="0" applyAlignment="0"/>
    <xf numFmtId="0" fontId="34" fillId="0" borderId="0" applyFill="0" applyBorder="0" applyProtection="0">
      <alignment horizontal="center"/>
      <protection locked="0"/>
    </xf>
    <xf numFmtId="0" fontId="35" fillId="0" borderId="0"/>
    <xf numFmtId="190" fontId="10" fillId="0" borderId="0"/>
    <xf numFmtId="190" fontId="10" fillId="0" borderId="0"/>
    <xf numFmtId="190" fontId="10" fillId="0" borderId="0"/>
    <xf numFmtId="190" fontId="10" fillId="0" borderId="0"/>
    <xf numFmtId="190" fontId="10" fillId="0" borderId="0"/>
    <xf numFmtId="190" fontId="10" fillId="0" borderId="0"/>
    <xf numFmtId="190" fontId="10" fillId="0" borderId="0"/>
    <xf numFmtId="190" fontId="10" fillId="0" borderId="0"/>
    <xf numFmtId="191" fontId="35" fillId="0" borderId="7"/>
    <xf numFmtId="192" fontId="1" fillId="0" borderId="0"/>
    <xf numFmtId="0" fontId="28" fillId="0" borderId="7"/>
    <xf numFmtId="192" fontId="1" fillId="0" borderId="0"/>
    <xf numFmtId="178" fontId="10" fillId="0" borderId="0" applyFont="0" applyFill="0" applyBorder="0" applyAlignment="0" applyProtection="0"/>
    <xf numFmtId="187" fontId="10" fillId="0" borderId="0" applyFont="0" applyFill="0" applyBorder="0" applyAlignment="0" applyProtection="0"/>
    <xf numFmtId="43" fontId="10" fillId="0" borderId="0" applyFont="0" applyFill="0" applyBorder="0" applyAlignment="0" applyProtection="0">
      <alignment wrapText="1"/>
    </xf>
    <xf numFmtId="43" fontId="1" fillId="0" borderId="0" applyFont="0" applyFill="0" applyBorder="0" applyAlignment="0" applyProtection="0"/>
    <xf numFmtId="43" fontId="10" fillId="0" borderId="0" applyFont="0" applyFill="0" applyBorder="0" applyAlignment="0" applyProtection="0">
      <alignment wrapText="1"/>
    </xf>
    <xf numFmtId="43" fontId="10" fillId="0" borderId="0" applyFont="0" applyFill="0" applyBorder="0" applyAlignment="0" applyProtection="0">
      <alignment wrapText="1"/>
    </xf>
    <xf numFmtId="43" fontId="10" fillId="0" borderId="0" applyFont="0" applyFill="0" applyBorder="0" applyAlignment="0" applyProtection="0"/>
    <xf numFmtId="4" fontId="35" fillId="0" borderId="0" applyFont="0" applyFill="0" applyBorder="0" applyAlignment="0" applyProtection="0"/>
    <xf numFmtId="4" fontId="35" fillId="0" borderId="0" applyFont="0" applyFill="0" applyBorder="0" applyAlignment="0" applyProtection="0"/>
    <xf numFmtId="43" fontId="1" fillId="0" borderId="0" applyFont="0" applyFill="0" applyBorder="0" applyAlignment="0" applyProtection="0"/>
    <xf numFmtId="4" fontId="1" fillId="0" borderId="0" applyFont="0" applyFill="0" applyBorder="0" applyAlignment="0" applyProtection="0"/>
    <xf numFmtId="43" fontId="36" fillId="0" borderId="0" applyFont="0" applyFill="0" applyBorder="0" applyAlignment="0" applyProtection="0"/>
    <xf numFmtId="4" fontId="1" fillId="0" borderId="0" applyFont="0" applyFill="0" applyBorder="0" applyAlignment="0" applyProtection="0"/>
    <xf numFmtId="4" fontId="28" fillId="0" borderId="0" applyFont="0" applyFill="0" applyBorder="0" applyAlignment="0" applyProtection="0"/>
    <xf numFmtId="43" fontId="10" fillId="0" borderId="0" applyFont="0" applyFill="0" applyBorder="0" applyAlignment="0" applyProtection="0"/>
    <xf numFmtId="43" fontId="1" fillId="0" borderId="0" applyFont="0" applyFill="0" applyBorder="0" applyAlignment="0" applyProtection="0"/>
    <xf numFmtId="0" fontId="37" fillId="0" borderId="0" applyNumberFormat="0" applyFill="0" applyBorder="0" applyAlignment="0" applyProtection="0"/>
    <xf numFmtId="0" fontId="38" fillId="0" borderId="0" applyFill="0" applyBorder="0" applyAlignment="0" applyProtection="0">
      <protection locked="0"/>
    </xf>
    <xf numFmtId="193" fontId="10" fillId="0" borderId="0">
      <alignment horizontal="center"/>
    </xf>
    <xf numFmtId="194" fontId="39" fillId="0" borderId="0" applyFill="0" applyBorder="0" applyProtection="0"/>
    <xf numFmtId="195" fontId="40" fillId="0" borderId="0" applyFont="0" applyFill="0" applyBorder="0" applyAlignment="0" applyProtection="0"/>
    <xf numFmtId="196" fontId="41" fillId="0" borderId="17">
      <protection hidden="1"/>
    </xf>
    <xf numFmtId="180" fontId="10" fillId="0" borderId="0" applyFont="0" applyFill="0" applyBorder="0" applyAlignment="0" applyProtection="0"/>
    <xf numFmtId="164" fontId="10" fillId="0" borderId="0" applyFont="0" applyFill="0" applyBorder="0" applyAlignment="0" applyProtection="0"/>
    <xf numFmtId="8" fontId="1" fillId="0" borderId="0" applyFont="0" applyFill="0" applyBorder="0" applyAlignment="0" applyProtection="0"/>
    <xf numFmtId="44" fontId="10" fillId="0" borderId="0" applyFont="0" applyFill="0" applyBorder="0" applyAlignment="0" applyProtection="0"/>
    <xf numFmtId="0" fontId="37" fillId="0" borderId="0" applyNumberFormat="0" applyFill="0" applyBorder="0" applyAlignment="0" applyProtection="0"/>
    <xf numFmtId="1" fontId="29" fillId="0" borderId="0"/>
    <xf numFmtId="14" fontId="42" fillId="0" borderId="0">
      <alignment horizontal="center"/>
    </xf>
    <xf numFmtId="14" fontId="33" fillId="0" borderId="0" applyFill="0" applyBorder="0" applyAlignment="0"/>
    <xf numFmtId="15" fontId="43" fillId="5" borderId="0" applyNumberFormat="0" applyFont="0" applyFill="0" applyBorder="0" applyAlignment="0">
      <alignment horizontal="center" wrapText="1"/>
    </xf>
    <xf numFmtId="0" fontId="33" fillId="0" borderId="14" applyNumberFormat="0" applyFill="0" applyBorder="0" applyAlignment="0" applyProtection="0"/>
    <xf numFmtId="197" fontId="35" fillId="0" borderId="0" applyFont="0" applyFill="0" applyBorder="0" applyAlignment="0" applyProtection="0"/>
    <xf numFmtId="198" fontId="40" fillId="0" borderId="0" applyFont="0" applyFill="0" applyBorder="0" applyAlignment="0" applyProtection="0"/>
    <xf numFmtId="178" fontId="44" fillId="0" borderId="0" applyFill="0" applyBorder="0" applyAlignment="0"/>
    <xf numFmtId="187" fontId="10" fillId="0" borderId="0" applyFill="0" applyBorder="0" applyAlignment="0"/>
    <xf numFmtId="180" fontId="10" fillId="0" borderId="0" applyFill="0" applyBorder="0" applyAlignment="0"/>
    <xf numFmtId="164" fontId="10" fillId="0" borderId="0" applyFill="0" applyBorder="0" applyAlignment="0"/>
    <xf numFmtId="178" fontId="44" fillId="0" borderId="0" applyFill="0" applyBorder="0" applyAlignment="0"/>
    <xf numFmtId="187" fontId="10" fillId="0" borderId="0" applyFill="0" applyBorder="0" applyAlignment="0"/>
    <xf numFmtId="188" fontId="10" fillId="0" borderId="0" applyFill="0" applyBorder="0" applyAlignment="0"/>
    <xf numFmtId="189" fontId="10" fillId="0" borderId="0" applyFill="0" applyBorder="0" applyAlignment="0"/>
    <xf numFmtId="180" fontId="10" fillId="0" borderId="0" applyFill="0" applyBorder="0" applyAlignment="0"/>
    <xf numFmtId="164" fontId="10" fillId="0" borderId="0" applyFill="0" applyBorder="0" applyAlignment="0"/>
    <xf numFmtId="196" fontId="41" fillId="0" borderId="17">
      <protection hidden="1"/>
    </xf>
    <xf numFmtId="199" fontId="10" fillId="0" borderId="0" applyFont="0" applyFill="0" applyBorder="0" applyAlignment="0" applyProtection="0"/>
    <xf numFmtId="38" fontId="45" fillId="5" borderId="0" applyNumberFormat="0" applyBorder="0" applyAlignment="0" applyProtection="0"/>
    <xf numFmtId="0" fontId="46" fillId="0" borderId="18" applyNumberFormat="0" applyAlignment="0" applyProtection="0">
      <alignment horizontal="left" vertical="center"/>
    </xf>
    <xf numFmtId="0" fontId="46" fillId="0" borderId="9">
      <alignment horizontal="left" vertical="center"/>
    </xf>
    <xf numFmtId="0" fontId="1" fillId="0" borderId="0">
      <alignment horizontal="left" vertical="center"/>
    </xf>
    <xf numFmtId="0" fontId="1" fillId="0" borderId="0">
      <alignment horizontal="left" vertical="center"/>
    </xf>
    <xf numFmtId="0" fontId="1" fillId="0" borderId="0">
      <alignment horizontal="left" vertical="center"/>
    </xf>
    <xf numFmtId="0" fontId="1" fillId="0" borderId="0">
      <alignment horizontal="left" vertical="center"/>
    </xf>
    <xf numFmtId="0" fontId="1" fillId="0" borderId="0">
      <alignment horizontal="left" vertical="center"/>
    </xf>
    <xf numFmtId="0" fontId="1" fillId="0" borderId="0">
      <alignment horizontal="left" vertical="center"/>
    </xf>
    <xf numFmtId="0" fontId="1" fillId="0" borderId="0">
      <alignment horizontal="left" vertical="center"/>
    </xf>
    <xf numFmtId="0" fontId="1" fillId="0" borderId="0">
      <alignment horizontal="left" vertical="center"/>
    </xf>
    <xf numFmtId="0" fontId="1" fillId="0" borderId="0">
      <alignment horizontal="left" vertical="center"/>
    </xf>
    <xf numFmtId="0" fontId="1" fillId="0" borderId="0">
      <alignment horizontal="left" vertical="center"/>
    </xf>
    <xf numFmtId="0" fontId="46" fillId="0" borderId="9">
      <alignment horizontal="left" vertical="center"/>
    </xf>
    <xf numFmtId="0" fontId="1" fillId="0" borderId="0">
      <alignment horizontal="left" vertical="center"/>
    </xf>
    <xf numFmtId="0" fontId="1" fillId="0" borderId="0">
      <alignment horizontal="left" vertical="center"/>
    </xf>
    <xf numFmtId="0" fontId="1" fillId="0" borderId="0">
      <alignment horizontal="left" vertical="center"/>
    </xf>
    <xf numFmtId="0" fontId="1" fillId="0" borderId="0">
      <alignment horizontal="left" vertical="center"/>
    </xf>
    <xf numFmtId="0" fontId="1" fillId="0" borderId="0">
      <alignment horizontal="left" vertical="center"/>
    </xf>
    <xf numFmtId="0" fontId="1" fillId="0" borderId="0">
      <alignment horizontal="left" vertical="center"/>
    </xf>
    <xf numFmtId="0" fontId="1" fillId="0" borderId="0">
      <alignment horizontal="left" vertical="center"/>
    </xf>
    <xf numFmtId="0" fontId="1" fillId="0" borderId="0">
      <alignment horizontal="left" vertical="center"/>
    </xf>
    <xf numFmtId="0" fontId="1" fillId="0" borderId="0">
      <alignment horizontal="left" vertical="center"/>
    </xf>
    <xf numFmtId="0" fontId="1" fillId="0" borderId="0">
      <alignment horizontal="left" vertical="center"/>
    </xf>
    <xf numFmtId="0" fontId="46" fillId="0" borderId="9">
      <alignment horizontal="left" vertical="center"/>
    </xf>
    <xf numFmtId="0" fontId="1" fillId="0" borderId="0">
      <alignment horizontal="left" vertical="center"/>
    </xf>
    <xf numFmtId="0" fontId="1" fillId="0" borderId="0">
      <alignment horizontal="left" vertical="center"/>
    </xf>
    <xf numFmtId="0" fontId="1" fillId="0" borderId="0">
      <alignment horizontal="left" vertical="center"/>
    </xf>
    <xf numFmtId="0" fontId="1" fillId="0" borderId="0">
      <alignment horizontal="left" vertical="center"/>
    </xf>
    <xf numFmtId="0" fontId="1" fillId="0" borderId="0">
      <alignment horizontal="left" vertical="center"/>
    </xf>
    <xf numFmtId="0" fontId="1" fillId="0" borderId="0">
      <alignment horizontal="left" vertical="center"/>
    </xf>
    <xf numFmtId="0" fontId="1" fillId="0" borderId="0">
      <alignment horizontal="left" vertical="center"/>
    </xf>
    <xf numFmtId="0" fontId="1" fillId="0" borderId="0">
      <alignment horizontal="left" vertical="center"/>
    </xf>
    <xf numFmtId="0" fontId="1" fillId="0" borderId="0">
      <alignment horizontal="left" vertical="center"/>
    </xf>
    <xf numFmtId="0" fontId="1" fillId="0" borderId="0">
      <alignment horizontal="left" vertical="center"/>
    </xf>
    <xf numFmtId="0" fontId="46" fillId="0" borderId="9">
      <alignment horizontal="left" vertical="center"/>
    </xf>
    <xf numFmtId="0" fontId="1" fillId="0" borderId="0">
      <alignment horizontal="left" vertical="center"/>
    </xf>
    <xf numFmtId="0" fontId="1" fillId="0" borderId="0">
      <alignment horizontal="left" vertical="center"/>
    </xf>
    <xf numFmtId="0" fontId="1" fillId="0" borderId="0">
      <alignment horizontal="left" vertical="center"/>
    </xf>
    <xf numFmtId="0" fontId="46" fillId="0" borderId="9">
      <alignment horizontal="left" vertical="center"/>
    </xf>
    <xf numFmtId="0" fontId="46" fillId="0" borderId="9">
      <alignment horizontal="left" vertical="center"/>
    </xf>
    <xf numFmtId="0" fontId="46" fillId="0" borderId="9">
      <alignment horizontal="left" vertical="center"/>
    </xf>
    <xf numFmtId="0" fontId="46" fillId="0" borderId="9">
      <alignment horizontal="left" vertical="center"/>
    </xf>
    <xf numFmtId="0" fontId="1" fillId="0" borderId="0">
      <alignment horizontal="left" vertical="center"/>
    </xf>
    <xf numFmtId="14" fontId="47" fillId="6" borderId="17">
      <alignment horizontal="center" vertical="center" wrapText="1"/>
    </xf>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4" fillId="0" borderId="0" applyFill="0" applyAlignment="0" applyProtection="0">
      <protection locked="0"/>
    </xf>
    <xf numFmtId="0" fontId="34" fillId="0" borderId="7" applyFill="0" applyAlignment="0" applyProtection="0">
      <protection locked="0"/>
    </xf>
    <xf numFmtId="0" fontId="48"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0" fontId="49" fillId="0" borderId="0" applyNumberFormat="0" applyFill="0" applyBorder="0" applyAlignment="0" applyProtection="0">
      <alignment vertical="top"/>
      <protection locked="0"/>
    </xf>
    <xf numFmtId="0" fontId="50" fillId="0" borderId="0" applyNumberFormat="0" applyFill="0" applyBorder="0" applyAlignment="0" applyProtection="0">
      <alignment vertical="top"/>
      <protection locked="0"/>
    </xf>
    <xf numFmtId="0" fontId="49" fillId="0" borderId="0" applyNumberFormat="0" applyFill="0" applyBorder="0" applyAlignment="0" applyProtection="0">
      <alignment vertical="top"/>
      <protection locked="0"/>
    </xf>
    <xf numFmtId="10" fontId="45" fillId="7" borderId="14" applyNumberFormat="0" applyBorder="0" applyAlignment="0" applyProtection="0"/>
    <xf numFmtId="178" fontId="51" fillId="0" borderId="0" applyFill="0" applyBorder="0" applyAlignment="0"/>
    <xf numFmtId="187" fontId="10" fillId="0" borderId="0" applyFill="0" applyBorder="0" applyAlignment="0"/>
    <xf numFmtId="180" fontId="10" fillId="0" borderId="0" applyFill="0" applyBorder="0" applyAlignment="0"/>
    <xf numFmtId="164" fontId="10" fillId="0" borderId="0" applyFill="0" applyBorder="0" applyAlignment="0"/>
    <xf numFmtId="178" fontId="51" fillId="0" borderId="0" applyFill="0" applyBorder="0" applyAlignment="0"/>
    <xf numFmtId="187" fontId="10" fillId="0" borderId="0" applyFill="0" applyBorder="0" applyAlignment="0"/>
    <xf numFmtId="188" fontId="10" fillId="0" borderId="0" applyFill="0" applyBorder="0" applyAlignment="0"/>
    <xf numFmtId="189" fontId="10" fillId="0" borderId="0" applyFill="0" applyBorder="0" applyAlignment="0"/>
    <xf numFmtId="180" fontId="10" fillId="0" borderId="0" applyFill="0" applyBorder="0" applyAlignment="0"/>
    <xf numFmtId="164" fontId="10" fillId="0" borderId="0" applyFill="0" applyBorder="0" applyAlignment="0"/>
    <xf numFmtId="200" fontId="10" fillId="0" borderId="0" applyFont="0" applyFill="0" applyBorder="0" applyAlignment="0" applyProtection="0"/>
    <xf numFmtId="201" fontId="10" fillId="0" borderId="0" applyFont="0" applyFill="0" applyBorder="0" applyAlignment="0" applyProtection="0"/>
    <xf numFmtId="38" fontId="52" fillId="0" borderId="0" applyFont="0" applyFill="0" applyBorder="0" applyAlignment="0" applyProtection="0"/>
    <xf numFmtId="40" fontId="52" fillId="0" borderId="0" applyFont="0" applyFill="0" applyBorder="0" applyAlignment="0" applyProtection="0"/>
    <xf numFmtId="202" fontId="10" fillId="0" borderId="0" applyFont="0" applyFill="0" applyBorder="0" applyAlignment="0" applyProtection="0"/>
    <xf numFmtId="203" fontId="10" fillId="0" borderId="0" applyFont="0" applyFill="0" applyBorder="0" applyAlignment="0" applyProtection="0"/>
    <xf numFmtId="6" fontId="52" fillId="0" borderId="0" applyFont="0" applyFill="0" applyBorder="0" applyAlignment="0" applyProtection="0"/>
    <xf numFmtId="8" fontId="52" fillId="0" borderId="0" applyFont="0" applyFill="0" applyBorder="0" applyAlignment="0" applyProtection="0"/>
    <xf numFmtId="204" fontId="29" fillId="0" borderId="7"/>
    <xf numFmtId="37" fontId="53" fillId="0" borderId="0"/>
    <xf numFmtId="205" fontId="35" fillId="0" borderId="0"/>
    <xf numFmtId="205" fontId="1" fillId="0" borderId="0"/>
    <xf numFmtId="206" fontId="10" fillId="0" borderId="0"/>
    <xf numFmtId="207" fontId="10" fillId="0" borderId="0"/>
    <xf numFmtId="0" fontId="54" fillId="0" borderId="0"/>
    <xf numFmtId="0" fontId="54" fillId="0" borderId="0"/>
    <xf numFmtId="0" fontId="54" fillId="0" borderId="0"/>
    <xf numFmtId="0" fontId="54" fillId="0" borderId="0"/>
    <xf numFmtId="0" fontId="10" fillId="0" borderId="0"/>
    <xf numFmtId="0" fontId="10" fillId="0" borderId="0"/>
    <xf numFmtId="0" fontId="1" fillId="0" borderId="0"/>
    <xf numFmtId="0" fontId="10" fillId="0" borderId="0"/>
    <xf numFmtId="0" fontId="10" fillId="0" borderId="0">
      <alignment wrapText="1"/>
    </xf>
    <xf numFmtId="0" fontId="10" fillId="0" borderId="0"/>
    <xf numFmtId="0" fontId="55" fillId="0" borderId="0"/>
    <xf numFmtId="0" fontId="10" fillId="0" borderId="0"/>
    <xf numFmtId="0" fontId="10" fillId="0" borderId="0"/>
    <xf numFmtId="37" fontId="56" fillId="0" borderId="0"/>
    <xf numFmtId="0" fontId="1" fillId="0" borderId="0"/>
    <xf numFmtId="0" fontId="1" fillId="0" borderId="0"/>
    <xf numFmtId="0" fontId="10" fillId="0" borderId="0">
      <alignment wrapText="1"/>
    </xf>
    <xf numFmtId="0" fontId="10" fillId="0" borderId="0"/>
    <xf numFmtId="37" fontId="56" fillId="0" borderId="0"/>
    <xf numFmtId="0" fontId="10" fillId="0" borderId="0"/>
    <xf numFmtId="37" fontId="56" fillId="0" borderId="0"/>
    <xf numFmtId="0" fontId="1" fillId="0" borderId="0"/>
    <xf numFmtId="0" fontId="36" fillId="0" borderId="0"/>
    <xf numFmtId="37" fontId="1" fillId="0" borderId="0"/>
    <xf numFmtId="0" fontId="1" fillId="0" borderId="0"/>
    <xf numFmtId="37" fontId="1" fillId="0" borderId="0"/>
    <xf numFmtId="0" fontId="10" fillId="0" borderId="0">
      <alignment wrapText="1"/>
    </xf>
    <xf numFmtId="37" fontId="57" fillId="0" borderId="0"/>
    <xf numFmtId="0" fontId="10" fillId="0" borderId="0"/>
    <xf numFmtId="37" fontId="10" fillId="0" borderId="0"/>
    <xf numFmtId="37" fontId="10" fillId="0" borderId="0"/>
    <xf numFmtId="208" fontId="10" fillId="0" borderId="0"/>
    <xf numFmtId="209" fontId="10" fillId="0" borderId="0"/>
    <xf numFmtId="39" fontId="10" fillId="0" borderId="0"/>
    <xf numFmtId="39" fontId="10" fillId="0" borderId="0"/>
    <xf numFmtId="210" fontId="10" fillId="0" borderId="0"/>
    <xf numFmtId="211" fontId="10" fillId="0" borderId="0"/>
    <xf numFmtId="212" fontId="10" fillId="0" borderId="0"/>
    <xf numFmtId="213" fontId="10" fillId="0" borderId="0"/>
    <xf numFmtId="214" fontId="10" fillId="0" borderId="0"/>
    <xf numFmtId="215" fontId="10" fillId="0" borderId="0"/>
    <xf numFmtId="216" fontId="10" fillId="0" borderId="0"/>
    <xf numFmtId="217" fontId="52" fillId="0" borderId="0"/>
    <xf numFmtId="218" fontId="41" fillId="0" borderId="0">
      <protection hidden="1"/>
    </xf>
    <xf numFmtId="185" fontId="10" fillId="0" borderId="0" applyFont="0" applyFill="0" applyBorder="0" applyAlignment="0" applyProtection="0"/>
    <xf numFmtId="186" fontId="10" fillId="0" borderId="0" applyFont="0" applyFill="0" applyBorder="0" applyAlignment="0" applyProtection="0"/>
    <xf numFmtId="206" fontId="10" fillId="0" borderId="0" applyFont="0" applyFill="0" applyBorder="0" applyAlignment="0" applyProtection="0"/>
    <xf numFmtId="207" fontId="10" fillId="0" borderId="0" applyFont="0" applyFill="0" applyBorder="0" applyAlignment="0" applyProtection="0"/>
    <xf numFmtId="10" fontId="10" fillId="0" borderId="0" applyFont="0" applyFill="0" applyBorder="0" applyAlignment="0" applyProtection="0"/>
    <xf numFmtId="9" fontId="58" fillId="0" borderId="0" applyFont="0" applyFill="0" applyBorder="0" applyAlignment="0" applyProtection="0"/>
    <xf numFmtId="9" fontId="35"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36" fillId="0" borderId="0" applyFont="0" applyFill="0" applyBorder="0" applyAlignment="0" applyProtection="0"/>
    <xf numFmtId="9" fontId="1" fillId="0" borderId="0" applyFont="0" applyFill="0" applyBorder="0" applyAlignment="0" applyProtection="0"/>
    <xf numFmtId="9" fontId="58" fillId="0" borderId="0" applyFont="0" applyFill="0" applyBorder="0" applyAlignment="0" applyProtection="0"/>
    <xf numFmtId="9" fontId="52" fillId="0" borderId="19" applyNumberFormat="0" applyBorder="0"/>
    <xf numFmtId="204" fontId="29" fillId="0" borderId="0"/>
    <xf numFmtId="0" fontId="59" fillId="8" borderId="20" applyNumberFormat="0" applyFont="0" applyFill="0" applyAlignment="0">
      <alignment horizontal="center" vertical="center"/>
    </xf>
    <xf numFmtId="178" fontId="60" fillId="0" borderId="0" applyFill="0" applyBorder="0" applyAlignment="0"/>
    <xf numFmtId="187" fontId="10" fillId="0" borderId="0" applyFill="0" applyBorder="0" applyAlignment="0"/>
    <xf numFmtId="180" fontId="10" fillId="0" borderId="0" applyFill="0" applyBorder="0" applyAlignment="0"/>
    <xf numFmtId="164" fontId="10" fillId="0" borderId="0" applyFill="0" applyBorder="0" applyAlignment="0"/>
    <xf numFmtId="178" fontId="60" fillId="0" borderId="0" applyFill="0" applyBorder="0" applyAlignment="0"/>
    <xf numFmtId="187" fontId="10" fillId="0" borderId="0" applyFill="0" applyBorder="0" applyAlignment="0"/>
    <xf numFmtId="188" fontId="10" fillId="0" borderId="0" applyFill="0" applyBorder="0" applyAlignment="0"/>
    <xf numFmtId="189" fontId="10" fillId="0" borderId="0" applyFill="0" applyBorder="0" applyAlignment="0"/>
    <xf numFmtId="180" fontId="10" fillId="0" borderId="0" applyFill="0" applyBorder="0" applyAlignment="0"/>
    <xf numFmtId="164" fontId="10" fillId="0" borderId="0" applyFill="0" applyBorder="0" applyAlignment="0"/>
    <xf numFmtId="37" fontId="56" fillId="0" borderId="21"/>
    <xf numFmtId="0" fontId="61" fillId="0" borderId="0"/>
    <xf numFmtId="0" fontId="35" fillId="0" borderId="0"/>
    <xf numFmtId="0" fontId="52" fillId="0" borderId="0"/>
    <xf numFmtId="37" fontId="62" fillId="0" borderId="17">
      <alignment horizontal="right"/>
      <protection locked="0"/>
    </xf>
    <xf numFmtId="37" fontId="63" fillId="0" borderId="17">
      <alignment horizontal="right"/>
      <protection locked="0"/>
    </xf>
    <xf numFmtId="49" fontId="33" fillId="0" borderId="0" applyFill="0" applyBorder="0" applyAlignment="0"/>
    <xf numFmtId="219" fontId="10" fillId="0" borderId="0" applyFill="0" applyBorder="0" applyAlignment="0"/>
    <xf numFmtId="220" fontId="10" fillId="0" borderId="0" applyFill="0" applyBorder="0" applyAlignment="0"/>
    <xf numFmtId="221" fontId="10" fillId="0" borderId="0" applyFill="0" applyBorder="0" applyAlignment="0"/>
    <xf numFmtId="222" fontId="10" fillId="0" borderId="0" applyFill="0" applyBorder="0" applyAlignment="0"/>
    <xf numFmtId="49" fontId="10" fillId="0" borderId="0"/>
    <xf numFmtId="0" fontId="64" fillId="0" borderId="0" applyFill="0" applyBorder="0" applyProtection="0">
      <alignment horizontal="left" vertical="top"/>
    </xf>
    <xf numFmtId="40" fontId="65" fillId="0" borderId="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37" fontId="56" fillId="0" borderId="7"/>
    <xf numFmtId="37" fontId="56" fillId="0" borderId="22"/>
    <xf numFmtId="223" fontId="10" fillId="0" borderId="0" applyFont="0" applyFill="0" applyBorder="0" applyAlignment="0" applyProtection="0"/>
    <xf numFmtId="224" fontId="10" fillId="0" borderId="0" applyFont="0" applyFill="0" applyBorder="0" applyAlignment="0" applyProtection="0"/>
    <xf numFmtId="0" fontId="10" fillId="0" borderId="0"/>
    <xf numFmtId="0" fontId="10" fillId="0" borderId="0"/>
  </cellStyleXfs>
  <cellXfs count="340">
    <xf numFmtId="0" fontId="0" fillId="0" borderId="0" xfId="0"/>
    <xf numFmtId="164" fontId="0" fillId="0" borderId="0" xfId="1" applyNumberFormat="1" applyFont="1" applyAlignment="1">
      <alignment horizontal="right"/>
    </xf>
    <xf numFmtId="164" fontId="3" fillId="0" borderId="0" xfId="1" quotePrefix="1" applyNumberFormat="1" applyFont="1" applyFill="1" applyBorder="1" applyAlignment="1">
      <alignment horizontal="right"/>
    </xf>
    <xf numFmtId="165" fontId="0" fillId="0" borderId="5" xfId="1" applyNumberFormat="1" applyFont="1" applyBorder="1" applyAlignment="1">
      <alignment horizontal="right"/>
    </xf>
    <xf numFmtId="0" fontId="0" fillId="0" borderId="0" xfId="0" applyAlignment="1">
      <alignment horizontal="right"/>
    </xf>
    <xf numFmtId="0" fontId="0" fillId="0" borderId="3" xfId="0" applyFont="1" applyBorder="1"/>
    <xf numFmtId="0" fontId="0" fillId="0" borderId="3" xfId="0" applyFont="1" applyFill="1" applyBorder="1"/>
    <xf numFmtId="165" fontId="6" fillId="0" borderId="0" xfId="1" applyNumberFormat="1" applyFont="1" applyBorder="1" applyAlignment="1">
      <alignment horizontal="right"/>
    </xf>
    <xf numFmtId="165" fontId="5" fillId="0" borderId="0" xfId="1" applyNumberFormat="1" applyFont="1" applyBorder="1" applyAlignment="1">
      <alignment horizontal="right"/>
    </xf>
    <xf numFmtId="165" fontId="5" fillId="0" borderId="3" xfId="1" applyNumberFormat="1" applyFont="1" applyBorder="1" applyAlignment="1">
      <alignment horizontal="right"/>
    </xf>
    <xf numFmtId="9" fontId="6" fillId="0" borderId="0" xfId="2" applyFont="1" applyBorder="1" applyAlignment="1">
      <alignment horizontal="right"/>
    </xf>
    <xf numFmtId="165" fontId="8" fillId="0" borderId="0" xfId="1" applyNumberFormat="1" applyFont="1" applyBorder="1" applyAlignment="1">
      <alignment horizontal="right"/>
    </xf>
    <xf numFmtId="165" fontId="8" fillId="0" borderId="5" xfId="1" applyNumberFormat="1" applyFont="1" applyBorder="1" applyAlignment="1">
      <alignment horizontal="right"/>
    </xf>
    <xf numFmtId="0" fontId="9" fillId="0" borderId="3" xfId="0" applyFont="1" applyBorder="1"/>
    <xf numFmtId="9" fontId="5" fillId="0" borderId="0" xfId="2" applyFont="1" applyBorder="1" applyAlignment="1">
      <alignment horizontal="right"/>
    </xf>
    <xf numFmtId="9" fontId="8" fillId="0" borderId="0" xfId="2" applyFont="1" applyBorder="1" applyAlignment="1">
      <alignment horizontal="right"/>
    </xf>
    <xf numFmtId="0" fontId="0" fillId="0" borderId="0" xfId="0" applyBorder="1" applyAlignment="1">
      <alignment vertical="top" wrapText="1"/>
    </xf>
    <xf numFmtId="165" fontId="0" fillId="0" borderId="4" xfId="1" applyNumberFormat="1" applyFont="1" applyBorder="1" applyAlignment="1">
      <alignment horizontal="right"/>
    </xf>
    <xf numFmtId="165" fontId="13" fillId="0" borderId="0" xfId="1" applyNumberFormat="1" applyFont="1" applyFill="1" applyBorder="1" applyAlignment="1">
      <alignment horizontal="right"/>
    </xf>
    <xf numFmtId="165" fontId="11" fillId="0" borderId="5" xfId="1" applyNumberFormat="1" applyFont="1" applyFill="1" applyBorder="1" applyAlignment="1">
      <alignment horizontal="right"/>
    </xf>
    <xf numFmtId="43" fontId="13" fillId="0" borderId="0" xfId="1" applyNumberFormat="1" applyFont="1" applyFill="1" applyBorder="1" applyAlignment="1">
      <alignment horizontal="right"/>
    </xf>
    <xf numFmtId="43" fontId="13" fillId="0" borderId="5" xfId="1" applyNumberFormat="1" applyFont="1" applyFill="1" applyBorder="1" applyAlignment="1">
      <alignment horizontal="right"/>
    </xf>
    <xf numFmtId="164" fontId="3" fillId="0" borderId="5" xfId="1" quotePrefix="1" applyNumberFormat="1" applyFont="1" applyFill="1" applyBorder="1" applyAlignment="1">
      <alignment horizontal="right"/>
    </xf>
    <xf numFmtId="166" fontId="0" fillId="0" borderId="0" xfId="2" applyNumberFormat="1" applyFont="1" applyFill="1" applyBorder="1" applyAlignment="1">
      <alignment horizontal="right"/>
    </xf>
    <xf numFmtId="0" fontId="0" fillId="0" borderId="0" xfId="0" applyFont="1"/>
    <xf numFmtId="9" fontId="1" fillId="0" borderId="5" xfId="2" quotePrefix="1" applyFont="1" applyFill="1" applyBorder="1" applyAlignment="1">
      <alignment horizontal="right"/>
    </xf>
    <xf numFmtId="43" fontId="2" fillId="0" borderId="0" xfId="1" quotePrefix="1" applyNumberFormat="1" applyFont="1" applyBorder="1" applyAlignment="1">
      <alignment horizontal="right"/>
    </xf>
    <xf numFmtId="165" fontId="0" fillId="0" borderId="3" xfId="1" applyNumberFormat="1" applyFont="1" applyFill="1" applyBorder="1" applyAlignment="1">
      <alignment horizontal="right"/>
    </xf>
    <xf numFmtId="165" fontId="0" fillId="0" borderId="0" xfId="1" applyNumberFormat="1" applyFont="1" applyFill="1" applyBorder="1" applyAlignment="1">
      <alignment horizontal="right"/>
    </xf>
    <xf numFmtId="164" fontId="3" fillId="0" borderId="2" xfId="1" quotePrefix="1" applyNumberFormat="1" applyFont="1" applyFill="1" applyBorder="1" applyAlignment="1">
      <alignment horizontal="right"/>
    </xf>
    <xf numFmtId="43" fontId="0" fillId="0" borderId="0" xfId="1" applyFont="1"/>
    <xf numFmtId="43" fontId="0" fillId="0" borderId="0" xfId="1" applyFont="1" applyAlignment="1">
      <alignment horizontal="right"/>
    </xf>
    <xf numFmtId="165" fontId="12" fillId="0" borderId="0" xfId="1" applyNumberFormat="1" applyFont="1" applyFill="1" applyBorder="1" applyAlignment="1">
      <alignment horizontal="right"/>
    </xf>
    <xf numFmtId="165" fontId="11" fillId="0" borderId="3" xfId="1" applyNumberFormat="1" applyFont="1" applyFill="1" applyBorder="1" applyAlignment="1">
      <alignment horizontal="right"/>
    </xf>
    <xf numFmtId="165" fontId="11" fillId="0" borderId="4" xfId="1" applyNumberFormat="1" applyFont="1" applyFill="1" applyBorder="1" applyAlignment="1">
      <alignment horizontal="right"/>
    </xf>
    <xf numFmtId="165" fontId="12" fillId="0" borderId="3" xfId="1" applyNumberFormat="1" applyFont="1" applyFill="1" applyBorder="1" applyAlignment="1">
      <alignment horizontal="right"/>
    </xf>
    <xf numFmtId="165" fontId="12" fillId="0" borderId="4" xfId="1" applyNumberFormat="1" applyFont="1" applyFill="1" applyBorder="1" applyAlignment="1">
      <alignment horizontal="right"/>
    </xf>
    <xf numFmtId="165" fontId="13" fillId="0" borderId="3" xfId="1" applyNumberFormat="1" applyFont="1" applyFill="1" applyBorder="1" applyAlignment="1">
      <alignment horizontal="right"/>
    </xf>
    <xf numFmtId="0" fontId="0" fillId="0" borderId="0" xfId="0" applyFont="1" applyFill="1"/>
    <xf numFmtId="43" fontId="14" fillId="0" borderId="9" xfId="1" applyNumberFormat="1" applyFont="1" applyFill="1" applyBorder="1" applyAlignment="1">
      <alignment horizontal="right"/>
    </xf>
    <xf numFmtId="43" fontId="2" fillId="0" borderId="0" xfId="1" quotePrefix="1" applyNumberFormat="1" applyFont="1" applyFill="1" applyBorder="1" applyAlignment="1">
      <alignment horizontal="right"/>
    </xf>
    <xf numFmtId="164" fontId="2" fillId="0" borderId="0" xfId="1" quotePrefix="1" applyNumberFormat="1" applyFont="1" applyFill="1" applyBorder="1" applyAlignment="1">
      <alignment horizontal="right"/>
    </xf>
    <xf numFmtId="0" fontId="2" fillId="0" borderId="3" xfId="0" applyFont="1" applyFill="1" applyBorder="1"/>
    <xf numFmtId="164" fontId="0" fillId="0" borderId="4" xfId="1" applyNumberFormat="1" applyFont="1" applyBorder="1" applyAlignment="1">
      <alignment horizontal="right"/>
    </xf>
    <xf numFmtId="0" fontId="0" fillId="0" borderId="0" xfId="0" applyFill="1"/>
    <xf numFmtId="43" fontId="0" fillId="0" borderId="4" xfId="1" applyNumberFormat="1" applyFont="1" applyBorder="1" applyAlignment="1">
      <alignment horizontal="right"/>
    </xf>
    <xf numFmtId="166" fontId="0" fillId="0" borderId="4" xfId="2" applyNumberFormat="1" applyFont="1" applyBorder="1" applyAlignment="1">
      <alignment horizontal="right"/>
    </xf>
    <xf numFmtId="166" fontId="2" fillId="0" borderId="4" xfId="2" applyNumberFormat="1" applyFont="1" applyBorder="1" applyAlignment="1">
      <alignment horizontal="right"/>
    </xf>
    <xf numFmtId="43" fontId="0" fillId="0" borderId="0" xfId="1" applyFont="1" applyFill="1"/>
    <xf numFmtId="43" fontId="0" fillId="0" borderId="0" xfId="1" applyFont="1" applyFill="1" applyAlignment="1">
      <alignment horizontal="right"/>
    </xf>
    <xf numFmtId="165" fontId="2" fillId="0" borderId="0" xfId="1" applyNumberFormat="1" applyFont="1" applyFill="1" applyBorder="1" applyAlignment="1">
      <alignment horizontal="right"/>
    </xf>
    <xf numFmtId="165" fontId="2" fillId="0" borderId="7" xfId="1" applyNumberFormat="1" applyFont="1" applyFill="1" applyBorder="1" applyAlignment="1">
      <alignment horizontal="right"/>
    </xf>
    <xf numFmtId="165" fontId="2" fillId="0" borderId="3" xfId="1" applyNumberFormat="1" applyFont="1" applyFill="1" applyBorder="1" applyAlignment="1">
      <alignment horizontal="right"/>
    </xf>
    <xf numFmtId="43" fontId="11" fillId="0" borderId="0" xfId="1" applyNumberFormat="1" applyFont="1" applyFill="1" applyBorder="1" applyAlignment="1">
      <alignment horizontal="right"/>
    </xf>
    <xf numFmtId="165" fontId="5" fillId="0" borderId="7" xfId="1" applyNumberFormat="1" applyFont="1" applyFill="1" applyBorder="1" applyAlignment="1">
      <alignment horizontal="right"/>
    </xf>
    <xf numFmtId="165" fontId="8" fillId="0" borderId="7" xfId="1" applyNumberFormat="1" applyFont="1" applyFill="1" applyBorder="1" applyAlignment="1">
      <alignment horizontal="right"/>
    </xf>
    <xf numFmtId="165" fontId="6" fillId="0" borderId="7" xfId="1" applyNumberFormat="1" applyFont="1" applyFill="1" applyBorder="1" applyAlignment="1">
      <alignment horizontal="right"/>
    </xf>
    <xf numFmtId="9" fontId="8" fillId="0" borderId="8" xfId="2" applyFont="1" applyFill="1" applyBorder="1" applyAlignment="1">
      <alignment horizontal="right"/>
    </xf>
    <xf numFmtId="0" fontId="15" fillId="0" borderId="0" xfId="0" applyFont="1"/>
    <xf numFmtId="165" fontId="0" fillId="0" borderId="4" xfId="1" applyNumberFormat="1" applyFont="1" applyFill="1" applyBorder="1" applyAlignment="1">
      <alignment horizontal="right"/>
    </xf>
    <xf numFmtId="165" fontId="0" fillId="0" borderId="5" xfId="1" applyNumberFormat="1" applyFont="1" applyFill="1" applyBorder="1" applyAlignment="1">
      <alignment horizontal="right"/>
    </xf>
    <xf numFmtId="165" fontId="2" fillId="0" borderId="5" xfId="1" applyNumberFormat="1" applyFont="1" applyFill="1" applyBorder="1" applyAlignment="1">
      <alignment horizontal="right"/>
    </xf>
    <xf numFmtId="0" fontId="0" fillId="0" borderId="0" xfId="0" applyAlignment="1">
      <alignment horizontal="left"/>
    </xf>
    <xf numFmtId="0" fontId="0" fillId="0" borderId="0" xfId="0" applyFont="1" applyAlignment="1">
      <alignment horizontal="left"/>
    </xf>
    <xf numFmtId="164" fontId="0" fillId="0" borderId="0" xfId="1" applyNumberFormat="1" applyFont="1" applyBorder="1" applyAlignment="1">
      <alignment horizontal="right"/>
    </xf>
    <xf numFmtId="0" fontId="0" fillId="0" borderId="0" xfId="0" applyBorder="1" applyAlignment="1">
      <alignment horizontal="right"/>
    </xf>
    <xf numFmtId="0" fontId="2" fillId="0" borderId="0" xfId="0" applyFont="1" applyFill="1" applyBorder="1" applyAlignment="1">
      <alignment horizontal="left"/>
    </xf>
    <xf numFmtId="165" fontId="1" fillId="0" borderId="2" xfId="1" applyNumberFormat="1" applyFont="1" applyBorder="1" applyAlignment="1">
      <alignment horizontal="right"/>
    </xf>
    <xf numFmtId="165" fontId="1" fillId="0" borderId="3" xfId="1" applyNumberFormat="1" applyFont="1" applyFill="1" applyBorder="1" applyAlignment="1">
      <alignment horizontal="right"/>
    </xf>
    <xf numFmtId="165" fontId="1" fillId="0" borderId="0" xfId="1" applyNumberFormat="1" applyFont="1" applyFill="1" applyBorder="1" applyAlignment="1">
      <alignment horizontal="right"/>
    </xf>
    <xf numFmtId="43" fontId="1" fillId="0" borderId="4" xfId="1" quotePrefix="1" applyNumberFormat="1" applyFont="1" applyBorder="1" applyAlignment="1">
      <alignment horizontal="right"/>
    </xf>
    <xf numFmtId="9" fontId="0" fillId="0" borderId="4" xfId="2" applyNumberFormat="1" applyFont="1" applyBorder="1" applyAlignment="1">
      <alignment horizontal="right"/>
    </xf>
    <xf numFmtId="0" fontId="0" fillId="0" borderId="0" xfId="0"/>
    <xf numFmtId="0" fontId="0" fillId="0" borderId="3" xfId="0" applyFont="1" applyFill="1" applyBorder="1"/>
    <xf numFmtId="9" fontId="1" fillId="0" borderId="0" xfId="2" quotePrefix="1" applyFont="1" applyFill="1" applyBorder="1" applyAlignment="1">
      <alignment horizontal="right"/>
    </xf>
    <xf numFmtId="165" fontId="12" fillId="0" borderId="5" xfId="1" applyNumberFormat="1" applyFont="1" applyFill="1" applyBorder="1" applyAlignment="1">
      <alignment horizontal="right"/>
    </xf>
    <xf numFmtId="165" fontId="13" fillId="0" borderId="5" xfId="1" applyNumberFormat="1" applyFont="1" applyFill="1" applyBorder="1" applyAlignment="1">
      <alignment horizontal="right"/>
    </xf>
    <xf numFmtId="164" fontId="20" fillId="2" borderId="0" xfId="1" quotePrefix="1" applyNumberFormat="1" applyFont="1" applyFill="1" applyBorder="1" applyAlignment="1">
      <alignment horizontal="right"/>
    </xf>
    <xf numFmtId="166" fontId="0" fillId="0" borderId="5" xfId="2" applyNumberFormat="1" applyFont="1" applyFill="1" applyBorder="1" applyAlignment="1">
      <alignment horizontal="right"/>
    </xf>
    <xf numFmtId="9" fontId="0" fillId="0" borderId="5" xfId="2" applyFont="1" applyFill="1" applyBorder="1" applyAlignment="1">
      <alignment horizontal="right"/>
    </xf>
    <xf numFmtId="9" fontId="8" fillId="0" borderId="5" xfId="2" applyFont="1" applyFill="1" applyBorder="1" applyAlignment="1">
      <alignment horizontal="right"/>
    </xf>
    <xf numFmtId="10" fontId="0" fillId="0" borderId="5" xfId="2" applyNumberFormat="1" applyFont="1" applyFill="1" applyBorder="1" applyAlignment="1">
      <alignment horizontal="right"/>
    </xf>
    <xf numFmtId="9" fontId="0" fillId="0" borderId="0" xfId="2" applyFont="1" applyFill="1" applyBorder="1" applyAlignment="1">
      <alignment horizontal="right"/>
    </xf>
    <xf numFmtId="0" fontId="0" fillId="0" borderId="0" xfId="0" applyFont="1" applyFill="1" applyBorder="1" applyAlignment="1">
      <alignment horizontal="left"/>
    </xf>
    <xf numFmtId="0" fontId="2" fillId="0" borderId="12" xfId="0" applyFont="1" applyFill="1" applyBorder="1"/>
    <xf numFmtId="0" fontId="0" fillId="0" borderId="3" xfId="0" applyFont="1" applyFill="1" applyBorder="1" applyAlignment="1">
      <alignment horizontal="left"/>
    </xf>
    <xf numFmtId="165" fontId="1" fillId="0" borderId="5" xfId="1" applyNumberFormat="1" applyFont="1" applyFill="1" applyBorder="1" applyAlignment="1">
      <alignment horizontal="right"/>
    </xf>
    <xf numFmtId="0" fontId="0" fillId="0" borderId="0" xfId="0"/>
    <xf numFmtId="9" fontId="8" fillId="0" borderId="0" xfId="2" applyFont="1" applyBorder="1" applyAlignment="1">
      <alignment horizontal="right"/>
    </xf>
    <xf numFmtId="165" fontId="11" fillId="0" borderId="0" xfId="1" applyNumberFormat="1" applyFont="1" applyFill="1" applyBorder="1" applyAlignment="1">
      <alignment horizontal="right"/>
    </xf>
    <xf numFmtId="0" fontId="0" fillId="0" borderId="0" xfId="0"/>
    <xf numFmtId="164" fontId="3" fillId="0" borderId="0" xfId="1" quotePrefix="1" applyNumberFormat="1" applyFont="1" applyFill="1" applyBorder="1" applyAlignment="1">
      <alignment horizontal="right"/>
    </xf>
    <xf numFmtId="0" fontId="0" fillId="0" borderId="0" xfId="0" applyFont="1" applyBorder="1" applyAlignment="1">
      <alignment horizontal="left"/>
    </xf>
    <xf numFmtId="9" fontId="2" fillId="0" borderId="2" xfId="2" quotePrefix="1" applyFont="1" applyFill="1" applyBorder="1" applyAlignment="1">
      <alignment horizontal="right"/>
    </xf>
    <xf numFmtId="0" fontId="0" fillId="0" borderId="0" xfId="0"/>
    <xf numFmtId="0" fontId="2" fillId="0" borderId="0" xfId="0" applyFont="1"/>
    <xf numFmtId="165" fontId="5" fillId="0" borderId="6" xfId="1" applyNumberFormat="1" applyFont="1" applyFill="1" applyBorder="1" applyAlignment="1">
      <alignment horizontal="right"/>
    </xf>
    <xf numFmtId="164" fontId="66" fillId="3" borderId="2" xfId="1" quotePrefix="1" applyNumberFormat="1" applyFont="1" applyFill="1" applyBorder="1" applyAlignment="1">
      <alignment horizontal="right"/>
    </xf>
    <xf numFmtId="164" fontId="67" fillId="3" borderId="0" xfId="1" quotePrefix="1" applyNumberFormat="1" applyFont="1" applyFill="1" applyBorder="1" applyAlignment="1">
      <alignment horizontal="right"/>
    </xf>
    <xf numFmtId="166" fontId="0" fillId="9" borderId="4" xfId="2" applyNumberFormat="1" applyFont="1" applyFill="1" applyBorder="1" applyAlignment="1">
      <alignment horizontal="right"/>
    </xf>
    <xf numFmtId="43" fontId="0" fillId="9" borderId="4" xfId="1" applyNumberFormat="1" applyFont="1" applyFill="1" applyBorder="1" applyAlignment="1">
      <alignment horizontal="right"/>
    </xf>
    <xf numFmtId="166" fontId="0" fillId="9" borderId="4" xfId="1" applyNumberFormat="1" applyFont="1" applyFill="1" applyBorder="1" applyAlignment="1">
      <alignment horizontal="right"/>
    </xf>
    <xf numFmtId="0" fontId="0" fillId="0" borderId="3" xfId="0" applyFont="1" applyBorder="1" applyAlignment="1">
      <alignment horizontal="left"/>
    </xf>
    <xf numFmtId="0" fontId="0" fillId="0" borderId="4" xfId="0" applyFont="1" applyBorder="1" applyAlignment="1">
      <alignment horizontal="left"/>
    </xf>
    <xf numFmtId="165" fontId="0" fillId="0" borderId="0" xfId="1" applyNumberFormat="1" applyFont="1" applyFill="1" applyAlignment="1">
      <alignment horizontal="right"/>
    </xf>
    <xf numFmtId="7" fontId="2" fillId="0" borderId="13" xfId="1" applyNumberFormat="1" applyFont="1" applyBorder="1" applyAlignment="1">
      <alignment horizontal="right"/>
    </xf>
    <xf numFmtId="0" fontId="0" fillId="0" borderId="0" xfId="0" applyAlignment="1"/>
    <xf numFmtId="225" fontId="0" fillId="0" borderId="4" xfId="2" applyNumberFormat="1" applyFont="1" applyFill="1" applyBorder="1" applyAlignment="1">
      <alignment horizontal="right"/>
    </xf>
    <xf numFmtId="225" fontId="0" fillId="9" borderId="4" xfId="1" applyNumberFormat="1" applyFont="1" applyFill="1" applyBorder="1" applyAlignment="1">
      <alignment horizontal="right"/>
    </xf>
    <xf numFmtId="0" fontId="0" fillId="0" borderId="3" xfId="0" applyFont="1" applyFill="1" applyBorder="1" applyAlignment="1">
      <alignment horizontal="left"/>
    </xf>
    <xf numFmtId="0" fontId="0" fillId="0" borderId="0" xfId="0" applyFont="1" applyFill="1" applyBorder="1" applyAlignment="1">
      <alignment horizontal="left"/>
    </xf>
    <xf numFmtId="165" fontId="8" fillId="0" borderId="0" xfId="1" applyNumberFormat="1" applyFont="1" applyFill="1" applyBorder="1" applyAlignment="1">
      <alignment horizontal="right"/>
    </xf>
    <xf numFmtId="166" fontId="1" fillId="0" borderId="0" xfId="2" quotePrefix="1" applyNumberFormat="1" applyFont="1" applyFill="1" applyBorder="1" applyAlignment="1">
      <alignment horizontal="right"/>
    </xf>
    <xf numFmtId="164" fontId="4" fillId="0" borderId="5" xfId="1" quotePrefix="1" applyNumberFormat="1" applyFont="1" applyFill="1" applyBorder="1" applyAlignment="1">
      <alignment horizontal="right"/>
    </xf>
    <xf numFmtId="165" fontId="4" fillId="0" borderId="3" xfId="1" applyNumberFormat="1" applyFont="1" applyFill="1" applyBorder="1" applyAlignment="1">
      <alignment horizontal="right"/>
    </xf>
    <xf numFmtId="165" fontId="4" fillId="0" borderId="0" xfId="1" applyNumberFormat="1" applyFont="1" applyFill="1" applyBorder="1" applyAlignment="1">
      <alignment horizontal="right"/>
    </xf>
    <xf numFmtId="165" fontId="4" fillId="0" borderId="4" xfId="1" applyNumberFormat="1" applyFont="1" applyFill="1" applyBorder="1" applyAlignment="1">
      <alignment horizontal="right"/>
    </xf>
    <xf numFmtId="165" fontId="4" fillId="0" borderId="5" xfId="1" applyNumberFormat="1" applyFont="1" applyFill="1" applyBorder="1" applyAlignment="1">
      <alignment horizontal="right"/>
    </xf>
    <xf numFmtId="164" fontId="3" fillId="0" borderId="31" xfId="1" quotePrefix="1" applyNumberFormat="1" applyFont="1" applyBorder="1" applyAlignment="1">
      <alignment horizontal="right"/>
    </xf>
    <xf numFmtId="164" fontId="3" fillId="0" borderId="32" xfId="1" quotePrefix="1" applyNumberFormat="1" applyFont="1" applyFill="1" applyBorder="1" applyAlignment="1">
      <alignment horizontal="right"/>
    </xf>
    <xf numFmtId="166" fontId="0" fillId="0" borderId="31" xfId="2" applyNumberFormat="1" applyFont="1" applyFill="1" applyBorder="1" applyAlignment="1">
      <alignment horizontal="right"/>
    </xf>
    <xf numFmtId="9" fontId="0" fillId="0" borderId="32" xfId="2" applyFont="1" applyFill="1" applyBorder="1" applyAlignment="1">
      <alignment horizontal="right"/>
    </xf>
    <xf numFmtId="5" fontId="2" fillId="0" borderId="11" xfId="1" applyNumberFormat="1" applyFont="1" applyBorder="1" applyAlignment="1">
      <alignment horizontal="right"/>
    </xf>
    <xf numFmtId="5" fontId="9" fillId="0" borderId="4" xfId="1" applyNumberFormat="1" applyFont="1" applyBorder="1" applyAlignment="1">
      <alignment horizontal="right"/>
    </xf>
    <xf numFmtId="43" fontId="4" fillId="9" borderId="4" xfId="1" quotePrefix="1" applyNumberFormat="1" applyFont="1" applyFill="1" applyBorder="1" applyAlignment="1">
      <alignment horizontal="right"/>
    </xf>
    <xf numFmtId="43" fontId="4" fillId="0" borderId="4" xfId="1" applyNumberFormat="1" applyFont="1" applyFill="1" applyBorder="1" applyAlignment="1">
      <alignment horizontal="right"/>
    </xf>
    <xf numFmtId="0" fontId="0" fillId="0" borderId="3" xfId="0" applyFont="1" applyBorder="1" applyAlignment="1">
      <alignment horizontal="left"/>
    </xf>
    <xf numFmtId="0" fontId="0" fillId="0" borderId="0" xfId="0" applyFont="1" applyBorder="1" applyAlignment="1">
      <alignment horizontal="left"/>
    </xf>
    <xf numFmtId="226" fontId="0" fillId="0" borderId="0" xfId="0" applyNumberFormat="1" applyFont="1" applyFill="1" applyBorder="1" applyAlignment="1" applyProtection="1"/>
    <xf numFmtId="227" fontId="0" fillId="0" borderId="0" xfId="0" applyNumberFormat="1" applyFont="1" applyFill="1" applyBorder="1" applyAlignment="1" applyProtection="1"/>
    <xf numFmtId="2" fontId="0" fillId="0" borderId="0" xfId="0" applyNumberFormat="1"/>
    <xf numFmtId="0" fontId="0" fillId="0" borderId="3" xfId="0" applyFont="1" applyBorder="1" applyAlignment="1">
      <alignment horizontal="left"/>
    </xf>
    <xf numFmtId="0" fontId="0" fillId="0" borderId="4" xfId="0" applyFont="1" applyBorder="1" applyAlignment="1">
      <alignment horizontal="left"/>
    </xf>
    <xf numFmtId="0" fontId="9" fillId="0" borderId="25" xfId="0" applyFont="1" applyFill="1" applyBorder="1" applyAlignment="1">
      <alignment horizontal="left"/>
    </xf>
    <xf numFmtId="0" fontId="0" fillId="0" borderId="31" xfId="0" applyFont="1" applyFill="1" applyBorder="1" applyAlignment="1">
      <alignment horizontal="left"/>
    </xf>
    <xf numFmtId="0" fontId="0" fillId="0" borderId="6" xfId="0" applyFont="1" applyFill="1" applyBorder="1" applyAlignment="1">
      <alignment horizontal="left"/>
    </xf>
    <xf numFmtId="0" fontId="0" fillId="0" borderId="7" xfId="0" applyFont="1" applyFill="1" applyBorder="1" applyAlignment="1">
      <alignment horizontal="left"/>
    </xf>
    <xf numFmtId="167" fontId="0" fillId="0" borderId="0" xfId="1" applyNumberFormat="1" applyFont="1" applyAlignment="1">
      <alignment horizontal="right"/>
    </xf>
    <xf numFmtId="164" fontId="69" fillId="0" borderId="5" xfId="1" quotePrefix="1" applyNumberFormat="1" applyFont="1" applyFill="1" applyBorder="1" applyAlignment="1">
      <alignment horizontal="right"/>
    </xf>
    <xf numFmtId="164" fontId="11" fillId="0" borderId="0" xfId="1" quotePrefix="1" applyNumberFormat="1" applyFont="1" applyFill="1" applyBorder="1" applyAlignment="1">
      <alignment horizontal="right"/>
    </xf>
    <xf numFmtId="164" fontId="11" fillId="0" borderId="5" xfId="1" quotePrefix="1" applyNumberFormat="1" applyFont="1" applyFill="1" applyBorder="1" applyAlignment="1">
      <alignment horizontal="right"/>
    </xf>
    <xf numFmtId="9" fontId="11" fillId="0" borderId="0" xfId="2" applyFont="1" applyFill="1" applyBorder="1" applyAlignment="1">
      <alignment horizontal="right"/>
    </xf>
    <xf numFmtId="9" fontId="11" fillId="0" borderId="6" xfId="2" applyFont="1" applyFill="1" applyBorder="1" applyAlignment="1">
      <alignment horizontal="right"/>
    </xf>
    <xf numFmtId="0" fontId="0" fillId="0" borderId="3" xfId="0" applyFont="1" applyFill="1" applyBorder="1" applyAlignment="1">
      <alignment horizontal="left"/>
    </xf>
    <xf numFmtId="0" fontId="0" fillId="0" borderId="4" xfId="0" applyFont="1" applyFill="1" applyBorder="1" applyAlignment="1">
      <alignment horizontal="left"/>
    </xf>
    <xf numFmtId="0" fontId="19" fillId="2" borderId="3" xfId="0" applyFont="1" applyFill="1" applyBorder="1" applyAlignment="1">
      <alignment horizontal="left"/>
    </xf>
    <xf numFmtId="0" fontId="19" fillId="2" borderId="0" xfId="0" applyFont="1" applyFill="1" applyBorder="1" applyAlignment="1">
      <alignment horizontal="left"/>
    </xf>
    <xf numFmtId="0" fontId="0" fillId="0" borderId="6" xfId="0" applyFont="1" applyFill="1" applyBorder="1" applyAlignment="1">
      <alignment horizontal="left"/>
    </xf>
    <xf numFmtId="0" fontId="0" fillId="0" borderId="7" xfId="0" applyFont="1" applyFill="1" applyBorder="1" applyAlignment="1">
      <alignment horizontal="left"/>
    </xf>
    <xf numFmtId="0" fontId="0" fillId="0" borderId="3" xfId="0" applyFont="1" applyBorder="1" applyAlignment="1">
      <alignment horizontal="left"/>
    </xf>
    <xf numFmtId="0" fontId="0" fillId="0" borderId="4" xfId="0" applyFont="1" applyBorder="1" applyAlignment="1">
      <alignment horizontal="left"/>
    </xf>
    <xf numFmtId="0" fontId="2" fillId="0" borderId="4" xfId="0" applyFont="1" applyBorder="1" applyAlignment="1">
      <alignment horizontal="left"/>
    </xf>
    <xf numFmtId="0" fontId="0" fillId="0" borderId="3" xfId="0" applyFont="1" applyFill="1" applyBorder="1" applyAlignment="1">
      <alignment horizontal="left"/>
    </xf>
    <xf numFmtId="0" fontId="0" fillId="0" borderId="0" xfId="0" applyFont="1" applyFill="1" applyBorder="1" applyAlignment="1">
      <alignment horizontal="left"/>
    </xf>
    <xf numFmtId="0" fontId="0" fillId="0" borderId="0" xfId="0" applyFont="1" applyBorder="1" applyAlignment="1">
      <alignment horizontal="left"/>
    </xf>
    <xf numFmtId="0" fontId="0" fillId="0" borderId="12" xfId="0" applyFont="1" applyBorder="1" applyAlignment="1">
      <alignment horizontal="left"/>
    </xf>
    <xf numFmtId="0" fontId="0" fillId="0" borderId="13" xfId="0" applyFont="1" applyBorder="1" applyAlignment="1">
      <alignment horizontal="left"/>
    </xf>
    <xf numFmtId="0" fontId="2" fillId="0" borderId="13" xfId="0" applyFont="1" applyBorder="1" applyAlignment="1">
      <alignment horizontal="left"/>
    </xf>
    <xf numFmtId="43" fontId="2" fillId="0" borderId="7" xfId="1" applyNumberFormat="1" applyFont="1" applyFill="1" applyBorder="1" applyAlignment="1">
      <alignment horizontal="right"/>
    </xf>
    <xf numFmtId="43" fontId="11" fillId="0" borderId="5" xfId="1" applyNumberFormat="1" applyFont="1" applyFill="1" applyBorder="1" applyAlignment="1">
      <alignment horizontal="right"/>
    </xf>
    <xf numFmtId="43" fontId="7" fillId="0" borderId="7" xfId="1" applyNumberFormat="1" applyFont="1" applyFill="1" applyBorder="1" applyAlignment="1">
      <alignment horizontal="right"/>
    </xf>
    <xf numFmtId="9" fontId="1" fillId="0" borderId="6" xfId="2" applyFont="1" applyFill="1" applyBorder="1" applyAlignment="1">
      <alignment horizontal="right"/>
    </xf>
    <xf numFmtId="9" fontId="1" fillId="0" borderId="7" xfId="2" applyFont="1" applyFill="1" applyBorder="1" applyAlignment="1">
      <alignment horizontal="right"/>
    </xf>
    <xf numFmtId="9" fontId="1" fillId="0" borderId="10" xfId="2" applyFont="1" applyFill="1" applyBorder="1" applyAlignment="1">
      <alignment horizontal="right"/>
    </xf>
    <xf numFmtId="9" fontId="1" fillId="0" borderId="8" xfId="2" applyFont="1" applyFill="1" applyBorder="1" applyAlignment="1">
      <alignment horizontal="right"/>
    </xf>
    <xf numFmtId="164" fontId="0" fillId="0" borderId="0" xfId="1" applyNumberFormat="1" applyFont="1" applyFill="1" applyAlignment="1">
      <alignment horizontal="left"/>
    </xf>
    <xf numFmtId="9" fontId="1" fillId="0" borderId="0" xfId="2" quotePrefix="1" applyNumberFormat="1" applyFont="1" applyFill="1" applyBorder="1" applyAlignment="1">
      <alignment horizontal="right"/>
    </xf>
    <xf numFmtId="0" fontId="0" fillId="0" borderId="25" xfId="0" applyFont="1" applyFill="1" applyBorder="1" applyAlignment="1">
      <alignment horizontal="left"/>
    </xf>
    <xf numFmtId="165" fontId="1" fillId="0" borderId="31" xfId="1" applyNumberFormat="1" applyFont="1" applyFill="1" applyBorder="1" applyAlignment="1">
      <alignment horizontal="right"/>
    </xf>
    <xf numFmtId="165" fontId="11" fillId="0" borderId="31" xfId="1" applyNumberFormat="1" applyFont="1" applyFill="1" applyBorder="1" applyAlignment="1">
      <alignment horizontal="right"/>
    </xf>
    <xf numFmtId="165" fontId="11" fillId="0" borderId="32" xfId="1" applyNumberFormat="1" applyFont="1" applyFill="1" applyBorder="1" applyAlignment="1">
      <alignment horizontal="right"/>
    </xf>
    <xf numFmtId="9" fontId="11" fillId="0" borderId="31" xfId="2" applyNumberFormat="1" applyFont="1" applyFill="1" applyBorder="1" applyAlignment="1">
      <alignment horizontal="right"/>
    </xf>
    <xf numFmtId="9" fontId="11" fillId="0" borderId="32" xfId="1" applyNumberFormat="1" applyFont="1" applyFill="1" applyBorder="1" applyAlignment="1">
      <alignment horizontal="right"/>
    </xf>
    <xf numFmtId="9" fontId="11" fillId="0" borderId="32" xfId="2" applyNumberFormat="1" applyFont="1" applyFill="1" applyBorder="1" applyAlignment="1">
      <alignment horizontal="right"/>
    </xf>
    <xf numFmtId="0" fontId="0" fillId="0" borderId="12" xfId="0" applyFont="1" applyFill="1" applyBorder="1" applyAlignment="1">
      <alignment horizontal="left"/>
    </xf>
    <xf numFmtId="9" fontId="11" fillId="0" borderId="30" xfId="2" applyNumberFormat="1" applyFont="1" applyFill="1" applyBorder="1" applyAlignment="1">
      <alignment horizontal="right"/>
    </xf>
    <xf numFmtId="9" fontId="11" fillId="0" borderId="29" xfId="1" applyNumberFormat="1" applyFont="1" applyFill="1" applyBorder="1" applyAlignment="1">
      <alignment horizontal="right"/>
    </xf>
    <xf numFmtId="9" fontId="11" fillId="0" borderId="29" xfId="2" applyNumberFormat="1" applyFont="1" applyFill="1" applyBorder="1" applyAlignment="1">
      <alignment horizontal="right"/>
    </xf>
    <xf numFmtId="164" fontId="13" fillId="0" borderId="5" xfId="1" quotePrefix="1" applyNumberFormat="1" applyFont="1" applyFill="1" applyBorder="1" applyAlignment="1">
      <alignment horizontal="right"/>
    </xf>
    <xf numFmtId="164" fontId="13" fillId="0" borderId="29" xfId="1" quotePrefix="1" applyNumberFormat="1" applyFont="1" applyFill="1" applyBorder="1" applyAlignment="1">
      <alignment horizontal="right"/>
    </xf>
    <xf numFmtId="0" fontId="9" fillId="0" borderId="4" xfId="0" applyFont="1" applyFill="1" applyBorder="1" applyAlignment="1">
      <alignment horizontal="left"/>
    </xf>
    <xf numFmtId="165" fontId="11" fillId="0" borderId="0" xfId="1" quotePrefix="1" applyNumberFormat="1" applyFont="1" applyFill="1" applyBorder="1" applyAlignment="1">
      <alignment horizontal="right"/>
    </xf>
    <xf numFmtId="165" fontId="11" fillId="0" borderId="5" xfId="1" quotePrefix="1" applyNumberFormat="1" applyFont="1" applyFill="1" applyBorder="1" applyAlignment="1">
      <alignment horizontal="right"/>
    </xf>
    <xf numFmtId="43" fontId="11" fillId="0" borderId="0" xfId="1" quotePrefix="1" applyNumberFormat="1" applyFont="1" applyFill="1" applyBorder="1" applyAlignment="1">
      <alignment horizontal="right"/>
    </xf>
    <xf numFmtId="9" fontId="1" fillId="0" borderId="3" xfId="2" applyFont="1" applyFill="1" applyBorder="1" applyAlignment="1">
      <alignment horizontal="right"/>
    </xf>
    <xf numFmtId="9" fontId="11" fillId="0" borderId="5" xfId="2" applyFont="1" applyFill="1" applyBorder="1" applyAlignment="1">
      <alignment horizontal="right"/>
    </xf>
    <xf numFmtId="165" fontId="69" fillId="0" borderId="0" xfId="1" applyNumberFormat="1" applyFont="1" applyFill="1" applyBorder="1" applyAlignment="1">
      <alignment horizontal="right"/>
    </xf>
    <xf numFmtId="165" fontId="69" fillId="0" borderId="5" xfId="1" applyNumberFormat="1" applyFont="1" applyFill="1" applyBorder="1" applyAlignment="1">
      <alignment horizontal="right"/>
    </xf>
    <xf numFmtId="0" fontId="0" fillId="0" borderId="25" xfId="0" applyFont="1" applyBorder="1" applyAlignment="1">
      <alignment horizontal="left"/>
    </xf>
    <xf numFmtId="0" fontId="0" fillId="0" borderId="26" xfId="0" applyFont="1" applyBorder="1" applyAlignment="1">
      <alignment horizontal="left"/>
    </xf>
    <xf numFmtId="165" fontId="12" fillId="0" borderId="30" xfId="1" applyNumberFormat="1" applyFont="1" applyFill="1" applyBorder="1" applyAlignment="1">
      <alignment horizontal="right"/>
    </xf>
    <xf numFmtId="165" fontId="12" fillId="0" borderId="29" xfId="1" applyNumberFormat="1" applyFont="1" applyFill="1" applyBorder="1" applyAlignment="1">
      <alignment horizontal="right"/>
    </xf>
    <xf numFmtId="43" fontId="8" fillId="0" borderId="0" xfId="1" applyNumberFormat="1" applyFont="1" applyFill="1" applyBorder="1" applyAlignment="1">
      <alignment horizontal="right"/>
    </xf>
    <xf numFmtId="167" fontId="0" fillId="0" borderId="0" xfId="1" applyNumberFormat="1" applyFont="1" applyFill="1"/>
    <xf numFmtId="0" fontId="11" fillId="0" borderId="0" xfId="0" applyFont="1" applyFill="1" applyAlignment="1">
      <alignment horizontal="left"/>
    </xf>
    <xf numFmtId="0" fontId="2" fillId="0" borderId="3" xfId="0" applyFont="1" applyFill="1" applyBorder="1" applyAlignment="1">
      <alignment horizontal="left"/>
    </xf>
    <xf numFmtId="165" fontId="71" fillId="0" borderId="0" xfId="1" applyNumberFormat="1" applyFont="1" applyFill="1" applyBorder="1" applyAlignment="1">
      <alignment horizontal="right"/>
    </xf>
    <xf numFmtId="165" fontId="71" fillId="0" borderId="5" xfId="1" applyNumberFormat="1" applyFont="1" applyFill="1" applyBorder="1" applyAlignment="1">
      <alignment horizontal="right"/>
    </xf>
    <xf numFmtId="0" fontId="70" fillId="0" borderId="3" xfId="0" applyFont="1" applyFill="1" applyBorder="1" applyAlignment="1">
      <alignment horizontal="left"/>
    </xf>
    <xf numFmtId="0" fontId="70" fillId="0" borderId="4" xfId="0" applyFont="1" applyFill="1" applyBorder="1" applyAlignment="1">
      <alignment horizontal="left"/>
    </xf>
    <xf numFmtId="0" fontId="68" fillId="0" borderId="0" xfId="0" applyFont="1" applyFill="1"/>
    <xf numFmtId="5" fontId="2" fillId="0" borderId="4" xfId="1" applyNumberFormat="1" applyFont="1" applyBorder="1" applyAlignment="1">
      <alignment horizontal="right"/>
    </xf>
    <xf numFmtId="5" fontId="2" fillId="0" borderId="24" xfId="1" applyNumberFormat="1" applyFont="1" applyBorder="1" applyAlignment="1">
      <alignment horizontal="right"/>
    </xf>
    <xf numFmtId="0" fontId="0" fillId="0" borderId="26" xfId="0" applyFont="1" applyFill="1" applyBorder="1" applyAlignment="1">
      <alignment horizontal="left"/>
    </xf>
    <xf numFmtId="0" fontId="0" fillId="0" borderId="13" xfId="0" applyFont="1" applyFill="1" applyBorder="1" applyAlignment="1">
      <alignment horizontal="left"/>
    </xf>
    <xf numFmtId="0" fontId="0" fillId="0" borderId="1" xfId="0" applyFont="1" applyBorder="1"/>
    <xf numFmtId="9" fontId="0" fillId="9" borderId="11" xfId="1" applyNumberFormat="1" applyFont="1" applyFill="1" applyBorder="1" applyAlignment="1">
      <alignment horizontal="right"/>
    </xf>
    <xf numFmtId="9" fontId="0" fillId="9" borderId="4" xfId="2" applyFont="1" applyFill="1" applyBorder="1" applyAlignment="1">
      <alignment horizontal="right"/>
    </xf>
    <xf numFmtId="5" fontId="0" fillId="0" borderId="4" xfId="1" applyNumberFormat="1" applyFont="1" applyFill="1" applyBorder="1" applyAlignment="1">
      <alignment horizontal="right"/>
    </xf>
    <xf numFmtId="0" fontId="0" fillId="0" borderId="12" xfId="0" applyFont="1" applyFill="1" applyBorder="1"/>
    <xf numFmtId="0" fontId="2" fillId="0" borderId="1" xfId="0" applyFont="1" applyFill="1" applyBorder="1" applyAlignment="1">
      <alignment horizontal="left"/>
    </xf>
    <xf numFmtId="0" fontId="2" fillId="0" borderId="23" xfId="0" applyFont="1" applyFill="1" applyBorder="1" applyAlignment="1">
      <alignment horizontal="left"/>
    </xf>
    <xf numFmtId="166" fontId="2" fillId="0" borderId="13" xfId="2" applyNumberFormat="1" applyFont="1" applyBorder="1" applyAlignment="1">
      <alignment horizontal="right"/>
    </xf>
    <xf numFmtId="165" fontId="2" fillId="0" borderId="13" xfId="1" applyNumberFormat="1" applyFont="1" applyBorder="1" applyAlignment="1">
      <alignment horizontal="right"/>
    </xf>
    <xf numFmtId="10" fontId="0" fillId="9" borderId="4" xfId="2" applyNumberFormat="1" applyFont="1" applyFill="1" applyBorder="1" applyAlignment="1">
      <alignment horizontal="right"/>
    </xf>
    <xf numFmtId="5" fontId="1" fillId="0" borderId="4" xfId="1" applyNumberFormat="1" applyFont="1" applyFill="1" applyBorder="1" applyAlignment="1">
      <alignment horizontal="right"/>
    </xf>
    <xf numFmtId="164" fontId="20" fillId="2" borderId="0" xfId="1" quotePrefix="1" applyNumberFormat="1" applyFont="1" applyFill="1" applyAlignment="1">
      <alignment horizontal="right"/>
    </xf>
    <xf numFmtId="6" fontId="0" fillId="0" borderId="13" xfId="0" applyNumberFormat="1" applyFont="1" applyBorder="1" applyAlignment="1">
      <alignment horizontal="right"/>
    </xf>
    <xf numFmtId="165" fontId="11" fillId="0" borderId="0" xfId="1" applyNumberFormat="1" applyFont="1" applyFill="1" applyAlignment="1">
      <alignment horizontal="right"/>
    </xf>
    <xf numFmtId="165" fontId="12" fillId="0" borderId="0" xfId="1" applyNumberFormat="1" applyFont="1" applyFill="1" applyAlignment="1">
      <alignment horizontal="right"/>
    </xf>
    <xf numFmtId="165" fontId="1" fillId="0" borderId="32" xfId="1" applyNumberFormat="1" applyFont="1" applyFill="1" applyBorder="1" applyAlignment="1">
      <alignment horizontal="right"/>
    </xf>
    <xf numFmtId="43" fontId="11" fillId="0" borderId="5" xfId="1" applyFont="1" applyFill="1" applyBorder="1" applyAlignment="1">
      <alignment horizontal="right"/>
    </xf>
    <xf numFmtId="9" fontId="0" fillId="0" borderId="4" xfId="2" applyFont="1" applyFill="1" applyBorder="1" applyAlignment="1">
      <alignment horizontal="right"/>
    </xf>
    <xf numFmtId="165" fontId="2" fillId="0" borderId="8" xfId="1" applyNumberFormat="1" applyFont="1" applyFill="1" applyBorder="1" applyAlignment="1">
      <alignment horizontal="right"/>
    </xf>
    <xf numFmtId="9" fontId="11" fillId="0" borderId="0" xfId="2" quotePrefix="1" applyFont="1" applyFill="1" applyBorder="1" applyAlignment="1">
      <alignment horizontal="right"/>
    </xf>
    <xf numFmtId="9" fontId="11" fillId="0" borderId="30" xfId="2" quotePrefix="1" applyFont="1" applyFill="1" applyBorder="1" applyAlignment="1">
      <alignment horizontal="right"/>
    </xf>
    <xf numFmtId="164" fontId="11" fillId="0" borderId="0" xfId="1" quotePrefix="1" applyNumberFormat="1" applyFont="1" applyFill="1" applyAlignment="1">
      <alignment horizontal="right"/>
    </xf>
    <xf numFmtId="165" fontId="11" fillId="0" borderId="0" xfId="1" quotePrefix="1" applyNumberFormat="1" applyFont="1" applyFill="1" applyAlignment="1">
      <alignment horizontal="right"/>
    </xf>
    <xf numFmtId="9" fontId="11" fillId="0" borderId="31" xfId="1" applyNumberFormat="1" applyFont="1" applyFill="1" applyBorder="1" applyAlignment="1">
      <alignment horizontal="right"/>
    </xf>
    <xf numFmtId="9" fontId="11" fillId="0" borderId="30" xfId="1" applyNumberFormat="1" applyFont="1" applyFill="1" applyBorder="1" applyAlignment="1">
      <alignment horizontal="right"/>
    </xf>
    <xf numFmtId="166" fontId="1" fillId="0" borderId="5" xfId="2" quotePrefix="1" applyNumberFormat="1" applyFont="1" applyFill="1" applyBorder="1" applyAlignment="1">
      <alignment horizontal="right"/>
    </xf>
    <xf numFmtId="9" fontId="1" fillId="0" borderId="5" xfId="2" quotePrefix="1" applyNumberFormat="1" applyFont="1" applyFill="1" applyBorder="1" applyAlignment="1">
      <alignment horizontal="right"/>
    </xf>
    <xf numFmtId="9" fontId="11" fillId="0" borderId="0" xfId="2" applyFont="1" applyFill="1" applyAlignment="1">
      <alignment horizontal="right"/>
    </xf>
    <xf numFmtId="9" fontId="11" fillId="0" borderId="7" xfId="2" applyFont="1" applyFill="1" applyBorder="1" applyAlignment="1">
      <alignment horizontal="right"/>
    </xf>
    <xf numFmtId="9" fontId="11" fillId="0" borderId="10" xfId="2" applyFont="1" applyFill="1" applyBorder="1" applyAlignment="1">
      <alignment horizontal="right"/>
    </xf>
    <xf numFmtId="9" fontId="11" fillId="0" borderId="8" xfId="2" applyFont="1" applyFill="1" applyBorder="1" applyAlignment="1">
      <alignment horizontal="right"/>
    </xf>
    <xf numFmtId="165" fontId="4" fillId="0" borderId="0" xfId="1" applyNumberFormat="1" applyFont="1" applyFill="1" applyAlignment="1">
      <alignment horizontal="right"/>
    </xf>
    <xf numFmtId="165" fontId="2" fillId="0" borderId="0" xfId="1" applyNumberFormat="1" applyFont="1" applyFill="1" applyAlignment="1">
      <alignment horizontal="right"/>
    </xf>
    <xf numFmtId="165" fontId="1" fillId="0" borderId="0" xfId="1" applyNumberFormat="1" applyFill="1" applyAlignment="1">
      <alignment horizontal="right"/>
    </xf>
    <xf numFmtId="9" fontId="1" fillId="0" borderId="5" xfId="2" applyFont="1" applyFill="1" applyBorder="1" applyAlignment="1">
      <alignment horizontal="right"/>
    </xf>
    <xf numFmtId="9" fontId="1" fillId="0" borderId="0" xfId="2" applyFont="1" applyFill="1" applyBorder="1" applyAlignment="1">
      <alignment horizontal="right"/>
    </xf>
    <xf numFmtId="43" fontId="1" fillId="0" borderId="6" xfId="1" applyFont="1" applyFill="1" applyBorder="1" applyAlignment="1">
      <alignment horizontal="right"/>
    </xf>
    <xf numFmtId="43" fontId="1" fillId="0" borderId="7" xfId="1" applyFont="1" applyFill="1" applyBorder="1" applyAlignment="1">
      <alignment horizontal="right"/>
    </xf>
    <xf numFmtId="43" fontId="1" fillId="0" borderId="10" xfId="1" applyFont="1" applyFill="1" applyBorder="1" applyAlignment="1">
      <alignment horizontal="right"/>
    </xf>
    <xf numFmtId="43" fontId="1" fillId="0" borderId="8" xfId="1" applyFont="1" applyFill="1" applyBorder="1" applyAlignment="1">
      <alignment horizontal="right"/>
    </xf>
    <xf numFmtId="0" fontId="0" fillId="0" borderId="3" xfId="0" applyFont="1" applyBorder="1" applyAlignment="1">
      <alignment horizontal="left"/>
    </xf>
    <xf numFmtId="0" fontId="2" fillId="0" borderId="3" xfId="0" applyFont="1" applyBorder="1" applyAlignment="1">
      <alignment horizontal="left"/>
    </xf>
    <xf numFmtId="0" fontId="2" fillId="0" borderId="4" xfId="0" applyFont="1" applyBorder="1" applyAlignment="1">
      <alignment horizontal="left"/>
    </xf>
    <xf numFmtId="0" fontId="0" fillId="0" borderId="3" xfId="0" applyFont="1" applyFill="1" applyBorder="1" applyAlignment="1">
      <alignment horizontal="left"/>
    </xf>
    <xf numFmtId="0" fontId="0" fillId="0" borderId="0" xfId="0" applyFont="1" applyFill="1" applyBorder="1" applyAlignment="1">
      <alignment horizontal="left"/>
    </xf>
    <xf numFmtId="0" fontId="0" fillId="0" borderId="3" xfId="0" applyBorder="1" applyAlignment="1">
      <alignment horizontal="left"/>
    </xf>
    <xf numFmtId="0" fontId="11" fillId="0" borderId="3" xfId="3" applyFont="1" applyBorder="1" applyAlignment="1">
      <alignment horizontal="left" vertical="top"/>
    </xf>
    <xf numFmtId="0" fontId="11" fillId="0" borderId="4" xfId="3" applyFont="1" applyBorder="1" applyAlignment="1">
      <alignment horizontal="left" vertical="top"/>
    </xf>
    <xf numFmtId="0" fontId="0" fillId="0" borderId="3" xfId="0" applyFont="1" applyBorder="1" applyAlignment="1">
      <alignment horizontal="left"/>
    </xf>
    <xf numFmtId="0" fontId="0" fillId="0" borderId="4" xfId="0" applyFont="1" applyBorder="1" applyAlignment="1">
      <alignment horizontal="left"/>
    </xf>
    <xf numFmtId="0" fontId="0" fillId="0" borderId="3" xfId="0" applyBorder="1" applyAlignment="1">
      <alignment horizontal="left"/>
    </xf>
    <xf numFmtId="164" fontId="18" fillId="2" borderId="33" xfId="1" quotePrefix="1" applyNumberFormat="1" applyFont="1" applyFill="1" applyBorder="1" applyAlignment="1">
      <alignment horizontal="right"/>
    </xf>
    <xf numFmtId="164" fontId="66" fillId="3" borderId="33" xfId="1" quotePrefix="1" applyNumberFormat="1" applyFont="1" applyFill="1" applyBorder="1" applyAlignment="1">
      <alignment horizontal="right"/>
    </xf>
    <xf numFmtId="228" fontId="20" fillId="2" borderId="5" xfId="1" quotePrefix="1" applyNumberFormat="1" applyFont="1" applyFill="1" applyBorder="1" applyAlignment="1">
      <alignment horizontal="right"/>
    </xf>
    <xf numFmtId="164" fontId="67" fillId="3" borderId="5" xfId="1" quotePrefix="1" applyNumberFormat="1" applyFont="1" applyFill="1" applyBorder="1" applyAlignment="1">
      <alignment horizontal="right"/>
    </xf>
    <xf numFmtId="165" fontId="5" fillId="0" borderId="0" xfId="1" applyNumberFormat="1" applyFont="1" applyFill="1" applyBorder="1" applyAlignment="1">
      <alignment horizontal="right"/>
    </xf>
    <xf numFmtId="165" fontId="6" fillId="0" borderId="0" xfId="1" applyNumberFormat="1" applyFont="1" applyFill="1" applyBorder="1" applyAlignment="1">
      <alignment horizontal="right"/>
    </xf>
    <xf numFmtId="9" fontId="8" fillId="0" borderId="0" xfId="2" applyFont="1" applyFill="1" applyBorder="1" applyAlignment="1">
      <alignment horizontal="right"/>
    </xf>
    <xf numFmtId="165" fontId="1" fillId="0" borderId="5" xfId="1" quotePrefix="1" applyNumberFormat="1" applyBorder="1" applyAlignment="1">
      <alignment horizontal="right"/>
    </xf>
    <xf numFmtId="165" fontId="2" fillId="0" borderId="5" xfId="1" quotePrefix="1" applyNumberFormat="1" applyFont="1" applyBorder="1" applyAlignment="1">
      <alignment horizontal="right"/>
    </xf>
    <xf numFmtId="0" fontId="0" fillId="0" borderId="0" xfId="0" applyAlignment="1">
      <alignment horizontal="left"/>
    </xf>
    <xf numFmtId="165" fontId="11" fillId="0" borderId="5" xfId="1" applyNumberFormat="1" applyFont="1" applyBorder="1" applyAlignment="1">
      <alignment horizontal="right"/>
    </xf>
    <xf numFmtId="165" fontId="4" fillId="0" borderId="5" xfId="1" applyNumberFormat="1" applyFont="1" applyBorder="1" applyAlignment="1">
      <alignment horizontal="right"/>
    </xf>
    <xf numFmtId="165" fontId="2" fillId="0" borderId="5" xfId="1" applyNumberFormat="1" applyFont="1" applyBorder="1" applyAlignment="1">
      <alignment horizontal="right"/>
    </xf>
    <xf numFmtId="43" fontId="11" fillId="0" borderId="5" xfId="1" applyFont="1" applyBorder="1" applyAlignment="1">
      <alignment horizontal="right"/>
    </xf>
    <xf numFmtId="0" fontId="2" fillId="0" borderId="0" xfId="0" applyFont="1" applyBorder="1" applyAlignment="1">
      <alignment horizontal="left"/>
    </xf>
    <xf numFmtId="0" fontId="2" fillId="0" borderId="0" xfId="0" applyFont="1" applyAlignment="1">
      <alignment horizontal="left"/>
    </xf>
    <xf numFmtId="165" fontId="2" fillId="0" borderId="0" xfId="1" quotePrefix="1" applyNumberFormat="1" applyFont="1" applyBorder="1" applyAlignment="1">
      <alignment horizontal="right"/>
    </xf>
    <xf numFmtId="43" fontId="2" fillId="0" borderId="0" xfId="1" quotePrefix="1" applyFont="1" applyBorder="1" applyAlignment="1">
      <alignment horizontal="right"/>
    </xf>
    <xf numFmtId="204" fontId="0" fillId="0" borderId="0" xfId="1" applyNumberFormat="1" applyFont="1" applyFill="1" applyBorder="1" applyAlignment="1">
      <alignment horizontal="right"/>
    </xf>
    <xf numFmtId="43" fontId="0" fillId="0" borderId="0" xfId="0" applyNumberFormat="1"/>
    <xf numFmtId="41" fontId="2" fillId="0" borderId="5" xfId="1" quotePrefix="1" applyNumberFormat="1" applyFont="1" applyBorder="1" applyAlignment="1">
      <alignment horizontal="right"/>
    </xf>
    <xf numFmtId="165" fontId="12" fillId="0" borderId="5" xfId="1" applyNumberFormat="1" applyFont="1" applyBorder="1" applyAlignment="1">
      <alignment horizontal="right"/>
    </xf>
    <xf numFmtId="165" fontId="0" fillId="10" borderId="5" xfId="1" applyNumberFormat="1" applyFont="1" applyFill="1" applyBorder="1" applyAlignment="1">
      <alignment horizontal="right"/>
    </xf>
    <xf numFmtId="165" fontId="1" fillId="0" borderId="5" xfId="1" applyNumberFormat="1" applyBorder="1" applyAlignment="1">
      <alignment horizontal="right"/>
    </xf>
    <xf numFmtId="0" fontId="0" fillId="0" borderId="0" xfId="0" applyBorder="1" applyAlignment="1">
      <alignment horizontal="left"/>
    </xf>
    <xf numFmtId="165" fontId="0" fillId="0" borderId="3" xfId="0" applyNumberFormat="1" applyBorder="1" applyAlignment="1">
      <alignment horizontal="left"/>
    </xf>
    <xf numFmtId="166" fontId="1" fillId="0" borderId="0" xfId="2" quotePrefix="1" applyNumberFormat="1" applyAlignment="1">
      <alignment horizontal="right"/>
    </xf>
    <xf numFmtId="0" fontId="0" fillId="0" borderId="3" xfId="0" applyBorder="1" applyAlignment="1">
      <alignment horizontal="right"/>
    </xf>
    <xf numFmtId="165" fontId="0" fillId="0" borderId="3" xfId="0" applyNumberFormat="1" applyBorder="1" applyAlignment="1">
      <alignment horizontal="right"/>
    </xf>
    <xf numFmtId="43" fontId="1" fillId="0" borderId="3" xfId="1" applyBorder="1" applyAlignment="1">
      <alignment horizontal="right"/>
    </xf>
    <xf numFmtId="0" fontId="0" fillId="0" borderId="6" xfId="0" applyFont="1" applyBorder="1"/>
    <xf numFmtId="5" fontId="0" fillId="10" borderId="11" xfId="1" applyNumberFormat="1" applyFont="1" applyFill="1" applyBorder="1" applyAlignment="1">
      <alignment horizontal="right"/>
    </xf>
    <xf numFmtId="2" fontId="0" fillId="0" borderId="4" xfId="1" applyNumberFormat="1" applyFont="1" applyFill="1" applyBorder="1" applyAlignment="1">
      <alignment horizontal="right"/>
    </xf>
    <xf numFmtId="192" fontId="0" fillId="0" borderId="4" xfId="1" applyNumberFormat="1" applyFont="1" applyFill="1" applyBorder="1" applyAlignment="1">
      <alignment horizontal="right"/>
    </xf>
    <xf numFmtId="0" fontId="2" fillId="0" borderId="6" xfId="0" applyFont="1" applyFill="1" applyBorder="1"/>
    <xf numFmtId="7" fontId="2" fillId="0" borderId="10" xfId="1" applyNumberFormat="1" applyFont="1" applyBorder="1" applyAlignment="1">
      <alignment horizontal="right"/>
    </xf>
    <xf numFmtId="1" fontId="0" fillId="0" borderId="0" xfId="0" applyNumberFormat="1"/>
    <xf numFmtId="165" fontId="0" fillId="0" borderId="0" xfId="0" applyNumberFormat="1"/>
    <xf numFmtId="0" fontId="0" fillId="0" borderId="3" xfId="0" applyFont="1" applyBorder="1" applyAlignment="1">
      <alignment horizontal="left"/>
    </xf>
    <xf numFmtId="0" fontId="0" fillId="0" borderId="4" xfId="0" applyFont="1" applyBorder="1" applyAlignment="1">
      <alignment horizontal="left"/>
    </xf>
    <xf numFmtId="0" fontId="9" fillId="0" borderId="25" xfId="0" applyFont="1" applyBorder="1" applyAlignment="1">
      <alignment horizontal="left"/>
    </xf>
    <xf numFmtId="0" fontId="9" fillId="0" borderId="26" xfId="0" applyFont="1" applyBorder="1" applyAlignment="1">
      <alignment horizontal="left"/>
    </xf>
    <xf numFmtId="0" fontId="0" fillId="9" borderId="1" xfId="0" applyFont="1" applyFill="1" applyBorder="1" applyAlignment="1">
      <alignment horizontal="left"/>
    </xf>
    <xf numFmtId="0" fontId="0" fillId="9" borderId="11" xfId="0" applyFont="1" applyFill="1" applyBorder="1" applyAlignment="1">
      <alignment horizontal="left"/>
    </xf>
    <xf numFmtId="0" fontId="17" fillId="2" borderId="1" xfId="0" applyFont="1" applyFill="1" applyBorder="1" applyAlignment="1">
      <alignment horizontal="left"/>
    </xf>
    <xf numFmtId="0" fontId="17" fillId="2" borderId="2" xfId="0" applyFont="1" applyFill="1" applyBorder="1" applyAlignment="1">
      <alignment horizontal="left"/>
    </xf>
    <xf numFmtId="0" fontId="19" fillId="2" borderId="3" xfId="0" applyFont="1" applyFill="1" applyBorder="1" applyAlignment="1">
      <alignment horizontal="left"/>
    </xf>
    <xf numFmtId="0" fontId="19" fillId="2" borderId="0" xfId="0" applyFont="1" applyFill="1" applyBorder="1" applyAlignment="1">
      <alignment horizontal="left"/>
    </xf>
    <xf numFmtId="0" fontId="0" fillId="0" borderId="3" xfId="0" applyFont="1" applyFill="1" applyBorder="1" applyAlignment="1">
      <alignment horizontal="left"/>
    </xf>
    <xf numFmtId="0" fontId="0" fillId="0" borderId="0" xfId="0" applyFont="1" applyFill="1" applyBorder="1" applyAlignment="1">
      <alignment horizontal="left"/>
    </xf>
    <xf numFmtId="0" fontId="2" fillId="0" borderId="3" xfId="0" applyFont="1" applyFill="1" applyBorder="1" applyAlignment="1">
      <alignment horizontal="left"/>
    </xf>
    <xf numFmtId="0" fontId="2" fillId="0" borderId="4" xfId="0" applyFont="1" applyFill="1" applyBorder="1" applyAlignment="1">
      <alignment horizontal="left"/>
    </xf>
    <xf numFmtId="0" fontId="0" fillId="0" borderId="4" xfId="0" applyFont="1" applyFill="1" applyBorder="1" applyAlignment="1">
      <alignment horizontal="left"/>
    </xf>
    <xf numFmtId="0" fontId="2" fillId="0" borderId="3" xfId="0" applyFont="1" applyBorder="1" applyAlignment="1">
      <alignment horizontal="left"/>
    </xf>
    <xf numFmtId="0" fontId="2" fillId="0" borderId="4" xfId="0" applyFont="1" applyBorder="1" applyAlignment="1">
      <alignment horizontal="left"/>
    </xf>
    <xf numFmtId="0" fontId="0" fillId="0" borderId="6" xfId="0" applyFont="1" applyFill="1" applyBorder="1" applyAlignment="1">
      <alignment horizontal="left"/>
    </xf>
    <xf numFmtId="0" fontId="0" fillId="0" borderId="10" xfId="0" applyFont="1" applyFill="1" applyBorder="1" applyAlignment="1">
      <alignment horizontal="left"/>
    </xf>
    <xf numFmtId="0" fontId="0" fillId="0" borderId="25" xfId="0" applyFont="1" applyBorder="1" applyAlignment="1">
      <alignment horizontal="left"/>
    </xf>
    <xf numFmtId="0" fontId="0" fillId="0" borderId="26" xfId="0" applyFont="1" applyBorder="1" applyAlignment="1">
      <alignment horizontal="left"/>
    </xf>
    <xf numFmtId="0" fontId="9" fillId="0" borderId="25" xfId="0" applyFont="1" applyFill="1" applyBorder="1" applyAlignment="1">
      <alignment horizontal="left"/>
    </xf>
    <xf numFmtId="0" fontId="9" fillId="0" borderId="26" xfId="0" applyFont="1" applyFill="1" applyBorder="1" applyAlignment="1">
      <alignment horizontal="left"/>
    </xf>
    <xf numFmtId="0" fontId="11" fillId="0" borderId="3" xfId="3" applyFont="1" applyFill="1" applyBorder="1" applyAlignment="1">
      <alignment horizontal="left" vertical="top"/>
    </xf>
    <xf numFmtId="0" fontId="11" fillId="0" borderId="4" xfId="3" applyFont="1" applyFill="1" applyBorder="1" applyAlignment="1">
      <alignment horizontal="left" vertical="top"/>
    </xf>
    <xf numFmtId="0" fontId="9" fillId="0" borderId="3" xfId="0" applyFont="1" applyBorder="1" applyAlignment="1">
      <alignment horizontal="left"/>
    </xf>
    <xf numFmtId="0" fontId="9" fillId="0" borderId="4" xfId="0" applyFont="1" applyBorder="1" applyAlignment="1">
      <alignment horizontal="left"/>
    </xf>
    <xf numFmtId="0" fontId="0" fillId="0" borderId="3" xfId="0" applyBorder="1" applyAlignment="1">
      <alignment horizontal="left"/>
    </xf>
    <xf numFmtId="0" fontId="0" fillId="0" borderId="4" xfId="0" applyBorder="1" applyAlignment="1">
      <alignment horizontal="left"/>
    </xf>
    <xf numFmtId="0" fontId="0" fillId="0" borderId="0" xfId="0" applyFont="1" applyBorder="1" applyAlignment="1">
      <alignment horizontal="left"/>
    </xf>
    <xf numFmtId="0" fontId="2" fillId="0" borderId="6" xfId="0" applyFont="1" applyBorder="1" applyAlignment="1">
      <alignment horizontal="left"/>
    </xf>
    <xf numFmtId="0" fontId="2" fillId="0" borderId="10" xfId="0" applyFont="1" applyBorder="1" applyAlignment="1">
      <alignment horizontal="left"/>
    </xf>
    <xf numFmtId="0" fontId="11" fillId="0" borderId="3" xfId="3" applyFont="1" applyBorder="1" applyAlignment="1">
      <alignment horizontal="left" vertical="top"/>
    </xf>
    <xf numFmtId="0" fontId="11" fillId="0" borderId="4" xfId="3" applyFont="1" applyBorder="1" applyAlignment="1">
      <alignment horizontal="left" vertical="top"/>
    </xf>
    <xf numFmtId="0" fontId="17" fillId="2" borderId="27" xfId="0" applyFont="1" applyFill="1" applyBorder="1" applyAlignment="1">
      <alignment horizontal="left"/>
    </xf>
    <xf numFmtId="0" fontId="17" fillId="2" borderId="28" xfId="0" applyFont="1" applyFill="1" applyBorder="1" applyAlignment="1">
      <alignment horizontal="left"/>
    </xf>
    <xf numFmtId="0" fontId="0" fillId="0" borderId="6" xfId="0" applyFont="1" applyBorder="1" applyAlignment="1">
      <alignment horizontal="left"/>
    </xf>
    <xf numFmtId="0" fontId="0" fillId="0" borderId="7" xfId="0" applyFont="1" applyBorder="1" applyAlignment="1">
      <alignment horizontal="left"/>
    </xf>
    <xf numFmtId="0" fontId="9" fillId="0" borderId="0" xfId="0" applyFont="1" applyBorder="1" applyAlignment="1">
      <alignment horizontal="left"/>
    </xf>
    <xf numFmtId="0" fontId="0" fillId="0" borderId="2" xfId="0" applyFont="1" applyFill="1" applyBorder="1" applyAlignment="1">
      <alignment horizontal="left"/>
    </xf>
    <xf numFmtId="0" fontId="0" fillId="0" borderId="10" xfId="0" applyFont="1" applyBorder="1" applyAlignment="1">
      <alignment horizontal="left"/>
    </xf>
    <xf numFmtId="0" fontId="17" fillId="2" borderId="11" xfId="0" applyFont="1" applyFill="1" applyBorder="1" applyAlignment="1">
      <alignment horizontal="left"/>
    </xf>
    <xf numFmtId="0" fontId="9" fillId="0" borderId="0" xfId="0" applyFont="1" applyAlignment="1">
      <alignment horizontal="left"/>
    </xf>
    <xf numFmtId="0" fontId="0" fillId="0" borderId="0" xfId="0" applyAlignment="1">
      <alignment horizontal="left"/>
    </xf>
    <xf numFmtId="0" fontId="2" fillId="0" borderId="0" xfId="0" applyFont="1" applyAlignment="1">
      <alignment horizontal="left"/>
    </xf>
    <xf numFmtId="0" fontId="19" fillId="2" borderId="0" xfId="0" applyFont="1" applyFill="1" applyAlignment="1">
      <alignment horizontal="left"/>
    </xf>
  </cellXfs>
  <cellStyles count="329">
    <cellStyle name="_%(SignOnly)" xfId="6" xr:uid="{00000000-0005-0000-0000-000000000000}"/>
    <cellStyle name="_%(SignSpaceOnly)" xfId="7" xr:uid="{00000000-0005-0000-0000-000001000000}"/>
    <cellStyle name="_Comma" xfId="8" xr:uid="{00000000-0005-0000-0000-000002000000}"/>
    <cellStyle name="_Currency" xfId="9" xr:uid="{00000000-0005-0000-0000-000003000000}"/>
    <cellStyle name="_CurrencySpace" xfId="10" xr:uid="{00000000-0005-0000-0000-000004000000}"/>
    <cellStyle name="_Euro" xfId="11" xr:uid="{00000000-0005-0000-0000-000005000000}"/>
    <cellStyle name="_Heading" xfId="12" xr:uid="{00000000-0005-0000-0000-000006000000}"/>
    <cellStyle name="_Heading_prestemp" xfId="13" xr:uid="{00000000-0005-0000-0000-000007000000}"/>
    <cellStyle name="_Heading_prestemp_1st Qtr PL FY07" xfId="14" xr:uid="{00000000-0005-0000-0000-000008000000}"/>
    <cellStyle name="_Heading_prestemp_Financial Statements" xfId="15" xr:uid="{00000000-0005-0000-0000-000009000000}"/>
    <cellStyle name="_Heading_prestemp_Financial Statementsvs1" xfId="16" xr:uid="{00000000-0005-0000-0000-00000A000000}"/>
    <cellStyle name="_Highlight" xfId="17" xr:uid="{00000000-0005-0000-0000-00000B000000}"/>
    <cellStyle name="_Multiple" xfId="18" xr:uid="{00000000-0005-0000-0000-00000C000000}"/>
    <cellStyle name="_MultipleSpace" xfId="19" xr:uid="{00000000-0005-0000-0000-00000D000000}"/>
    <cellStyle name="_SubHeading" xfId="20" xr:uid="{00000000-0005-0000-0000-00000E000000}"/>
    <cellStyle name="_SubHeading_prestemp" xfId="21" xr:uid="{00000000-0005-0000-0000-00000F000000}"/>
    <cellStyle name="_SubHeading_prestemp_1st Qtr PL FY07" xfId="22" xr:uid="{00000000-0005-0000-0000-000010000000}"/>
    <cellStyle name="_SubHeading_prestemp_Financial Statements" xfId="23" xr:uid="{00000000-0005-0000-0000-000011000000}"/>
    <cellStyle name="_SubHeading_prestemp_Financial Statementsvs1" xfId="24" xr:uid="{00000000-0005-0000-0000-000012000000}"/>
    <cellStyle name="_Table" xfId="25" xr:uid="{00000000-0005-0000-0000-000013000000}"/>
    <cellStyle name="_TableHead" xfId="26" xr:uid="{00000000-0005-0000-0000-000014000000}"/>
    <cellStyle name="_TableRowHead" xfId="27" xr:uid="{00000000-0005-0000-0000-000015000000}"/>
    <cellStyle name="_TableSuperHead" xfId="28" xr:uid="{00000000-0005-0000-0000-000016000000}"/>
    <cellStyle name="=C:\WINNT\SYSTEM32\COMMAND.COM" xfId="29" xr:uid="{00000000-0005-0000-0000-000017000000}"/>
    <cellStyle name="=C:\WINNT\SYSTEM32\COMMAND.COM 2" xfId="30" xr:uid="{00000000-0005-0000-0000-000018000000}"/>
    <cellStyle name="6-0" xfId="31" xr:uid="{00000000-0005-0000-0000-000019000000}"/>
    <cellStyle name="Bold12" xfId="32" xr:uid="{00000000-0005-0000-0000-00001A000000}"/>
    <cellStyle name="BoldItal12" xfId="33" xr:uid="{00000000-0005-0000-0000-00001B000000}"/>
    <cellStyle name="Border" xfId="34" xr:uid="{00000000-0005-0000-0000-00001C000000}"/>
    <cellStyle name="Border 10" xfId="35" xr:uid="{00000000-0005-0000-0000-00001D000000}"/>
    <cellStyle name="Border 11" xfId="36" xr:uid="{00000000-0005-0000-0000-00001E000000}"/>
    <cellStyle name="Border 12" xfId="37" xr:uid="{00000000-0005-0000-0000-00001F000000}"/>
    <cellStyle name="Border 13" xfId="38" xr:uid="{00000000-0005-0000-0000-000020000000}"/>
    <cellStyle name="Border 14" xfId="39" xr:uid="{00000000-0005-0000-0000-000021000000}"/>
    <cellStyle name="Border 15" xfId="40" xr:uid="{00000000-0005-0000-0000-000022000000}"/>
    <cellStyle name="Border 16" xfId="41" xr:uid="{00000000-0005-0000-0000-000023000000}"/>
    <cellStyle name="Border 17" xfId="42" xr:uid="{00000000-0005-0000-0000-000024000000}"/>
    <cellStyle name="Border 18" xfId="43" xr:uid="{00000000-0005-0000-0000-000025000000}"/>
    <cellStyle name="Border 19" xfId="44" xr:uid="{00000000-0005-0000-0000-000026000000}"/>
    <cellStyle name="Border 2" xfId="45" xr:uid="{00000000-0005-0000-0000-000027000000}"/>
    <cellStyle name="Border 20" xfId="46" xr:uid="{00000000-0005-0000-0000-000028000000}"/>
    <cellStyle name="Border 21" xfId="47" xr:uid="{00000000-0005-0000-0000-000029000000}"/>
    <cellStyle name="Border 22" xfId="48" xr:uid="{00000000-0005-0000-0000-00002A000000}"/>
    <cellStyle name="Border 23" xfId="49" xr:uid="{00000000-0005-0000-0000-00002B000000}"/>
    <cellStyle name="Border 24" xfId="50" xr:uid="{00000000-0005-0000-0000-00002C000000}"/>
    <cellStyle name="Border 25" xfId="51" xr:uid="{00000000-0005-0000-0000-00002D000000}"/>
    <cellStyle name="Border 26" xfId="52" xr:uid="{00000000-0005-0000-0000-00002E000000}"/>
    <cellStyle name="Border 27" xfId="53" xr:uid="{00000000-0005-0000-0000-00002F000000}"/>
    <cellStyle name="Border 28" xfId="54" xr:uid="{00000000-0005-0000-0000-000030000000}"/>
    <cellStyle name="Border 29" xfId="55" xr:uid="{00000000-0005-0000-0000-000031000000}"/>
    <cellStyle name="Border 3" xfId="56" xr:uid="{00000000-0005-0000-0000-000032000000}"/>
    <cellStyle name="Border 30" xfId="57" xr:uid="{00000000-0005-0000-0000-000033000000}"/>
    <cellStyle name="Border 31" xfId="58" xr:uid="{00000000-0005-0000-0000-000034000000}"/>
    <cellStyle name="Border 32" xfId="59" xr:uid="{00000000-0005-0000-0000-000035000000}"/>
    <cellStyle name="Border 33" xfId="60" xr:uid="{00000000-0005-0000-0000-000036000000}"/>
    <cellStyle name="Border 34" xfId="61" xr:uid="{00000000-0005-0000-0000-000037000000}"/>
    <cellStyle name="Border 35" xfId="62" xr:uid="{00000000-0005-0000-0000-000038000000}"/>
    <cellStyle name="Border 36" xfId="63" xr:uid="{00000000-0005-0000-0000-000039000000}"/>
    <cellStyle name="Border 37" xfId="64" xr:uid="{00000000-0005-0000-0000-00003A000000}"/>
    <cellStyle name="Border 38" xfId="65" xr:uid="{00000000-0005-0000-0000-00003B000000}"/>
    <cellStyle name="Border 39" xfId="66" xr:uid="{00000000-0005-0000-0000-00003C000000}"/>
    <cellStyle name="Border 4" xfId="67" xr:uid="{00000000-0005-0000-0000-00003D000000}"/>
    <cellStyle name="Border 40" xfId="68" xr:uid="{00000000-0005-0000-0000-00003E000000}"/>
    <cellStyle name="Border 41" xfId="69" xr:uid="{00000000-0005-0000-0000-00003F000000}"/>
    <cellStyle name="Border 42" xfId="70" xr:uid="{00000000-0005-0000-0000-000040000000}"/>
    <cellStyle name="Border 5" xfId="71" xr:uid="{00000000-0005-0000-0000-000041000000}"/>
    <cellStyle name="Border 6" xfId="72" xr:uid="{00000000-0005-0000-0000-000042000000}"/>
    <cellStyle name="Border 7" xfId="73" xr:uid="{00000000-0005-0000-0000-000043000000}"/>
    <cellStyle name="Border 8" xfId="74" xr:uid="{00000000-0005-0000-0000-000044000000}"/>
    <cellStyle name="Border 9" xfId="75" xr:uid="{00000000-0005-0000-0000-000045000000}"/>
    <cellStyle name="Calc Currency (0)" xfId="76" xr:uid="{00000000-0005-0000-0000-000046000000}"/>
    <cellStyle name="Calc Currency (0) 2" xfId="77" xr:uid="{00000000-0005-0000-0000-000047000000}"/>
    <cellStyle name="Calc Currency (2)" xfId="78" xr:uid="{00000000-0005-0000-0000-000048000000}"/>
    <cellStyle name="Calc Currency (2) 2" xfId="79" xr:uid="{00000000-0005-0000-0000-000049000000}"/>
    <cellStyle name="Calc Percent (0)" xfId="80" xr:uid="{00000000-0005-0000-0000-00004A000000}"/>
    <cellStyle name="Calc Percent (0) 2" xfId="81" xr:uid="{00000000-0005-0000-0000-00004B000000}"/>
    <cellStyle name="Calc Percent (1)" xfId="82" xr:uid="{00000000-0005-0000-0000-00004C000000}"/>
    <cellStyle name="Calc Percent (1) 2" xfId="83" xr:uid="{00000000-0005-0000-0000-00004D000000}"/>
    <cellStyle name="Calc Percent (2)" xfId="84" xr:uid="{00000000-0005-0000-0000-00004E000000}"/>
    <cellStyle name="Calc Percent (2) 2" xfId="85" xr:uid="{00000000-0005-0000-0000-00004F000000}"/>
    <cellStyle name="Calc Units (0)" xfId="86" xr:uid="{00000000-0005-0000-0000-000050000000}"/>
    <cellStyle name="Calc Units (0) 2" xfId="87" xr:uid="{00000000-0005-0000-0000-000051000000}"/>
    <cellStyle name="Calc Units (1)" xfId="88" xr:uid="{00000000-0005-0000-0000-000052000000}"/>
    <cellStyle name="Calc Units (1) 2" xfId="89" xr:uid="{00000000-0005-0000-0000-000053000000}"/>
    <cellStyle name="Calc Units (2)" xfId="90" xr:uid="{00000000-0005-0000-0000-000054000000}"/>
    <cellStyle name="Calc Units (2) 2" xfId="91" xr:uid="{00000000-0005-0000-0000-000055000000}"/>
    <cellStyle name="Centered Heading" xfId="92" xr:uid="{00000000-0005-0000-0000-000056000000}"/>
    <cellStyle name="columns" xfId="93" xr:uid="{00000000-0005-0000-0000-000057000000}"/>
    <cellStyle name="Comma" xfId="1" builtinId="3"/>
    <cellStyle name="Comma  - Style1" xfId="94" xr:uid="{00000000-0005-0000-0000-000059000000}"/>
    <cellStyle name="Comma  - Style2" xfId="95" xr:uid="{00000000-0005-0000-0000-00005A000000}"/>
    <cellStyle name="Comma  - Style3" xfId="96" xr:uid="{00000000-0005-0000-0000-00005B000000}"/>
    <cellStyle name="Comma  - Style4" xfId="97" xr:uid="{00000000-0005-0000-0000-00005C000000}"/>
    <cellStyle name="Comma  - Style5" xfId="98" xr:uid="{00000000-0005-0000-0000-00005D000000}"/>
    <cellStyle name="Comma  - Style6" xfId="99" xr:uid="{00000000-0005-0000-0000-00005E000000}"/>
    <cellStyle name="Comma  - Style7" xfId="100" xr:uid="{00000000-0005-0000-0000-00005F000000}"/>
    <cellStyle name="Comma  - Style8" xfId="101" xr:uid="{00000000-0005-0000-0000-000060000000}"/>
    <cellStyle name="comma (0)" xfId="102" xr:uid="{00000000-0005-0000-0000-000061000000}"/>
    <cellStyle name="comma (0) 2" xfId="103" xr:uid="{00000000-0005-0000-0000-000062000000}"/>
    <cellStyle name="comma (0) 2 2" xfId="104" xr:uid="{00000000-0005-0000-0000-000063000000}"/>
    <cellStyle name="comma (0) 3" xfId="105" xr:uid="{00000000-0005-0000-0000-000064000000}"/>
    <cellStyle name="Comma [00]" xfId="106" xr:uid="{00000000-0005-0000-0000-000065000000}"/>
    <cellStyle name="Comma [00] 2" xfId="107" xr:uid="{00000000-0005-0000-0000-000066000000}"/>
    <cellStyle name="Comma 2" xfId="5" xr:uid="{00000000-0005-0000-0000-000067000000}"/>
    <cellStyle name="Comma 2 2" xfId="108" xr:uid="{00000000-0005-0000-0000-000068000000}"/>
    <cellStyle name="Comma 2 2 2" xfId="109" xr:uid="{00000000-0005-0000-0000-000069000000}"/>
    <cellStyle name="Comma 2 3" xfId="110" xr:uid="{00000000-0005-0000-0000-00006A000000}"/>
    <cellStyle name="Comma 2 4" xfId="111" xr:uid="{00000000-0005-0000-0000-00006B000000}"/>
    <cellStyle name="Comma 2 5" xfId="112" xr:uid="{00000000-0005-0000-0000-00006C000000}"/>
    <cellStyle name="Comma 2 6" xfId="113" xr:uid="{00000000-0005-0000-0000-00006D000000}"/>
    <cellStyle name="Comma 3" xfId="114" xr:uid="{00000000-0005-0000-0000-00006E000000}"/>
    <cellStyle name="Comma 3 2" xfId="115" xr:uid="{00000000-0005-0000-0000-00006F000000}"/>
    <cellStyle name="Comma 4" xfId="116" xr:uid="{00000000-0005-0000-0000-000070000000}"/>
    <cellStyle name="Comma 4 2" xfId="117" xr:uid="{00000000-0005-0000-0000-000071000000}"/>
    <cellStyle name="Comma 5" xfId="118" xr:uid="{00000000-0005-0000-0000-000072000000}"/>
    <cellStyle name="Comma 5 2" xfId="119" xr:uid="{00000000-0005-0000-0000-000073000000}"/>
    <cellStyle name="Comma Acctg" xfId="120" xr:uid="{00000000-0005-0000-0000-000074000000}"/>
    <cellStyle name="Comma Acctg 2" xfId="121" xr:uid="{00000000-0005-0000-0000-000075000000}"/>
    <cellStyle name="Comma0" xfId="122" xr:uid="{00000000-0005-0000-0000-000076000000}"/>
    <cellStyle name="Company Name" xfId="123" xr:uid="{00000000-0005-0000-0000-000077000000}"/>
    <cellStyle name="Contracts" xfId="124" xr:uid="{00000000-0005-0000-0000-000078000000}"/>
    <cellStyle name="CR Comma" xfId="125" xr:uid="{00000000-0005-0000-0000-000079000000}"/>
    <cellStyle name="CR Currency" xfId="126" xr:uid="{00000000-0005-0000-0000-00007A000000}"/>
    <cellStyle name="curr" xfId="127" xr:uid="{00000000-0005-0000-0000-00007B000000}"/>
    <cellStyle name="Currency [00]" xfId="128" xr:uid="{00000000-0005-0000-0000-00007C000000}"/>
    <cellStyle name="Currency [00] 2" xfId="129" xr:uid="{00000000-0005-0000-0000-00007D000000}"/>
    <cellStyle name="Currency 2" xfId="130" xr:uid="{00000000-0005-0000-0000-00007E000000}"/>
    <cellStyle name="Currency Acctg" xfId="131" xr:uid="{00000000-0005-0000-0000-00007F000000}"/>
    <cellStyle name="Currency0" xfId="132" xr:uid="{00000000-0005-0000-0000-000080000000}"/>
    <cellStyle name="Data" xfId="133" xr:uid="{00000000-0005-0000-0000-000081000000}"/>
    <cellStyle name="Date" xfId="134" xr:uid="{00000000-0005-0000-0000-000082000000}"/>
    <cellStyle name="Date Short" xfId="135" xr:uid="{00000000-0005-0000-0000-000083000000}"/>
    <cellStyle name="DateJoel" xfId="136" xr:uid="{00000000-0005-0000-0000-000084000000}"/>
    <cellStyle name="debbie" xfId="137" xr:uid="{00000000-0005-0000-0000-000085000000}"/>
    <cellStyle name="Dezimal [0]_laroux" xfId="138" xr:uid="{00000000-0005-0000-0000-000086000000}"/>
    <cellStyle name="Dezimal_laroux" xfId="139" xr:uid="{00000000-0005-0000-0000-000087000000}"/>
    <cellStyle name="Enter Currency (0)" xfId="140" xr:uid="{00000000-0005-0000-0000-000088000000}"/>
    <cellStyle name="Enter Currency (0) 2" xfId="141" xr:uid="{00000000-0005-0000-0000-000089000000}"/>
    <cellStyle name="Enter Currency (2)" xfId="142" xr:uid="{00000000-0005-0000-0000-00008A000000}"/>
    <cellStyle name="Enter Currency (2) 2" xfId="143" xr:uid="{00000000-0005-0000-0000-00008B000000}"/>
    <cellStyle name="Enter Units (0)" xfId="144" xr:uid="{00000000-0005-0000-0000-00008C000000}"/>
    <cellStyle name="Enter Units (0) 2" xfId="145" xr:uid="{00000000-0005-0000-0000-00008D000000}"/>
    <cellStyle name="Enter Units (1)" xfId="146" xr:uid="{00000000-0005-0000-0000-00008E000000}"/>
    <cellStyle name="Enter Units (1) 2" xfId="147" xr:uid="{00000000-0005-0000-0000-00008F000000}"/>
    <cellStyle name="Enter Units (2)" xfId="148" xr:uid="{00000000-0005-0000-0000-000090000000}"/>
    <cellStyle name="Enter Units (2) 2" xfId="149" xr:uid="{00000000-0005-0000-0000-000091000000}"/>
    <cellStyle name="eps" xfId="150" xr:uid="{00000000-0005-0000-0000-000092000000}"/>
    <cellStyle name="Euro" xfId="151" xr:uid="{00000000-0005-0000-0000-000093000000}"/>
    <cellStyle name="Grey" xfId="152" xr:uid="{00000000-0005-0000-0000-000094000000}"/>
    <cellStyle name="Header1" xfId="153" xr:uid="{00000000-0005-0000-0000-000095000000}"/>
    <cellStyle name="Header2" xfId="154" xr:uid="{00000000-0005-0000-0000-000096000000}"/>
    <cellStyle name="Header2 10" xfId="155" xr:uid="{00000000-0005-0000-0000-000097000000}"/>
    <cellStyle name="Header2 11" xfId="156" xr:uid="{00000000-0005-0000-0000-000098000000}"/>
    <cellStyle name="Header2 12" xfId="157" xr:uid="{00000000-0005-0000-0000-000099000000}"/>
    <cellStyle name="Header2 13" xfId="158" xr:uid="{00000000-0005-0000-0000-00009A000000}"/>
    <cellStyle name="Header2 14" xfId="159" xr:uid="{00000000-0005-0000-0000-00009B000000}"/>
    <cellStyle name="Header2 15" xfId="160" xr:uid="{00000000-0005-0000-0000-00009C000000}"/>
    <cellStyle name="Header2 16" xfId="161" xr:uid="{00000000-0005-0000-0000-00009D000000}"/>
    <cellStyle name="Header2 17" xfId="162" xr:uid="{00000000-0005-0000-0000-00009E000000}"/>
    <cellStyle name="Header2 18" xfId="163" xr:uid="{00000000-0005-0000-0000-00009F000000}"/>
    <cellStyle name="Header2 19" xfId="164" xr:uid="{00000000-0005-0000-0000-0000A0000000}"/>
    <cellStyle name="Header2 2" xfId="165" xr:uid="{00000000-0005-0000-0000-0000A1000000}"/>
    <cellStyle name="Header2 20" xfId="166" xr:uid="{00000000-0005-0000-0000-0000A2000000}"/>
    <cellStyle name="Header2 21" xfId="167" xr:uid="{00000000-0005-0000-0000-0000A3000000}"/>
    <cellStyle name="Header2 22" xfId="168" xr:uid="{00000000-0005-0000-0000-0000A4000000}"/>
    <cellStyle name="Header2 23" xfId="169" xr:uid="{00000000-0005-0000-0000-0000A5000000}"/>
    <cellStyle name="Header2 24" xfId="170" xr:uid="{00000000-0005-0000-0000-0000A6000000}"/>
    <cellStyle name="Header2 25" xfId="171" xr:uid="{00000000-0005-0000-0000-0000A7000000}"/>
    <cellStyle name="Header2 26" xfId="172" xr:uid="{00000000-0005-0000-0000-0000A8000000}"/>
    <cellStyle name="Header2 27" xfId="173" xr:uid="{00000000-0005-0000-0000-0000A9000000}"/>
    <cellStyle name="Header2 28" xfId="174" xr:uid="{00000000-0005-0000-0000-0000AA000000}"/>
    <cellStyle name="Header2 29" xfId="175" xr:uid="{00000000-0005-0000-0000-0000AB000000}"/>
    <cellStyle name="Header2 3" xfId="176" xr:uid="{00000000-0005-0000-0000-0000AC000000}"/>
    <cellStyle name="Header2 30" xfId="177" xr:uid="{00000000-0005-0000-0000-0000AD000000}"/>
    <cellStyle name="Header2 31" xfId="178" xr:uid="{00000000-0005-0000-0000-0000AE000000}"/>
    <cellStyle name="Header2 32" xfId="179" xr:uid="{00000000-0005-0000-0000-0000AF000000}"/>
    <cellStyle name="Header2 33" xfId="180" xr:uid="{00000000-0005-0000-0000-0000B0000000}"/>
    <cellStyle name="Header2 34" xfId="181" xr:uid="{00000000-0005-0000-0000-0000B1000000}"/>
    <cellStyle name="Header2 35" xfId="182" xr:uid="{00000000-0005-0000-0000-0000B2000000}"/>
    <cellStyle name="Header2 36" xfId="183" xr:uid="{00000000-0005-0000-0000-0000B3000000}"/>
    <cellStyle name="Header2 37" xfId="184" xr:uid="{00000000-0005-0000-0000-0000B4000000}"/>
    <cellStyle name="Header2 38" xfId="185" xr:uid="{00000000-0005-0000-0000-0000B5000000}"/>
    <cellStyle name="Header2 39" xfId="186" xr:uid="{00000000-0005-0000-0000-0000B6000000}"/>
    <cellStyle name="Header2 4" xfId="187" xr:uid="{00000000-0005-0000-0000-0000B7000000}"/>
    <cellStyle name="Header2 40" xfId="188" xr:uid="{00000000-0005-0000-0000-0000B8000000}"/>
    <cellStyle name="Header2 41" xfId="189" xr:uid="{00000000-0005-0000-0000-0000B9000000}"/>
    <cellStyle name="Header2 42" xfId="190" xr:uid="{00000000-0005-0000-0000-0000BA000000}"/>
    <cellStyle name="Header2 5" xfId="191" xr:uid="{00000000-0005-0000-0000-0000BB000000}"/>
    <cellStyle name="Header2 6" xfId="192" xr:uid="{00000000-0005-0000-0000-0000BC000000}"/>
    <cellStyle name="Header2 7" xfId="193" xr:uid="{00000000-0005-0000-0000-0000BD000000}"/>
    <cellStyle name="Header2 8" xfId="194" xr:uid="{00000000-0005-0000-0000-0000BE000000}"/>
    <cellStyle name="Header2 9" xfId="195" xr:uid="{00000000-0005-0000-0000-0000BF000000}"/>
    <cellStyle name="Heading" xfId="196" xr:uid="{00000000-0005-0000-0000-0000C0000000}"/>
    <cellStyle name="Heading 1 2" xfId="197" xr:uid="{00000000-0005-0000-0000-0000C1000000}"/>
    <cellStyle name="Heading 1 3" xfId="198" xr:uid="{00000000-0005-0000-0000-0000C2000000}"/>
    <cellStyle name="Heading 1 4" xfId="199" xr:uid="{00000000-0005-0000-0000-0000C3000000}"/>
    <cellStyle name="Heading 2 2" xfId="200" xr:uid="{00000000-0005-0000-0000-0000C4000000}"/>
    <cellStyle name="Heading 2 3" xfId="201" xr:uid="{00000000-0005-0000-0000-0000C5000000}"/>
    <cellStyle name="Heading 2 4" xfId="202" xr:uid="{00000000-0005-0000-0000-0000C6000000}"/>
    <cellStyle name="Heading No Underline" xfId="203" xr:uid="{00000000-0005-0000-0000-0000C7000000}"/>
    <cellStyle name="Heading With Underline" xfId="204" xr:uid="{00000000-0005-0000-0000-0000C8000000}"/>
    <cellStyle name="Hyperlink 2" xfId="205" xr:uid="{00000000-0005-0000-0000-0000CA000000}"/>
    <cellStyle name="Hyperlink 2 2" xfId="206" xr:uid="{00000000-0005-0000-0000-0000CB000000}"/>
    <cellStyle name="Hyperlink 2 2 2" xfId="207" xr:uid="{00000000-0005-0000-0000-0000CC000000}"/>
    <cellStyle name="Hyperlink 3" xfId="208" xr:uid="{00000000-0005-0000-0000-0000CD000000}"/>
    <cellStyle name="Hyperlink 4" xfId="209" xr:uid="{00000000-0005-0000-0000-0000CE000000}"/>
    <cellStyle name="Input [yellow]" xfId="210" xr:uid="{00000000-0005-0000-0000-0000CF000000}"/>
    <cellStyle name="Link Currency (0)" xfId="211" xr:uid="{00000000-0005-0000-0000-0000D0000000}"/>
    <cellStyle name="Link Currency (0) 2" xfId="212" xr:uid="{00000000-0005-0000-0000-0000D1000000}"/>
    <cellStyle name="Link Currency (2)" xfId="213" xr:uid="{00000000-0005-0000-0000-0000D2000000}"/>
    <cellStyle name="Link Currency (2) 2" xfId="214" xr:uid="{00000000-0005-0000-0000-0000D3000000}"/>
    <cellStyle name="Link Units (0)" xfId="215" xr:uid="{00000000-0005-0000-0000-0000D4000000}"/>
    <cellStyle name="Link Units (0) 2" xfId="216" xr:uid="{00000000-0005-0000-0000-0000D5000000}"/>
    <cellStyle name="Link Units (1)" xfId="217" xr:uid="{00000000-0005-0000-0000-0000D6000000}"/>
    <cellStyle name="Link Units (1) 2" xfId="218" xr:uid="{00000000-0005-0000-0000-0000D7000000}"/>
    <cellStyle name="Link Units (2)" xfId="219" xr:uid="{00000000-0005-0000-0000-0000D8000000}"/>
    <cellStyle name="Link Units (2) 2" xfId="220" xr:uid="{00000000-0005-0000-0000-0000D9000000}"/>
    <cellStyle name="Millares [0]_pldt" xfId="221" xr:uid="{00000000-0005-0000-0000-0000DA000000}"/>
    <cellStyle name="Millares_pldt" xfId="222" xr:uid="{00000000-0005-0000-0000-0000DB000000}"/>
    <cellStyle name="Milliers [0]_AR1194" xfId="223" xr:uid="{00000000-0005-0000-0000-0000DC000000}"/>
    <cellStyle name="Milliers_AR1194" xfId="224" xr:uid="{00000000-0005-0000-0000-0000DD000000}"/>
    <cellStyle name="Moneda [0]_pldt" xfId="225" xr:uid="{00000000-0005-0000-0000-0000DE000000}"/>
    <cellStyle name="Moneda_pldt" xfId="226" xr:uid="{00000000-0005-0000-0000-0000DF000000}"/>
    <cellStyle name="Monétaire [0]_AR1194" xfId="227" xr:uid="{00000000-0005-0000-0000-0000E0000000}"/>
    <cellStyle name="Monétaire_AR1194" xfId="228" xr:uid="{00000000-0005-0000-0000-0000E1000000}"/>
    <cellStyle name="negativ" xfId="229" xr:uid="{00000000-0005-0000-0000-0000E2000000}"/>
    <cellStyle name="no dec" xfId="230" xr:uid="{00000000-0005-0000-0000-0000E3000000}"/>
    <cellStyle name="nodollars" xfId="231" xr:uid="{00000000-0005-0000-0000-0000E4000000}"/>
    <cellStyle name="nodollars 2" xfId="232" xr:uid="{00000000-0005-0000-0000-0000E5000000}"/>
    <cellStyle name="Normal" xfId="0" builtinId="0"/>
    <cellStyle name="Normal - Style1" xfId="233" xr:uid="{00000000-0005-0000-0000-0000E7000000}"/>
    <cellStyle name="Normal - Style1 2" xfId="234" xr:uid="{00000000-0005-0000-0000-0000E8000000}"/>
    <cellStyle name="Normal - Style2" xfId="235" xr:uid="{00000000-0005-0000-0000-0000E9000000}"/>
    <cellStyle name="Normal - Style3" xfId="236" xr:uid="{00000000-0005-0000-0000-0000EA000000}"/>
    <cellStyle name="Normal - Style4" xfId="237" xr:uid="{00000000-0005-0000-0000-0000EB000000}"/>
    <cellStyle name="Normal - Style5" xfId="238" xr:uid="{00000000-0005-0000-0000-0000EC000000}"/>
    <cellStyle name="Normal 10" xfId="239" xr:uid="{00000000-0005-0000-0000-0000ED000000}"/>
    <cellStyle name="Normal 2" xfId="3" xr:uid="{00000000-0005-0000-0000-0000EE000000}"/>
    <cellStyle name="Normal 2 2" xfId="240" xr:uid="{00000000-0005-0000-0000-0000EF000000}"/>
    <cellStyle name="Normal 2 2 2" xfId="241" xr:uid="{00000000-0005-0000-0000-0000F0000000}"/>
    <cellStyle name="Normal 2 3" xfId="242" xr:uid="{00000000-0005-0000-0000-0000F1000000}"/>
    <cellStyle name="Normal 2 3 2" xfId="243" xr:uid="{00000000-0005-0000-0000-0000F2000000}"/>
    <cellStyle name="Normal 2 4" xfId="244" xr:uid="{00000000-0005-0000-0000-0000F3000000}"/>
    <cellStyle name="Normal 2 5" xfId="245" xr:uid="{00000000-0005-0000-0000-0000F4000000}"/>
    <cellStyle name="Normal 2 6" xfId="246" xr:uid="{00000000-0005-0000-0000-0000F5000000}"/>
    <cellStyle name="Normal 2 7" xfId="247" xr:uid="{00000000-0005-0000-0000-0000F6000000}"/>
    <cellStyle name="Normal 2 8" xfId="248" xr:uid="{00000000-0005-0000-0000-0000F7000000}"/>
    <cellStyle name="Normal 3" xfId="4" xr:uid="{00000000-0005-0000-0000-0000F8000000}"/>
    <cellStyle name="Normal 3 2" xfId="249" xr:uid="{00000000-0005-0000-0000-0000F9000000}"/>
    <cellStyle name="Normal 3 3" xfId="250" xr:uid="{00000000-0005-0000-0000-0000FA000000}"/>
    <cellStyle name="Normal 3 4" xfId="251" xr:uid="{00000000-0005-0000-0000-0000FB000000}"/>
    <cellStyle name="Normal 4" xfId="252" xr:uid="{00000000-0005-0000-0000-0000FC000000}"/>
    <cellStyle name="Normal 5" xfId="253" xr:uid="{00000000-0005-0000-0000-0000FD000000}"/>
    <cellStyle name="Normal 5 2" xfId="254" xr:uid="{00000000-0005-0000-0000-0000FE000000}"/>
    <cellStyle name="Normal 6" xfId="255" xr:uid="{00000000-0005-0000-0000-0000FF000000}"/>
    <cellStyle name="Normal 6 2" xfId="256" xr:uid="{00000000-0005-0000-0000-000000010000}"/>
    <cellStyle name="Normal 6 3" xfId="257" xr:uid="{00000000-0005-0000-0000-000001010000}"/>
    <cellStyle name="Normal 7" xfId="258" xr:uid="{00000000-0005-0000-0000-000002010000}"/>
    <cellStyle name="Normal 7 2" xfId="259" xr:uid="{00000000-0005-0000-0000-000003010000}"/>
    <cellStyle name="Normal 8" xfId="260" xr:uid="{00000000-0005-0000-0000-000004010000}"/>
    <cellStyle name="Normal 8 2" xfId="261" xr:uid="{00000000-0005-0000-0000-000005010000}"/>
    <cellStyle name="Normal 8 3" xfId="262" xr:uid="{00000000-0005-0000-0000-000006010000}"/>
    <cellStyle name="Normal 9" xfId="263" xr:uid="{00000000-0005-0000-0000-000007010000}"/>
    <cellStyle name="Number0DecimalStyle" xfId="264" xr:uid="{00000000-0005-0000-0000-000008010000}"/>
    <cellStyle name="Number0DecimalStyle 2" xfId="265" xr:uid="{00000000-0005-0000-0000-000009010000}"/>
    <cellStyle name="Number10DecimalStyle" xfId="266" xr:uid="{00000000-0005-0000-0000-00000A010000}"/>
    <cellStyle name="Number1DecimalStyle" xfId="267" xr:uid="{00000000-0005-0000-0000-00000B010000}"/>
    <cellStyle name="Number2DecimalStyle" xfId="268" xr:uid="{00000000-0005-0000-0000-00000C010000}"/>
    <cellStyle name="Number2DecimalStyle 2" xfId="269" xr:uid="{00000000-0005-0000-0000-00000D010000}"/>
    <cellStyle name="Number3DecimalStyle" xfId="270" xr:uid="{00000000-0005-0000-0000-00000E010000}"/>
    <cellStyle name="Number4DecimalStyle" xfId="271" xr:uid="{00000000-0005-0000-0000-00000F010000}"/>
    <cellStyle name="Number5DecimalStyle" xfId="272" xr:uid="{00000000-0005-0000-0000-000010010000}"/>
    <cellStyle name="Number6DecimalStyle" xfId="273" xr:uid="{00000000-0005-0000-0000-000011010000}"/>
    <cellStyle name="Number7DecimalStyle" xfId="274" xr:uid="{00000000-0005-0000-0000-000012010000}"/>
    <cellStyle name="Number8DecimalStyle" xfId="275" xr:uid="{00000000-0005-0000-0000-000013010000}"/>
    <cellStyle name="Number9DecimalStyle" xfId="276" xr:uid="{00000000-0005-0000-0000-000014010000}"/>
    <cellStyle name="over" xfId="277" xr:uid="{00000000-0005-0000-0000-000015010000}"/>
    <cellStyle name="Percent" xfId="2" builtinId="5"/>
    <cellStyle name="percent (0)" xfId="278" xr:uid="{00000000-0005-0000-0000-000017010000}"/>
    <cellStyle name="Percent [0]" xfId="279" xr:uid="{00000000-0005-0000-0000-000018010000}"/>
    <cellStyle name="Percent [0] 2" xfId="280" xr:uid="{00000000-0005-0000-0000-000019010000}"/>
    <cellStyle name="Percent [00]" xfId="281" xr:uid="{00000000-0005-0000-0000-00001A010000}"/>
    <cellStyle name="Percent [00] 2" xfId="282" xr:uid="{00000000-0005-0000-0000-00001B010000}"/>
    <cellStyle name="Percent [2]" xfId="283" xr:uid="{00000000-0005-0000-0000-00001C010000}"/>
    <cellStyle name="Percent 10" xfId="284" xr:uid="{00000000-0005-0000-0000-00001D010000}"/>
    <cellStyle name="Percent 2" xfId="285" xr:uid="{00000000-0005-0000-0000-00001E010000}"/>
    <cellStyle name="Percent 2 2" xfId="286" xr:uid="{00000000-0005-0000-0000-00001F010000}"/>
    <cellStyle name="Percent 2 3" xfId="287" xr:uid="{00000000-0005-0000-0000-000020010000}"/>
    <cellStyle name="Percent 2 4" xfId="288" xr:uid="{00000000-0005-0000-0000-000021010000}"/>
    <cellStyle name="Percent 3" xfId="289" xr:uid="{00000000-0005-0000-0000-000022010000}"/>
    <cellStyle name="Percent 3 2" xfId="290" xr:uid="{00000000-0005-0000-0000-000023010000}"/>
    <cellStyle name="Percent 4" xfId="291" xr:uid="{00000000-0005-0000-0000-000024010000}"/>
    <cellStyle name="Percent 6" xfId="292" xr:uid="{00000000-0005-0000-0000-000025010000}"/>
    <cellStyle name="PERCENTAGE" xfId="293" xr:uid="{00000000-0005-0000-0000-000026010000}"/>
    <cellStyle name="posit" xfId="294" xr:uid="{00000000-0005-0000-0000-000027010000}"/>
    <cellStyle name="Powerpoint Style" xfId="295" xr:uid="{00000000-0005-0000-0000-000028010000}"/>
    <cellStyle name="PrePop Currency (0)" xfId="296" xr:uid="{00000000-0005-0000-0000-000029010000}"/>
    <cellStyle name="PrePop Currency (0) 2" xfId="297" xr:uid="{00000000-0005-0000-0000-00002A010000}"/>
    <cellStyle name="PrePop Currency (2)" xfId="298" xr:uid="{00000000-0005-0000-0000-00002B010000}"/>
    <cellStyle name="PrePop Currency (2) 2" xfId="299" xr:uid="{00000000-0005-0000-0000-00002C010000}"/>
    <cellStyle name="PrePop Units (0)" xfId="300" xr:uid="{00000000-0005-0000-0000-00002D010000}"/>
    <cellStyle name="PrePop Units (0) 2" xfId="301" xr:uid="{00000000-0005-0000-0000-00002E010000}"/>
    <cellStyle name="PrePop Units (1)" xfId="302" xr:uid="{00000000-0005-0000-0000-00002F010000}"/>
    <cellStyle name="PrePop Units (1) 2" xfId="303" xr:uid="{00000000-0005-0000-0000-000030010000}"/>
    <cellStyle name="PrePop Units (2)" xfId="304" xr:uid="{00000000-0005-0000-0000-000031010000}"/>
    <cellStyle name="PrePop Units (2) 2" xfId="305" xr:uid="{00000000-0005-0000-0000-000032010000}"/>
    <cellStyle name="SingleTopDoubleBott" xfId="306" xr:uid="{00000000-0005-0000-0000-000033010000}"/>
    <cellStyle name="Standard_A" xfId="307" xr:uid="{00000000-0005-0000-0000-000034010000}"/>
    <cellStyle name="Style 1" xfId="308" xr:uid="{00000000-0005-0000-0000-000035010000}"/>
    <cellStyle name="Style 2" xfId="309" xr:uid="{00000000-0005-0000-0000-000036010000}"/>
    <cellStyle name="Style 3" xfId="310" xr:uid="{00000000-0005-0000-0000-000037010000}"/>
    <cellStyle name="Style 4" xfId="311" xr:uid="{00000000-0005-0000-0000-000038010000}"/>
    <cellStyle name="Text Indent A" xfId="312" xr:uid="{00000000-0005-0000-0000-000039010000}"/>
    <cellStyle name="Text Indent B" xfId="313" xr:uid="{00000000-0005-0000-0000-00003A010000}"/>
    <cellStyle name="Text Indent B 2" xfId="314" xr:uid="{00000000-0005-0000-0000-00003B010000}"/>
    <cellStyle name="Text Indent C" xfId="315" xr:uid="{00000000-0005-0000-0000-00003C010000}"/>
    <cellStyle name="Text Indent C 2" xfId="316" xr:uid="{00000000-0005-0000-0000-00003D010000}"/>
    <cellStyle name="TextStyle" xfId="317" xr:uid="{00000000-0005-0000-0000-00003E010000}"/>
    <cellStyle name="Tickmark" xfId="318" xr:uid="{00000000-0005-0000-0000-00003F010000}"/>
    <cellStyle name="TimStyle" xfId="319" xr:uid="{00000000-0005-0000-0000-000040010000}"/>
    <cellStyle name="Total 2" xfId="320" xr:uid="{00000000-0005-0000-0000-000041010000}"/>
    <cellStyle name="Total 3" xfId="321" xr:uid="{00000000-0005-0000-0000-000042010000}"/>
    <cellStyle name="Total 4" xfId="322" xr:uid="{00000000-0005-0000-0000-000043010000}"/>
    <cellStyle name="Underline" xfId="323" xr:uid="{00000000-0005-0000-0000-000044010000}"/>
    <cellStyle name="UnderlineDouble" xfId="324" xr:uid="{00000000-0005-0000-0000-000045010000}"/>
    <cellStyle name="Währung [0]_RESULTS" xfId="325" xr:uid="{00000000-0005-0000-0000-000046010000}"/>
    <cellStyle name="Währung_RESULTS" xfId="326" xr:uid="{00000000-0005-0000-0000-000047010000}"/>
    <cellStyle name="표준_BINV" xfId="327" xr:uid="{00000000-0005-0000-0000-000048010000}"/>
    <cellStyle name="標準_99B-05PE_IC2" xfId="328" xr:uid="{00000000-0005-0000-0000-000049010000}"/>
  </cellStyles>
  <dxfs count="0"/>
  <tableStyles count="0" defaultTableStyle="TableStyleMedium2" defaultPivotStyle="PivotStyleLight16"/>
  <colors>
    <mruColors>
      <color rgb="FFBFBFB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6-month Price Earnings Trend</a:t>
            </a:r>
          </a:p>
        </c:rich>
      </c:tx>
      <c:overlay val="0"/>
    </c:title>
    <c:autoTitleDeleted val="0"/>
    <c:plotArea>
      <c:layout/>
      <c:lineChart>
        <c:grouping val="standard"/>
        <c:varyColors val="0"/>
        <c:ser>
          <c:idx val="1"/>
          <c:order val="0"/>
          <c:spPr>
            <a:ln>
              <a:solidFill>
                <a:schemeClr val="accent1"/>
              </a:solidFill>
            </a:ln>
          </c:spPr>
          <c:marker>
            <c:symbol val="none"/>
          </c:marker>
          <c:val>
            <c:numRef>
              <c:f>MU!#REF!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MU!#REF!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MU!#REF!</c15:sqref>
                        </c15:formulaRef>
                      </c:ext>
                    </c:extLst>
                  </c:multiLvlStrRef>
                </c15:cat>
              </c15:filteredCategoryTitle>
            </c:ext>
            <c:ext xmlns:c16="http://schemas.microsoft.com/office/drawing/2014/chart" uri="{C3380CC4-5D6E-409C-BE32-E72D297353CC}">
              <c16:uniqueId val="{00000000-97B1-40DA-AF65-A59B5A4F6F80}"/>
            </c:ext>
          </c:extLst>
        </c:ser>
        <c:dLbls>
          <c:showLegendKey val="0"/>
          <c:showVal val="0"/>
          <c:showCatName val="0"/>
          <c:showSerName val="0"/>
          <c:showPercent val="0"/>
          <c:showBubbleSize val="0"/>
        </c:dLbls>
        <c:smooth val="0"/>
        <c:axId val="83449728"/>
        <c:axId val="132637440"/>
      </c:lineChart>
      <c:catAx>
        <c:axId val="83449728"/>
        <c:scaling>
          <c:orientation val="minMax"/>
          <c:min val="41746"/>
        </c:scaling>
        <c:delete val="0"/>
        <c:axPos val="b"/>
        <c:numFmt formatCode="m/d/yyyy" sourceLinked="1"/>
        <c:majorTickMark val="out"/>
        <c:minorTickMark val="none"/>
        <c:tickLblPos val="nextTo"/>
        <c:txPr>
          <a:bodyPr rot="-5400000" vert="horz"/>
          <a:lstStyle/>
          <a:p>
            <a:pPr>
              <a:defRPr/>
            </a:pPr>
            <a:endParaRPr lang="en-US"/>
          </a:p>
        </c:txPr>
        <c:crossAx val="132637440"/>
        <c:crosses val="autoZero"/>
        <c:auto val="1"/>
        <c:lblAlgn val="ctr"/>
        <c:lblOffset val="100"/>
        <c:tickLblSkip val="7"/>
        <c:noMultiLvlLbl val="1"/>
      </c:catAx>
      <c:valAx>
        <c:axId val="132637440"/>
        <c:scaling>
          <c:orientation val="minMax"/>
        </c:scaling>
        <c:delete val="0"/>
        <c:axPos val="l"/>
        <c:majorGridlines/>
        <c:numFmt formatCode="0.0\x" sourceLinked="0"/>
        <c:majorTickMark val="out"/>
        <c:minorTickMark val="none"/>
        <c:tickLblPos val="nextTo"/>
        <c:crossAx val="83449728"/>
        <c:crosses val="autoZero"/>
        <c:crossBetween val="between"/>
      </c:valAx>
    </c:plotArea>
    <c:legend>
      <c:legendPos val="b"/>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6-month Price Earnings Trend</a:t>
            </a:r>
          </a:p>
        </c:rich>
      </c:tx>
      <c:overlay val="0"/>
    </c:title>
    <c:autoTitleDeleted val="0"/>
    <c:plotArea>
      <c:layout/>
      <c:lineChart>
        <c:grouping val="standard"/>
        <c:varyColors val="0"/>
        <c:ser>
          <c:idx val="1"/>
          <c:order val="0"/>
          <c:spPr>
            <a:ln>
              <a:solidFill>
                <a:schemeClr val="accent1"/>
              </a:solidFill>
            </a:ln>
          </c:spPr>
          <c:marker>
            <c:symbol val="none"/>
          </c:marker>
          <c:val>
            <c:numRef>
              <c:f>MU!#REF!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MU!#REF!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MU!#REF!</c15:sqref>
                        </c15:formulaRef>
                      </c:ext>
                    </c:extLst>
                  </c:multiLvlStrRef>
                </c15:cat>
              </c15:filteredCategoryTitle>
            </c:ext>
            <c:ext xmlns:c16="http://schemas.microsoft.com/office/drawing/2014/chart" uri="{C3380CC4-5D6E-409C-BE32-E72D297353CC}">
              <c16:uniqueId val="{00000000-91A1-432C-9629-C0B8399F17B9}"/>
            </c:ext>
          </c:extLst>
        </c:ser>
        <c:dLbls>
          <c:showLegendKey val="0"/>
          <c:showVal val="0"/>
          <c:showCatName val="0"/>
          <c:showSerName val="0"/>
          <c:showPercent val="0"/>
          <c:showBubbleSize val="0"/>
        </c:dLbls>
        <c:smooth val="0"/>
        <c:axId val="142949760"/>
        <c:axId val="142967936"/>
      </c:lineChart>
      <c:catAx>
        <c:axId val="142949760"/>
        <c:scaling>
          <c:orientation val="minMax"/>
          <c:min val="41746"/>
        </c:scaling>
        <c:delete val="0"/>
        <c:axPos val="b"/>
        <c:numFmt formatCode="m/d/yyyy" sourceLinked="1"/>
        <c:majorTickMark val="out"/>
        <c:minorTickMark val="none"/>
        <c:tickLblPos val="nextTo"/>
        <c:txPr>
          <a:bodyPr rot="-5400000" vert="horz"/>
          <a:lstStyle/>
          <a:p>
            <a:pPr>
              <a:defRPr/>
            </a:pPr>
            <a:endParaRPr lang="en-US"/>
          </a:p>
        </c:txPr>
        <c:crossAx val="142967936"/>
        <c:crosses val="autoZero"/>
        <c:auto val="1"/>
        <c:lblAlgn val="ctr"/>
        <c:lblOffset val="100"/>
        <c:tickLblSkip val="7"/>
        <c:noMultiLvlLbl val="1"/>
      </c:catAx>
      <c:valAx>
        <c:axId val="142967936"/>
        <c:scaling>
          <c:orientation val="minMax"/>
        </c:scaling>
        <c:delete val="0"/>
        <c:axPos val="l"/>
        <c:majorGridlines/>
        <c:numFmt formatCode="0.0\x" sourceLinked="0"/>
        <c:majorTickMark val="out"/>
        <c:minorTickMark val="none"/>
        <c:tickLblPos val="nextTo"/>
        <c:crossAx val="142949760"/>
        <c:crosses val="autoZero"/>
        <c:crossBetween val="between"/>
      </c:valAx>
    </c:plotArea>
    <c:legend>
      <c:legendPos val="b"/>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6-month Price Earnings Trend</a:t>
            </a:r>
          </a:p>
        </c:rich>
      </c:tx>
      <c:overlay val="0"/>
    </c:title>
    <c:autoTitleDeleted val="0"/>
    <c:plotArea>
      <c:layout/>
      <c:lineChart>
        <c:grouping val="standard"/>
        <c:varyColors val="0"/>
        <c:ser>
          <c:idx val="1"/>
          <c:order val="0"/>
          <c:spPr>
            <a:ln>
              <a:solidFill>
                <a:schemeClr val="accent1"/>
              </a:solidFill>
            </a:ln>
          </c:spPr>
          <c:marker>
            <c:symbol val="none"/>
          </c:marker>
          <c:val>
            <c:numRef>
              <c:f>MU!#REF!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MU!#REF!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MU!#REF!</c15:sqref>
                        </c15:formulaRef>
                      </c:ext>
                    </c:extLst>
                  </c:multiLvlStrRef>
                </c15:cat>
              </c15:filteredCategoryTitle>
            </c:ext>
            <c:ext xmlns:c16="http://schemas.microsoft.com/office/drawing/2014/chart" uri="{C3380CC4-5D6E-409C-BE32-E72D297353CC}">
              <c16:uniqueId val="{00000000-A3B3-4E7E-8C1B-5EC41782F9D8}"/>
            </c:ext>
          </c:extLst>
        </c:ser>
        <c:dLbls>
          <c:showLegendKey val="0"/>
          <c:showVal val="0"/>
          <c:showCatName val="0"/>
          <c:showSerName val="0"/>
          <c:showPercent val="0"/>
          <c:showBubbleSize val="0"/>
        </c:dLbls>
        <c:smooth val="0"/>
        <c:axId val="142977664"/>
        <c:axId val="142983552"/>
      </c:lineChart>
      <c:catAx>
        <c:axId val="142977664"/>
        <c:scaling>
          <c:orientation val="minMax"/>
          <c:min val="41746"/>
        </c:scaling>
        <c:delete val="0"/>
        <c:axPos val="b"/>
        <c:numFmt formatCode="m/d/yyyy" sourceLinked="1"/>
        <c:majorTickMark val="out"/>
        <c:minorTickMark val="none"/>
        <c:tickLblPos val="nextTo"/>
        <c:txPr>
          <a:bodyPr rot="-5400000" vert="horz"/>
          <a:lstStyle/>
          <a:p>
            <a:pPr>
              <a:defRPr/>
            </a:pPr>
            <a:endParaRPr lang="en-US"/>
          </a:p>
        </c:txPr>
        <c:crossAx val="142983552"/>
        <c:crosses val="autoZero"/>
        <c:auto val="1"/>
        <c:lblAlgn val="ctr"/>
        <c:lblOffset val="100"/>
        <c:tickLblSkip val="7"/>
        <c:noMultiLvlLbl val="1"/>
      </c:catAx>
      <c:valAx>
        <c:axId val="142983552"/>
        <c:scaling>
          <c:orientation val="minMax"/>
        </c:scaling>
        <c:delete val="0"/>
        <c:axPos val="l"/>
        <c:majorGridlines/>
        <c:numFmt formatCode="0.0\x" sourceLinked="0"/>
        <c:majorTickMark val="out"/>
        <c:minorTickMark val="none"/>
        <c:tickLblPos val="nextTo"/>
        <c:crossAx val="142977664"/>
        <c:crosses val="autoZero"/>
        <c:crossBetween val="between"/>
      </c:valAx>
    </c:plotArea>
    <c:legend>
      <c:legendPos val="b"/>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6-month Price Earnings Trend</a:t>
            </a:r>
          </a:p>
        </c:rich>
      </c:tx>
      <c:overlay val="0"/>
    </c:title>
    <c:autoTitleDeleted val="0"/>
    <c:plotArea>
      <c:layout/>
      <c:lineChart>
        <c:grouping val="standard"/>
        <c:varyColors val="0"/>
        <c:ser>
          <c:idx val="1"/>
          <c:order val="0"/>
          <c:spPr>
            <a:ln>
              <a:solidFill>
                <a:schemeClr val="accent1"/>
              </a:solidFill>
            </a:ln>
          </c:spPr>
          <c:marker>
            <c:symbol val="none"/>
          </c:marker>
          <c:val>
            <c:numRef>
              <c:f>MU!#REF!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MU!#REF!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MU!#REF!</c15:sqref>
                        </c15:formulaRef>
                      </c:ext>
                    </c:extLst>
                  </c:multiLvlStrRef>
                </c15:cat>
              </c15:filteredCategoryTitle>
            </c:ext>
            <c:ext xmlns:c16="http://schemas.microsoft.com/office/drawing/2014/chart" uri="{C3380CC4-5D6E-409C-BE32-E72D297353CC}">
              <c16:uniqueId val="{00000000-358D-4E3E-9B28-09F3A256DAA2}"/>
            </c:ext>
          </c:extLst>
        </c:ser>
        <c:dLbls>
          <c:showLegendKey val="0"/>
          <c:showVal val="0"/>
          <c:showCatName val="0"/>
          <c:showSerName val="0"/>
          <c:showPercent val="0"/>
          <c:showBubbleSize val="0"/>
        </c:dLbls>
        <c:smooth val="0"/>
        <c:axId val="145511168"/>
        <c:axId val="145512704"/>
      </c:lineChart>
      <c:catAx>
        <c:axId val="145511168"/>
        <c:scaling>
          <c:orientation val="minMax"/>
          <c:min val="41746"/>
        </c:scaling>
        <c:delete val="0"/>
        <c:axPos val="b"/>
        <c:numFmt formatCode="m/d/yyyy" sourceLinked="1"/>
        <c:majorTickMark val="out"/>
        <c:minorTickMark val="none"/>
        <c:tickLblPos val="nextTo"/>
        <c:txPr>
          <a:bodyPr rot="-5400000" vert="horz"/>
          <a:lstStyle/>
          <a:p>
            <a:pPr>
              <a:defRPr/>
            </a:pPr>
            <a:endParaRPr lang="en-US"/>
          </a:p>
        </c:txPr>
        <c:crossAx val="145512704"/>
        <c:crosses val="autoZero"/>
        <c:auto val="1"/>
        <c:lblAlgn val="ctr"/>
        <c:lblOffset val="100"/>
        <c:tickLblSkip val="7"/>
        <c:noMultiLvlLbl val="1"/>
      </c:catAx>
      <c:valAx>
        <c:axId val="145512704"/>
        <c:scaling>
          <c:orientation val="minMax"/>
        </c:scaling>
        <c:delete val="0"/>
        <c:axPos val="l"/>
        <c:majorGridlines/>
        <c:numFmt formatCode="0.0\x" sourceLinked="0"/>
        <c:majorTickMark val="out"/>
        <c:minorTickMark val="none"/>
        <c:tickLblPos val="nextTo"/>
        <c:crossAx val="145511168"/>
        <c:crosses val="autoZero"/>
        <c:crossBetween val="between"/>
      </c:valAx>
    </c:plotArea>
    <c:legend>
      <c:legendPos val="b"/>
      <c:overlay val="0"/>
    </c:legend>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6-month Price Earnings Trend</a:t>
            </a:r>
          </a:p>
        </c:rich>
      </c:tx>
      <c:overlay val="0"/>
    </c:title>
    <c:autoTitleDeleted val="0"/>
    <c:plotArea>
      <c:layout/>
      <c:lineChart>
        <c:grouping val="standard"/>
        <c:varyColors val="0"/>
        <c:ser>
          <c:idx val="1"/>
          <c:order val="0"/>
          <c:spPr>
            <a:ln>
              <a:solidFill>
                <a:schemeClr val="accent1"/>
              </a:solidFill>
            </a:ln>
          </c:spPr>
          <c:marker>
            <c:symbol val="none"/>
          </c:marker>
          <c:val>
            <c:numRef>
              <c:f>MU!#REF!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MU!#REF!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MU!#REF!</c15:sqref>
                        </c15:formulaRef>
                      </c:ext>
                    </c:extLst>
                  </c:multiLvlStrRef>
                </c15:cat>
              </c15:filteredCategoryTitle>
            </c:ext>
            <c:ext xmlns:c16="http://schemas.microsoft.com/office/drawing/2014/chart" uri="{C3380CC4-5D6E-409C-BE32-E72D297353CC}">
              <c16:uniqueId val="{00000000-2852-408B-9537-27BFE5BF78CC}"/>
            </c:ext>
          </c:extLst>
        </c:ser>
        <c:dLbls>
          <c:showLegendKey val="0"/>
          <c:showVal val="0"/>
          <c:showCatName val="0"/>
          <c:showSerName val="0"/>
          <c:showPercent val="0"/>
          <c:showBubbleSize val="0"/>
        </c:dLbls>
        <c:smooth val="0"/>
        <c:axId val="221887872"/>
        <c:axId val="221889664"/>
      </c:lineChart>
      <c:catAx>
        <c:axId val="221887872"/>
        <c:scaling>
          <c:orientation val="minMax"/>
          <c:min val="41746"/>
        </c:scaling>
        <c:delete val="0"/>
        <c:axPos val="b"/>
        <c:numFmt formatCode="m/d/yyyy" sourceLinked="1"/>
        <c:majorTickMark val="out"/>
        <c:minorTickMark val="none"/>
        <c:tickLblPos val="nextTo"/>
        <c:txPr>
          <a:bodyPr rot="-5400000" vert="horz"/>
          <a:lstStyle/>
          <a:p>
            <a:pPr>
              <a:defRPr/>
            </a:pPr>
            <a:endParaRPr lang="en-US"/>
          </a:p>
        </c:txPr>
        <c:crossAx val="221889664"/>
        <c:crosses val="autoZero"/>
        <c:auto val="1"/>
        <c:lblAlgn val="ctr"/>
        <c:lblOffset val="100"/>
        <c:tickLblSkip val="7"/>
        <c:noMultiLvlLbl val="1"/>
      </c:catAx>
      <c:valAx>
        <c:axId val="221889664"/>
        <c:scaling>
          <c:orientation val="minMax"/>
        </c:scaling>
        <c:delete val="0"/>
        <c:axPos val="l"/>
        <c:majorGridlines/>
        <c:numFmt formatCode="0.0\x" sourceLinked="0"/>
        <c:majorTickMark val="out"/>
        <c:minorTickMark val="none"/>
        <c:tickLblPos val="nextTo"/>
        <c:crossAx val="221887872"/>
        <c:crosses val="autoZero"/>
        <c:crossBetween val="between"/>
      </c:valAx>
    </c:plotArea>
    <c:legend>
      <c:legendPos val="b"/>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236802</xdr:colOff>
      <xdr:row>67</xdr:row>
      <xdr:rowOff>0</xdr:rowOff>
    </xdr:from>
    <xdr:to>
      <xdr:col>3</xdr:col>
      <xdr:colOff>0</xdr:colOff>
      <xdr:row>67</xdr:row>
      <xdr:rowOff>0</xdr:rowOff>
    </xdr:to>
    <xdr:graphicFrame macro="">
      <xdr:nvGraphicFramePr>
        <xdr:cNvPr id="2" name="Chart 1">
          <a:extLst>
            <a:ext uri="{FF2B5EF4-FFF2-40B4-BE49-F238E27FC236}">
              <a16:creationId xmlns:a16="http://schemas.microsoft.com/office/drawing/2014/main" i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236802</xdr:colOff>
      <xdr:row>128</xdr:row>
      <xdr:rowOff>0</xdr:rowOff>
    </xdr:from>
    <xdr:to>
      <xdr:col>3</xdr:col>
      <xdr:colOff>0</xdr:colOff>
      <xdr:row>128</xdr:row>
      <xdr:rowOff>0</xdr:rowOff>
    </xdr:to>
    <xdr:graphicFrame macro="">
      <xdr:nvGraphicFramePr>
        <xdr:cNvPr id="3" name="Chart 2">
          <a:extLst>
            <a:ext uri="{FF2B5EF4-FFF2-40B4-BE49-F238E27FC236}">
              <a16:creationId xmlns:a16="http://schemas.microsoft.com/office/drawing/2014/main" id="{00000000-0008-0000-00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236802</xdr:colOff>
      <xdr:row>186</xdr:row>
      <xdr:rowOff>0</xdr:rowOff>
    </xdr:from>
    <xdr:to>
      <xdr:col>3</xdr:col>
      <xdr:colOff>0</xdr:colOff>
      <xdr:row>186</xdr:row>
      <xdr:rowOff>0</xdr:rowOff>
    </xdr:to>
    <xdr:graphicFrame macro="">
      <xdr:nvGraphicFramePr>
        <xdr:cNvPr id="4" name="Chart 3">
          <a:extLst>
            <a:ext uri="{FF2B5EF4-FFF2-40B4-BE49-F238E27FC236}">
              <a16:creationId xmlns:a16="http://schemas.microsoft.com/office/drawing/2014/main" id="{00000000-0008-0000-00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236802</xdr:colOff>
      <xdr:row>108</xdr:row>
      <xdr:rowOff>0</xdr:rowOff>
    </xdr:from>
    <xdr:to>
      <xdr:col>3</xdr:col>
      <xdr:colOff>0</xdr:colOff>
      <xdr:row>108</xdr:row>
      <xdr:rowOff>0</xdr:rowOff>
    </xdr:to>
    <xdr:graphicFrame macro="">
      <xdr:nvGraphicFramePr>
        <xdr:cNvPr id="6" name="Chart 5">
          <a:extLst>
            <a:ext uri="{FF2B5EF4-FFF2-40B4-BE49-F238E27FC236}">
              <a16:creationId xmlns:a16="http://schemas.microsoft.com/office/drawing/2014/main" id="{00000000-0008-0000-00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236802</xdr:colOff>
      <xdr:row>52</xdr:row>
      <xdr:rowOff>0</xdr:rowOff>
    </xdr:from>
    <xdr:to>
      <xdr:col>3</xdr:col>
      <xdr:colOff>0</xdr:colOff>
      <xdr:row>52</xdr:row>
      <xdr:rowOff>0</xdr:rowOff>
    </xdr:to>
    <xdr:graphicFrame macro="">
      <xdr:nvGraphicFramePr>
        <xdr:cNvPr id="7" name="Chart 6">
          <a:extLst>
            <a:ext uri="{FF2B5EF4-FFF2-40B4-BE49-F238E27FC236}">
              <a16:creationId xmlns:a16="http://schemas.microsoft.com/office/drawing/2014/main" id="{22156AAC-55F6-4711-AF33-C3946717EA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L239"/>
  <sheetViews>
    <sheetView showGridLines="0" tabSelected="1" zoomScale="60" zoomScaleNormal="60" zoomScalePageLayoutView="85" workbookViewId="0">
      <selection activeCell="AB83" sqref="AB83"/>
    </sheetView>
  </sheetViews>
  <sheetFormatPr defaultRowHeight="14.4" outlineLevelRow="1" outlineLevelCol="1" x14ac:dyDescent="0.3"/>
  <cols>
    <col min="1" max="1" width="1.6640625" customWidth="1"/>
    <col min="2" max="2" width="32.6640625" customWidth="1"/>
    <col min="3" max="3" width="17.88671875" style="24" customWidth="1"/>
    <col min="4" max="7" width="11.5546875" style="1" customWidth="1" outlineLevel="1"/>
    <col min="8" max="8" width="11.5546875" style="1" customWidth="1"/>
    <col min="9" max="12" width="11.5546875" style="1" customWidth="1" outlineLevel="1"/>
    <col min="13" max="13" width="11.5546875" style="1" customWidth="1"/>
    <col min="14" max="15" width="11.5546875" style="1" customWidth="1" outlineLevel="1"/>
    <col min="16" max="16" width="12.33203125" style="1" customWidth="1" outlineLevel="1"/>
    <col min="17" max="17" width="14.5546875" style="4" customWidth="1" outlineLevel="1"/>
    <col min="18" max="18" width="13.77734375" style="4" customWidth="1"/>
    <col min="19" max="20" width="15.109375" style="1" hidden="1" customWidth="1" outlineLevel="1"/>
    <col min="21" max="22" width="15.109375" style="4" hidden="1" customWidth="1" outlineLevel="1"/>
    <col min="23" max="23" width="15.109375" style="4" bestFit="1" customWidth="1" collapsed="1"/>
    <col min="24" max="25" width="15.109375" style="1" hidden="1" customWidth="1" outlineLevel="1"/>
    <col min="26" max="27" width="15.109375" style="4" hidden="1" customWidth="1" outlineLevel="1"/>
    <col min="28" max="28" width="15.109375" style="4" bestFit="1" customWidth="1" collapsed="1"/>
    <col min="29" max="30" width="15.109375" style="1" hidden="1" customWidth="1" outlineLevel="1"/>
    <col min="31" max="32" width="15.109375" style="4" hidden="1" customWidth="1" outlineLevel="1"/>
    <col min="33" max="33" width="15.109375" style="4" bestFit="1" customWidth="1" collapsed="1"/>
    <col min="34" max="35" width="15.109375" style="1" hidden="1" customWidth="1" outlineLevel="1"/>
    <col min="36" max="37" width="15.109375" style="4" hidden="1" customWidth="1" outlineLevel="1"/>
    <col min="38" max="38" width="15.109375" style="4" bestFit="1" customWidth="1" collapsed="1"/>
  </cols>
  <sheetData>
    <row r="1" spans="2:38" s="94" customFormat="1" ht="9" customHeight="1" x14ac:dyDescent="0.3">
      <c r="C1" s="24"/>
      <c r="D1" s="1"/>
      <c r="E1" s="1"/>
      <c r="F1" s="1"/>
      <c r="G1" s="1"/>
      <c r="H1" s="1"/>
      <c r="I1" s="1"/>
      <c r="J1" s="1"/>
      <c r="K1" s="1"/>
      <c r="L1" s="1"/>
      <c r="M1" s="1"/>
      <c r="N1" s="1"/>
      <c r="O1" s="1"/>
      <c r="P1" s="1"/>
      <c r="Q1" s="4"/>
      <c r="R1" s="4"/>
      <c r="S1" s="1"/>
      <c r="T1" s="1"/>
      <c r="U1" s="4"/>
      <c r="V1" s="4"/>
      <c r="W1" s="4"/>
      <c r="X1" s="1"/>
      <c r="Y1" s="1"/>
      <c r="Z1" s="4"/>
      <c r="AA1" s="4"/>
      <c r="AB1" s="4"/>
      <c r="AC1" s="1"/>
      <c r="AD1" s="1"/>
      <c r="AE1" s="4"/>
      <c r="AF1" s="4"/>
      <c r="AG1" s="4"/>
      <c r="AH1" s="1"/>
      <c r="AI1" s="1"/>
      <c r="AJ1" s="4"/>
      <c r="AK1" s="4"/>
      <c r="AL1" s="4"/>
    </row>
    <row r="2" spans="2:38" x14ac:dyDescent="0.3">
      <c r="B2" s="298" t="s">
        <v>218</v>
      </c>
      <c r="C2" s="299"/>
    </row>
    <row r="3" spans="2:38" ht="14.4" customHeight="1" x14ac:dyDescent="0.3">
      <c r="B3" s="210" t="s">
        <v>123</v>
      </c>
      <c r="C3" s="122">
        <f>C205</f>
        <v>141.96066165233418</v>
      </c>
      <c r="D3" s="31"/>
      <c r="E3" s="31"/>
      <c r="F3" s="31"/>
      <c r="G3" s="31"/>
      <c r="H3" s="31"/>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row>
    <row r="4" spans="2:38" ht="14.4" customHeight="1" x14ac:dyDescent="0.3">
      <c r="B4" s="195" t="s">
        <v>124</v>
      </c>
      <c r="C4" s="123">
        <f>C232</f>
        <v>92.441361084054648</v>
      </c>
      <c r="D4" s="49"/>
      <c r="E4" s="31"/>
      <c r="F4" s="31"/>
      <c r="G4" s="31"/>
      <c r="H4" s="31"/>
      <c r="I4" s="31"/>
      <c r="J4" s="31"/>
      <c r="K4" s="31"/>
      <c r="L4" s="31"/>
      <c r="M4" s="31"/>
      <c r="N4" s="31"/>
      <c r="O4" s="31"/>
      <c r="P4" s="31"/>
      <c r="Q4" s="31"/>
      <c r="R4" s="49"/>
      <c r="S4" s="49"/>
      <c r="T4" s="49"/>
      <c r="U4" s="31"/>
      <c r="V4" s="31"/>
      <c r="W4" s="31"/>
      <c r="X4" s="31"/>
      <c r="Y4" s="31"/>
      <c r="Z4" s="31"/>
      <c r="AA4" s="31"/>
      <c r="AB4" s="31"/>
      <c r="AC4" s="31"/>
      <c r="AD4" s="31"/>
      <c r="AE4" s="31"/>
      <c r="AF4" s="31"/>
      <c r="AG4" s="31"/>
      <c r="AH4" s="31"/>
      <c r="AI4" s="31"/>
      <c r="AJ4" s="31"/>
      <c r="AK4" s="31"/>
      <c r="AL4" s="31"/>
    </row>
    <row r="5" spans="2:38" ht="14.4" customHeight="1" x14ac:dyDescent="0.3">
      <c r="B5" s="195" t="s">
        <v>208</v>
      </c>
      <c r="C5" s="201">
        <f>(0.5*C3)+(0.5*C4)</f>
        <v>117.20101136819441</v>
      </c>
      <c r="D5" s="31"/>
      <c r="E5" s="137"/>
      <c r="F5" s="137"/>
      <c r="G5" s="137"/>
      <c r="H5" s="137"/>
      <c r="I5" s="137"/>
      <c r="J5" s="137"/>
      <c r="K5" s="137"/>
      <c r="L5" s="137"/>
      <c r="M5" s="137"/>
      <c r="N5" s="137"/>
      <c r="O5" s="137"/>
      <c r="P5" s="137"/>
      <c r="Q5" s="31"/>
      <c r="R5" s="49"/>
      <c r="S5" s="49"/>
      <c r="T5" s="49"/>
      <c r="U5" s="31"/>
      <c r="V5" s="31"/>
      <c r="W5" s="31"/>
      <c r="X5" s="31"/>
      <c r="Y5" s="31"/>
      <c r="Z5" s="31"/>
      <c r="AA5" s="31"/>
      <c r="AB5" s="31"/>
      <c r="AC5" s="31"/>
      <c r="AD5" s="31"/>
      <c r="AE5" s="31"/>
      <c r="AF5" s="31"/>
      <c r="AG5" s="31"/>
      <c r="AH5" s="31"/>
      <c r="AI5" s="31"/>
      <c r="AJ5" s="31"/>
      <c r="AK5" s="31"/>
      <c r="AL5" s="31"/>
    </row>
    <row r="6" spans="2:38" s="94" customFormat="1" ht="14.4" customHeight="1" x14ac:dyDescent="0.3">
      <c r="B6" s="211" t="s">
        <v>210</v>
      </c>
      <c r="C6" s="202" t="str">
        <f>TEXT(C239,"$0")&amp;" to "&amp;TEXT(C238,"$0")</f>
        <v>$102 to $132</v>
      </c>
      <c r="D6" s="31"/>
      <c r="E6" s="137"/>
      <c r="F6" s="137"/>
      <c r="G6" s="137"/>
      <c r="H6" s="137"/>
      <c r="I6" s="137"/>
      <c r="J6" s="137"/>
      <c r="K6" s="137"/>
      <c r="L6" s="137"/>
      <c r="M6" s="137"/>
      <c r="N6" s="137"/>
      <c r="O6" s="137"/>
      <c r="P6" s="137"/>
      <c r="Q6" s="137"/>
      <c r="R6" s="137"/>
      <c r="S6" s="49"/>
      <c r="T6" s="49"/>
      <c r="U6" s="31"/>
      <c r="V6" s="31"/>
      <c r="W6" s="31"/>
      <c r="X6" s="31"/>
      <c r="Y6" s="31"/>
      <c r="Z6" s="31"/>
      <c r="AA6" s="31"/>
      <c r="AB6" s="31"/>
      <c r="AC6" s="31"/>
      <c r="AD6" s="31"/>
      <c r="AE6" s="31"/>
      <c r="AF6" s="31"/>
      <c r="AG6" s="31"/>
      <c r="AH6" s="31"/>
      <c r="AI6" s="31"/>
      <c r="AJ6" s="31"/>
      <c r="AK6" s="31"/>
      <c r="AL6" s="31"/>
    </row>
    <row r="7" spans="2:38" ht="3.75" customHeight="1" x14ac:dyDescent="0.3">
      <c r="C7" s="58"/>
      <c r="D7" s="48"/>
      <c r="E7" s="193"/>
      <c r="F7" s="193"/>
      <c r="G7" s="193"/>
      <c r="H7" s="193"/>
      <c r="I7" s="193"/>
      <c r="J7" s="193"/>
      <c r="K7" s="193"/>
      <c r="L7" s="193"/>
      <c r="M7" s="193"/>
      <c r="N7" s="193"/>
      <c r="O7" s="193"/>
      <c r="P7" s="193"/>
      <c r="Q7" s="49"/>
      <c r="R7" s="49"/>
      <c r="S7" s="48"/>
      <c r="T7" s="48"/>
      <c r="U7" s="48"/>
      <c r="V7" s="49"/>
      <c r="W7" s="31"/>
      <c r="X7" s="30"/>
      <c r="Y7" s="30"/>
      <c r="Z7" s="30"/>
      <c r="AA7" s="31"/>
      <c r="AB7" s="31"/>
      <c r="AC7" s="30"/>
      <c r="AD7" s="30"/>
      <c r="AE7" s="30"/>
      <c r="AF7" s="31"/>
      <c r="AG7" s="31"/>
      <c r="AH7" s="30"/>
      <c r="AI7" s="30"/>
      <c r="AJ7" s="30"/>
      <c r="AK7" s="31"/>
      <c r="AL7" s="31"/>
    </row>
    <row r="8" spans="2:38" ht="15.6" x14ac:dyDescent="0.3">
      <c r="B8" s="300" t="s">
        <v>277</v>
      </c>
      <c r="C8" s="301"/>
      <c r="D8" s="256" t="s">
        <v>68</v>
      </c>
      <c r="E8" s="256" t="s">
        <v>244</v>
      </c>
      <c r="F8" s="256" t="s">
        <v>245</v>
      </c>
      <c r="G8" s="256" t="s">
        <v>69</v>
      </c>
      <c r="H8" s="256" t="s">
        <v>246</v>
      </c>
      <c r="I8" s="256" t="s">
        <v>70</v>
      </c>
      <c r="J8" s="256" t="s">
        <v>247</v>
      </c>
      <c r="K8" s="256" t="s">
        <v>248</v>
      </c>
      <c r="L8" s="256" t="s">
        <v>71</v>
      </c>
      <c r="M8" s="256" t="s">
        <v>246</v>
      </c>
      <c r="N8" s="256" t="s">
        <v>72</v>
      </c>
      <c r="O8" s="256" t="s">
        <v>249</v>
      </c>
      <c r="P8" s="257" t="s">
        <v>250</v>
      </c>
      <c r="Q8" s="257" t="s">
        <v>129</v>
      </c>
      <c r="R8" s="257" t="s">
        <v>129</v>
      </c>
      <c r="S8" s="97" t="s">
        <v>130</v>
      </c>
      <c r="T8" s="97" t="s">
        <v>131</v>
      </c>
      <c r="U8" s="97" t="s">
        <v>132</v>
      </c>
      <c r="V8" s="97" t="s">
        <v>140</v>
      </c>
      <c r="W8" s="97" t="s">
        <v>140</v>
      </c>
      <c r="X8" s="97" t="s">
        <v>141</v>
      </c>
      <c r="Y8" s="97" t="s">
        <v>142</v>
      </c>
      <c r="Z8" s="97" t="s">
        <v>143</v>
      </c>
      <c r="AA8" s="97" t="s">
        <v>219</v>
      </c>
      <c r="AB8" s="97" t="s">
        <v>219</v>
      </c>
      <c r="AC8" s="97" t="s">
        <v>220</v>
      </c>
      <c r="AD8" s="97" t="s">
        <v>221</v>
      </c>
      <c r="AE8" s="97" t="s">
        <v>222</v>
      </c>
      <c r="AF8" s="97" t="s">
        <v>229</v>
      </c>
      <c r="AG8" s="97" t="s">
        <v>229</v>
      </c>
      <c r="AH8" s="97" t="s">
        <v>231</v>
      </c>
      <c r="AI8" s="97" t="s">
        <v>233</v>
      </c>
      <c r="AJ8" s="97" t="s">
        <v>224</v>
      </c>
      <c r="AK8" s="97" t="s">
        <v>267</v>
      </c>
      <c r="AL8" s="97" t="s">
        <v>267</v>
      </c>
    </row>
    <row r="9" spans="2:38" ht="16.2" x14ac:dyDescent="0.45">
      <c r="B9" s="302" t="s">
        <v>7</v>
      </c>
      <c r="C9" s="303"/>
      <c r="D9" s="77" t="s">
        <v>148</v>
      </c>
      <c r="E9" s="77" t="s">
        <v>196</v>
      </c>
      <c r="F9" s="216" t="s">
        <v>236</v>
      </c>
      <c r="G9" s="216" t="s">
        <v>237</v>
      </c>
      <c r="H9" s="216" t="s">
        <v>238</v>
      </c>
      <c r="I9" s="216" t="s">
        <v>239</v>
      </c>
      <c r="J9" s="216" t="s">
        <v>240</v>
      </c>
      <c r="K9" s="216" t="s">
        <v>241</v>
      </c>
      <c r="L9" s="216" t="s">
        <v>242</v>
      </c>
      <c r="M9" s="216" t="s">
        <v>243</v>
      </c>
      <c r="N9" s="258">
        <v>2019</v>
      </c>
      <c r="O9" s="258">
        <v>2019</v>
      </c>
      <c r="P9" s="259" t="s">
        <v>251</v>
      </c>
      <c r="Q9" s="259" t="s">
        <v>251</v>
      </c>
      <c r="R9" s="259" t="s">
        <v>263</v>
      </c>
      <c r="S9" s="98" t="s">
        <v>128</v>
      </c>
      <c r="T9" s="98" t="s">
        <v>133</v>
      </c>
      <c r="U9" s="98" t="s">
        <v>134</v>
      </c>
      <c r="V9" s="98" t="s">
        <v>135</v>
      </c>
      <c r="W9" s="98" t="s">
        <v>136</v>
      </c>
      <c r="X9" s="98" t="s">
        <v>144</v>
      </c>
      <c r="Y9" s="98" t="s">
        <v>145</v>
      </c>
      <c r="Z9" s="98" t="s">
        <v>146</v>
      </c>
      <c r="AA9" s="98" t="s">
        <v>266</v>
      </c>
      <c r="AB9" s="98" t="s">
        <v>147</v>
      </c>
      <c r="AC9" s="98" t="s">
        <v>265</v>
      </c>
      <c r="AD9" s="98" t="s">
        <v>226</v>
      </c>
      <c r="AE9" s="98" t="s">
        <v>227</v>
      </c>
      <c r="AF9" s="98" t="s">
        <v>228</v>
      </c>
      <c r="AG9" s="98" t="s">
        <v>223</v>
      </c>
      <c r="AH9" s="98" t="s">
        <v>230</v>
      </c>
      <c r="AI9" s="98" t="s">
        <v>232</v>
      </c>
      <c r="AJ9" s="98" t="s">
        <v>234</v>
      </c>
      <c r="AK9" s="98" t="s">
        <v>235</v>
      </c>
      <c r="AL9" s="98" t="s">
        <v>225</v>
      </c>
    </row>
    <row r="10" spans="2:38" x14ac:dyDescent="0.3">
      <c r="B10" s="294" t="s">
        <v>65</v>
      </c>
      <c r="C10" s="295"/>
      <c r="D10" s="89">
        <f>D65</f>
        <v>3440</v>
      </c>
      <c r="E10" s="89">
        <f t="shared" ref="E10:G10" si="0">E65</f>
        <v>3677</v>
      </c>
      <c r="F10" s="89">
        <f t="shared" si="0"/>
        <v>3716</v>
      </c>
      <c r="G10" s="89">
        <f t="shared" si="0"/>
        <v>3652</v>
      </c>
      <c r="H10" s="266">
        <f>SUM(D10:G10)</f>
        <v>14485</v>
      </c>
      <c r="I10" s="89">
        <f>I65</f>
        <v>3511</v>
      </c>
      <c r="J10" s="89">
        <f t="shared" ref="J10:L10" si="1">J65</f>
        <v>3739</v>
      </c>
      <c r="K10" s="89">
        <f t="shared" si="1"/>
        <v>3822</v>
      </c>
      <c r="L10" s="89">
        <f t="shared" si="1"/>
        <v>3842</v>
      </c>
      <c r="M10" s="266">
        <f>SUM(I10:L10)</f>
        <v>14914</v>
      </c>
      <c r="N10" s="89">
        <f>N65</f>
        <v>3696</v>
      </c>
      <c r="O10" s="89">
        <f t="shared" ref="O10:Q10" si="2">O65</f>
        <v>3946</v>
      </c>
      <c r="P10" s="89">
        <f t="shared" si="2"/>
        <v>3931.0236813778251</v>
      </c>
      <c r="Q10" s="89">
        <f t="shared" si="2"/>
        <v>4041.8849945235479</v>
      </c>
      <c r="R10" s="266">
        <f>SUM(N10:Q10)</f>
        <v>15614.908675901373</v>
      </c>
      <c r="S10" s="89">
        <f>S65</f>
        <v>4294.9814867559107</v>
      </c>
      <c r="T10" s="89">
        <f t="shared" ref="T10:V10" si="3">T65</f>
        <v>4598.8380332330453</v>
      </c>
      <c r="U10" s="89">
        <f t="shared" si="3"/>
        <v>4454.666502228747</v>
      </c>
      <c r="V10" s="89">
        <f t="shared" si="3"/>
        <v>4683.8053934347363</v>
      </c>
      <c r="W10" s="266">
        <f>SUM(S10:V10)</f>
        <v>18032.291415652438</v>
      </c>
      <c r="X10" s="89">
        <f>X65</f>
        <v>4521.2906793078437</v>
      </c>
      <c r="Y10" s="89">
        <f t="shared" ref="Y10:AA10" si="4">Y65</f>
        <v>4853.4407272365852</v>
      </c>
      <c r="Z10" s="89">
        <f t="shared" si="4"/>
        <v>4581.7371828628293</v>
      </c>
      <c r="AA10" s="89">
        <f t="shared" si="4"/>
        <v>4927.4863969266862</v>
      </c>
      <c r="AB10" s="266">
        <f>SUM(X10:AA10)</f>
        <v>18883.954986333945</v>
      </c>
      <c r="AC10" s="89">
        <f>AC65</f>
        <v>4759.5244519287353</v>
      </c>
      <c r="AD10" s="89">
        <f t="shared" ref="AD10:AF10" si="5">AD65</f>
        <v>5122.1388365005514</v>
      </c>
      <c r="AE10" s="89">
        <f t="shared" si="5"/>
        <v>4712.4325922771086</v>
      </c>
      <c r="AF10" s="89">
        <f t="shared" si="5"/>
        <v>5183.8452182344818</v>
      </c>
      <c r="AG10" s="266">
        <f>SUM(AC10:AF10)</f>
        <v>19777.941098940875</v>
      </c>
      <c r="AH10" s="89">
        <f>AH65</f>
        <v>5010.3111291166624</v>
      </c>
      <c r="AI10" s="89">
        <f t="shared" ref="AI10:AK10" si="6">AI65</f>
        <v>5405.7127169914884</v>
      </c>
      <c r="AJ10" s="89">
        <f t="shared" si="6"/>
        <v>4846.8561269330221</v>
      </c>
      <c r="AK10" s="89">
        <f t="shared" si="6"/>
        <v>5453.5414371459119</v>
      </c>
      <c r="AL10" s="266">
        <f>SUM(AH10:AK10)</f>
        <v>20716.421410187082</v>
      </c>
    </row>
    <row r="11" spans="2:38" ht="17.25" customHeight="1" x14ac:dyDescent="0.45">
      <c r="B11" s="294" t="s">
        <v>66</v>
      </c>
      <c r="C11" s="295"/>
      <c r="D11" s="266">
        <v>2166</v>
      </c>
      <c r="E11" s="266">
        <v>2290</v>
      </c>
      <c r="F11" s="266">
        <v>2302</v>
      </c>
      <c r="G11" s="266">
        <v>2263</v>
      </c>
      <c r="H11" s="266">
        <f>SUM(D11:G11)</f>
        <v>9021</v>
      </c>
      <c r="I11" s="266">
        <v>2184</v>
      </c>
      <c r="J11" s="266">
        <v>2313</v>
      </c>
      <c r="K11" s="266">
        <v>2373</v>
      </c>
      <c r="L11" s="266">
        <v>2379</v>
      </c>
      <c r="M11" s="266">
        <f>SUM(I11:L11)</f>
        <v>9249</v>
      </c>
      <c r="N11" s="266">
        <v>2298</v>
      </c>
      <c r="O11" s="266">
        <v>2443</v>
      </c>
      <c r="P11" s="32">
        <f>-P10*(P35-1)</f>
        <v>2440.6905274488695</v>
      </c>
      <c r="Q11" s="32">
        <f>-Q10*(Q35-1)</f>
        <v>2502.7705366922232</v>
      </c>
      <c r="R11" s="75">
        <f>SUM(N11:Q11)</f>
        <v>9684.4610641410927</v>
      </c>
      <c r="S11" s="32">
        <f>-S10*(S35-1)</f>
        <v>2670.418684135574</v>
      </c>
      <c r="T11" s="32">
        <f>-T10*(T35-1)</f>
        <v>2847.1772212844221</v>
      </c>
      <c r="U11" s="32">
        <f>-U10*(U35-1)</f>
        <v>2765.809421713453</v>
      </c>
      <c r="V11" s="32">
        <f>-V10*(V35-1)</f>
        <v>2900.2532615776258</v>
      </c>
      <c r="W11" s="75">
        <f>SUM(S11:V11)</f>
        <v>11183.658588711074</v>
      </c>
      <c r="X11" s="32">
        <f>-X10*(X35-1)</f>
        <v>2811.1271593748443</v>
      </c>
      <c r="Y11" s="32">
        <f>-Y10*(Y35-1)</f>
        <v>3004.8037751239171</v>
      </c>
      <c r="Z11" s="32">
        <f>-Z10*(Z35-1)</f>
        <v>2844.7049541950532</v>
      </c>
      <c r="AA11" s="32">
        <f>-AA10*(AA35-1)</f>
        <v>3051.1426700386746</v>
      </c>
      <c r="AB11" s="75">
        <f>SUM(X11:AA11)</f>
        <v>11711.778558732489</v>
      </c>
      <c r="AC11" s="32">
        <f>-AC10*(AC35-1)</f>
        <v>2959.2497809881584</v>
      </c>
      <c r="AD11" s="32">
        <f>-AD10*(AD35-1)</f>
        <v>3171.1569127143553</v>
      </c>
      <c r="AE11" s="32">
        <f>-AE10*(AE35-1)</f>
        <v>2925.8510050951281</v>
      </c>
      <c r="AF11" s="32">
        <f>-AF10*(AF35-1)</f>
        <v>3209.8822941644544</v>
      </c>
      <c r="AG11" s="75">
        <f>SUM(AC11:AF11)</f>
        <v>12266.139992962097</v>
      </c>
      <c r="AH11" s="32">
        <f>-AH10*(AH35-1)</f>
        <v>3115.1772117722103</v>
      </c>
      <c r="AI11" s="32">
        <f>-AI10*(AI35-1)</f>
        <v>3346.7197586442485</v>
      </c>
      <c r="AJ11" s="32">
        <f>-AJ10*(AJ35-1)</f>
        <v>3009.3117711177556</v>
      </c>
      <c r="AK11" s="32">
        <f>-AK10*(AK35-1)</f>
        <v>3376.8805515278827</v>
      </c>
      <c r="AL11" s="75">
        <f>SUM(AH11:AK11)</f>
        <v>12848.089293062098</v>
      </c>
    </row>
    <row r="12" spans="2:38" x14ac:dyDescent="0.3">
      <c r="B12" s="309" t="s">
        <v>0</v>
      </c>
      <c r="C12" s="310"/>
      <c r="D12" s="18">
        <f t="shared" ref="D12:AL12" si="7">D10-D11</f>
        <v>1274</v>
      </c>
      <c r="E12" s="18">
        <f t="shared" si="7"/>
        <v>1387</v>
      </c>
      <c r="F12" s="18">
        <f t="shared" si="7"/>
        <v>1414</v>
      </c>
      <c r="G12" s="18">
        <f t="shared" si="7"/>
        <v>1389</v>
      </c>
      <c r="H12" s="18">
        <f t="shared" si="7"/>
        <v>5464</v>
      </c>
      <c r="I12" s="18">
        <f t="shared" si="7"/>
        <v>1327</v>
      </c>
      <c r="J12" s="18">
        <f t="shared" si="7"/>
        <v>1426</v>
      </c>
      <c r="K12" s="18">
        <f t="shared" si="7"/>
        <v>1449</v>
      </c>
      <c r="L12" s="18">
        <f t="shared" si="7"/>
        <v>1463</v>
      </c>
      <c r="M12" s="18">
        <f t="shared" ref="M12" si="8">M10-M11</f>
        <v>5665</v>
      </c>
      <c r="N12" s="18">
        <f t="shared" si="7"/>
        <v>1398</v>
      </c>
      <c r="O12" s="18">
        <f t="shared" si="7"/>
        <v>1503</v>
      </c>
      <c r="P12" s="18">
        <f t="shared" si="7"/>
        <v>1490.3331539289557</v>
      </c>
      <c r="Q12" s="18">
        <f t="shared" ref="Q12:R12" si="9">Q10-Q11</f>
        <v>1539.1144578313247</v>
      </c>
      <c r="R12" s="18">
        <f t="shared" si="9"/>
        <v>5930.4476117602808</v>
      </c>
      <c r="S12" s="18">
        <f t="shared" si="7"/>
        <v>1624.5628026203367</v>
      </c>
      <c r="T12" s="18">
        <f t="shared" si="7"/>
        <v>1751.6608119486232</v>
      </c>
      <c r="U12" s="18">
        <f t="shared" si="7"/>
        <v>1688.857080515294</v>
      </c>
      <c r="V12" s="18">
        <f t="shared" si="7"/>
        <v>1783.5521318571105</v>
      </c>
      <c r="W12" s="76">
        <f t="shared" si="7"/>
        <v>6848.6328269413643</v>
      </c>
      <c r="X12" s="18">
        <f t="shared" si="7"/>
        <v>1710.1635199329994</v>
      </c>
      <c r="Y12" s="18">
        <f t="shared" si="7"/>
        <v>1848.636952112668</v>
      </c>
      <c r="Z12" s="18">
        <f t="shared" si="7"/>
        <v>1737.0322286677761</v>
      </c>
      <c r="AA12" s="18">
        <f t="shared" si="7"/>
        <v>1876.3437268880116</v>
      </c>
      <c r="AB12" s="76">
        <f t="shared" si="7"/>
        <v>7172.1764276014565</v>
      </c>
      <c r="AC12" s="18">
        <f t="shared" si="7"/>
        <v>1800.2746709405769</v>
      </c>
      <c r="AD12" s="18">
        <f t="shared" si="7"/>
        <v>1950.9819237861961</v>
      </c>
      <c r="AE12" s="18">
        <f t="shared" si="7"/>
        <v>1786.5815871819805</v>
      </c>
      <c r="AF12" s="18">
        <f t="shared" si="7"/>
        <v>1973.9629240700274</v>
      </c>
      <c r="AG12" s="76">
        <f t="shared" si="7"/>
        <v>7511.8011059787787</v>
      </c>
      <c r="AH12" s="18">
        <f t="shared" si="7"/>
        <v>1895.1339173444521</v>
      </c>
      <c r="AI12" s="18">
        <f t="shared" si="7"/>
        <v>2058.9929583472399</v>
      </c>
      <c r="AJ12" s="18">
        <f t="shared" si="7"/>
        <v>1837.5443558152665</v>
      </c>
      <c r="AK12" s="18">
        <f t="shared" si="7"/>
        <v>2076.6608856180292</v>
      </c>
      <c r="AL12" s="76">
        <f t="shared" si="7"/>
        <v>7868.3321171249845</v>
      </c>
    </row>
    <row r="13" spans="2:38" x14ac:dyDescent="0.3">
      <c r="B13" s="294" t="s">
        <v>264</v>
      </c>
      <c r="C13" s="295"/>
      <c r="D13" s="33">
        <v>-2</v>
      </c>
      <c r="E13" s="89">
        <v>5</v>
      </c>
      <c r="F13" s="218">
        <v>7</v>
      </c>
      <c r="G13" s="34">
        <v>-26</v>
      </c>
      <c r="H13" s="19">
        <f>SUM(D13:G13)</f>
        <v>-16</v>
      </c>
      <c r="I13" s="33">
        <v>-1</v>
      </c>
      <c r="J13" s="218">
        <v>-38</v>
      </c>
      <c r="K13" s="218">
        <v>29</v>
      </c>
      <c r="L13" s="34">
        <v>-44</v>
      </c>
      <c r="M13" s="19">
        <f>SUM(I13:L13)</f>
        <v>-54</v>
      </c>
      <c r="N13" s="33">
        <v>2</v>
      </c>
      <c r="O13" s="89">
        <v>7</v>
      </c>
      <c r="P13" s="34">
        <f>P10*P40</f>
        <v>29.827233584499456</v>
      </c>
      <c r="Q13" s="34">
        <f>Q10*Q40</f>
        <v>-46.289156626506013</v>
      </c>
      <c r="R13" s="19">
        <f>SUM(N13:Q13)</f>
        <v>-7.4619230420065605</v>
      </c>
      <c r="S13" s="33">
        <f>S10*S40</f>
        <v>2.3241241811449735</v>
      </c>
      <c r="T13" s="89">
        <f>T10*T40</f>
        <v>8.1581009205857367</v>
      </c>
      <c r="U13" s="89">
        <f>U10*U40</f>
        <v>33.800452267041777</v>
      </c>
      <c r="V13" s="34">
        <f>V10*V40</f>
        <v>-53.640665619762729</v>
      </c>
      <c r="W13" s="19">
        <f>SUM(S13:V13)</f>
        <v>-9.357988250990239</v>
      </c>
      <c r="X13" s="33">
        <f>X10*X40</f>
        <v>2.4465858654263224</v>
      </c>
      <c r="Y13" s="89">
        <f>Y10*Y40</f>
        <v>8.6097529373178148</v>
      </c>
      <c r="Z13" s="53">
        <f>Z10*Z40</f>
        <v>34.764620173475159</v>
      </c>
      <c r="AA13" s="34">
        <f>AA10*AA40</f>
        <v>-56.431390282346221</v>
      </c>
      <c r="AB13" s="19">
        <f>SUM(X13:AA13)</f>
        <v>-10.610431306126927</v>
      </c>
      <c r="AC13" s="33">
        <f>AC10*AC40</f>
        <v>2.5755002445501813</v>
      </c>
      <c r="AD13" s="89">
        <f>AD10*AD40</f>
        <v>9.0864094920182108</v>
      </c>
      <c r="AE13" s="53">
        <f>AE10*AE40</f>
        <v>35.756291254849856</v>
      </c>
      <c r="AF13" s="34">
        <f>AF10*AF40</f>
        <v>-59.367305987068505</v>
      </c>
      <c r="AG13" s="19">
        <f>SUM(AC13:AF13)</f>
        <v>-11.949104995650259</v>
      </c>
      <c r="AH13" s="33">
        <f>AH10*AH40</f>
        <v>2.7112073209505749</v>
      </c>
      <c r="AI13" s="89">
        <f>AI10*AI40</f>
        <v>9.5894548958287942</v>
      </c>
      <c r="AJ13" s="53">
        <f>AJ10*AJ40</f>
        <v>36.776250047372486</v>
      </c>
      <c r="AK13" s="34">
        <f>AK10*AK40</f>
        <v>-62.455966484752764</v>
      </c>
      <c r="AL13" s="19">
        <f>SUM(AH13:AK13)</f>
        <v>-13.379054220600906</v>
      </c>
    </row>
    <row r="14" spans="2:38" ht="16.2" x14ac:dyDescent="0.45">
      <c r="B14" s="294" t="s">
        <v>5</v>
      </c>
      <c r="C14" s="295"/>
      <c r="D14" s="266">
        <v>390</v>
      </c>
      <c r="E14" s="266">
        <v>353</v>
      </c>
      <c r="F14" s="266">
        <v>356</v>
      </c>
      <c r="G14" s="266">
        <v>369</v>
      </c>
      <c r="H14" s="75">
        <f>SUM(D14:G14)</f>
        <v>1468</v>
      </c>
      <c r="I14" s="266">
        <v>373</v>
      </c>
      <c r="J14" s="266">
        <v>365</v>
      </c>
      <c r="K14" s="266">
        <v>345</v>
      </c>
      <c r="L14" s="266">
        <v>370</v>
      </c>
      <c r="M14" s="75">
        <f>SUM(I14:L14)</f>
        <v>1453</v>
      </c>
      <c r="N14" s="266">
        <v>409</v>
      </c>
      <c r="O14" s="266">
        <v>391</v>
      </c>
      <c r="P14" s="36">
        <f>P10*P39</f>
        <v>354.84122712594183</v>
      </c>
      <c r="Q14" s="36">
        <f>Q10*Q39</f>
        <v>389.24972617743691</v>
      </c>
      <c r="R14" s="75">
        <f>SUM(N14:Q14)</f>
        <v>1544.0909533033787</v>
      </c>
      <c r="S14" s="35">
        <f>S10*S39</f>
        <v>475.28339504414708</v>
      </c>
      <c r="T14" s="32">
        <f>T10*T39</f>
        <v>455.68820856414612</v>
      </c>
      <c r="U14" s="32">
        <f>U10*U39</f>
        <v>402.10882869411762</v>
      </c>
      <c r="V14" s="36">
        <f>V10*V39</f>
        <v>451.06923362073201</v>
      </c>
      <c r="W14" s="75">
        <f>SUM(S14:V14)</f>
        <v>1784.1496659231429</v>
      </c>
      <c r="X14" s="35">
        <f>X10*X39</f>
        <v>500.32680947968294</v>
      </c>
      <c r="Y14" s="32">
        <f>Y10*Y39</f>
        <v>480.91619978446647</v>
      </c>
      <c r="Z14" s="32">
        <f>Z10*Z39</f>
        <v>413.57910206375612</v>
      </c>
      <c r="AA14" s="36">
        <f>AA10*AA39</f>
        <v>474.53669101063872</v>
      </c>
      <c r="AB14" s="75">
        <f>SUM(X14:AA14)</f>
        <v>1869.3588023385441</v>
      </c>
      <c r="AC14" s="35">
        <f>AC10*AC39</f>
        <v>526.68980001051216</v>
      </c>
      <c r="AD14" s="32">
        <f>AD10*AD39</f>
        <v>507.54087305416004</v>
      </c>
      <c r="AE14" s="32">
        <f>AE10*AE39</f>
        <v>425.37656837666208</v>
      </c>
      <c r="AF14" s="36">
        <f>AF10*AF39</f>
        <v>499.22507307307603</v>
      </c>
      <c r="AG14" s="75">
        <f>SUM(AC14:AF14)</f>
        <v>1958.8323145144104</v>
      </c>
      <c r="AH14" s="35">
        <f>AH10*AH39</f>
        <v>554.44189713439255</v>
      </c>
      <c r="AI14" s="32">
        <f>AI10*AI39</f>
        <v>535.63955203843682</v>
      </c>
      <c r="AJ14" s="32">
        <f>AJ10*AJ39</f>
        <v>437.51056090839677</v>
      </c>
      <c r="AK14" s="36">
        <f>AK10*AK39</f>
        <v>525.19789998542092</v>
      </c>
      <c r="AL14" s="75">
        <f>SUM(AH14:AK14)</f>
        <v>2052.7899100666468</v>
      </c>
    </row>
    <row r="15" spans="2:38" s="94" customFormat="1" ht="16.2" x14ac:dyDescent="0.45">
      <c r="B15" s="102" t="s">
        <v>125</v>
      </c>
      <c r="C15" s="103"/>
      <c r="D15" s="35">
        <f t="shared" ref="D15:AB15" si="10">SUM(D13:D14)</f>
        <v>388</v>
      </c>
      <c r="E15" s="32">
        <f t="shared" si="10"/>
        <v>358</v>
      </c>
      <c r="F15" s="32">
        <f t="shared" si="10"/>
        <v>363</v>
      </c>
      <c r="G15" s="32">
        <f t="shared" si="10"/>
        <v>343</v>
      </c>
      <c r="H15" s="32">
        <f t="shared" si="10"/>
        <v>1452</v>
      </c>
      <c r="I15" s="32">
        <f t="shared" si="10"/>
        <v>372</v>
      </c>
      <c r="J15" s="32">
        <f t="shared" si="10"/>
        <v>327</v>
      </c>
      <c r="K15" s="32">
        <f t="shared" si="10"/>
        <v>374</v>
      </c>
      <c r="L15" s="32">
        <f t="shared" si="10"/>
        <v>326</v>
      </c>
      <c r="M15" s="32">
        <f t="shared" ref="M15" si="11">SUM(M13:M14)</f>
        <v>1399</v>
      </c>
      <c r="N15" s="32">
        <f t="shared" si="10"/>
        <v>411</v>
      </c>
      <c r="O15" s="32">
        <f t="shared" si="10"/>
        <v>398</v>
      </c>
      <c r="P15" s="32">
        <f t="shared" si="10"/>
        <v>384.66846071044131</v>
      </c>
      <c r="Q15" s="36">
        <f t="shared" ref="Q15:R15" si="12">SUM(Q13:Q14)</f>
        <v>342.96056955093093</v>
      </c>
      <c r="R15" s="32">
        <f t="shared" si="12"/>
        <v>1536.629030261372</v>
      </c>
      <c r="S15" s="35">
        <f t="shared" si="10"/>
        <v>477.60751922529204</v>
      </c>
      <c r="T15" s="32">
        <f t="shared" si="10"/>
        <v>463.84630948473188</v>
      </c>
      <c r="U15" s="32">
        <f t="shared" si="10"/>
        <v>435.90928096115942</v>
      </c>
      <c r="V15" s="36">
        <f t="shared" si="10"/>
        <v>397.42856800096928</v>
      </c>
      <c r="W15" s="75">
        <f t="shared" si="10"/>
        <v>1774.7916776721527</v>
      </c>
      <c r="X15" s="35">
        <f t="shared" si="10"/>
        <v>502.77339534510924</v>
      </c>
      <c r="Y15" s="32">
        <f t="shared" si="10"/>
        <v>489.52595272178428</v>
      </c>
      <c r="Z15" s="32">
        <f t="shared" si="10"/>
        <v>448.3437222372313</v>
      </c>
      <c r="AA15" s="36">
        <f t="shared" si="10"/>
        <v>418.10530072829249</v>
      </c>
      <c r="AB15" s="75">
        <f t="shared" si="10"/>
        <v>1858.7483710324173</v>
      </c>
      <c r="AC15" s="35">
        <f t="shared" ref="AC15:AL15" si="13">SUM(AC13:AC14)</f>
        <v>529.26530025506236</v>
      </c>
      <c r="AD15" s="32">
        <f t="shared" si="13"/>
        <v>516.62728254617821</v>
      </c>
      <c r="AE15" s="32">
        <f t="shared" si="13"/>
        <v>461.13285963151191</v>
      </c>
      <c r="AF15" s="36">
        <f t="shared" si="13"/>
        <v>439.85776708600753</v>
      </c>
      <c r="AG15" s="75">
        <f t="shared" si="13"/>
        <v>1946.8832095187602</v>
      </c>
      <c r="AH15" s="35">
        <f t="shared" si="13"/>
        <v>557.15310445534317</v>
      </c>
      <c r="AI15" s="32">
        <f t="shared" si="13"/>
        <v>545.22900693426561</v>
      </c>
      <c r="AJ15" s="32">
        <f t="shared" si="13"/>
        <v>474.28681095576928</v>
      </c>
      <c r="AK15" s="36">
        <f t="shared" si="13"/>
        <v>462.74193350066815</v>
      </c>
      <c r="AL15" s="75">
        <f t="shared" si="13"/>
        <v>2039.4108558460459</v>
      </c>
    </row>
    <row r="16" spans="2:38" x14ac:dyDescent="0.3">
      <c r="B16" s="309" t="s">
        <v>1</v>
      </c>
      <c r="C16" s="310"/>
      <c r="D16" s="37">
        <f t="shared" ref="D16:O16" si="14">D12-D15-D134</f>
        <v>558</v>
      </c>
      <c r="E16" s="37">
        <f t="shared" si="14"/>
        <v>673</v>
      </c>
      <c r="F16" s="37">
        <f t="shared" si="14"/>
        <v>701</v>
      </c>
      <c r="G16" s="37">
        <f t="shared" si="14"/>
        <v>704</v>
      </c>
      <c r="H16" s="37">
        <f t="shared" si="14"/>
        <v>2636</v>
      </c>
      <c r="I16" s="37">
        <f t="shared" si="14"/>
        <v>608</v>
      </c>
      <c r="J16" s="37">
        <f t="shared" si="14"/>
        <v>715</v>
      </c>
      <c r="K16" s="37">
        <f t="shared" si="14"/>
        <v>699</v>
      </c>
      <c r="L16" s="37">
        <f t="shared" si="14"/>
        <v>767</v>
      </c>
      <c r="M16" s="37">
        <f t="shared" si="14"/>
        <v>2789</v>
      </c>
      <c r="N16" s="37">
        <f t="shared" si="14"/>
        <v>621</v>
      </c>
      <c r="O16" s="37">
        <f t="shared" si="14"/>
        <v>696</v>
      </c>
      <c r="P16" s="37">
        <f t="shared" ref="P16" si="15">P12-P15-P134</f>
        <v>706.5519059663842</v>
      </c>
      <c r="Q16" s="37">
        <f t="shared" ref="Q16" si="16">Q12-Q15-Q134</f>
        <v>794.98315231700201</v>
      </c>
      <c r="R16" s="37">
        <f t="shared" ref="R16" si="17">R12-R15-R134</f>
        <v>2818.5350582833862</v>
      </c>
      <c r="S16" s="37">
        <f t="shared" ref="S16" si="18">S12-S15-S134</f>
        <v>740.33917178770139</v>
      </c>
      <c r="T16" s="37">
        <f t="shared" ref="T16" si="19">T12-T15-T134</f>
        <v>872.08569639554867</v>
      </c>
      <c r="U16" s="37">
        <f t="shared" ref="U16" si="20">U12-U15-U134</f>
        <v>835.69604965900839</v>
      </c>
      <c r="V16" s="37">
        <f t="shared" ref="V16" si="21">V12-V15-V134</f>
        <v>964.40167147071861</v>
      </c>
      <c r="W16" s="37">
        <f t="shared" ref="W16" si="22">W12-W15-W134</f>
        <v>3412.5225893129773</v>
      </c>
      <c r="X16" s="37">
        <f t="shared" ref="X16" si="23">X12-X15-X134</f>
        <v>780.93929950061579</v>
      </c>
      <c r="Y16" s="37">
        <f t="shared" ref="Y16" si="24">Y12-Y15-Y134</f>
        <v>927.97475973305882</v>
      </c>
      <c r="Z16" s="37">
        <f t="shared" ref="Z16" si="25">Z12-Z15-Z134</f>
        <v>853.8895593623937</v>
      </c>
      <c r="AA16" s="37">
        <f t="shared" ref="AA16" si="26">AA12-AA15-AA134</f>
        <v>1019.0723070129982</v>
      </c>
      <c r="AB16" s="37">
        <f t="shared" ref="AB16" si="27">AB12-AB15-AB134</f>
        <v>3581.875925609068</v>
      </c>
      <c r="AC16" s="37">
        <f t="shared" ref="AC16" si="28">AC12-AC15-AC134</f>
        <v>827.88855650284563</v>
      </c>
      <c r="AD16" s="37">
        <f t="shared" ref="AD16" si="29">AD12-AD15-AD134</f>
        <v>987.33588477757576</v>
      </c>
      <c r="AE16" s="37">
        <f t="shared" ref="AE16" si="30">AE12-AE15-AE134</f>
        <v>874.59495990616415</v>
      </c>
      <c r="AF16" s="37">
        <f t="shared" ref="AF16" si="31">AF12-AF15-AF134</f>
        <v>1079.2310972869739</v>
      </c>
      <c r="AG16" s="37">
        <f t="shared" ref="AG16" si="32">AG12-AG15-AG134</f>
        <v>3769.0504984735571</v>
      </c>
      <c r="AH16" s="37">
        <f t="shared" ref="AH16" si="33">AH12-AH15-AH134</f>
        <v>879.56798397571959</v>
      </c>
      <c r="AI16" s="37">
        <f t="shared" ref="AI16" si="34">AI12-AI15-AI134</f>
        <v>1051.774746242796</v>
      </c>
      <c r="AJ16" s="37">
        <f t="shared" ref="AJ16" si="35">AJ12-AJ15-AJ134</f>
        <v>897.63281378820932</v>
      </c>
      <c r="AK16" s="37">
        <f t="shared" ref="AK16" si="36">AK12-AK15-AK134</f>
        <v>1144.5707713635188</v>
      </c>
      <c r="AL16" s="37">
        <f t="shared" ref="AL16" si="37">AL12-AL15-AL134</f>
        <v>3973.5463153702412</v>
      </c>
    </row>
    <row r="17" spans="2:38" s="200" customFormat="1" x14ac:dyDescent="0.3">
      <c r="B17" s="198" t="s">
        <v>197</v>
      </c>
      <c r="C17" s="199"/>
      <c r="D17" s="196">
        <f t="shared" ref="D17:AL17" si="38">+D16+D134</f>
        <v>886</v>
      </c>
      <c r="E17" s="196">
        <f t="shared" si="38"/>
        <v>1029</v>
      </c>
      <c r="F17" s="196">
        <f t="shared" si="38"/>
        <v>1051</v>
      </c>
      <c r="G17" s="196">
        <f t="shared" si="38"/>
        <v>1046</v>
      </c>
      <c r="H17" s="196">
        <f t="shared" si="38"/>
        <v>4012</v>
      </c>
      <c r="I17" s="196">
        <f t="shared" si="38"/>
        <v>955</v>
      </c>
      <c r="J17" s="196">
        <f t="shared" si="38"/>
        <v>1099</v>
      </c>
      <c r="K17" s="196">
        <f t="shared" si="38"/>
        <v>1075</v>
      </c>
      <c r="L17" s="196">
        <f t="shared" si="38"/>
        <v>1137</v>
      </c>
      <c r="M17" s="196">
        <f t="shared" si="38"/>
        <v>4266</v>
      </c>
      <c r="N17" s="196">
        <f t="shared" si="38"/>
        <v>987</v>
      </c>
      <c r="O17" s="196">
        <f t="shared" si="38"/>
        <v>1105</v>
      </c>
      <c r="P17" s="196">
        <f t="shared" si="38"/>
        <v>1105.6646932185145</v>
      </c>
      <c r="Q17" s="196">
        <f t="shared" si="38"/>
        <v>1196.1538882803939</v>
      </c>
      <c r="R17" s="196">
        <f t="shared" si="38"/>
        <v>4393.8185814989083</v>
      </c>
      <c r="S17" s="196">
        <f t="shared" si="38"/>
        <v>1146.9552833950447</v>
      </c>
      <c r="T17" s="196">
        <f t="shared" si="38"/>
        <v>1287.8145024638914</v>
      </c>
      <c r="U17" s="196">
        <f t="shared" si="38"/>
        <v>1252.9477995541347</v>
      </c>
      <c r="V17" s="196">
        <f t="shared" si="38"/>
        <v>1386.1235638561411</v>
      </c>
      <c r="W17" s="197">
        <f t="shared" si="38"/>
        <v>5073.8411492692121</v>
      </c>
      <c r="X17" s="196">
        <f t="shared" si="38"/>
        <v>1207.3901245878901</v>
      </c>
      <c r="Y17" s="196">
        <f t="shared" si="38"/>
        <v>1359.1109993908838</v>
      </c>
      <c r="Z17" s="196">
        <f t="shared" si="38"/>
        <v>1288.6885064305447</v>
      </c>
      <c r="AA17" s="196">
        <f t="shared" si="38"/>
        <v>1458.238426159719</v>
      </c>
      <c r="AB17" s="197">
        <f t="shared" si="38"/>
        <v>5313.4280565690387</v>
      </c>
      <c r="AC17" s="196">
        <f t="shared" si="38"/>
        <v>1271.0093706855146</v>
      </c>
      <c r="AD17" s="196">
        <f t="shared" si="38"/>
        <v>1434.3546412400178</v>
      </c>
      <c r="AE17" s="196">
        <f t="shared" si="38"/>
        <v>1325.4487275504684</v>
      </c>
      <c r="AF17" s="196">
        <f t="shared" si="38"/>
        <v>1534.1051569840199</v>
      </c>
      <c r="AG17" s="197">
        <f t="shared" si="38"/>
        <v>5564.9178964600187</v>
      </c>
      <c r="AH17" s="196">
        <f t="shared" si="38"/>
        <v>1337.9808128891091</v>
      </c>
      <c r="AI17" s="196">
        <f t="shared" si="38"/>
        <v>1513.7639514129742</v>
      </c>
      <c r="AJ17" s="196">
        <f t="shared" si="38"/>
        <v>1363.2575448594971</v>
      </c>
      <c r="AK17" s="196">
        <f t="shared" si="38"/>
        <v>1613.918952117361</v>
      </c>
      <c r="AL17" s="197">
        <f t="shared" si="38"/>
        <v>5828.9212612789388</v>
      </c>
    </row>
    <row r="18" spans="2:38" s="24" customFormat="1" x14ac:dyDescent="0.3">
      <c r="B18" s="188" t="s">
        <v>186</v>
      </c>
      <c r="C18" s="189"/>
      <c r="D18" s="169"/>
      <c r="E18" s="169"/>
      <c r="F18" s="169"/>
      <c r="G18" s="169"/>
      <c r="H18" s="170">
        <f>SUM(D18:G18)</f>
        <v>0</v>
      </c>
      <c r="I18" s="169"/>
      <c r="J18" s="169"/>
      <c r="K18" s="169"/>
      <c r="L18" s="169"/>
      <c r="M18" s="170">
        <f>SUM(I18:L18)</f>
        <v>0</v>
      </c>
      <c r="N18" s="169"/>
      <c r="O18" s="169"/>
      <c r="P18" s="169"/>
      <c r="Q18" s="169"/>
      <c r="R18" s="170">
        <f>SUM(N18:Q18)</f>
        <v>0</v>
      </c>
      <c r="S18" s="169"/>
      <c r="T18" s="169"/>
      <c r="U18" s="169"/>
      <c r="V18" s="169"/>
      <c r="W18" s="170">
        <f t="shared" ref="W18:W19" si="39">SUM(S18:V18)</f>
        <v>0</v>
      </c>
      <c r="X18" s="169"/>
      <c r="Y18" s="169"/>
      <c r="Z18" s="169"/>
      <c r="AA18" s="169"/>
      <c r="AB18" s="170">
        <f t="shared" ref="AB18:AB19" si="40">SUM(X18:AA18)</f>
        <v>0</v>
      </c>
      <c r="AC18" s="169"/>
      <c r="AD18" s="169"/>
      <c r="AE18" s="169"/>
      <c r="AF18" s="169"/>
      <c r="AG18" s="170">
        <f t="shared" ref="AG18:AG19" si="41">SUM(AC18:AF18)</f>
        <v>0</v>
      </c>
      <c r="AH18" s="169"/>
      <c r="AI18" s="169"/>
      <c r="AJ18" s="169"/>
      <c r="AK18" s="169"/>
      <c r="AL18" s="170">
        <f t="shared" ref="AL18:AL19" si="42">SUM(AH18:AK18)</f>
        <v>0</v>
      </c>
    </row>
    <row r="19" spans="2:38" s="24" customFormat="1" x14ac:dyDescent="0.3">
      <c r="B19" s="149" t="s">
        <v>187</v>
      </c>
      <c r="C19" s="150"/>
      <c r="D19" s="266">
        <v>-92</v>
      </c>
      <c r="E19" s="266">
        <v>-90</v>
      </c>
      <c r="F19" s="266">
        <v>-90</v>
      </c>
      <c r="G19" s="266">
        <v>-91</v>
      </c>
      <c r="H19" s="19">
        <f t="shared" ref="H19:H20" si="43">SUM(D19:G19)</f>
        <v>-363</v>
      </c>
      <c r="I19" s="266">
        <v>-91</v>
      </c>
      <c r="J19" s="266">
        <v>-93</v>
      </c>
      <c r="K19" s="266">
        <v>-93</v>
      </c>
      <c r="L19" s="266">
        <v>-97</v>
      </c>
      <c r="M19" s="19">
        <f t="shared" ref="M19:M20" si="44">SUM(I19:L19)</f>
        <v>-374</v>
      </c>
      <c r="N19" s="266">
        <v>-96</v>
      </c>
      <c r="O19" s="266">
        <v>-100</v>
      </c>
      <c r="P19" s="89">
        <f>+P43*((O89+O92))</f>
        <v>-81.379681961065216</v>
      </c>
      <c r="Q19" s="89">
        <f>+Q43*((P89+P92))</f>
        <v>-84.403949747577428</v>
      </c>
      <c r="R19" s="19">
        <f t="shared" ref="R19:R20" si="45">SUM(N19:Q19)</f>
        <v>-361.78363170864264</v>
      </c>
      <c r="S19" s="89">
        <f>+S43*((Q89+Q92))</f>
        <v>-84.490698421574251</v>
      </c>
      <c r="T19" s="89">
        <f>+T43*((S89+S92))</f>
        <v>-77.618335043580927</v>
      </c>
      <c r="U19" s="89">
        <f>+U43*((T89+T92))</f>
        <v>-82.653120587348681</v>
      </c>
      <c r="V19" s="89">
        <f>+V43*((U89+U92))</f>
        <v>-85.365294304569346</v>
      </c>
      <c r="W19" s="19">
        <f t="shared" si="39"/>
        <v>-330.12744835707315</v>
      </c>
      <c r="X19" s="89">
        <f>+X43*((V89+V92))</f>
        <v>-89.554087853093264</v>
      </c>
      <c r="Y19" s="89">
        <f>+Y43*((X89+X92))</f>
        <v>-91.004496999688214</v>
      </c>
      <c r="Z19" s="89">
        <f>+Z43*((Y89+Y92))</f>
        <v>-94.916029887272472</v>
      </c>
      <c r="AA19" s="89">
        <f>+AA43*((Z89+Z92))</f>
        <v>-99.340171000247636</v>
      </c>
      <c r="AB19" s="19">
        <f t="shared" si="40"/>
        <v>-374.81478574030155</v>
      </c>
      <c r="AC19" s="89">
        <f>+AC43*((AA89+AA92))</f>
        <v>-103.26577942602098</v>
      </c>
      <c r="AD19" s="89">
        <f>+AD43*((AC89+AC92))</f>
        <v>-104.63853798574308</v>
      </c>
      <c r="AE19" s="89">
        <f>+AE43*((AD89+AD92))</f>
        <v>-108.86680096055154</v>
      </c>
      <c r="AF19" s="89">
        <f>+AF43*((AE89+AE92))</f>
        <v>-113.70812331878281</v>
      </c>
      <c r="AG19" s="19">
        <f t="shared" si="41"/>
        <v>-430.47924169109842</v>
      </c>
      <c r="AH19" s="89">
        <f>+AH43*((AF89+AF92))</f>
        <v>-118.12012130362636</v>
      </c>
      <c r="AI19" s="89">
        <f>+AI43*((AH89+AH92))</f>
        <v>-119.70730179128908</v>
      </c>
      <c r="AJ19" s="89">
        <f>+AJ43*((AI89+AI92))</f>
        <v>-124.42129775777555</v>
      </c>
      <c r="AK19" s="89">
        <f>+AK43*((AJ89+AJ92))</f>
        <v>-129.43098657471324</v>
      </c>
      <c r="AL19" s="19">
        <f t="shared" si="42"/>
        <v>-491.67970742740425</v>
      </c>
    </row>
    <row r="20" spans="2:38" s="24" customFormat="1" ht="16.2" x14ac:dyDescent="0.45">
      <c r="B20" s="155" t="s">
        <v>188</v>
      </c>
      <c r="C20" s="156"/>
      <c r="D20" s="190">
        <v>-32</v>
      </c>
      <c r="E20" s="190">
        <v>-13</v>
      </c>
      <c r="F20" s="190">
        <v>-8</v>
      </c>
      <c r="G20" s="190">
        <v>-29</v>
      </c>
      <c r="H20" s="191">
        <f t="shared" si="43"/>
        <v>-82</v>
      </c>
      <c r="I20" s="190">
        <v>-6</v>
      </c>
      <c r="J20" s="190">
        <v>-13</v>
      </c>
      <c r="K20" s="190">
        <v>-9</v>
      </c>
      <c r="L20" s="190">
        <v>-11</v>
      </c>
      <c r="M20" s="191">
        <f t="shared" si="44"/>
        <v>-39</v>
      </c>
      <c r="N20" s="190">
        <v>-63</v>
      </c>
      <c r="O20" s="190">
        <v>-99</v>
      </c>
      <c r="P20" s="190">
        <f>AVERAGE(O20,M20,N20,K20)</f>
        <v>-52.5</v>
      </c>
      <c r="Q20" s="190">
        <f>AVERAGE(P20,N20,O20,L20)</f>
        <v>-56.375</v>
      </c>
      <c r="R20" s="191">
        <f t="shared" si="45"/>
        <v>-270.875</v>
      </c>
      <c r="S20" s="190">
        <f>AVERAGE(Q20,O20,P20,N20)</f>
        <v>-67.71875</v>
      </c>
      <c r="T20" s="190">
        <f>AVERAGE(S20,Q20,P20,O20)</f>
        <v>-68.8984375</v>
      </c>
      <c r="U20" s="190">
        <f>AVERAGE(T20,S20,Q20,P20)</f>
        <v>-61.373046875</v>
      </c>
      <c r="V20" s="190">
        <f>AVERAGE(U20,S20,T20,Q20)</f>
        <v>-63.59130859375</v>
      </c>
      <c r="W20" s="191">
        <f>SUM(S20:V20)</f>
        <v>-261.58154296875</v>
      </c>
      <c r="X20" s="190">
        <f>AVERAGE(V20,U20,T20,S20)</f>
        <v>-65.3953857421875</v>
      </c>
      <c r="Y20" s="190">
        <f>AVERAGE(X20,V20,U20,T20)</f>
        <v>-64.814544677734375</v>
      </c>
      <c r="Z20" s="190">
        <f>AVERAGE(Y20,X20,V20,U20)</f>
        <v>-63.793571472167969</v>
      </c>
      <c r="AA20" s="190">
        <f>AVERAGE(Z20,X20,Y20,V20)</f>
        <v>-64.398702621459961</v>
      </c>
      <c r="AB20" s="191">
        <f>SUM(X20:AA20)</f>
        <v>-258.4022045135498</v>
      </c>
      <c r="AC20" s="190">
        <f>AVERAGE(AA20,Z20,Y20,X20)</f>
        <v>-64.600551128387451</v>
      </c>
      <c r="AD20" s="190">
        <f>AVERAGE(AC20,AA20,Z20,Y20)</f>
        <v>-64.401842474937439</v>
      </c>
      <c r="AE20" s="190">
        <f>AVERAGE(AD20,AC20,AA20,Z20)</f>
        <v>-64.298666924238205</v>
      </c>
      <c r="AF20" s="190">
        <f>AVERAGE(AE20,AC20,AD20,AA20)</f>
        <v>-64.424940787255764</v>
      </c>
      <c r="AG20" s="191">
        <f>SUM(AC20:AF20)</f>
        <v>-257.72600131481886</v>
      </c>
      <c r="AH20" s="190">
        <f>AVERAGE(AF20,AE20,AD20,AC20)</f>
        <v>-64.431500328704715</v>
      </c>
      <c r="AI20" s="190">
        <f>AVERAGE(AH20,AF20,AE20,AD20)</f>
        <v>-64.389237628784031</v>
      </c>
      <c r="AJ20" s="190">
        <f>AVERAGE(AI20,AH20,AF20,AE20)</f>
        <v>-64.386086417245679</v>
      </c>
      <c r="AK20" s="190">
        <f>AVERAGE(AJ20,AH20,AI20,AF20)</f>
        <v>-64.407941290497547</v>
      </c>
      <c r="AL20" s="191">
        <f>SUM(AH20:AK20)</f>
        <v>-257.61476566523197</v>
      </c>
    </row>
    <row r="21" spans="2:38" s="95" customFormat="1" ht="16.2" x14ac:dyDescent="0.45">
      <c r="B21" s="309" t="s">
        <v>189</v>
      </c>
      <c r="C21" s="310"/>
      <c r="D21" s="186">
        <f>SUM(D18:D20)</f>
        <v>-124</v>
      </c>
      <c r="E21" s="186">
        <f>SUM(E18:E20)</f>
        <v>-103</v>
      </c>
      <c r="F21" s="186">
        <f t="shared" ref="F21:H21" si="46">SUM(F18:F20)</f>
        <v>-98</v>
      </c>
      <c r="G21" s="186">
        <f t="shared" si="46"/>
        <v>-120</v>
      </c>
      <c r="H21" s="186">
        <f t="shared" si="46"/>
        <v>-445</v>
      </c>
      <c r="I21" s="186">
        <f t="shared" ref="I21" si="47">SUM(I18:I20)</f>
        <v>-97</v>
      </c>
      <c r="J21" s="186">
        <f t="shared" ref="J21" si="48">SUM(J18:J20)</f>
        <v>-106</v>
      </c>
      <c r="K21" s="186">
        <f t="shared" ref="K21" si="49">SUM(K18:K20)</f>
        <v>-102</v>
      </c>
      <c r="L21" s="186">
        <f t="shared" ref="L21:M21" si="50">SUM(L18:L20)</f>
        <v>-108</v>
      </c>
      <c r="M21" s="186">
        <f t="shared" si="50"/>
        <v>-413</v>
      </c>
      <c r="N21" s="186">
        <f t="shared" ref="N21" si="51">SUM(N18:N20)</f>
        <v>-159</v>
      </c>
      <c r="O21" s="186">
        <f t="shared" ref="O21" si="52">SUM(O18:O20)</f>
        <v>-199</v>
      </c>
      <c r="P21" s="186">
        <f t="shared" ref="P21:R21" si="53">SUM(P18:P20)</f>
        <v>-133.87968196106522</v>
      </c>
      <c r="Q21" s="186">
        <f t="shared" si="53"/>
        <v>-140.77894974757743</v>
      </c>
      <c r="R21" s="186">
        <f t="shared" si="53"/>
        <v>-632.65863170864259</v>
      </c>
      <c r="S21" s="186">
        <f t="shared" ref="S21:AL21" si="54">SUM(S18:S20)</f>
        <v>-152.20944842157425</v>
      </c>
      <c r="T21" s="186">
        <f t="shared" si="54"/>
        <v>-146.51677254358094</v>
      </c>
      <c r="U21" s="186">
        <f t="shared" si="54"/>
        <v>-144.02616746234867</v>
      </c>
      <c r="V21" s="186">
        <f t="shared" si="54"/>
        <v>-148.95660289831935</v>
      </c>
      <c r="W21" s="187">
        <f t="shared" si="54"/>
        <v>-591.70899132582315</v>
      </c>
      <c r="X21" s="186">
        <f t="shared" si="54"/>
        <v>-154.94947359528078</v>
      </c>
      <c r="Y21" s="186">
        <f t="shared" si="54"/>
        <v>-155.8190416774226</v>
      </c>
      <c r="Z21" s="186">
        <f t="shared" si="54"/>
        <v>-158.70960135944046</v>
      </c>
      <c r="AA21" s="186">
        <f t="shared" si="54"/>
        <v>-163.7388736217076</v>
      </c>
      <c r="AB21" s="187">
        <f t="shared" si="54"/>
        <v>-633.21699025385135</v>
      </c>
      <c r="AC21" s="186">
        <f t="shared" si="54"/>
        <v>-167.86633055440842</v>
      </c>
      <c r="AD21" s="186">
        <f t="shared" si="54"/>
        <v>-169.04038046068052</v>
      </c>
      <c r="AE21" s="186">
        <f t="shared" si="54"/>
        <v>-173.16546788478973</v>
      </c>
      <c r="AF21" s="186">
        <f t="shared" si="54"/>
        <v>-178.13306410603857</v>
      </c>
      <c r="AG21" s="187">
        <f t="shared" si="54"/>
        <v>-688.20524300591728</v>
      </c>
      <c r="AH21" s="186">
        <f t="shared" si="54"/>
        <v>-182.55162163233109</v>
      </c>
      <c r="AI21" s="186">
        <f t="shared" si="54"/>
        <v>-184.0965394200731</v>
      </c>
      <c r="AJ21" s="186">
        <f t="shared" si="54"/>
        <v>-188.80738417502124</v>
      </c>
      <c r="AK21" s="186">
        <f t="shared" si="54"/>
        <v>-193.83892786521079</v>
      </c>
      <c r="AL21" s="187">
        <f t="shared" si="54"/>
        <v>-749.29447309263628</v>
      </c>
    </row>
    <row r="22" spans="2:38" x14ac:dyDescent="0.3">
      <c r="B22" s="309" t="s">
        <v>2</v>
      </c>
      <c r="C22" s="310"/>
      <c r="D22" s="18">
        <f t="shared" ref="D22:AB22" si="55">D16+D21</f>
        <v>434</v>
      </c>
      <c r="E22" s="18">
        <f t="shared" si="55"/>
        <v>570</v>
      </c>
      <c r="F22" s="18">
        <f t="shared" si="55"/>
        <v>603</v>
      </c>
      <c r="G22" s="18">
        <f t="shared" si="55"/>
        <v>584</v>
      </c>
      <c r="H22" s="18">
        <f t="shared" si="55"/>
        <v>2191</v>
      </c>
      <c r="I22" s="18">
        <f t="shared" ref="I22:Q22" si="56">I16+I21</f>
        <v>511</v>
      </c>
      <c r="J22" s="18">
        <f t="shared" si="56"/>
        <v>609</v>
      </c>
      <c r="K22" s="18">
        <f t="shared" si="56"/>
        <v>597</v>
      </c>
      <c r="L22" s="18">
        <f t="shared" si="56"/>
        <v>659</v>
      </c>
      <c r="M22" s="18">
        <f t="shared" si="56"/>
        <v>2376</v>
      </c>
      <c r="N22" s="18">
        <f t="shared" si="56"/>
        <v>462</v>
      </c>
      <c r="O22" s="18">
        <f t="shared" si="56"/>
        <v>497</v>
      </c>
      <c r="P22" s="18">
        <f t="shared" si="56"/>
        <v>572.67222400531898</v>
      </c>
      <c r="Q22" s="18">
        <f t="shared" si="56"/>
        <v>654.20420256942452</v>
      </c>
      <c r="R22" s="18">
        <f t="shared" ref="R22" si="57">R16+R21</f>
        <v>2185.8764265747436</v>
      </c>
      <c r="S22" s="18">
        <f t="shared" si="55"/>
        <v>588.12972336612711</v>
      </c>
      <c r="T22" s="18">
        <f t="shared" si="55"/>
        <v>725.56892385196772</v>
      </c>
      <c r="U22" s="18">
        <f t="shared" si="55"/>
        <v>691.66988219665973</v>
      </c>
      <c r="V22" s="18">
        <f t="shared" si="55"/>
        <v>815.44506857239924</v>
      </c>
      <c r="W22" s="76">
        <f t="shared" si="55"/>
        <v>2820.813597987154</v>
      </c>
      <c r="X22" s="18">
        <f t="shared" si="55"/>
        <v>625.98982590533501</v>
      </c>
      <c r="Y22" s="18">
        <f t="shared" si="55"/>
        <v>772.15571805563627</v>
      </c>
      <c r="Z22" s="18">
        <f t="shared" si="55"/>
        <v>695.1799580029533</v>
      </c>
      <c r="AA22" s="18">
        <f t="shared" si="55"/>
        <v>855.33343339129055</v>
      </c>
      <c r="AB22" s="76">
        <f t="shared" si="55"/>
        <v>2948.6589353552167</v>
      </c>
      <c r="AC22" s="18">
        <f t="shared" ref="AC22:AL22" si="58">AC16+AC21</f>
        <v>660.02222594843715</v>
      </c>
      <c r="AD22" s="18">
        <f t="shared" si="58"/>
        <v>818.29550431689518</v>
      </c>
      <c r="AE22" s="18">
        <f t="shared" si="58"/>
        <v>701.42949202137447</v>
      </c>
      <c r="AF22" s="18">
        <f t="shared" si="58"/>
        <v>901.09803318093532</v>
      </c>
      <c r="AG22" s="76">
        <f t="shared" si="58"/>
        <v>3080.8452554676396</v>
      </c>
      <c r="AH22" s="18">
        <f t="shared" si="58"/>
        <v>697.01636234338844</v>
      </c>
      <c r="AI22" s="18">
        <f t="shared" si="58"/>
        <v>867.67820682272293</v>
      </c>
      <c r="AJ22" s="18">
        <f t="shared" si="58"/>
        <v>708.82542961318813</v>
      </c>
      <c r="AK22" s="18">
        <f t="shared" si="58"/>
        <v>950.73184349830808</v>
      </c>
      <c r="AL22" s="76">
        <f t="shared" si="58"/>
        <v>3224.2518422776047</v>
      </c>
    </row>
    <row r="23" spans="2:38" ht="16.2" x14ac:dyDescent="0.45">
      <c r="B23" s="294" t="s">
        <v>67</v>
      </c>
      <c r="C23" s="295"/>
      <c r="D23" s="266">
        <v>137</v>
      </c>
      <c r="E23" s="266">
        <v>209</v>
      </c>
      <c r="F23" s="266">
        <v>215</v>
      </c>
      <c r="G23" s="266">
        <v>-319</v>
      </c>
      <c r="H23" s="75">
        <f>SUM(D23:G23)</f>
        <v>242</v>
      </c>
      <c r="I23" s="266">
        <v>116</v>
      </c>
      <c r="J23" s="266">
        <v>110</v>
      </c>
      <c r="K23" s="266">
        <v>99</v>
      </c>
      <c r="L23" s="266">
        <v>128</v>
      </c>
      <c r="M23" s="75">
        <f>SUM(I23:L23)</f>
        <v>453</v>
      </c>
      <c r="N23" s="266">
        <v>115</v>
      </c>
      <c r="O23" s="266">
        <v>115</v>
      </c>
      <c r="P23" s="32">
        <f>P22*P38</f>
        <v>109.18371947576158</v>
      </c>
      <c r="Q23" s="32">
        <f>Q22*Q38</f>
        <v>127.06849458101114</v>
      </c>
      <c r="R23" s="75">
        <f>SUM(N23:Q23)</f>
        <v>466.25221405677269</v>
      </c>
      <c r="S23" s="32">
        <f>S22*S38</f>
        <v>146.39592681191476</v>
      </c>
      <c r="T23" s="32">
        <f>T22*T38</f>
        <v>167.88818157540499</v>
      </c>
      <c r="U23" s="32">
        <f>U22*U38</f>
        <v>131.87140430769648</v>
      </c>
      <c r="V23" s="32">
        <f>V22*V38</f>
        <v>158.3869025451701</v>
      </c>
      <c r="W23" s="75">
        <f>SUM(S23:V23)</f>
        <v>604.5424152401863</v>
      </c>
      <c r="X23" s="32">
        <f>X22*X38</f>
        <v>155.81997830976954</v>
      </c>
      <c r="Y23" s="32">
        <f>Y22*Y38</f>
        <v>178.66782208530819</v>
      </c>
      <c r="Z23" s="32">
        <f>Z22*Z38</f>
        <v>132.54062330611862</v>
      </c>
      <c r="AA23" s="32">
        <f>AA22*AA38</f>
        <v>166.1345667285056</v>
      </c>
      <c r="AB23" s="75">
        <f>SUM(X23:AA23)</f>
        <v>633.16299042970195</v>
      </c>
      <c r="AC23" s="32">
        <f>AC22*AC38</f>
        <v>164.29124671876684</v>
      </c>
      <c r="AD23" s="32">
        <f>AD22*AD38</f>
        <v>189.34403017392947</v>
      </c>
      <c r="AE23" s="32">
        <f>AE22*AE38</f>
        <v>133.73213799902467</v>
      </c>
      <c r="AF23" s="32">
        <f>AF22*AF38</f>
        <v>175.02359369826968</v>
      </c>
      <c r="AG23" s="75">
        <f>SUM(AC23:AF23)</f>
        <v>662.39100858999063</v>
      </c>
      <c r="AH23" s="32">
        <f>AH22*AH38</f>
        <v>173.49974387335428</v>
      </c>
      <c r="AI23" s="32">
        <f>AI22*AI38</f>
        <v>200.77061123664615</v>
      </c>
      <c r="AJ23" s="32">
        <f>AJ22*AJ38</f>
        <v>135.14222206009018</v>
      </c>
      <c r="AK23" s="32">
        <f>AK22*AK38</f>
        <v>184.66415169618125</v>
      </c>
      <c r="AL23" s="75">
        <f>SUM(AH23:AK23)</f>
        <v>694.07672886627188</v>
      </c>
    </row>
    <row r="24" spans="2:38" x14ac:dyDescent="0.3">
      <c r="B24" s="309" t="s">
        <v>115</v>
      </c>
      <c r="C24" s="310"/>
      <c r="D24" s="18">
        <f t="shared" ref="D24:AB24" si="59">D22-D23</f>
        <v>297</v>
      </c>
      <c r="E24" s="18">
        <f t="shared" si="59"/>
        <v>361</v>
      </c>
      <c r="F24" s="18">
        <f t="shared" si="59"/>
        <v>388</v>
      </c>
      <c r="G24" s="18">
        <f t="shared" si="59"/>
        <v>903</v>
      </c>
      <c r="H24" s="18">
        <f t="shared" si="59"/>
        <v>1949</v>
      </c>
      <c r="I24" s="18">
        <f t="shared" si="59"/>
        <v>395</v>
      </c>
      <c r="J24" s="18">
        <f t="shared" si="59"/>
        <v>499</v>
      </c>
      <c r="K24" s="18">
        <f t="shared" si="59"/>
        <v>498</v>
      </c>
      <c r="L24" s="18">
        <f t="shared" si="59"/>
        <v>531</v>
      </c>
      <c r="M24" s="18">
        <f t="shared" ref="M24" si="60">M22-M23</f>
        <v>1923</v>
      </c>
      <c r="N24" s="18">
        <f t="shared" si="59"/>
        <v>347</v>
      </c>
      <c r="O24" s="18">
        <f t="shared" si="59"/>
        <v>382</v>
      </c>
      <c r="P24" s="18">
        <f t="shared" si="59"/>
        <v>463.48850452955742</v>
      </c>
      <c r="Q24" s="18">
        <f t="shared" ref="Q24:R24" si="61">Q22-Q23</f>
        <v>527.1357079884134</v>
      </c>
      <c r="R24" s="18">
        <f t="shared" si="61"/>
        <v>1719.624212517971</v>
      </c>
      <c r="S24" s="18">
        <f t="shared" si="59"/>
        <v>441.73379655421235</v>
      </c>
      <c r="T24" s="18">
        <f t="shared" si="59"/>
        <v>557.6807422765628</v>
      </c>
      <c r="U24" s="18">
        <f t="shared" si="59"/>
        <v>559.79847788896325</v>
      </c>
      <c r="V24" s="18">
        <f t="shared" si="59"/>
        <v>657.05816602722916</v>
      </c>
      <c r="W24" s="76">
        <f t="shared" si="59"/>
        <v>2216.2711827469675</v>
      </c>
      <c r="X24" s="18">
        <f t="shared" si="59"/>
        <v>470.16984759556544</v>
      </c>
      <c r="Y24" s="18">
        <f t="shared" si="59"/>
        <v>593.48789597032805</v>
      </c>
      <c r="Z24" s="18">
        <f t="shared" si="59"/>
        <v>562.63933469683468</v>
      </c>
      <c r="AA24" s="18">
        <f t="shared" si="59"/>
        <v>689.19886666278489</v>
      </c>
      <c r="AB24" s="76">
        <f t="shared" si="59"/>
        <v>2315.4959449255148</v>
      </c>
      <c r="AC24" s="18">
        <f t="shared" ref="AC24:AL24" si="62">AC22-AC23</f>
        <v>495.73097922967031</v>
      </c>
      <c r="AD24" s="18">
        <f t="shared" si="62"/>
        <v>628.95147414296571</v>
      </c>
      <c r="AE24" s="18">
        <f t="shared" si="62"/>
        <v>567.69735402234983</v>
      </c>
      <c r="AF24" s="18">
        <f t="shared" si="62"/>
        <v>726.07443948266564</v>
      </c>
      <c r="AG24" s="76">
        <f t="shared" si="62"/>
        <v>2418.454246877649</v>
      </c>
      <c r="AH24" s="18">
        <f t="shared" si="62"/>
        <v>523.51661847003413</v>
      </c>
      <c r="AI24" s="18">
        <f t="shared" si="62"/>
        <v>666.90759558607681</v>
      </c>
      <c r="AJ24" s="18">
        <f t="shared" si="62"/>
        <v>573.68320755309799</v>
      </c>
      <c r="AK24" s="18">
        <f t="shared" si="62"/>
        <v>766.06769180212677</v>
      </c>
      <c r="AL24" s="76">
        <f t="shared" si="62"/>
        <v>2530.1751134113329</v>
      </c>
    </row>
    <row r="25" spans="2:38" x14ac:dyDescent="0.3">
      <c r="B25" s="304" t="s">
        <v>3</v>
      </c>
      <c r="C25" s="308"/>
      <c r="D25" s="266">
        <v>441.9</v>
      </c>
      <c r="E25" s="266">
        <v>439.7</v>
      </c>
      <c r="F25" s="266">
        <v>434.2</v>
      </c>
      <c r="G25" s="266">
        <v>433.3</v>
      </c>
      <c r="H25" s="19">
        <f>(D25*D24/H24)+(E25*E24/H24)+(F25*F24/H24)+(G25*G24/H24)</f>
        <v>435.97511544381734</v>
      </c>
      <c r="I25" s="266">
        <v>431.8</v>
      </c>
      <c r="J25" s="266">
        <v>428.4</v>
      </c>
      <c r="K25" s="266">
        <v>427.1</v>
      </c>
      <c r="L25" s="266">
        <v>424</v>
      </c>
      <c r="M25" s="19">
        <f>(I25*I24/M24)+(J25*J24/M24)+(K25*K24/M24)+(L25*L24/M24)</f>
        <v>427.54674986999476</v>
      </c>
      <c r="N25" s="266">
        <v>424.7</v>
      </c>
      <c r="O25" s="266">
        <v>423.8</v>
      </c>
      <c r="P25" s="89">
        <f>O25*(1+P45)-P49</f>
        <v>415.28263982297392</v>
      </c>
      <c r="Q25" s="89">
        <f>P25*(1+Q45)-Q49</f>
        <v>406.91041686044332</v>
      </c>
      <c r="R25" s="19">
        <f>(N25*N24/R24)+(O25*O24/R24)+(P25*P24/R24)+(Q25*Q24/R24)</f>
        <v>416.50858085992564</v>
      </c>
      <c r="S25" s="89">
        <f>Q25*(1+S45)-S49</f>
        <v>398.68085795046682</v>
      </c>
      <c r="T25" s="89">
        <f>S25*(1+T45)-T49</f>
        <v>390.59153207418802</v>
      </c>
      <c r="U25" s="89">
        <f>T25*(1+U45)-U49</f>
        <v>382.64004963771072</v>
      </c>
      <c r="V25" s="89">
        <f>U25*(1+V45)-V49</f>
        <v>374.8240617662106</v>
      </c>
      <c r="W25" s="19">
        <f>(S25*S24/W24)+(T25*T24/W24)+(U25*U24/W24)+(V25*V24/W24)</f>
        <v>385.52083298964402</v>
      </c>
      <c r="X25" s="89">
        <f>V25*(1+X45)-X49</f>
        <v>367.14125961007568</v>
      </c>
      <c r="Y25" s="89">
        <f>X25*(1+Y45)-Y49</f>
        <v>359.58937366287006</v>
      </c>
      <c r="Z25" s="89">
        <f>Y25*(1+Z45)-Z49</f>
        <v>352.16617309091976</v>
      </c>
      <c r="AA25" s="89">
        <f>Z25*(1+AA45)-AA49</f>
        <v>344.86946507432248</v>
      </c>
      <c r="AB25" s="19">
        <f>(X25*X24/AB24)+(Y25*Y24/AB24)+(Z25*Z24/AB24)+(AA25*AA24/AB24)</f>
        <v>354.93773093100583</v>
      </c>
      <c r="AC25" s="89">
        <f>AA25*(1+AC45)-AC49</f>
        <v>337.6970941591868</v>
      </c>
      <c r="AD25" s="89">
        <f>AC25*(1+AD45)-AD49</f>
        <v>330.64694162090916</v>
      </c>
      <c r="AE25" s="89">
        <f>AD25*(1+AE45)-AE49</f>
        <v>323.71692483830077</v>
      </c>
      <c r="AF25" s="89">
        <f>AE25*(1+AF45)-AF49</f>
        <v>316.90499667837946</v>
      </c>
      <c r="AG25" s="19">
        <f>(AC25*AC24/AG24)+(AD25*AD24/AG24)+(AE25*AE24/AG24)+(AF25*AF24/AG24)</f>
        <v>326.33970771135927</v>
      </c>
      <c r="AH25" s="89">
        <f>AF25*(1+AH45)-AH49</f>
        <v>310.20914489164494</v>
      </c>
      <c r="AI25" s="89">
        <f>AH25*(1+AI45)-AI49</f>
        <v>303.62739151765834</v>
      </c>
      <c r="AJ25" s="89">
        <f>AI25*(1+AJ45)-AJ49</f>
        <v>297.15779230075128</v>
      </c>
      <c r="AK25" s="89">
        <f>AJ25*(1+AK45)-AK49</f>
        <v>290.79843611569072</v>
      </c>
      <c r="AL25" s="19">
        <f>(AH25*AH24/AL24)+(AI25*AI24/AL24)+(AJ25*AJ24/AL24)+(AK25*AK24/AL24)</f>
        <v>299.63806628878393</v>
      </c>
    </row>
    <row r="26" spans="2:38" ht="15.75" customHeight="1" x14ac:dyDescent="0.3">
      <c r="B26" s="304" t="s">
        <v>4</v>
      </c>
      <c r="C26" s="308"/>
      <c r="D26" s="266">
        <v>444.1</v>
      </c>
      <c r="E26" s="266">
        <v>444.4</v>
      </c>
      <c r="F26" s="266">
        <v>440.8</v>
      </c>
      <c r="G26" s="266">
        <v>441.9</v>
      </c>
      <c r="H26" s="19">
        <f>(D26*D24/H24)+(E26*E24/H24)+(F26*F24/H24)+(G26*G24/H24)</f>
        <v>442.47932272960486</v>
      </c>
      <c r="I26" s="266">
        <v>435.8</v>
      </c>
      <c r="J26" s="266">
        <v>432.3</v>
      </c>
      <c r="K26" s="266">
        <v>430.8</v>
      </c>
      <c r="L26" s="266">
        <v>432.2</v>
      </c>
      <c r="M26" s="19">
        <f>(I26*I24/M24)+(J26*J24/M24)+(K26*K24/M24)+(L26*L24/M24)</f>
        <v>432.60286011440456</v>
      </c>
      <c r="N26" s="266">
        <v>426.9</v>
      </c>
      <c r="O26" s="266">
        <v>427.5</v>
      </c>
      <c r="P26" s="89">
        <f>O26*(1+P46)-P49-P50</f>
        <v>419.15761133870461</v>
      </c>
      <c r="Q26" s="89">
        <f>P26*(1+Q46)-Q49-Q50</f>
        <v>410.95273353834921</v>
      </c>
      <c r="R26" s="19">
        <f>(N26*N24/R24)+(O26*O24/R24)+(P26*P24/R24)+(Q26*Q24/R24)</f>
        <v>420.05799251184959</v>
      </c>
      <c r="S26" s="89">
        <f>Q26*(1+S46)-S49-S50</f>
        <v>402.88309995353472</v>
      </c>
      <c r="T26" s="89">
        <f>S26*(1+T46)-T49-T50</f>
        <v>394.94648130086631</v>
      </c>
      <c r="U26" s="89">
        <f>T26*(1+U46)-U49-U50</f>
        <v>387.14068504310069</v>
      </c>
      <c r="V26" s="89">
        <f>U26*(1+V46)-V49-V50</f>
        <v>379.46355478344515</v>
      </c>
      <c r="W26" s="19">
        <f>(S26*S24/W24)+(T26*T24/W24)+(U26*U24/W24)+(V26*V24/W24)</f>
        <v>389.96650251363428</v>
      </c>
      <c r="X26" s="89">
        <f>V26*(1+X46)-X49-X50</f>
        <v>371.91296966984009</v>
      </c>
      <c r="Y26" s="89">
        <f>X26*(1+Y46)-Y49-Y50</f>
        <v>364.4868438090615</v>
      </c>
      <c r="Z26" s="89">
        <f>Y26*(1+Z46)-Z49-Z50</f>
        <v>357.18312569048049</v>
      </c>
      <c r="AA26" s="89">
        <f>Z26*(1+AA46)-AA49-AA50</f>
        <v>349.9997976193219</v>
      </c>
      <c r="AB26" s="19">
        <f>(X26*X24/AB24)+(Y26*Y24/AB24)+(Z26*Z24/AB24)+(AA26*AA24/AB24)</f>
        <v>359.90800855894599</v>
      </c>
      <c r="AC26" s="89">
        <f>AA26*(1+AC46)-AC49-AC50</f>
        <v>342.93487515926387</v>
      </c>
      <c r="AD26" s="89">
        <f>AC26*(1+AD46)-AD49-AD50</f>
        <v>335.98640658422613</v>
      </c>
      <c r="AE26" s="89">
        <f>AD26*(1+AE46)-AE49-AE50</f>
        <v>329.15247233919399</v>
      </c>
      <c r="AF26" s="89">
        <f>AE26*(1+AF46)-AF49-AF50</f>
        <v>322.43118450993023</v>
      </c>
      <c r="AG26" s="19">
        <f>(AC26*AC24/AG24)+(AD26*AD24/AG24)+(AE26*AE24/AG24)+(AF26*AF24/AG24)</f>
        <v>331.73694205929564</v>
      </c>
      <c r="AH26" s="89">
        <f>AF26*(1+AH46)-AH49-AH50</f>
        <v>315.82068630142771</v>
      </c>
      <c r="AI26" s="89">
        <f>AH26*(1+AI46)-AI49-AI50</f>
        <v>309.31915152495884</v>
      </c>
      <c r="AJ26" s="89">
        <f>AI26*(1+AJ46)-AJ49-AJ50</f>
        <v>302.9247840935804</v>
      </c>
      <c r="AK26" s="89">
        <f>AJ26*(1+AK46)-AK49-AK50</f>
        <v>296.635817525954</v>
      </c>
      <c r="AL26" s="19">
        <f>(AH26*AH24/AL24)+(AI26*AI24/AL24)+(AJ26*AJ24/AL24)+(AK26*AK24/AL24)</f>
        <v>305.37437629365905</v>
      </c>
    </row>
    <row r="27" spans="2:38" ht="15.75" customHeight="1" x14ac:dyDescent="0.3">
      <c r="B27" s="306" t="s">
        <v>116</v>
      </c>
      <c r="C27" s="307"/>
      <c r="D27" s="20">
        <f t="shared" ref="D27:AB27" si="63">D24/D25</f>
        <v>0.67209775967413443</v>
      </c>
      <c r="E27" s="20">
        <f t="shared" si="63"/>
        <v>0.82101432795087559</v>
      </c>
      <c r="F27" s="20">
        <f t="shared" ref="F27:H27" si="64">F24/F25</f>
        <v>0.89359742054352831</v>
      </c>
      <c r="G27" s="20">
        <f t="shared" si="64"/>
        <v>2.084006462035541</v>
      </c>
      <c r="H27" s="20">
        <f t="shared" si="64"/>
        <v>4.4704386350490255</v>
      </c>
      <c r="I27" s="20">
        <f t="shared" ref="I27:Q27" si="65">I24/I25</f>
        <v>0.91477535896248263</v>
      </c>
      <c r="J27" s="20">
        <f t="shared" si="65"/>
        <v>1.1647992530345472</v>
      </c>
      <c r="K27" s="20">
        <f t="shared" si="65"/>
        <v>1.1660032779208616</v>
      </c>
      <c r="L27" s="20">
        <f t="shared" si="65"/>
        <v>1.2523584905660377</v>
      </c>
      <c r="M27" s="20">
        <f t="shared" si="65"/>
        <v>4.4977537557816349</v>
      </c>
      <c r="N27" s="20">
        <f t="shared" si="65"/>
        <v>0.81704732752531206</v>
      </c>
      <c r="O27" s="20">
        <f t="shared" si="65"/>
        <v>0.90136857008022653</v>
      </c>
      <c r="P27" s="20">
        <f t="shared" si="65"/>
        <v>1.116079652949453</v>
      </c>
      <c r="Q27" s="20">
        <f t="shared" si="65"/>
        <v>1.2954588679630763</v>
      </c>
      <c r="R27" s="20">
        <f t="shared" ref="R27" si="66">R24/R25</f>
        <v>4.1286645498818455</v>
      </c>
      <c r="S27" s="20">
        <f t="shared" si="63"/>
        <v>1.107988476861095</v>
      </c>
      <c r="T27" s="20">
        <f t="shared" si="63"/>
        <v>1.4277850298368431</v>
      </c>
      <c r="U27" s="20">
        <f t="shared" si="63"/>
        <v>1.4629897691550813</v>
      </c>
      <c r="V27" s="20">
        <f t="shared" si="63"/>
        <v>1.7529775514706862</v>
      </c>
      <c r="W27" s="21">
        <f t="shared" si="63"/>
        <v>5.7487715140066156</v>
      </c>
      <c r="X27" s="20">
        <f t="shared" si="63"/>
        <v>1.2806238342563618</v>
      </c>
      <c r="Y27" s="20">
        <f t="shared" si="63"/>
        <v>1.6504600509322824</v>
      </c>
      <c r="Z27" s="20">
        <f t="shared" si="63"/>
        <v>1.5976529766008403</v>
      </c>
      <c r="AA27" s="20">
        <f t="shared" si="63"/>
        <v>1.998434006078956</v>
      </c>
      <c r="AB27" s="21">
        <f t="shared" si="63"/>
        <v>6.5236680779243779</v>
      </c>
      <c r="AC27" s="20">
        <f t="shared" ref="AC27:AL27" si="67">AC24/AC25</f>
        <v>1.4679752589046207</v>
      </c>
      <c r="AD27" s="20">
        <f t="shared" si="67"/>
        <v>1.9021844601365356</v>
      </c>
      <c r="AE27" s="20">
        <f t="shared" si="67"/>
        <v>1.7536845016859075</v>
      </c>
      <c r="AF27" s="20">
        <f t="shared" si="67"/>
        <v>2.2911422889918773</v>
      </c>
      <c r="AG27" s="21">
        <f t="shared" si="67"/>
        <v>7.4108488477801844</v>
      </c>
      <c r="AH27" s="20">
        <f t="shared" si="67"/>
        <v>1.6876247109120424</v>
      </c>
      <c r="AI27" s="20">
        <f t="shared" si="67"/>
        <v>2.1964671640875024</v>
      </c>
      <c r="AJ27" s="20">
        <f t="shared" si="67"/>
        <v>1.9305676055517242</v>
      </c>
      <c r="AK27" s="20">
        <f t="shared" si="67"/>
        <v>2.6343597374002239</v>
      </c>
      <c r="AL27" s="21">
        <f t="shared" si="67"/>
        <v>8.4441043981802064</v>
      </c>
    </row>
    <row r="28" spans="2:38" x14ac:dyDescent="0.3">
      <c r="B28" s="306" t="s">
        <v>117</v>
      </c>
      <c r="C28" s="307"/>
      <c r="D28" s="20">
        <f t="shared" ref="D28:AB28" si="68">D24/D26</f>
        <v>0.66876829542895744</v>
      </c>
      <c r="E28" s="20">
        <f t="shared" si="68"/>
        <v>0.81233123312331235</v>
      </c>
      <c r="F28" s="20">
        <f t="shared" ref="F28:H28" si="69">F24/F26</f>
        <v>0.88021778584392008</v>
      </c>
      <c r="G28" s="20">
        <f t="shared" si="69"/>
        <v>2.043448744059742</v>
      </c>
      <c r="H28" s="20">
        <f t="shared" si="69"/>
        <v>4.4047255993270822</v>
      </c>
      <c r="I28" s="20">
        <f t="shared" ref="I28:Q28" si="70">I24/I26</f>
        <v>0.90637907296925191</v>
      </c>
      <c r="J28" s="20">
        <f t="shared" si="70"/>
        <v>1.1542910016192458</v>
      </c>
      <c r="K28" s="20">
        <f t="shared" si="70"/>
        <v>1.1559888579387185</v>
      </c>
      <c r="L28" s="20">
        <f t="shared" si="70"/>
        <v>1.2285978713558539</v>
      </c>
      <c r="M28" s="20">
        <f t="shared" si="70"/>
        <v>4.4451855900616337</v>
      </c>
      <c r="N28" s="20">
        <f t="shared" si="70"/>
        <v>0.81283672991332867</v>
      </c>
      <c r="O28" s="20">
        <f t="shared" si="70"/>
        <v>0.89356725146198834</v>
      </c>
      <c r="P28" s="20">
        <f t="shared" si="70"/>
        <v>1.105761870932676</v>
      </c>
      <c r="Q28" s="20">
        <f t="shared" si="70"/>
        <v>1.2827161494941661</v>
      </c>
      <c r="R28" s="20">
        <f t="shared" ref="R28" si="71">R24/R26</f>
        <v>4.0937781048636079</v>
      </c>
      <c r="S28" s="20">
        <f t="shared" si="68"/>
        <v>1.0964316860279282</v>
      </c>
      <c r="T28" s="20">
        <f t="shared" si="68"/>
        <v>1.4120412984556434</v>
      </c>
      <c r="U28" s="20">
        <f t="shared" si="68"/>
        <v>1.4459820409385298</v>
      </c>
      <c r="V28" s="20">
        <f t="shared" si="68"/>
        <v>1.7315448552159471</v>
      </c>
      <c r="W28" s="21">
        <f t="shared" si="68"/>
        <v>5.6832347610920264</v>
      </c>
      <c r="X28" s="20">
        <f t="shared" si="68"/>
        <v>1.2641932009334103</v>
      </c>
      <c r="Y28" s="20">
        <f t="shared" si="68"/>
        <v>1.6282834512436615</v>
      </c>
      <c r="Z28" s="20">
        <f t="shared" si="68"/>
        <v>1.5752125288930745</v>
      </c>
      <c r="AA28" s="20">
        <f t="shared" si="68"/>
        <v>1.9691407576537907</v>
      </c>
      <c r="AB28" s="21">
        <f t="shared" si="68"/>
        <v>6.4335771637776187</v>
      </c>
      <c r="AC28" s="20">
        <f t="shared" ref="AC28:AL28" si="72">AC24/AC26</f>
        <v>1.445554287820525</v>
      </c>
      <c r="AD28" s="20">
        <f t="shared" si="72"/>
        <v>1.8719551202595994</v>
      </c>
      <c r="AE28" s="20">
        <f t="shared" si="72"/>
        <v>1.7247245630205494</v>
      </c>
      <c r="AF28" s="20">
        <f t="shared" si="72"/>
        <v>2.2518741187712381</v>
      </c>
      <c r="AG28" s="21">
        <f t="shared" si="72"/>
        <v>7.2902771450921717</v>
      </c>
      <c r="AH28" s="20">
        <f t="shared" si="72"/>
        <v>1.657638784213064</v>
      </c>
      <c r="AI28" s="20">
        <f t="shared" si="72"/>
        <v>2.1560501258916207</v>
      </c>
      <c r="AJ28" s="20">
        <f t="shared" si="72"/>
        <v>1.8938140346280616</v>
      </c>
      <c r="AK28" s="20">
        <f t="shared" si="72"/>
        <v>2.5825191920227235</v>
      </c>
      <c r="AL28" s="21">
        <f t="shared" si="72"/>
        <v>8.2854859799311544</v>
      </c>
    </row>
    <row r="29" spans="2:38" x14ac:dyDescent="0.3">
      <c r="B29" s="304" t="s">
        <v>73</v>
      </c>
      <c r="C29" s="305"/>
      <c r="D29" s="269">
        <v>0.42499999999999999</v>
      </c>
      <c r="E29" s="269">
        <v>0.42499999999999999</v>
      </c>
      <c r="F29" s="269">
        <v>0.42499999999999999</v>
      </c>
      <c r="G29" s="269">
        <v>0.42499999999999988</v>
      </c>
      <c r="H29" s="221">
        <f>SUM(D29:G29)</f>
        <v>1.6999999999999997</v>
      </c>
      <c r="I29" s="269">
        <v>0.46500000000000002</v>
      </c>
      <c r="J29" s="269">
        <v>0.46500000000000002</v>
      </c>
      <c r="K29" s="269">
        <v>0.46500000000000002</v>
      </c>
      <c r="L29" s="269">
        <v>0.46499999999999991</v>
      </c>
      <c r="M29" s="221">
        <f>SUM(I29:L29)</f>
        <v>1.8599999999999999</v>
      </c>
      <c r="N29" s="269">
        <v>0.51249999999999996</v>
      </c>
      <c r="O29" s="269">
        <v>0.51249999999999996</v>
      </c>
      <c r="P29" s="53">
        <f t="shared" ref="P29:Q29" si="73">K29*(1+P30)</f>
        <v>0.51150000000000007</v>
      </c>
      <c r="Q29" s="53">
        <f t="shared" si="73"/>
        <v>0.51149999999999995</v>
      </c>
      <c r="R29" s="221">
        <f>SUM(N29:Q29)</f>
        <v>2.048</v>
      </c>
      <c r="S29" s="53">
        <f>N29*(1+S30)</f>
        <v>0.56374999999999997</v>
      </c>
      <c r="T29" s="53">
        <f>O29*(1+T30)</f>
        <v>0.56374999999999997</v>
      </c>
      <c r="U29" s="53">
        <f t="shared" ref="U29" si="74">P29*(1+U30)</f>
        <v>0.56265000000000009</v>
      </c>
      <c r="V29" s="53">
        <f t="shared" ref="V29" si="75">Q29*(1+V30)</f>
        <v>0.56264999999999998</v>
      </c>
      <c r="W29" s="159">
        <f>SUM(S29:V29)</f>
        <v>2.2528000000000001</v>
      </c>
      <c r="X29" s="53">
        <f>S29*(1+X30)</f>
        <v>0.62012500000000004</v>
      </c>
      <c r="Y29" s="53">
        <f>T29*(1+Y30)</f>
        <v>0.62012500000000004</v>
      </c>
      <c r="Z29" s="53">
        <f t="shared" ref="Z29" si="76">U29*(1+Z30)</f>
        <v>0.6189150000000001</v>
      </c>
      <c r="AA29" s="53">
        <f t="shared" ref="AA29" si="77">V29*(1+AA30)</f>
        <v>0.61891499999999999</v>
      </c>
      <c r="AB29" s="159">
        <f>SUM(X29:AA29)</f>
        <v>2.4780800000000003</v>
      </c>
      <c r="AC29" s="53">
        <f>X29*(1+AC30)</f>
        <v>0.68213750000000006</v>
      </c>
      <c r="AD29" s="53">
        <f>Y29*(1+AD30)</f>
        <v>0.68213750000000006</v>
      </c>
      <c r="AE29" s="53">
        <f t="shared" ref="AE29" si="78">Z29*(1+AE30)</f>
        <v>0.6808065000000002</v>
      </c>
      <c r="AF29" s="53">
        <f t="shared" ref="AF29" si="79">AA29*(1+AF30)</f>
        <v>0.68080650000000009</v>
      </c>
      <c r="AG29" s="159">
        <f>SUM(AC29:AF29)</f>
        <v>2.7258880000000003</v>
      </c>
      <c r="AH29" s="53">
        <f>AC29*(1+AH30)</f>
        <v>0.75035125000000014</v>
      </c>
      <c r="AI29" s="53">
        <f>AD29*(1+AI30)</f>
        <v>0.75035125000000014</v>
      </c>
      <c r="AJ29" s="53">
        <f t="shared" ref="AJ29" si="80">AE29*(1+AJ30)</f>
        <v>0.74888715000000028</v>
      </c>
      <c r="AK29" s="53">
        <f t="shared" ref="AK29" si="81">AF29*(1+AK30)</f>
        <v>0.74888715000000017</v>
      </c>
      <c r="AL29" s="159">
        <f>SUM(AH29:AK29)</f>
        <v>2.9984768000000011</v>
      </c>
    </row>
    <row r="30" spans="2:38" s="94" customFormat="1" x14ac:dyDescent="0.3">
      <c r="B30" s="147" t="s">
        <v>171</v>
      </c>
      <c r="C30" s="148"/>
      <c r="D30" s="161"/>
      <c r="E30" s="162"/>
      <c r="F30" s="162"/>
      <c r="G30" s="162"/>
      <c r="H30" s="162"/>
      <c r="I30" s="162">
        <f t="shared" ref="I30" si="82">I29/D29-1</f>
        <v>9.4117647058823639E-2</v>
      </c>
      <c r="J30" s="162">
        <f t="shared" ref="J30" si="83">J29/E29-1</f>
        <v>9.4117647058823639E-2</v>
      </c>
      <c r="K30" s="162">
        <f t="shared" ref="K30" si="84">K29/F29-1</f>
        <v>9.4117647058823639E-2</v>
      </c>
      <c r="L30" s="162">
        <f t="shared" ref="L30" si="85">L29/G29-1</f>
        <v>9.4117647058823639E-2</v>
      </c>
      <c r="M30" s="162">
        <f>M29/H29-1</f>
        <v>9.4117647058823639E-2</v>
      </c>
      <c r="N30" s="162">
        <f t="shared" ref="N30" si="86">N29/I29-1</f>
        <v>0.10215053763440851</v>
      </c>
      <c r="O30" s="162">
        <f t="shared" ref="O30" si="87">O29/J29-1</f>
        <v>0.10215053763440851</v>
      </c>
      <c r="P30" s="163">
        <v>0.1</v>
      </c>
      <c r="Q30" s="163">
        <v>0.1</v>
      </c>
      <c r="R30" s="162">
        <f t="shared" ref="R30" si="88">R29/M29-1</f>
        <v>0.1010752688172043</v>
      </c>
      <c r="S30" s="161">
        <v>0.1</v>
      </c>
      <c r="T30" s="162">
        <v>0.1</v>
      </c>
      <c r="U30" s="162">
        <v>0.1</v>
      </c>
      <c r="V30" s="163">
        <v>0.1</v>
      </c>
      <c r="W30" s="162">
        <f>W29/R29-1</f>
        <v>0.10000000000000009</v>
      </c>
      <c r="X30" s="161">
        <v>0.1</v>
      </c>
      <c r="Y30" s="162">
        <v>0.1</v>
      </c>
      <c r="Z30" s="162">
        <v>0.1</v>
      </c>
      <c r="AA30" s="163">
        <v>0.1</v>
      </c>
      <c r="AB30" s="162">
        <f>AB29/W29-1</f>
        <v>0.10000000000000009</v>
      </c>
      <c r="AC30" s="161">
        <v>0.1</v>
      </c>
      <c r="AD30" s="162">
        <v>0.1</v>
      </c>
      <c r="AE30" s="162">
        <v>0.1</v>
      </c>
      <c r="AF30" s="163">
        <v>0.1</v>
      </c>
      <c r="AG30" s="162">
        <f>AG29/AB29-1</f>
        <v>0.10000000000000009</v>
      </c>
      <c r="AH30" s="161">
        <v>0.1</v>
      </c>
      <c r="AI30" s="162">
        <v>0.1</v>
      </c>
      <c r="AJ30" s="162">
        <v>0.1</v>
      </c>
      <c r="AK30" s="163">
        <v>0.1</v>
      </c>
      <c r="AL30" s="164">
        <f>AL29/AG29-1</f>
        <v>0.10000000000000031</v>
      </c>
    </row>
    <row r="31" spans="2:38" x14ac:dyDescent="0.3">
      <c r="B31" s="194"/>
      <c r="C31" s="66"/>
      <c r="D31" s="160"/>
      <c r="E31" s="160"/>
      <c r="F31" s="160"/>
      <c r="G31" s="160"/>
      <c r="H31" s="160"/>
      <c r="I31" s="160"/>
      <c r="J31" s="160"/>
      <c r="K31" s="160"/>
      <c r="L31" s="160"/>
      <c r="M31" s="160"/>
      <c r="N31" s="160"/>
      <c r="O31" s="160"/>
      <c r="P31" s="160"/>
      <c r="Q31" s="158"/>
      <c r="R31" s="160"/>
      <c r="S31" s="160"/>
      <c r="T31" s="160"/>
      <c r="U31" s="158"/>
      <c r="V31" s="158"/>
      <c r="W31" s="160"/>
      <c r="X31" s="160"/>
      <c r="Y31" s="160"/>
      <c r="Z31" s="158"/>
      <c r="AA31" s="158"/>
      <c r="AB31" s="160"/>
      <c r="AC31" s="160"/>
      <c r="AD31" s="160"/>
      <c r="AE31" s="158"/>
      <c r="AF31" s="158"/>
      <c r="AG31" s="160"/>
      <c r="AH31" s="160"/>
      <c r="AI31" s="160"/>
      <c r="AJ31" s="158"/>
      <c r="AK31" s="158"/>
      <c r="AL31" s="160"/>
    </row>
    <row r="32" spans="2:38" ht="15" customHeight="1" x14ac:dyDescent="0.45">
      <c r="B32" s="296" t="s">
        <v>137</v>
      </c>
      <c r="C32" s="297"/>
      <c r="D32" s="118"/>
      <c r="E32" s="118"/>
      <c r="F32" s="118"/>
      <c r="G32" s="118"/>
      <c r="H32" s="119"/>
      <c r="I32" s="118"/>
      <c r="J32" s="118"/>
      <c r="K32" s="118"/>
      <c r="L32" s="118"/>
      <c r="M32" s="119"/>
      <c r="N32" s="118"/>
      <c r="O32" s="118"/>
      <c r="P32" s="118"/>
      <c r="Q32" s="118"/>
      <c r="R32" s="119"/>
      <c r="S32" s="118"/>
      <c r="T32" s="118"/>
      <c r="U32" s="118"/>
      <c r="V32" s="118"/>
      <c r="W32" s="119"/>
      <c r="X32" s="118"/>
      <c r="Y32" s="118"/>
      <c r="Z32" s="118"/>
      <c r="AA32" s="118"/>
      <c r="AB32" s="119"/>
      <c r="AC32" s="118"/>
      <c r="AD32" s="118"/>
      <c r="AE32" s="118"/>
      <c r="AF32" s="118"/>
      <c r="AG32" s="119"/>
      <c r="AH32" s="118"/>
      <c r="AI32" s="118"/>
      <c r="AJ32" s="118"/>
      <c r="AK32" s="118"/>
      <c r="AL32" s="119"/>
    </row>
    <row r="33" spans="2:38" outlineLevel="1" x14ac:dyDescent="0.3">
      <c r="B33" s="294" t="s">
        <v>36</v>
      </c>
      <c r="C33" s="295"/>
      <c r="D33" s="82"/>
      <c r="E33" s="82"/>
      <c r="F33" s="82"/>
      <c r="G33" s="82"/>
      <c r="H33" s="79"/>
      <c r="I33" s="82">
        <f t="shared" ref="I33:O33" si="89">I10/D10-1</f>
        <v>2.0639534883720945E-2</v>
      </c>
      <c r="J33" s="82">
        <f t="shared" si="89"/>
        <v>1.6861571933641573E-2</v>
      </c>
      <c r="K33" s="82">
        <f t="shared" si="89"/>
        <v>2.8525296017222868E-2</v>
      </c>
      <c r="L33" s="82">
        <f t="shared" si="89"/>
        <v>5.2026286966045943E-2</v>
      </c>
      <c r="M33" s="79">
        <f>M10/H10-1</f>
        <v>2.9616845012081505E-2</v>
      </c>
      <c r="N33" s="82">
        <f t="shared" si="89"/>
        <v>5.2691540871546483E-2</v>
      </c>
      <c r="O33" s="82">
        <f t="shared" si="89"/>
        <v>5.5362396362663713E-2</v>
      </c>
      <c r="P33" s="222">
        <f>K33</f>
        <v>2.8525296017222868E-2</v>
      </c>
      <c r="Q33" s="222">
        <f>L33</f>
        <v>5.2026286966045943E-2</v>
      </c>
      <c r="R33" s="222">
        <f>AVERAGE(N33:Q33)</f>
        <v>4.7151380054369751E-2</v>
      </c>
      <c r="S33" s="222">
        <f>N33</f>
        <v>5.2691540871546483E-2</v>
      </c>
      <c r="T33" s="222">
        <f>O33</f>
        <v>5.5362396362663713E-2</v>
      </c>
      <c r="U33" s="222">
        <f>P33</f>
        <v>2.8525296017222868E-2</v>
      </c>
      <c r="V33" s="222">
        <f>Q33</f>
        <v>5.2026286966045943E-2</v>
      </c>
      <c r="W33" s="222">
        <f>AVERAGE(S33:V33)</f>
        <v>4.7151380054369751E-2</v>
      </c>
      <c r="X33" s="222">
        <f>S33</f>
        <v>5.2691540871546483E-2</v>
      </c>
      <c r="Y33" s="222">
        <f>T33</f>
        <v>5.5362396362663713E-2</v>
      </c>
      <c r="Z33" s="222">
        <f>U33</f>
        <v>2.8525296017222868E-2</v>
      </c>
      <c r="AA33" s="222">
        <f>V33</f>
        <v>5.2026286966045943E-2</v>
      </c>
      <c r="AB33" s="222">
        <f>AVERAGE(X33:AA33)</f>
        <v>4.7151380054369751E-2</v>
      </c>
      <c r="AC33" s="222">
        <f>X33</f>
        <v>5.2691540871546483E-2</v>
      </c>
      <c r="AD33" s="222">
        <f>Y33</f>
        <v>5.5362396362663713E-2</v>
      </c>
      <c r="AE33" s="222">
        <f>Z33</f>
        <v>2.8525296017222868E-2</v>
      </c>
      <c r="AF33" s="222">
        <f>AA33</f>
        <v>5.2026286966045943E-2</v>
      </c>
      <c r="AG33" s="222">
        <f>AVERAGE(AC33:AF33)</f>
        <v>4.7151380054369751E-2</v>
      </c>
      <c r="AH33" s="222">
        <f>AC33</f>
        <v>5.2691540871546483E-2</v>
      </c>
      <c r="AI33" s="222">
        <f>AD33</f>
        <v>5.5362396362663713E-2</v>
      </c>
      <c r="AJ33" s="222">
        <f>AE33</f>
        <v>2.8525296017222868E-2</v>
      </c>
      <c r="AK33" s="222">
        <f>AF33</f>
        <v>5.2026286966045943E-2</v>
      </c>
      <c r="AL33" s="222">
        <f>AVERAGE(AH33:AK33)</f>
        <v>4.7151380054369751E-2</v>
      </c>
    </row>
    <row r="34" spans="2:38" outlineLevel="1" x14ac:dyDescent="0.3">
      <c r="B34" s="294" t="s">
        <v>37</v>
      </c>
      <c r="C34" s="295"/>
      <c r="D34" s="82" t="e">
        <f>D10/#REF!-1</f>
        <v>#REF!</v>
      </c>
      <c r="E34" s="82">
        <f>E10/D10-1</f>
        <v>6.8895348837209269E-2</v>
      </c>
      <c r="F34" s="82">
        <f>F10/E10-1</f>
        <v>1.0606472667935796E-2</v>
      </c>
      <c r="G34" s="82">
        <f>G10/F10-1</f>
        <v>-1.7222820236813763E-2</v>
      </c>
      <c r="H34" s="80"/>
      <c r="I34" s="82">
        <f>I10/G10-1</f>
        <v>-3.8608981380065743E-2</v>
      </c>
      <c r="J34" s="82">
        <f>J10/I10-1</f>
        <v>6.4938763884933026E-2</v>
      </c>
      <c r="K34" s="82">
        <f>K10/J10-1</f>
        <v>2.2198448783097069E-2</v>
      </c>
      <c r="L34" s="82">
        <f>L10/K10-1</f>
        <v>5.2328623757196269E-3</v>
      </c>
      <c r="M34" s="80"/>
      <c r="N34" s="82">
        <f>N10/L10-1</f>
        <v>-3.8001041124414381E-2</v>
      </c>
      <c r="O34" s="82">
        <f>O10/N10-1</f>
        <v>6.7640692640692723E-2</v>
      </c>
      <c r="P34" s="82">
        <f>P10/O10-1</f>
        <v>-3.7953164273124562E-3</v>
      </c>
      <c r="Q34" s="82">
        <f>Q10/P10-1</f>
        <v>2.8201639606217244E-2</v>
      </c>
      <c r="R34" s="80"/>
      <c r="S34" s="82">
        <f>S10/Q10-1</f>
        <v>6.261842990963129E-2</v>
      </c>
      <c r="T34" s="82">
        <f>T10/S10-1</f>
        <v>7.0746881543986229E-2</v>
      </c>
      <c r="U34" s="82">
        <f>U10/T10-1</f>
        <v>-3.1349556118840716E-2</v>
      </c>
      <c r="V34" s="82">
        <f>V10/U10-1</f>
        <v>5.1437945150629494E-2</v>
      </c>
      <c r="W34" s="80"/>
      <c r="X34" s="82">
        <f>X10/V10-1</f>
        <v>-3.4697153377612255E-2</v>
      </c>
      <c r="Y34" s="82">
        <f>Y10/X10-1</f>
        <v>7.3463546471112862E-2</v>
      </c>
      <c r="Z34" s="82">
        <f>Z10/Y10-1</f>
        <v>-5.5981634399902558E-2</v>
      </c>
      <c r="AA34" s="82">
        <f>AA10/Z10-1</f>
        <v>7.5462472041624373E-2</v>
      </c>
      <c r="AB34" s="80"/>
      <c r="AC34" s="82">
        <f>AC10/AA10-1</f>
        <v>-3.4086739458623394E-2</v>
      </c>
      <c r="AD34" s="82">
        <f t="shared" ref="AD34:AF34" si="90">AD10/AC10-1</f>
        <v>7.6187104034074471E-2</v>
      </c>
      <c r="AE34" s="82">
        <f t="shared" si="90"/>
        <v>-7.9987336794516528E-2</v>
      </c>
      <c r="AF34" s="82">
        <f t="shared" si="90"/>
        <v>0.10003594040367592</v>
      </c>
      <c r="AG34" s="80"/>
      <c r="AH34" s="82">
        <f>AH10/AF10-1</f>
        <v>-3.3475939541443678E-2</v>
      </c>
      <c r="AI34" s="82">
        <f t="shared" ref="AI34:AK34" si="91">AI10/AH10-1</f>
        <v>7.8917571720648283E-2</v>
      </c>
      <c r="AJ34" s="82">
        <f t="shared" si="91"/>
        <v>-0.10338259158720031</v>
      </c>
      <c r="AK34" s="82">
        <f t="shared" si="91"/>
        <v>0.12517089311598495</v>
      </c>
      <c r="AL34" s="80"/>
    </row>
    <row r="35" spans="2:38" outlineLevel="1" x14ac:dyDescent="0.3">
      <c r="B35" s="294" t="s">
        <v>46</v>
      </c>
      <c r="C35" s="295"/>
      <c r="D35" s="23">
        <f t="shared" ref="D35:O35" si="92">D12/D10</f>
        <v>0.37034883720930234</v>
      </c>
      <c r="E35" s="23">
        <f t="shared" si="92"/>
        <v>0.37720968180581999</v>
      </c>
      <c r="F35" s="23">
        <f t="shared" si="92"/>
        <v>0.38051668460710442</v>
      </c>
      <c r="G35" s="23">
        <f t="shared" si="92"/>
        <v>0.38033953997809422</v>
      </c>
      <c r="H35" s="81">
        <f t="shared" si="92"/>
        <v>0.37721781152916811</v>
      </c>
      <c r="I35" s="23">
        <f t="shared" si="92"/>
        <v>0.37795499857590431</v>
      </c>
      <c r="J35" s="23">
        <f t="shared" si="92"/>
        <v>0.3813853971650174</v>
      </c>
      <c r="K35" s="23">
        <f t="shared" si="92"/>
        <v>0.37912087912087911</v>
      </c>
      <c r="L35" s="23">
        <f t="shared" si="92"/>
        <v>0.3807912545549193</v>
      </c>
      <c r="M35" s="81">
        <f t="shared" si="92"/>
        <v>0.37984444146439589</v>
      </c>
      <c r="N35" s="23">
        <f t="shared" si="92"/>
        <v>0.37824675324675322</v>
      </c>
      <c r="O35" s="23">
        <f t="shared" si="92"/>
        <v>0.38089204257475923</v>
      </c>
      <c r="P35" s="23">
        <f>K35</f>
        <v>0.37912087912087911</v>
      </c>
      <c r="Q35" s="23">
        <f>L35</f>
        <v>0.3807912545549193</v>
      </c>
      <c r="R35" s="78">
        <f>R12/R10</f>
        <v>0.37979393506878417</v>
      </c>
      <c r="S35" s="23">
        <f t="shared" ref="S35:V35" si="93">N35</f>
        <v>0.37824675324675322</v>
      </c>
      <c r="T35" s="23">
        <f t="shared" si="93"/>
        <v>0.38089204257475923</v>
      </c>
      <c r="U35" s="23">
        <f t="shared" si="93"/>
        <v>0.37912087912087911</v>
      </c>
      <c r="V35" s="23">
        <f t="shared" si="93"/>
        <v>0.3807912545549193</v>
      </c>
      <c r="W35" s="78">
        <f>W12/W10</f>
        <v>0.37979825575559384</v>
      </c>
      <c r="X35" s="23">
        <f t="shared" ref="X35" si="94">S35</f>
        <v>0.37824675324675322</v>
      </c>
      <c r="Y35" s="23">
        <f t="shared" ref="Y35" si="95">T35</f>
        <v>0.38089204257475923</v>
      </c>
      <c r="Z35" s="23">
        <f t="shared" ref="Z35" si="96">U35</f>
        <v>0.37912087912087911</v>
      </c>
      <c r="AA35" s="23">
        <f t="shared" ref="AA35" si="97">V35</f>
        <v>0.3807912545549193</v>
      </c>
      <c r="AB35" s="78">
        <f>AB12/AB10</f>
        <v>0.37980266489683229</v>
      </c>
      <c r="AC35" s="23">
        <f t="shared" ref="AC35" si="98">X35</f>
        <v>0.37824675324675322</v>
      </c>
      <c r="AD35" s="23">
        <f t="shared" ref="AD35" si="99">Y35</f>
        <v>0.38089204257475923</v>
      </c>
      <c r="AE35" s="23">
        <f t="shared" ref="AE35" si="100">Z35</f>
        <v>0.37912087912087911</v>
      </c>
      <c r="AF35" s="23">
        <f t="shared" ref="AF35" si="101">AA35</f>
        <v>0.3807912545549193</v>
      </c>
      <c r="AG35" s="78">
        <f>AG12/AG10</f>
        <v>0.3798070319049055</v>
      </c>
      <c r="AH35" s="23">
        <f t="shared" ref="AH35" si="102">AC35</f>
        <v>0.37824675324675322</v>
      </c>
      <c r="AI35" s="23">
        <f t="shared" ref="AI35" si="103">AD35</f>
        <v>0.38089204257475923</v>
      </c>
      <c r="AJ35" s="23">
        <f t="shared" ref="AJ35" si="104">AE35</f>
        <v>0.37912087912087911</v>
      </c>
      <c r="AK35" s="23">
        <f t="shared" ref="AK35" si="105">AF35</f>
        <v>0.3807912545549193</v>
      </c>
      <c r="AL35" s="78">
        <f>AL12/AL10</f>
        <v>0.37981135647568043</v>
      </c>
    </row>
    <row r="36" spans="2:38" outlineLevel="1" x14ac:dyDescent="0.3">
      <c r="B36" s="304" t="s">
        <v>47</v>
      </c>
      <c r="C36" s="308"/>
      <c r="D36" s="23">
        <f t="shared" ref="D36:R36" si="106">D16/D10</f>
        <v>0.16220930232558139</v>
      </c>
      <c r="E36" s="23">
        <f t="shared" si="106"/>
        <v>0.1830296437313027</v>
      </c>
      <c r="F36" s="23">
        <f t="shared" si="106"/>
        <v>0.18864370290635091</v>
      </c>
      <c r="G36" s="23">
        <f t="shared" si="106"/>
        <v>0.19277108433734941</v>
      </c>
      <c r="H36" s="78">
        <f t="shared" si="106"/>
        <v>0.18198136002761478</v>
      </c>
      <c r="I36" s="23">
        <f t="shared" si="106"/>
        <v>0.17317003702648817</v>
      </c>
      <c r="J36" s="23">
        <f t="shared" si="106"/>
        <v>0.19122760096282429</v>
      </c>
      <c r="K36" s="23">
        <f t="shared" si="106"/>
        <v>0.18288854003139718</v>
      </c>
      <c r="L36" s="23">
        <f t="shared" si="106"/>
        <v>0.19963560645497136</v>
      </c>
      <c r="M36" s="78">
        <f t="shared" si="106"/>
        <v>0.18700549818962048</v>
      </c>
      <c r="N36" s="23">
        <f t="shared" si="106"/>
        <v>0.16801948051948051</v>
      </c>
      <c r="O36" s="23">
        <f t="shared" si="106"/>
        <v>0.17638114546376077</v>
      </c>
      <c r="P36" s="23">
        <f t="shared" ref="P36" si="107">P16/P10</f>
        <v>0.17973738222781133</v>
      </c>
      <c r="Q36" s="23">
        <f t="shared" si="106"/>
        <v>0.19668623758324266</v>
      </c>
      <c r="R36" s="78">
        <f t="shared" si="106"/>
        <v>0.18050282052774708</v>
      </c>
      <c r="S36" s="23">
        <f t="shared" ref="S36:V36" si="108">S16/S10</f>
        <v>0.17237307636147578</v>
      </c>
      <c r="T36" s="23">
        <f t="shared" si="108"/>
        <v>0.18963174830109436</v>
      </c>
      <c r="U36" s="23">
        <f t="shared" si="108"/>
        <v>0.18760013779727286</v>
      </c>
      <c r="V36" s="23">
        <f t="shared" si="108"/>
        <v>0.205901311105392</v>
      </c>
      <c r="W36" s="78">
        <f>W16/W10</f>
        <v>0.18924508874955459</v>
      </c>
      <c r="X36" s="23">
        <f t="shared" ref="X36:AA36" si="109">X16/X10</f>
        <v>0.17272485997740991</v>
      </c>
      <c r="Y36" s="23">
        <f t="shared" si="109"/>
        <v>0.19119935977077893</v>
      </c>
      <c r="Z36" s="23">
        <f t="shared" si="109"/>
        <v>0.18636807946038791</v>
      </c>
      <c r="AA36" s="23">
        <f t="shared" si="109"/>
        <v>0.20681382451884636</v>
      </c>
      <c r="AB36" s="78">
        <f>AB16/AB10</f>
        <v>0.18967827069071186</v>
      </c>
      <c r="AC36" s="23">
        <f t="shared" ref="AC36:AF36" si="110">AC16/AC10</f>
        <v>0.1739435451723238</v>
      </c>
      <c r="AD36" s="23">
        <f t="shared" si="110"/>
        <v>0.19275851676291622</v>
      </c>
      <c r="AE36" s="23">
        <f t="shared" si="110"/>
        <v>0.18559309714890765</v>
      </c>
      <c r="AF36" s="23">
        <f t="shared" si="110"/>
        <v>0.20819122713979088</v>
      </c>
      <c r="AG36" s="78">
        <f>AG16/AG10</f>
        <v>0.19056839534603492</v>
      </c>
      <c r="AH36" s="23">
        <f t="shared" ref="AH36:AK36" si="111">AH16/AH10</f>
        <v>0.17555156981454581</v>
      </c>
      <c r="AI36" s="23">
        <f t="shared" si="111"/>
        <v>0.19456726639149888</v>
      </c>
      <c r="AJ36" s="23">
        <f t="shared" si="111"/>
        <v>0.18519898059285092</v>
      </c>
      <c r="AK36" s="23">
        <f t="shared" si="111"/>
        <v>0.20987660670687508</v>
      </c>
      <c r="AL36" s="78">
        <f>AL16/AL10</f>
        <v>0.19180659809402659</v>
      </c>
    </row>
    <row r="37" spans="2:38" outlineLevel="1" x14ac:dyDescent="0.3">
      <c r="B37" s="304" t="s">
        <v>63</v>
      </c>
      <c r="C37" s="308"/>
      <c r="D37" s="23">
        <f t="shared" ref="D37:R37" si="112">D24/D10</f>
        <v>8.6337209302325579E-2</v>
      </c>
      <c r="E37" s="23">
        <f t="shared" si="112"/>
        <v>9.8177862387816159E-2</v>
      </c>
      <c r="F37" s="23">
        <f t="shared" si="112"/>
        <v>0.10441334768568353</v>
      </c>
      <c r="G37" s="23">
        <f t="shared" si="112"/>
        <v>0.2472617743702081</v>
      </c>
      <c r="H37" s="78">
        <f t="shared" si="112"/>
        <v>0.13455298584742836</v>
      </c>
      <c r="I37" s="23">
        <f t="shared" si="112"/>
        <v>0.11250356023924808</v>
      </c>
      <c r="J37" s="23">
        <f t="shared" si="112"/>
        <v>0.1334581438887403</v>
      </c>
      <c r="K37" s="23">
        <f t="shared" si="112"/>
        <v>0.13029827315541601</v>
      </c>
      <c r="L37" s="23">
        <f t="shared" si="112"/>
        <v>0.13820926600728786</v>
      </c>
      <c r="M37" s="78">
        <f t="shared" si="112"/>
        <v>0.12893925170980286</v>
      </c>
      <c r="N37" s="23">
        <f t="shared" si="112"/>
        <v>9.3885281385281391E-2</v>
      </c>
      <c r="O37" s="23">
        <f t="shared" si="112"/>
        <v>9.6806893056259502E-2</v>
      </c>
      <c r="P37" s="23">
        <f t="shared" ref="P37" si="113">P24/P10</f>
        <v>0.11790529442119885</v>
      </c>
      <c r="Q37" s="23">
        <f t="shared" si="112"/>
        <v>0.13041828471187153</v>
      </c>
      <c r="R37" s="78">
        <f t="shared" si="112"/>
        <v>0.11012707459326242</v>
      </c>
      <c r="S37" s="23">
        <f t="shared" ref="S37:V37" si="114">S24/S10</f>
        <v>0.10284882435846379</v>
      </c>
      <c r="T37" s="23">
        <f t="shared" si="114"/>
        <v>0.12126557583601301</v>
      </c>
      <c r="U37" s="23">
        <f t="shared" si="114"/>
        <v>0.12566563122264851</v>
      </c>
      <c r="V37" s="23">
        <f t="shared" si="114"/>
        <v>0.14028297737310433</v>
      </c>
      <c r="W37" s="78">
        <f>W24/W10</f>
        <v>0.12290568800497499</v>
      </c>
      <c r="X37" s="23">
        <f t="shared" ref="X37:AA37" si="115">X24/X10</f>
        <v>0.1039901835436829</v>
      </c>
      <c r="Y37" s="23">
        <f t="shared" si="115"/>
        <v>0.12228188811285713</v>
      </c>
      <c r="Z37" s="23">
        <f t="shared" si="115"/>
        <v>0.12280043840168021</v>
      </c>
      <c r="AA37" s="23">
        <f t="shared" si="115"/>
        <v>0.13986824338929557</v>
      </c>
      <c r="AB37" s="78">
        <f>AB24/AB10</f>
        <v>0.12261710783579007</v>
      </c>
      <c r="AC37" s="23">
        <f t="shared" ref="AC37:AF37" si="116">AC24/AC10</f>
        <v>0.10415556937180599</v>
      </c>
      <c r="AD37" s="23">
        <f t="shared" si="116"/>
        <v>0.12279078998426091</v>
      </c>
      <c r="AE37" s="23">
        <f t="shared" si="116"/>
        <v>0.12046800519814568</v>
      </c>
      <c r="AF37" s="23">
        <f t="shared" si="116"/>
        <v>0.14006483776341469</v>
      </c>
      <c r="AG37" s="78">
        <f>AG24/AG10</f>
        <v>0.12228038473666802</v>
      </c>
      <c r="AH37" s="23">
        <f t="shared" ref="AH37:AK37" si="117">AH24/AH10</f>
        <v>0.10448784615943245</v>
      </c>
      <c r="AI37" s="23">
        <f t="shared" si="117"/>
        <v>0.12337089122213649</v>
      </c>
      <c r="AJ37" s="23">
        <f t="shared" si="117"/>
        <v>0.11836192214686417</v>
      </c>
      <c r="AK37" s="23">
        <f t="shared" si="117"/>
        <v>0.14047160008433807</v>
      </c>
      <c r="AL37" s="78">
        <f>AL24/AL10</f>
        <v>0.12213379247861535</v>
      </c>
    </row>
    <row r="38" spans="2:38" outlineLevel="1" x14ac:dyDescent="0.3">
      <c r="B38" s="304" t="s">
        <v>6</v>
      </c>
      <c r="C38" s="308"/>
      <c r="D38" s="23">
        <f t="shared" ref="D38:O38" si="118">D23/D22</f>
        <v>0.31566820276497698</v>
      </c>
      <c r="E38" s="23">
        <f t="shared" si="118"/>
        <v>0.36666666666666664</v>
      </c>
      <c r="F38" s="23">
        <f t="shared" si="118"/>
        <v>0.35655058043117743</v>
      </c>
      <c r="G38" s="23">
        <f t="shared" si="118"/>
        <v>-0.54623287671232879</v>
      </c>
      <c r="H38" s="78">
        <f t="shared" si="118"/>
        <v>0.1104518484710178</v>
      </c>
      <c r="I38" s="23">
        <f t="shared" si="118"/>
        <v>0.22700587084148727</v>
      </c>
      <c r="J38" s="23">
        <f t="shared" si="118"/>
        <v>0.180623973727422</v>
      </c>
      <c r="K38" s="23">
        <f t="shared" si="118"/>
        <v>0.16582914572864321</v>
      </c>
      <c r="L38" s="23">
        <f t="shared" si="118"/>
        <v>0.19423368740515934</v>
      </c>
      <c r="M38" s="78">
        <f t="shared" si="118"/>
        <v>0.19065656565656566</v>
      </c>
      <c r="N38" s="23">
        <f t="shared" si="118"/>
        <v>0.24891774891774893</v>
      </c>
      <c r="O38" s="23">
        <f t="shared" si="118"/>
        <v>0.23138832997987926</v>
      </c>
      <c r="P38" s="23">
        <f>M38</f>
        <v>0.19065656565656566</v>
      </c>
      <c r="Q38" s="23">
        <f>L38</f>
        <v>0.19423368740515934</v>
      </c>
      <c r="R38" s="78">
        <f>R23/R22</f>
        <v>0.21330218322880556</v>
      </c>
      <c r="S38" s="23">
        <f t="shared" ref="S38:V40" si="119">N38</f>
        <v>0.24891774891774893</v>
      </c>
      <c r="T38" s="23">
        <f t="shared" si="119"/>
        <v>0.23138832997987926</v>
      </c>
      <c r="U38" s="23">
        <f t="shared" si="119"/>
        <v>0.19065656565656566</v>
      </c>
      <c r="V38" s="23">
        <f t="shared" si="119"/>
        <v>0.19423368740515934</v>
      </c>
      <c r="W38" s="78">
        <f>W23/W22</f>
        <v>0.21431491101417308</v>
      </c>
      <c r="X38" s="23">
        <f t="shared" ref="X38:AA40" si="120">S38</f>
        <v>0.24891774891774893</v>
      </c>
      <c r="Y38" s="23">
        <f t="shared" si="120"/>
        <v>0.23138832997987926</v>
      </c>
      <c r="Z38" s="23">
        <f t="shared" si="120"/>
        <v>0.19065656565656566</v>
      </c>
      <c r="AA38" s="23">
        <f t="shared" si="120"/>
        <v>0.19423368740515934</v>
      </c>
      <c r="AB38" s="78">
        <f>AB23/AB22</f>
        <v>0.21472913765573454</v>
      </c>
      <c r="AC38" s="23">
        <f t="shared" ref="AC38:AF40" si="121">X38</f>
        <v>0.24891774891774893</v>
      </c>
      <c r="AD38" s="23">
        <f t="shared" si="121"/>
        <v>0.23138832997987926</v>
      </c>
      <c r="AE38" s="23">
        <f t="shared" si="121"/>
        <v>0.19065656565656566</v>
      </c>
      <c r="AF38" s="23">
        <f t="shared" si="121"/>
        <v>0.19423368740515934</v>
      </c>
      <c r="AG38" s="78">
        <f>AG23/AG22</f>
        <v>0.21500301172687322</v>
      </c>
      <c r="AH38" s="23">
        <f t="shared" ref="AH38:AK40" si="122">AC38</f>
        <v>0.24891774891774893</v>
      </c>
      <c r="AI38" s="23">
        <f t="shared" si="122"/>
        <v>0.23138832997987926</v>
      </c>
      <c r="AJ38" s="23">
        <f t="shared" si="122"/>
        <v>0.19065656565656566</v>
      </c>
      <c r="AK38" s="23">
        <f t="shared" si="122"/>
        <v>0.19423368740515934</v>
      </c>
      <c r="AL38" s="78">
        <f>AL23/AL22</f>
        <v>0.2152675295909818</v>
      </c>
    </row>
    <row r="39" spans="2:38" outlineLevel="1" x14ac:dyDescent="0.3">
      <c r="B39" s="294" t="s">
        <v>40</v>
      </c>
      <c r="C39" s="295"/>
      <c r="D39" s="23">
        <f t="shared" ref="D39:O39" si="123">D14/D10</f>
        <v>0.11337209302325581</v>
      </c>
      <c r="E39" s="23">
        <f t="shared" si="123"/>
        <v>9.6002175686701122E-2</v>
      </c>
      <c r="F39" s="23">
        <f t="shared" si="123"/>
        <v>9.5801937567276646E-2</v>
      </c>
      <c r="G39" s="23">
        <f t="shared" si="123"/>
        <v>0.10104052573932092</v>
      </c>
      <c r="H39" s="79">
        <f t="shared" si="123"/>
        <v>0.10134622022782189</v>
      </c>
      <c r="I39" s="23">
        <f t="shared" si="123"/>
        <v>0.10623753916263173</v>
      </c>
      <c r="J39" s="23">
        <f t="shared" si="123"/>
        <v>9.7619684407595608E-2</v>
      </c>
      <c r="K39" s="23">
        <f t="shared" si="123"/>
        <v>9.026687598116169E-2</v>
      </c>
      <c r="L39" s="23">
        <f t="shared" si="123"/>
        <v>9.6304008328995314E-2</v>
      </c>
      <c r="M39" s="79">
        <f t="shared" si="123"/>
        <v>9.742523803137991E-2</v>
      </c>
      <c r="N39" s="23">
        <f t="shared" si="123"/>
        <v>0.11066017316017317</v>
      </c>
      <c r="O39" s="23">
        <f t="shared" si="123"/>
        <v>9.9087683730359852E-2</v>
      </c>
      <c r="P39" s="23">
        <f>K39</f>
        <v>9.026687598116169E-2</v>
      </c>
      <c r="Q39" s="23">
        <f>L39</f>
        <v>9.6304008328995314E-2</v>
      </c>
      <c r="R39" s="79">
        <f>R14/R10</f>
        <v>9.8885685811687635E-2</v>
      </c>
      <c r="S39" s="23">
        <f t="shared" si="119"/>
        <v>0.11066017316017317</v>
      </c>
      <c r="T39" s="23">
        <f t="shared" si="119"/>
        <v>9.9087683730359852E-2</v>
      </c>
      <c r="U39" s="23">
        <f t="shared" si="119"/>
        <v>9.026687598116169E-2</v>
      </c>
      <c r="V39" s="23">
        <f t="shared" si="119"/>
        <v>9.6304008328995314E-2</v>
      </c>
      <c r="W39" s="79">
        <f>W14/W10</f>
        <v>9.8941927279106667E-2</v>
      </c>
      <c r="X39" s="23">
        <f t="shared" si="120"/>
        <v>0.11066017316017317</v>
      </c>
      <c r="Y39" s="23">
        <f t="shared" si="120"/>
        <v>9.9087683730359852E-2</v>
      </c>
      <c r="Z39" s="23">
        <f t="shared" si="120"/>
        <v>9.026687598116169E-2</v>
      </c>
      <c r="AA39" s="23">
        <f t="shared" si="120"/>
        <v>9.6304008328995314E-2</v>
      </c>
      <c r="AB39" s="79">
        <f>AB14/AB10</f>
        <v>9.8991911582683445E-2</v>
      </c>
      <c r="AC39" s="23">
        <f t="shared" si="121"/>
        <v>0.11066017316017317</v>
      </c>
      <c r="AD39" s="23">
        <f t="shared" si="121"/>
        <v>9.9087683730359852E-2</v>
      </c>
      <c r="AE39" s="23">
        <f t="shared" si="121"/>
        <v>9.026687598116169E-2</v>
      </c>
      <c r="AF39" s="23">
        <f t="shared" si="121"/>
        <v>9.6304008328995314E-2</v>
      </c>
      <c r="AG39" s="79">
        <f>AG14/AG10</f>
        <v>9.9041265454031885E-2</v>
      </c>
      <c r="AH39" s="23">
        <f t="shared" si="122"/>
        <v>0.11066017316017317</v>
      </c>
      <c r="AI39" s="23">
        <f t="shared" si="122"/>
        <v>9.9087683730359852E-2</v>
      </c>
      <c r="AJ39" s="23">
        <f t="shared" si="122"/>
        <v>9.026687598116169E-2</v>
      </c>
      <c r="AK39" s="23">
        <f t="shared" si="122"/>
        <v>9.6304008328995314E-2</v>
      </c>
      <c r="AL39" s="79">
        <f>AL14/AL10</f>
        <v>9.9089986123626975E-2</v>
      </c>
    </row>
    <row r="40" spans="2:38" outlineLevel="1" x14ac:dyDescent="0.3">
      <c r="B40" s="294" t="s">
        <v>284</v>
      </c>
      <c r="C40" s="295"/>
      <c r="D40" s="23">
        <f t="shared" ref="D40:O40" si="124">D13/D10</f>
        <v>-5.8139534883720929E-4</v>
      </c>
      <c r="E40" s="23">
        <f t="shared" si="124"/>
        <v>1.3598041881968997E-3</v>
      </c>
      <c r="F40" s="23">
        <f t="shared" si="124"/>
        <v>1.883745963401507E-3</v>
      </c>
      <c r="G40" s="23">
        <f t="shared" si="124"/>
        <v>-7.1193866374589269E-3</v>
      </c>
      <c r="H40" s="79">
        <f t="shared" si="124"/>
        <v>-1.1045909561615463E-3</v>
      </c>
      <c r="I40" s="23">
        <f t="shared" si="124"/>
        <v>-2.8481913984619768E-4</v>
      </c>
      <c r="J40" s="23">
        <f t="shared" si="124"/>
        <v>-1.0163145225996255E-2</v>
      </c>
      <c r="K40" s="23">
        <f t="shared" si="124"/>
        <v>7.5876504447933016E-3</v>
      </c>
      <c r="L40" s="23">
        <f t="shared" si="124"/>
        <v>-1.1452368558042686E-2</v>
      </c>
      <c r="M40" s="79">
        <f t="shared" si="124"/>
        <v>-3.6207590183719995E-3</v>
      </c>
      <c r="N40" s="23">
        <f t="shared" si="124"/>
        <v>5.4112554112554113E-4</v>
      </c>
      <c r="O40" s="23">
        <f t="shared" si="124"/>
        <v>1.7739483020780538E-3</v>
      </c>
      <c r="P40" s="23">
        <f>K40</f>
        <v>7.5876504447933016E-3</v>
      </c>
      <c r="Q40" s="23">
        <f>L40</f>
        <v>-1.1452368558042686E-2</v>
      </c>
      <c r="R40" s="79">
        <f>R13/R10</f>
        <v>-4.7787170561699235E-4</v>
      </c>
      <c r="S40" s="23">
        <f t="shared" si="119"/>
        <v>5.4112554112554113E-4</v>
      </c>
      <c r="T40" s="23">
        <f t="shared" si="119"/>
        <v>1.7739483020780538E-3</v>
      </c>
      <c r="U40" s="23">
        <f t="shared" si="119"/>
        <v>7.5876504447933016E-3</v>
      </c>
      <c r="V40" s="23">
        <f t="shared" si="119"/>
        <v>-1.1452368558042686E-2</v>
      </c>
      <c r="W40" s="79">
        <f>W13/W10</f>
        <v>-5.1895724371819397E-4</v>
      </c>
      <c r="X40" s="23">
        <f t="shared" si="120"/>
        <v>5.4112554112554113E-4</v>
      </c>
      <c r="Y40" s="23">
        <f t="shared" si="120"/>
        <v>1.7739483020780538E-3</v>
      </c>
      <c r="Z40" s="23">
        <f t="shared" si="120"/>
        <v>7.5876504447933016E-3</v>
      </c>
      <c r="AA40" s="23">
        <f t="shared" si="120"/>
        <v>-1.1452368558042686E-2</v>
      </c>
      <c r="AB40" s="79">
        <f>AB13/AB10</f>
        <v>-5.6187548179422939E-4</v>
      </c>
      <c r="AC40" s="23">
        <f t="shared" si="121"/>
        <v>5.4112554112554113E-4</v>
      </c>
      <c r="AD40" s="23">
        <f t="shared" si="121"/>
        <v>1.7739483020780538E-3</v>
      </c>
      <c r="AE40" s="23">
        <f t="shared" si="121"/>
        <v>7.5876504447933016E-3</v>
      </c>
      <c r="AF40" s="23">
        <f t="shared" si="121"/>
        <v>-1.1452368558042686E-2</v>
      </c>
      <c r="AG40" s="79">
        <f>AG13/AG10</f>
        <v>-6.041632410509173E-4</v>
      </c>
      <c r="AH40" s="23">
        <f t="shared" si="122"/>
        <v>5.4112554112554113E-4</v>
      </c>
      <c r="AI40" s="23">
        <f t="shared" si="122"/>
        <v>1.7739483020780538E-3</v>
      </c>
      <c r="AJ40" s="23">
        <f t="shared" si="122"/>
        <v>7.5876504447933016E-3</v>
      </c>
      <c r="AK40" s="23">
        <f t="shared" si="122"/>
        <v>-1.1452368558042686E-2</v>
      </c>
      <c r="AL40" s="79">
        <f>AL13/AL10</f>
        <v>-6.4581879059584578E-4</v>
      </c>
    </row>
    <row r="41" spans="2:38" s="94" customFormat="1" outlineLevel="1" x14ac:dyDescent="0.3">
      <c r="B41" s="313" t="s">
        <v>198</v>
      </c>
      <c r="C41" s="314"/>
      <c r="D41" s="120"/>
      <c r="E41" s="120"/>
      <c r="F41" s="120"/>
      <c r="G41" s="120"/>
      <c r="H41" s="121"/>
      <c r="I41" s="120"/>
      <c r="J41" s="120"/>
      <c r="K41" s="120"/>
      <c r="L41" s="120"/>
      <c r="M41" s="121"/>
      <c r="N41" s="120"/>
      <c r="O41" s="120"/>
      <c r="P41" s="120"/>
      <c r="Q41" s="120"/>
      <c r="R41" s="121"/>
      <c r="S41" s="120"/>
      <c r="T41" s="120"/>
      <c r="U41" s="120"/>
      <c r="V41" s="120"/>
      <c r="W41" s="121"/>
      <c r="X41" s="120"/>
      <c r="Y41" s="120"/>
      <c r="Z41" s="120"/>
      <c r="AA41" s="120"/>
      <c r="AB41" s="121"/>
      <c r="AC41" s="120"/>
      <c r="AD41" s="120"/>
      <c r="AE41" s="120"/>
      <c r="AF41" s="120"/>
      <c r="AG41" s="121"/>
      <c r="AH41" s="120"/>
      <c r="AI41" s="120"/>
      <c r="AJ41" s="120"/>
      <c r="AK41" s="120"/>
      <c r="AL41" s="121"/>
    </row>
    <row r="42" spans="2:38" s="94" customFormat="1" outlineLevel="1" x14ac:dyDescent="0.3">
      <c r="B42" s="253" t="s">
        <v>279</v>
      </c>
      <c r="C42" s="254"/>
      <c r="D42" s="23"/>
      <c r="E42" s="23"/>
      <c r="F42" s="23"/>
      <c r="G42" s="23"/>
      <c r="H42" s="79"/>
      <c r="I42" s="23">
        <f>I17/D17-1</f>
        <v>7.7878103837471846E-2</v>
      </c>
      <c r="J42" s="23">
        <f t="shared" ref="J42:AL42" si="125">J17/E17-1</f>
        <v>6.8027210884353817E-2</v>
      </c>
      <c r="K42" s="23">
        <f t="shared" si="125"/>
        <v>2.2835394862036118E-2</v>
      </c>
      <c r="L42" s="23">
        <f t="shared" si="125"/>
        <v>8.6998087954110792E-2</v>
      </c>
      <c r="M42" s="23">
        <f t="shared" si="125"/>
        <v>6.3310069790628143E-2</v>
      </c>
      <c r="N42" s="23">
        <f t="shared" si="125"/>
        <v>3.3507853403141441E-2</v>
      </c>
      <c r="O42" s="23">
        <f t="shared" si="125"/>
        <v>5.4595086442219554E-3</v>
      </c>
      <c r="P42" s="23">
        <f t="shared" si="125"/>
        <v>2.8525296017222646E-2</v>
      </c>
      <c r="Q42" s="23">
        <f t="shared" si="125"/>
        <v>5.2026286966045499E-2</v>
      </c>
      <c r="R42" s="23">
        <f t="shared" si="125"/>
        <v>2.9962161626560846E-2</v>
      </c>
      <c r="S42" s="23">
        <f t="shared" si="125"/>
        <v>0.16206209057248699</v>
      </c>
      <c r="T42" s="23">
        <f t="shared" si="125"/>
        <v>0.16544298865510521</v>
      </c>
      <c r="U42" s="23">
        <f t="shared" si="125"/>
        <v>0.1332077502691067</v>
      </c>
      <c r="V42" s="23">
        <f t="shared" si="125"/>
        <v>0.15881708652792992</v>
      </c>
      <c r="W42" s="23">
        <f t="shared" si="125"/>
        <v>0.15476801218732184</v>
      </c>
      <c r="X42" s="23">
        <f t="shared" si="125"/>
        <v>5.2691540871545817E-2</v>
      </c>
      <c r="Y42" s="23">
        <f t="shared" si="125"/>
        <v>5.5362396362663713E-2</v>
      </c>
      <c r="Z42" s="23">
        <f t="shared" si="125"/>
        <v>2.852529601722309E-2</v>
      </c>
      <c r="AA42" s="23">
        <f t="shared" si="125"/>
        <v>5.2026286966045943E-2</v>
      </c>
      <c r="AB42" s="23">
        <f t="shared" si="125"/>
        <v>4.7220025273029043E-2</v>
      </c>
      <c r="AC42" s="23">
        <f t="shared" si="125"/>
        <v>5.2691540871546483E-2</v>
      </c>
      <c r="AD42" s="23">
        <f t="shared" si="125"/>
        <v>5.5362396362663713E-2</v>
      </c>
      <c r="AE42" s="23">
        <f t="shared" si="125"/>
        <v>2.8525296017222646E-2</v>
      </c>
      <c r="AF42" s="23">
        <f t="shared" si="125"/>
        <v>5.2026286966046165E-2</v>
      </c>
      <c r="AG42" s="23">
        <f t="shared" si="125"/>
        <v>4.7330995585808555E-2</v>
      </c>
      <c r="AH42" s="23">
        <f t="shared" si="125"/>
        <v>5.2691540871546705E-2</v>
      </c>
      <c r="AI42" s="23">
        <f t="shared" si="125"/>
        <v>5.5362396362663935E-2</v>
      </c>
      <c r="AJ42" s="23">
        <f t="shared" si="125"/>
        <v>2.852529601722309E-2</v>
      </c>
      <c r="AK42" s="23">
        <f t="shared" si="125"/>
        <v>5.2026286966045499E-2</v>
      </c>
      <c r="AL42" s="23">
        <f t="shared" si="125"/>
        <v>4.7440657657655594E-2</v>
      </c>
    </row>
    <row r="43" spans="2:38" s="94" customFormat="1" outlineLevel="1" x14ac:dyDescent="0.3">
      <c r="B43" s="149" t="s">
        <v>190</v>
      </c>
      <c r="C43" s="150"/>
      <c r="D43" s="23" t="e">
        <f>D19/((D89+D92)+(#REF!+#REF!)/2)</f>
        <v>#REF!</v>
      </c>
      <c r="E43" s="23">
        <f>E19/((E89+E92)+(D89+D92)/2)</f>
        <v>-6.6283694211224037E-3</v>
      </c>
      <c r="F43" s="23">
        <f>F19/((F89+F92)+(E89+E92)/2)</f>
        <v>-6.4871878040869283E-3</v>
      </c>
      <c r="G43" s="23">
        <f>G19/((G89+G92)+(F89+F92)/2)</f>
        <v>-6.4249655805415327E-3</v>
      </c>
      <c r="H43" s="79"/>
      <c r="I43" s="23">
        <f>I19/((I89+I92)+(H89+H92)/2)</f>
        <v>-6.1894235674205067E-3</v>
      </c>
      <c r="J43" s="23">
        <f>J19/((J89+J92)+(I89+I92)/2)</f>
        <v>-6.2946292598734304E-3</v>
      </c>
      <c r="K43" s="23">
        <f>K19/((K89+K92)+(J89+J92)/2)</f>
        <v>-6.2357516427517766E-3</v>
      </c>
      <c r="L43" s="23">
        <f>L19/((L89+L92)+(K89+K92)/2)</f>
        <v>-6.4520420380470931E-3</v>
      </c>
      <c r="M43" s="79"/>
      <c r="N43" s="23">
        <f>N19/((N89+N92)+(M89+M92)/2)</f>
        <v>-6.242278431627544E-3</v>
      </c>
      <c r="O43" s="23">
        <f>O19/((O89+O92)+(N89+N92)/2)</f>
        <v>-5.579734404642339E-3</v>
      </c>
      <c r="P43" s="23">
        <v>-6.3882315692805726E-3</v>
      </c>
      <c r="Q43" s="23">
        <v>-6.3882315692805726E-3</v>
      </c>
      <c r="R43" s="79"/>
      <c r="S43" s="23">
        <v>-6.3882315692805726E-3</v>
      </c>
      <c r="T43" s="23">
        <v>-6.3882315692805726E-3</v>
      </c>
      <c r="U43" s="23">
        <v>-6.3882315692805726E-3</v>
      </c>
      <c r="V43" s="23">
        <v>-6.3882315692805726E-3</v>
      </c>
      <c r="W43" s="79"/>
      <c r="X43" s="23">
        <v>-6.3882315692805726E-3</v>
      </c>
      <c r="Y43" s="23">
        <v>-6.3882315692805726E-3</v>
      </c>
      <c r="Z43" s="23">
        <v>-6.3882315692805726E-3</v>
      </c>
      <c r="AA43" s="23">
        <v>-6.3882315692805726E-3</v>
      </c>
      <c r="AB43" s="79"/>
      <c r="AC43" s="23">
        <v>-6.3882315692805726E-3</v>
      </c>
      <c r="AD43" s="23">
        <v>-6.3882315692805726E-3</v>
      </c>
      <c r="AE43" s="23">
        <v>-6.3882315692805726E-3</v>
      </c>
      <c r="AF43" s="23">
        <v>-6.3882315692805726E-3</v>
      </c>
      <c r="AG43" s="79"/>
      <c r="AH43" s="23">
        <v>-6.3882315692805726E-3</v>
      </c>
      <c r="AI43" s="23">
        <v>-6.3882315692805726E-3</v>
      </c>
      <c r="AJ43" s="23">
        <v>-6.3882315692805726E-3</v>
      </c>
      <c r="AK43" s="23">
        <v>-6.3882315692805726E-3</v>
      </c>
      <c r="AL43" s="79"/>
    </row>
    <row r="44" spans="2:38" s="94" customFormat="1" x14ac:dyDescent="0.3">
      <c r="B44" s="315" t="s">
        <v>191</v>
      </c>
      <c r="C44" s="316"/>
      <c r="D44" s="120"/>
      <c r="E44" s="120"/>
      <c r="F44" s="120"/>
      <c r="G44" s="120"/>
      <c r="H44" s="121"/>
      <c r="I44" s="120"/>
      <c r="J44" s="120"/>
      <c r="K44" s="120"/>
      <c r="L44" s="120"/>
      <c r="M44" s="121"/>
      <c r="N44" s="120"/>
      <c r="O44" s="120"/>
      <c r="P44" s="120"/>
      <c r="Q44" s="120"/>
      <c r="R44" s="121"/>
      <c r="S44" s="120"/>
      <c r="T44" s="120"/>
      <c r="U44" s="120"/>
      <c r="V44" s="120"/>
      <c r="W44" s="121"/>
      <c r="X44" s="120"/>
      <c r="Y44" s="120"/>
      <c r="Z44" s="120"/>
      <c r="AA44" s="120"/>
      <c r="AB44" s="121"/>
      <c r="AC44" s="120"/>
      <c r="AD44" s="120"/>
      <c r="AE44" s="120"/>
      <c r="AF44" s="120"/>
      <c r="AG44" s="121"/>
      <c r="AH44" s="120"/>
      <c r="AI44" s="120"/>
      <c r="AJ44" s="120"/>
      <c r="AK44" s="120"/>
      <c r="AL44" s="121"/>
    </row>
    <row r="45" spans="2:38" outlineLevel="1" x14ac:dyDescent="0.3">
      <c r="B45" s="304" t="s">
        <v>126</v>
      </c>
      <c r="C45" s="308"/>
      <c r="D45" s="23"/>
      <c r="E45" s="23">
        <f>(E25+E49)/D25-1</f>
        <v>1.1825528539946006E-3</v>
      </c>
      <c r="F45" s="23">
        <f>(F25+F49)/E25-1</f>
        <v>1.1099020971021556E-3</v>
      </c>
      <c r="G45" s="23">
        <f>(G25+G49)/F25-1</f>
        <v>2.4566831722627747E-4</v>
      </c>
      <c r="H45" s="79"/>
      <c r="I45" s="23">
        <f>(I25+I49)/H25-1</f>
        <v>-2.839015894294139E-3</v>
      </c>
      <c r="J45" s="23">
        <f>(J25+J49)/I25-1</f>
        <v>-5.090497737556654E-3</v>
      </c>
      <c r="K45" s="23">
        <f>(K25+K49)/J25-1</f>
        <v>2.239440737885845E-3</v>
      </c>
      <c r="L45" s="23">
        <f>(L25+L49)/K25-1</f>
        <v>4.5998057778362522E-4</v>
      </c>
      <c r="M45" s="79"/>
      <c r="N45" s="23">
        <f>(N25+N49)/M25-1</f>
        <v>-5.071783346374259E-3</v>
      </c>
      <c r="O45" s="23">
        <f>(O25+O49)/N25-1</f>
        <v>9.318075401145709E-4</v>
      </c>
      <c r="P45" s="23">
        <v>-1.7040164027228452E-2</v>
      </c>
      <c r="Q45" s="23">
        <v>-1.7040164027228452E-2</v>
      </c>
      <c r="R45" s="79"/>
      <c r="S45" s="23">
        <v>-1.7040164027228452E-2</v>
      </c>
      <c r="T45" s="23">
        <v>-1.7040164027228452E-2</v>
      </c>
      <c r="U45" s="23">
        <v>-1.7040164027228452E-2</v>
      </c>
      <c r="V45" s="23">
        <v>-1.7040164027228452E-2</v>
      </c>
      <c r="W45" s="79"/>
      <c r="X45" s="23">
        <v>-1.7040164027228452E-2</v>
      </c>
      <c r="Y45" s="23">
        <v>-1.7040164027228452E-2</v>
      </c>
      <c r="Z45" s="23">
        <v>-1.7040164027228452E-2</v>
      </c>
      <c r="AA45" s="23">
        <v>-1.7040164027228452E-2</v>
      </c>
      <c r="AB45" s="79"/>
      <c r="AC45" s="23">
        <v>-1.7040164027228452E-2</v>
      </c>
      <c r="AD45" s="23">
        <v>-1.7040164027228452E-2</v>
      </c>
      <c r="AE45" s="23">
        <v>-1.7040164027228452E-2</v>
      </c>
      <c r="AF45" s="23">
        <v>-1.7040164027228452E-2</v>
      </c>
      <c r="AG45" s="79"/>
      <c r="AH45" s="23">
        <v>-1.7040164027228452E-2</v>
      </c>
      <c r="AI45" s="23">
        <v>-1.7040164027228452E-2</v>
      </c>
      <c r="AJ45" s="23">
        <v>-1.7040164027228452E-2</v>
      </c>
      <c r="AK45" s="23">
        <v>-1.7040164027228452E-2</v>
      </c>
      <c r="AL45" s="79"/>
    </row>
    <row r="46" spans="2:38" outlineLevel="1" x14ac:dyDescent="0.3">
      <c r="B46" s="304" t="s">
        <v>127</v>
      </c>
      <c r="C46" s="308"/>
      <c r="D46" s="23"/>
      <c r="E46" s="23">
        <f>(E26+E49)/D26-1</f>
        <v>6.8060574334163348E-3</v>
      </c>
      <c r="F46" s="23">
        <f>(F26+F49)/E26-1</f>
        <v>5.3735912513408479E-3</v>
      </c>
      <c r="G46" s="23">
        <f>(G26+G49)/F26-1</f>
        <v>4.7791950620226231E-3</v>
      </c>
      <c r="H46" s="79"/>
      <c r="I46" s="23">
        <f>(I26+I49)/H26-1</f>
        <v>-8.4567738554777172E-3</v>
      </c>
      <c r="J46" s="23">
        <f>(J26+J49)/I26-1</f>
        <v>-5.273237547216425E-3</v>
      </c>
      <c r="K46" s="23">
        <f>(K26+K49)/J26-1</f>
        <v>1.7565959105025897E-3</v>
      </c>
      <c r="L46" s="23">
        <f>(L26+L49)/K26-1</f>
        <v>1.0901712406618858E-2</v>
      </c>
      <c r="M46" s="79"/>
      <c r="N46" s="23">
        <f>(N26+N49)/M26-1</f>
        <v>-1.1614659063668986E-2</v>
      </c>
      <c r="O46" s="23">
        <f>(O26+O49)/N26-1</f>
        <v>4.4407089770126529E-3</v>
      </c>
      <c r="P46" s="23">
        <v>-1.6483391810546678E-2</v>
      </c>
      <c r="Q46" s="23">
        <v>-1.6483391810546678E-2</v>
      </c>
      <c r="R46" s="79"/>
      <c r="S46" s="23">
        <v>-1.6483391810546678E-2</v>
      </c>
      <c r="T46" s="23">
        <v>-1.6483391810546678E-2</v>
      </c>
      <c r="U46" s="23">
        <v>-1.6483391810546678E-2</v>
      </c>
      <c r="V46" s="23">
        <v>-1.6483391810546678E-2</v>
      </c>
      <c r="W46" s="79"/>
      <c r="X46" s="23">
        <v>-1.6483391810546678E-2</v>
      </c>
      <c r="Y46" s="23">
        <v>-1.6483391810546678E-2</v>
      </c>
      <c r="Z46" s="23">
        <v>-1.6483391810546678E-2</v>
      </c>
      <c r="AA46" s="23">
        <v>-1.6483391810546678E-2</v>
      </c>
      <c r="AB46" s="79"/>
      <c r="AC46" s="23">
        <v>-1.6483391810546678E-2</v>
      </c>
      <c r="AD46" s="23">
        <v>-1.6483391810546678E-2</v>
      </c>
      <c r="AE46" s="23">
        <v>-1.6483391810546678E-2</v>
      </c>
      <c r="AF46" s="23">
        <v>-1.6483391810546678E-2</v>
      </c>
      <c r="AG46" s="79"/>
      <c r="AH46" s="23">
        <v>-1.6483391810546678E-2</v>
      </c>
      <c r="AI46" s="23">
        <v>-1.6483391810546678E-2</v>
      </c>
      <c r="AJ46" s="23">
        <v>-1.6483391810546678E-2</v>
      </c>
      <c r="AK46" s="23">
        <v>-1.6483391810546678E-2</v>
      </c>
      <c r="AL46" s="79"/>
    </row>
    <row r="47" spans="2:38" outlineLevel="1" x14ac:dyDescent="0.3">
      <c r="B47" s="304" t="s">
        <v>48</v>
      </c>
      <c r="C47" s="308"/>
      <c r="D47" s="3">
        <v>69.430000000000007</v>
      </c>
      <c r="E47" s="3">
        <v>73.459999999999994</v>
      </c>
      <c r="F47" s="3">
        <v>75.150000000000006</v>
      </c>
      <c r="G47" s="3">
        <v>79.47</v>
      </c>
      <c r="H47" s="3">
        <f>AVERAGE(D47:G47)</f>
        <v>74.377499999999998</v>
      </c>
      <c r="I47" s="3">
        <v>85.11</v>
      </c>
      <c r="J47" s="3">
        <v>83.2</v>
      </c>
      <c r="K47" s="3">
        <v>88.52</v>
      </c>
      <c r="L47" s="3">
        <v>89.49</v>
      </c>
      <c r="M47" s="3">
        <f>AVERAGE(I47:L47)</f>
        <v>86.58</v>
      </c>
      <c r="N47" s="3">
        <v>94.35</v>
      </c>
      <c r="O47" s="3">
        <v>109.59</v>
      </c>
      <c r="P47" s="28">
        <f>O47</f>
        <v>109.59</v>
      </c>
      <c r="Q47" s="28">
        <f>P47</f>
        <v>109.59</v>
      </c>
      <c r="R47" s="3">
        <f>AVERAGE(N47:Q47)</f>
        <v>105.78</v>
      </c>
      <c r="S47" s="28">
        <f>Q47</f>
        <v>109.59</v>
      </c>
      <c r="T47" s="28">
        <f t="shared" ref="T47:V47" si="126">S47</f>
        <v>109.59</v>
      </c>
      <c r="U47" s="28">
        <f t="shared" si="126"/>
        <v>109.59</v>
      </c>
      <c r="V47" s="28">
        <f t="shared" si="126"/>
        <v>109.59</v>
      </c>
      <c r="W47" s="3">
        <f>AVERAGE(S47:V47)</f>
        <v>109.59</v>
      </c>
      <c r="X47" s="28">
        <f>V47</f>
        <v>109.59</v>
      </c>
      <c r="Y47" s="28">
        <f t="shared" ref="Y47:AA47" si="127">X47</f>
        <v>109.59</v>
      </c>
      <c r="Z47" s="28">
        <f t="shared" si="127"/>
        <v>109.59</v>
      </c>
      <c r="AA47" s="28">
        <f t="shared" si="127"/>
        <v>109.59</v>
      </c>
      <c r="AB47" s="3">
        <f>AVERAGE(X47:AA47)</f>
        <v>109.59</v>
      </c>
      <c r="AC47" s="28">
        <f>AA47</f>
        <v>109.59</v>
      </c>
      <c r="AD47" s="28">
        <f t="shared" ref="AD47:AF47" si="128">AC47</f>
        <v>109.59</v>
      </c>
      <c r="AE47" s="28">
        <f t="shared" si="128"/>
        <v>109.59</v>
      </c>
      <c r="AF47" s="28">
        <f t="shared" si="128"/>
        <v>109.59</v>
      </c>
      <c r="AG47" s="3">
        <f>AVERAGE(AC47:AF47)</f>
        <v>109.59</v>
      </c>
      <c r="AH47" s="28">
        <f>AF47</f>
        <v>109.59</v>
      </c>
      <c r="AI47" s="28">
        <f t="shared" ref="AI47:AK47" si="129">AH47</f>
        <v>109.59</v>
      </c>
      <c r="AJ47" s="28">
        <f t="shared" si="129"/>
        <v>109.59</v>
      </c>
      <c r="AK47" s="28">
        <f t="shared" si="129"/>
        <v>109.59</v>
      </c>
      <c r="AL47" s="3">
        <f>AVERAGE(AH47:AK47)</f>
        <v>109.59</v>
      </c>
    </row>
    <row r="48" spans="2:38" outlineLevel="1" x14ac:dyDescent="0.3">
      <c r="B48" s="304" t="s">
        <v>49</v>
      </c>
      <c r="C48" s="308"/>
      <c r="D48" s="3">
        <v>27.6</v>
      </c>
      <c r="E48" s="3">
        <v>200</v>
      </c>
      <c r="F48" s="3">
        <v>450</v>
      </c>
      <c r="G48" s="3">
        <v>80</v>
      </c>
      <c r="H48" s="3">
        <f>SUM(D48:G48)</f>
        <v>757.6</v>
      </c>
      <c r="I48" s="3">
        <v>250</v>
      </c>
      <c r="J48" s="3">
        <v>100</v>
      </c>
      <c r="K48" s="3">
        <v>200</v>
      </c>
      <c r="L48" s="3">
        <v>295</v>
      </c>
      <c r="M48" s="3">
        <f>SUM(I48:L48)</f>
        <v>845</v>
      </c>
      <c r="N48" s="3">
        <v>64</v>
      </c>
      <c r="O48" s="3">
        <v>142</v>
      </c>
      <c r="P48" s="28">
        <f>O48</f>
        <v>142</v>
      </c>
      <c r="Q48" s="28">
        <f>P48</f>
        <v>142</v>
      </c>
      <c r="R48" s="3">
        <f>SUM(N48:Q48)</f>
        <v>490</v>
      </c>
      <c r="S48" s="28">
        <f>Q48</f>
        <v>142</v>
      </c>
      <c r="T48" s="28">
        <f t="shared" ref="T48:V48" si="130">S48</f>
        <v>142</v>
      </c>
      <c r="U48" s="28">
        <f t="shared" si="130"/>
        <v>142</v>
      </c>
      <c r="V48" s="28">
        <f t="shared" si="130"/>
        <v>142</v>
      </c>
      <c r="W48" s="3">
        <f>SUM(S48:V48)</f>
        <v>568</v>
      </c>
      <c r="X48" s="28">
        <f>V48</f>
        <v>142</v>
      </c>
      <c r="Y48" s="28">
        <f t="shared" ref="Y48:AA48" si="131">X48</f>
        <v>142</v>
      </c>
      <c r="Z48" s="28">
        <f t="shared" si="131"/>
        <v>142</v>
      </c>
      <c r="AA48" s="28">
        <f t="shared" si="131"/>
        <v>142</v>
      </c>
      <c r="AB48" s="3">
        <f>SUM(X48:AA48)</f>
        <v>568</v>
      </c>
      <c r="AC48" s="28">
        <f>AA48</f>
        <v>142</v>
      </c>
      <c r="AD48" s="28">
        <f t="shared" ref="AD48:AF48" si="132">AC48</f>
        <v>142</v>
      </c>
      <c r="AE48" s="28">
        <f t="shared" si="132"/>
        <v>142</v>
      </c>
      <c r="AF48" s="28">
        <f t="shared" si="132"/>
        <v>142</v>
      </c>
      <c r="AG48" s="3">
        <f>SUM(AC48:AF48)</f>
        <v>568</v>
      </c>
      <c r="AH48" s="28">
        <f>AF48</f>
        <v>142</v>
      </c>
      <c r="AI48" s="28">
        <f t="shared" ref="AI48:AK48" si="133">AH48</f>
        <v>142</v>
      </c>
      <c r="AJ48" s="28">
        <f t="shared" si="133"/>
        <v>142</v>
      </c>
      <c r="AK48" s="28">
        <f t="shared" si="133"/>
        <v>142</v>
      </c>
      <c r="AL48" s="3">
        <f>SUM(AH48:AK48)</f>
        <v>568</v>
      </c>
    </row>
    <row r="49" spans="2:38" outlineLevel="1" x14ac:dyDescent="0.3">
      <c r="B49" s="304" t="s">
        <v>138</v>
      </c>
      <c r="C49" s="308"/>
      <c r="D49" s="274">
        <f>IF((D48)&gt;0,(D48/D47),0)</f>
        <v>0.39752268471842139</v>
      </c>
      <c r="E49" s="274">
        <f>IF((E48)&gt;0,(E48/E47),0)</f>
        <v>2.7225701061802345</v>
      </c>
      <c r="F49" s="274">
        <f>IF((F48)&gt;0,(F48/F47),0)</f>
        <v>5.9880239520958076</v>
      </c>
      <c r="G49" s="274">
        <f>IF((G48)&gt;0,(G48/G47),0)</f>
        <v>1.0066691833396251</v>
      </c>
      <c r="H49" s="3">
        <f>SUM(D49:G49)</f>
        <v>10.114785926334088</v>
      </c>
      <c r="I49" s="28">
        <f>IF((I48)&gt;0,(I48/I47),0)</f>
        <v>2.9373751615556341</v>
      </c>
      <c r="J49" s="28">
        <f>IF((J48)&gt;0,(J48/J47),0)</f>
        <v>1.2019230769230769</v>
      </c>
      <c r="K49" s="28">
        <f>IF((K48)&gt;0,(K48/K47),0)</f>
        <v>2.2593764121102575</v>
      </c>
      <c r="L49" s="28">
        <f>IF((L48)&gt;0,(L48/L47),0)</f>
        <v>3.2964577047714831</v>
      </c>
      <c r="M49" s="3">
        <f>SUM(I49:L49)</f>
        <v>9.6951323553604514</v>
      </c>
      <c r="N49" s="28">
        <f>IF((N48)&gt;0,(N48/N47),0)</f>
        <v>0.67832538420773714</v>
      </c>
      <c r="O49" s="28">
        <f>IF((O48)&gt;0,(O48/O47),0)</f>
        <v>1.2957386622867049</v>
      </c>
      <c r="P49" s="28">
        <f>IF((P48)&gt;0,(P48/P47),0)</f>
        <v>1.2957386622867049</v>
      </c>
      <c r="Q49" s="28">
        <f>IF((Q48)&gt;0,(Q48/Q47),0)</f>
        <v>1.2957386622867049</v>
      </c>
      <c r="R49" s="3">
        <f>SUM(N49:Q49)</f>
        <v>4.5655413710678516</v>
      </c>
      <c r="S49" s="28">
        <f t="shared" ref="S49:V49" si="134">IF((S48)&gt;0,(S48/S47),0)</f>
        <v>1.2957386622867049</v>
      </c>
      <c r="T49" s="28">
        <f t="shared" si="134"/>
        <v>1.2957386622867049</v>
      </c>
      <c r="U49" s="28">
        <f t="shared" si="134"/>
        <v>1.2957386622867049</v>
      </c>
      <c r="V49" s="28">
        <f t="shared" si="134"/>
        <v>1.2957386622867049</v>
      </c>
      <c r="W49" s="3">
        <f>SUM(S49:V49)</f>
        <v>5.1829546491468195</v>
      </c>
      <c r="X49" s="28">
        <f t="shared" ref="X49" si="135">IF((X48)&gt;0,(X48/X47),0)</f>
        <v>1.2957386622867049</v>
      </c>
      <c r="Y49" s="28">
        <f t="shared" ref="Y49" si="136">IF((Y48)&gt;0,(Y48/Y47),0)</f>
        <v>1.2957386622867049</v>
      </c>
      <c r="Z49" s="28">
        <f t="shared" ref="Z49" si="137">IF((Z48)&gt;0,(Z48/Z47),0)</f>
        <v>1.2957386622867049</v>
      </c>
      <c r="AA49" s="28">
        <f t="shared" ref="AA49" si="138">IF((AA48)&gt;0,(AA48/AA47),0)</f>
        <v>1.2957386622867049</v>
      </c>
      <c r="AB49" s="3">
        <f>SUM(X49:AA49)</f>
        <v>5.1829546491468195</v>
      </c>
      <c r="AC49" s="28">
        <f t="shared" ref="AC49" si="139">IF((AC48)&gt;0,(AC48/AC47),0)</f>
        <v>1.2957386622867049</v>
      </c>
      <c r="AD49" s="28">
        <f t="shared" ref="AD49" si="140">IF((AD48)&gt;0,(AD48/AD47),0)</f>
        <v>1.2957386622867049</v>
      </c>
      <c r="AE49" s="28">
        <f t="shared" ref="AE49" si="141">IF((AE48)&gt;0,(AE48/AE47),0)</f>
        <v>1.2957386622867049</v>
      </c>
      <c r="AF49" s="28">
        <f t="shared" ref="AF49" si="142">IF((AF48)&gt;0,(AF48/AF47),0)</f>
        <v>1.2957386622867049</v>
      </c>
      <c r="AG49" s="3">
        <f>SUM(AC49:AF49)</f>
        <v>5.1829546491468195</v>
      </c>
      <c r="AH49" s="28">
        <f t="shared" ref="AH49" si="143">IF((AH48)&gt;0,(AH48/AH47),0)</f>
        <v>1.2957386622867049</v>
      </c>
      <c r="AI49" s="28">
        <f t="shared" ref="AI49" si="144">IF((AI48)&gt;0,(AI48/AI47),0)</f>
        <v>1.2957386622867049</v>
      </c>
      <c r="AJ49" s="28">
        <f t="shared" ref="AJ49" si="145">IF((AJ48)&gt;0,(AJ48/AJ47),0)</f>
        <v>1.2957386622867049</v>
      </c>
      <c r="AK49" s="28">
        <f t="shared" ref="AK49" si="146">IF((AK48)&gt;0,(AK48/AK47),0)</f>
        <v>1.2957386622867049</v>
      </c>
      <c r="AL49" s="3">
        <f>SUM(AH49:AK49)</f>
        <v>5.1829546491468195</v>
      </c>
    </row>
    <row r="50" spans="2:38" outlineLevel="1" x14ac:dyDescent="0.3">
      <c r="B50" s="311" t="s">
        <v>50</v>
      </c>
      <c r="C50" s="312"/>
      <c r="D50" s="54">
        <v>0</v>
      </c>
      <c r="E50" s="55">
        <v>0</v>
      </c>
      <c r="F50" s="55">
        <v>0</v>
      </c>
      <c r="G50" s="55">
        <v>0</v>
      </c>
      <c r="H50" s="57"/>
      <c r="I50" s="55">
        <v>0</v>
      </c>
      <c r="J50" s="55">
        <v>0</v>
      </c>
      <c r="K50" s="55">
        <v>0</v>
      </c>
      <c r="L50" s="55">
        <v>0</v>
      </c>
      <c r="M50" s="57"/>
      <c r="N50" s="55">
        <v>0</v>
      </c>
      <c r="O50" s="55">
        <v>0</v>
      </c>
      <c r="P50" s="55">
        <v>0</v>
      </c>
      <c r="Q50" s="56">
        <v>0</v>
      </c>
      <c r="R50" s="57"/>
      <c r="S50" s="54">
        <v>0</v>
      </c>
      <c r="T50" s="55">
        <v>0</v>
      </c>
      <c r="U50" s="56">
        <v>0</v>
      </c>
      <c r="V50" s="56">
        <v>0</v>
      </c>
      <c r="W50" s="57"/>
      <c r="X50" s="96">
        <v>0</v>
      </c>
      <c r="Y50" s="55">
        <v>0</v>
      </c>
      <c r="Z50" s="56">
        <v>0</v>
      </c>
      <c r="AA50" s="56">
        <v>0</v>
      </c>
      <c r="AB50" s="57"/>
      <c r="AC50" s="96">
        <v>0</v>
      </c>
      <c r="AD50" s="55">
        <v>0</v>
      </c>
      <c r="AE50" s="56">
        <v>0</v>
      </c>
      <c r="AF50" s="56">
        <v>0</v>
      </c>
      <c r="AG50" s="57"/>
      <c r="AH50" s="96">
        <v>0</v>
      </c>
      <c r="AI50" s="55">
        <v>0</v>
      </c>
      <c r="AJ50" s="56">
        <v>0</v>
      </c>
      <c r="AK50" s="56">
        <v>0</v>
      </c>
      <c r="AL50" s="57"/>
    </row>
    <row r="51" spans="2:38" s="94" customFormat="1" outlineLevel="1" x14ac:dyDescent="0.3">
      <c r="B51" s="248"/>
      <c r="C51" s="249"/>
      <c r="D51" s="260"/>
      <c r="E51" s="111"/>
      <c r="F51" s="111"/>
      <c r="G51" s="111"/>
      <c r="H51" s="262"/>
      <c r="I51" s="111"/>
      <c r="J51" s="111"/>
      <c r="K51" s="111"/>
      <c r="L51" s="111"/>
      <c r="M51" s="262"/>
      <c r="N51" s="111"/>
      <c r="O51" s="111"/>
      <c r="P51" s="111"/>
      <c r="Q51" s="261"/>
      <c r="R51" s="262"/>
      <c r="S51" s="260"/>
      <c r="T51" s="111"/>
      <c r="U51" s="261"/>
      <c r="V51" s="261"/>
      <c r="W51" s="262"/>
      <c r="X51" s="260"/>
      <c r="Y51" s="111"/>
      <c r="Z51" s="261"/>
      <c r="AA51" s="261"/>
      <c r="AB51" s="262"/>
      <c r="AC51" s="260"/>
      <c r="AD51" s="111"/>
      <c r="AE51" s="261"/>
      <c r="AF51" s="261"/>
      <c r="AG51" s="262"/>
      <c r="AH51" s="260"/>
      <c r="AI51" s="111"/>
      <c r="AJ51" s="261"/>
      <c r="AK51" s="261"/>
      <c r="AL51" s="262"/>
    </row>
    <row r="52" spans="2:38" s="94" customFormat="1" ht="15.6" x14ac:dyDescent="0.3">
      <c r="B52" s="300" t="s">
        <v>252</v>
      </c>
      <c r="C52" s="301"/>
      <c r="D52" s="256" t="s">
        <v>68</v>
      </c>
      <c r="E52" s="256" t="s">
        <v>244</v>
      </c>
      <c r="F52" s="256" t="s">
        <v>245</v>
      </c>
      <c r="G52" s="256" t="s">
        <v>69</v>
      </c>
      <c r="H52" s="256" t="s">
        <v>246</v>
      </c>
      <c r="I52" s="256" t="s">
        <v>70</v>
      </c>
      <c r="J52" s="256" t="s">
        <v>247</v>
      </c>
      <c r="K52" s="256" t="s">
        <v>248</v>
      </c>
      <c r="L52" s="256" t="s">
        <v>71</v>
      </c>
      <c r="M52" s="256" t="s">
        <v>246</v>
      </c>
      <c r="N52" s="256" t="s">
        <v>72</v>
      </c>
      <c r="O52" s="256" t="s">
        <v>249</v>
      </c>
      <c r="P52" s="257" t="s">
        <v>250</v>
      </c>
      <c r="Q52" s="257" t="s">
        <v>129</v>
      </c>
      <c r="R52" s="257" t="s">
        <v>129</v>
      </c>
      <c r="S52" s="97" t="s">
        <v>130</v>
      </c>
      <c r="T52" s="97" t="s">
        <v>131</v>
      </c>
      <c r="U52" s="97" t="s">
        <v>132</v>
      </c>
      <c r="V52" s="97" t="s">
        <v>140</v>
      </c>
      <c r="W52" s="97" t="s">
        <v>140</v>
      </c>
      <c r="X52" s="97" t="s">
        <v>141</v>
      </c>
      <c r="Y52" s="97" t="s">
        <v>142</v>
      </c>
      <c r="Z52" s="97" t="s">
        <v>143</v>
      </c>
      <c r="AA52" s="97" t="s">
        <v>219</v>
      </c>
      <c r="AB52" s="97" t="s">
        <v>219</v>
      </c>
      <c r="AC52" s="97" t="s">
        <v>220</v>
      </c>
      <c r="AD52" s="97" t="s">
        <v>221</v>
      </c>
      <c r="AE52" s="97" t="s">
        <v>222</v>
      </c>
      <c r="AF52" s="97" t="s">
        <v>229</v>
      </c>
      <c r="AG52" s="97" t="s">
        <v>229</v>
      </c>
      <c r="AH52" s="97" t="s">
        <v>231</v>
      </c>
      <c r="AI52" s="97" t="s">
        <v>233</v>
      </c>
      <c r="AJ52" s="97" t="s">
        <v>224</v>
      </c>
      <c r="AK52" s="97" t="s">
        <v>267</v>
      </c>
      <c r="AL52" s="97" t="s">
        <v>267</v>
      </c>
    </row>
    <row r="53" spans="2:38" s="94" customFormat="1" ht="16.2" x14ac:dyDescent="0.45">
      <c r="B53" s="302"/>
      <c r="C53" s="339"/>
      <c r="D53" s="77" t="s">
        <v>148</v>
      </c>
      <c r="E53" s="77" t="s">
        <v>196</v>
      </c>
      <c r="F53" s="216" t="s">
        <v>236</v>
      </c>
      <c r="G53" s="216" t="s">
        <v>237</v>
      </c>
      <c r="H53" s="216" t="s">
        <v>238</v>
      </c>
      <c r="I53" s="216" t="s">
        <v>239</v>
      </c>
      <c r="J53" s="216" t="s">
        <v>240</v>
      </c>
      <c r="K53" s="216" t="s">
        <v>241</v>
      </c>
      <c r="L53" s="216" t="s">
        <v>242</v>
      </c>
      <c r="M53" s="216" t="s">
        <v>243</v>
      </c>
      <c r="N53" s="258">
        <v>2019</v>
      </c>
      <c r="O53" s="258">
        <v>2019</v>
      </c>
      <c r="P53" s="259" t="s">
        <v>251</v>
      </c>
      <c r="Q53" s="259" t="s">
        <v>251</v>
      </c>
      <c r="R53" s="259" t="s">
        <v>263</v>
      </c>
      <c r="S53" s="98" t="s">
        <v>128</v>
      </c>
      <c r="T53" s="98" t="s">
        <v>133</v>
      </c>
      <c r="U53" s="98" t="s">
        <v>134</v>
      </c>
      <c r="V53" s="98" t="s">
        <v>135</v>
      </c>
      <c r="W53" s="98" t="s">
        <v>136</v>
      </c>
      <c r="X53" s="98" t="s">
        <v>144</v>
      </c>
      <c r="Y53" s="98" t="s">
        <v>145</v>
      </c>
      <c r="Z53" s="98" t="s">
        <v>146</v>
      </c>
      <c r="AA53" s="98" t="s">
        <v>266</v>
      </c>
      <c r="AB53" s="98" t="s">
        <v>147</v>
      </c>
      <c r="AC53" s="98" t="s">
        <v>265</v>
      </c>
      <c r="AD53" s="98" t="s">
        <v>226</v>
      </c>
      <c r="AE53" s="98" t="s">
        <v>227</v>
      </c>
      <c r="AF53" s="98" t="s">
        <v>228</v>
      </c>
      <c r="AG53" s="98" t="s">
        <v>223</v>
      </c>
      <c r="AH53" s="98" t="s">
        <v>230</v>
      </c>
      <c r="AI53" s="98" t="s">
        <v>232</v>
      </c>
      <c r="AJ53" s="98" t="s">
        <v>234</v>
      </c>
      <c r="AK53" s="98" t="s">
        <v>235</v>
      </c>
      <c r="AL53" s="98" t="s">
        <v>225</v>
      </c>
    </row>
    <row r="54" spans="2:38" s="94" customFormat="1" outlineLevel="1" x14ac:dyDescent="0.3">
      <c r="B54" s="321" t="s">
        <v>253</v>
      </c>
      <c r="C54" s="336"/>
      <c r="D54" s="263">
        <v>911</v>
      </c>
      <c r="E54" s="263">
        <v>917</v>
      </c>
      <c r="F54" s="263">
        <v>936</v>
      </c>
      <c r="G54" s="263">
        <v>950</v>
      </c>
      <c r="H54" s="263">
        <f t="shared" ref="H54:H63" si="147">SUM(D54:G54)</f>
        <v>3714</v>
      </c>
      <c r="I54" s="263">
        <v>955</v>
      </c>
      <c r="J54" s="263">
        <v>986</v>
      </c>
      <c r="K54" s="263">
        <v>1007</v>
      </c>
      <c r="L54" s="263">
        <v>1024</v>
      </c>
      <c r="M54" s="263">
        <f t="shared" ref="M54:M57" si="148">SUM(I54:L54)</f>
        <v>3972</v>
      </c>
      <c r="N54" s="263">
        <v>1026</v>
      </c>
      <c r="O54" s="263">
        <v>1052</v>
      </c>
      <c r="P54" s="293">
        <f t="shared" ref="P54:Q57" si="149">K54*(1+P$33)</f>
        <v>1035.7249730893434</v>
      </c>
      <c r="Q54" s="293">
        <f t="shared" si="149"/>
        <v>1077.274917853231</v>
      </c>
      <c r="R54" s="263">
        <f t="shared" ref="R54:R57" si="150">SUM(N54:Q54)</f>
        <v>4190.9998909425749</v>
      </c>
      <c r="S54" s="275">
        <f t="shared" ref="S54:V57" si="151">N54*(1+S$33)</f>
        <v>1080.0615209342068</v>
      </c>
      <c r="T54" s="275">
        <f t="shared" si="151"/>
        <v>1110.2412409735223</v>
      </c>
      <c r="U54" s="275">
        <f t="shared" si="151"/>
        <v>1065.2693345391472</v>
      </c>
      <c r="V54" s="275">
        <f t="shared" si="151"/>
        <v>1133.3215318707869</v>
      </c>
      <c r="W54" s="263">
        <f t="shared" ref="W54:W57" si="152">SUM(S54:V54)</f>
        <v>4388.8936283176636</v>
      </c>
      <c r="X54" s="275">
        <f t="shared" ref="X54:AA57" si="153">S54*(1+X$33)</f>
        <v>1136.9716267082963</v>
      </c>
      <c r="Y54" s="275">
        <f t="shared" si="153"/>
        <v>1171.706856614474</v>
      </c>
      <c r="Z54" s="275">
        <f t="shared" si="153"/>
        <v>1095.6564576449464</v>
      </c>
      <c r="AA54" s="275">
        <f t="shared" si="153"/>
        <v>1192.2840431126951</v>
      </c>
      <c r="AB54" s="263">
        <f t="shared" ref="AB54:AB57" si="154">SUM(X54:AA54)</f>
        <v>4596.6189840804118</v>
      </c>
      <c r="AC54" s="275">
        <f t="shared" ref="AC54:AF57" si="155">X54*(1+AC$33)</f>
        <v>1196.8804136467852</v>
      </c>
      <c r="AD54" s="275">
        <f t="shared" si="155"/>
        <v>1236.5753560312153</v>
      </c>
      <c r="AE54" s="275">
        <f t="shared" si="155"/>
        <v>1126.9103824324502</v>
      </c>
      <c r="AF54" s="275">
        <f t="shared" si="155"/>
        <v>1254.3141548847136</v>
      </c>
      <c r="AG54" s="263">
        <f t="shared" ref="AG54:AG57" si="156">SUM(AC54:AF54)</f>
        <v>4814.6803069951638</v>
      </c>
      <c r="AH54" s="275">
        <f t="shared" ref="AH54:AK57" si="157">AC54*(1+AH$33)</f>
        <v>1259.9458868808083</v>
      </c>
      <c r="AI54" s="275">
        <f t="shared" si="157"/>
        <v>1305.0351310241174</v>
      </c>
      <c r="AJ54" s="275">
        <f t="shared" si="157"/>
        <v>1159.0558346762177</v>
      </c>
      <c r="AK54" s="275">
        <f t="shared" si="157"/>
        <v>1319.5714630523191</v>
      </c>
      <c r="AL54" s="263">
        <f t="shared" ref="AL54:AL57" si="158">SUM(AH54:AK54)</f>
        <v>5043.6083156334626</v>
      </c>
    </row>
    <row r="55" spans="2:38" s="94" customFormat="1" outlineLevel="1" x14ac:dyDescent="0.3">
      <c r="B55" s="321" t="s">
        <v>254</v>
      </c>
      <c r="C55" s="336"/>
      <c r="D55" s="263">
        <v>621</v>
      </c>
      <c r="E55" s="263">
        <v>632</v>
      </c>
      <c r="F55" s="263">
        <v>635</v>
      </c>
      <c r="G55" s="263">
        <v>640</v>
      </c>
      <c r="H55" s="263">
        <f t="shared" si="147"/>
        <v>2528</v>
      </c>
      <c r="I55" s="263">
        <v>614</v>
      </c>
      <c r="J55" s="263">
        <v>632</v>
      </c>
      <c r="K55" s="263">
        <v>639</v>
      </c>
      <c r="L55" s="263">
        <v>644</v>
      </c>
      <c r="M55" s="263">
        <f t="shared" si="148"/>
        <v>2529</v>
      </c>
      <c r="N55" s="263">
        <v>640</v>
      </c>
      <c r="O55" s="263">
        <v>655</v>
      </c>
      <c r="P55" s="293">
        <f t="shared" si="149"/>
        <v>657.22766415500541</v>
      </c>
      <c r="Q55" s="293">
        <f t="shared" si="149"/>
        <v>677.50492880613353</v>
      </c>
      <c r="R55" s="263">
        <f t="shared" si="150"/>
        <v>2629.7325929611388</v>
      </c>
      <c r="S55" s="275">
        <f t="shared" si="151"/>
        <v>673.72258615778969</v>
      </c>
      <c r="T55" s="275">
        <f t="shared" si="151"/>
        <v>691.26236961754478</v>
      </c>
      <c r="U55" s="275">
        <f t="shared" si="151"/>
        <v>675.97527782573491</v>
      </c>
      <c r="V55" s="275">
        <f t="shared" si="151"/>
        <v>712.75299465311195</v>
      </c>
      <c r="W55" s="263">
        <f t="shared" si="152"/>
        <v>2753.7132282541816</v>
      </c>
      <c r="X55" s="275">
        <f t="shared" si="153"/>
        <v>709.22206734240683</v>
      </c>
      <c r="Y55" s="275">
        <f t="shared" si="153"/>
        <v>729.53231091490545</v>
      </c>
      <c r="Z55" s="275">
        <f t="shared" si="153"/>
        <v>695.25767272603844</v>
      </c>
      <c r="AA55" s="275">
        <f t="shared" si="153"/>
        <v>749.83488648884338</v>
      </c>
      <c r="AB55" s="263">
        <f t="shared" si="154"/>
        <v>2883.846937472194</v>
      </c>
      <c r="AC55" s="275">
        <f t="shared" si="155"/>
        <v>746.592070890782</v>
      </c>
      <c r="AD55" s="275">
        <f t="shared" si="155"/>
        <v>769.92096787114644</v>
      </c>
      <c r="AE55" s="275">
        <f t="shared" si="155"/>
        <v>715.09010364879418</v>
      </c>
      <c r="AF55" s="275">
        <f t="shared" si="155"/>
        <v>788.84601147046442</v>
      </c>
      <c r="AG55" s="263">
        <f t="shared" si="156"/>
        <v>3020.4491538811867</v>
      </c>
      <c r="AH55" s="275">
        <f t="shared" si="157"/>
        <v>785.9311575084962</v>
      </c>
      <c r="AI55" s="275">
        <f t="shared" si="157"/>
        <v>812.54563766235458</v>
      </c>
      <c r="AJ55" s="275">
        <f t="shared" si="157"/>
        <v>735.48826053436267</v>
      </c>
      <c r="AK55" s="275">
        <f t="shared" si="157"/>
        <v>829.88674043524759</v>
      </c>
      <c r="AL55" s="263">
        <f t="shared" si="158"/>
        <v>3163.8517961404614</v>
      </c>
    </row>
    <row r="56" spans="2:38" s="94" customFormat="1" outlineLevel="1" x14ac:dyDescent="0.3">
      <c r="B56" s="321" t="s">
        <v>255</v>
      </c>
      <c r="C56" s="336"/>
      <c r="D56" s="263">
        <v>603</v>
      </c>
      <c r="E56" s="263">
        <v>654</v>
      </c>
      <c r="F56" s="263">
        <v>673</v>
      </c>
      <c r="G56" s="263">
        <v>653</v>
      </c>
      <c r="H56" s="263">
        <f t="shared" si="147"/>
        <v>2583</v>
      </c>
      <c r="I56" s="263">
        <v>637</v>
      </c>
      <c r="J56" s="263">
        <v>708</v>
      </c>
      <c r="K56" s="263">
        <v>723</v>
      </c>
      <c r="L56" s="263">
        <v>705</v>
      </c>
      <c r="M56" s="263">
        <f t="shared" si="148"/>
        <v>2773</v>
      </c>
      <c r="N56" s="263">
        <v>680</v>
      </c>
      <c r="O56" s="263">
        <v>744</v>
      </c>
      <c r="P56" s="293">
        <f t="shared" si="149"/>
        <v>743.62378902045214</v>
      </c>
      <c r="Q56" s="293">
        <f t="shared" si="149"/>
        <v>741.67853231106244</v>
      </c>
      <c r="R56" s="263">
        <f t="shared" si="150"/>
        <v>2909.3023213315146</v>
      </c>
      <c r="S56" s="275">
        <f t="shared" si="151"/>
        <v>715.83024779265156</v>
      </c>
      <c r="T56" s="275">
        <f t="shared" si="151"/>
        <v>785.18962289382182</v>
      </c>
      <c r="U56" s="275">
        <f t="shared" si="151"/>
        <v>764.83587772770943</v>
      </c>
      <c r="V56" s="275">
        <f t="shared" si="151"/>
        <v>780.2653124696335</v>
      </c>
      <c r="W56" s="263">
        <f t="shared" si="152"/>
        <v>3046.1210608838164</v>
      </c>
      <c r="X56" s="275">
        <f t="shared" si="153"/>
        <v>753.54844655130728</v>
      </c>
      <c r="Y56" s="275">
        <f t="shared" si="153"/>
        <v>828.65960201632004</v>
      </c>
      <c r="Z56" s="275">
        <f t="shared" si="153"/>
        <v>786.65304754448482</v>
      </c>
      <c r="AA56" s="275">
        <f t="shared" si="153"/>
        <v>820.85961952583011</v>
      </c>
      <c r="AB56" s="263">
        <f t="shared" si="154"/>
        <v>3189.7207156379422</v>
      </c>
      <c r="AC56" s="275">
        <f t="shared" si="155"/>
        <v>793.25407532145584</v>
      </c>
      <c r="AD56" s="275">
        <f t="shared" si="155"/>
        <v>874.53618335287467</v>
      </c>
      <c r="AE56" s="275">
        <f t="shared" si="155"/>
        <v>809.09255858854169</v>
      </c>
      <c r="AF56" s="275">
        <f t="shared" si="155"/>
        <v>863.56589765012029</v>
      </c>
      <c r="AG56" s="263">
        <f t="shared" si="156"/>
        <v>3340.4487149129927</v>
      </c>
      <c r="AH56" s="275">
        <f t="shared" si="157"/>
        <v>835.05185485277718</v>
      </c>
      <c r="AI56" s="275">
        <f t="shared" si="157"/>
        <v>922.95260216914767</v>
      </c>
      <c r="AJ56" s="275">
        <f t="shared" si="157"/>
        <v>832.17216332761211</v>
      </c>
      <c r="AK56" s="275">
        <f t="shared" si="157"/>
        <v>908.49402485535654</v>
      </c>
      <c r="AL56" s="263">
        <f t="shared" si="158"/>
        <v>3498.6706452048934</v>
      </c>
    </row>
    <row r="57" spans="2:38" s="94" customFormat="1" outlineLevel="1" x14ac:dyDescent="0.3">
      <c r="B57" s="321" t="s">
        <v>26</v>
      </c>
      <c r="C57" s="336"/>
      <c r="D57" s="263">
        <v>100</v>
      </c>
      <c r="E57" s="263">
        <v>123</v>
      </c>
      <c r="F57" s="263">
        <v>107</v>
      </c>
      <c r="G57" s="263">
        <v>109</v>
      </c>
      <c r="H57" s="263">
        <f t="shared" si="147"/>
        <v>439</v>
      </c>
      <c r="I57" s="263">
        <v>101</v>
      </c>
      <c r="J57" s="263">
        <v>115</v>
      </c>
      <c r="K57" s="263">
        <v>117</v>
      </c>
      <c r="L57" s="263">
        <v>117</v>
      </c>
      <c r="M57" s="263">
        <f t="shared" si="148"/>
        <v>450</v>
      </c>
      <c r="N57" s="263">
        <v>109</v>
      </c>
      <c r="O57" s="263">
        <v>122</v>
      </c>
      <c r="P57" s="293">
        <f t="shared" si="149"/>
        <v>120.33745963401508</v>
      </c>
      <c r="Q57" s="293">
        <f t="shared" si="149"/>
        <v>123.08707557502737</v>
      </c>
      <c r="R57" s="263">
        <f t="shared" si="150"/>
        <v>474.42453520904246</v>
      </c>
      <c r="S57" s="275">
        <f t="shared" si="151"/>
        <v>114.74337795499856</v>
      </c>
      <c r="T57" s="275">
        <f t="shared" si="151"/>
        <v>128.75421235624498</v>
      </c>
      <c r="U57" s="275">
        <f t="shared" si="151"/>
        <v>123.77012129203597</v>
      </c>
      <c r="V57" s="275">
        <f t="shared" si="151"/>
        <v>129.49083909070512</v>
      </c>
      <c r="W57" s="263">
        <f t="shared" si="152"/>
        <v>496.7585506939846</v>
      </c>
      <c r="X57" s="275">
        <f t="shared" si="153"/>
        <v>120.78938334425368</v>
      </c>
      <c r="Y57" s="275">
        <f t="shared" si="153"/>
        <v>135.88235409407397</v>
      </c>
      <c r="Z57" s="275">
        <f t="shared" si="153"/>
        <v>127.30070063997887</v>
      </c>
      <c r="AA57" s="275">
        <f t="shared" si="153"/>
        <v>136.22776664471223</v>
      </c>
      <c r="AB57" s="263">
        <f t="shared" si="154"/>
        <v>520.20020472301871</v>
      </c>
      <c r="AC57" s="275">
        <f t="shared" si="155"/>
        <v>127.15396207358631</v>
      </c>
      <c r="AD57" s="275">
        <f t="shared" si="155"/>
        <v>143.40512684012191</v>
      </c>
      <c r="AE57" s="275">
        <f t="shared" si="155"/>
        <v>130.93199080893413</v>
      </c>
      <c r="AF57" s="275">
        <f t="shared" si="155"/>
        <v>143.31519152491359</v>
      </c>
      <c r="AG57" s="263">
        <f t="shared" si="156"/>
        <v>544.80627124755597</v>
      </c>
      <c r="AH57" s="275">
        <f t="shared" si="157"/>
        <v>133.85390026316577</v>
      </c>
      <c r="AI57" s="275">
        <f t="shared" si="157"/>
        <v>151.34437831268281</v>
      </c>
      <c r="AJ57" s="275">
        <f t="shared" si="157"/>
        <v>134.66686460488327</v>
      </c>
      <c r="AK57" s="275">
        <f t="shared" si="157"/>
        <v>150.77134880578257</v>
      </c>
      <c r="AL57" s="263">
        <f t="shared" si="158"/>
        <v>570.63649198651433</v>
      </c>
    </row>
    <row r="58" spans="2:38" s="94" customFormat="1" outlineLevel="1" x14ac:dyDescent="0.3">
      <c r="B58" s="309" t="s">
        <v>256</v>
      </c>
      <c r="C58" s="336"/>
      <c r="D58" s="264">
        <f>SUM(D54:D57)</f>
        <v>2235</v>
      </c>
      <c r="E58" s="264">
        <f t="shared" ref="E58:P58" si="159">SUM(E54:E57)</f>
        <v>2326</v>
      </c>
      <c r="F58" s="264">
        <f t="shared" si="159"/>
        <v>2351</v>
      </c>
      <c r="G58" s="264">
        <f t="shared" si="159"/>
        <v>2352</v>
      </c>
      <c r="H58" s="264">
        <f t="shared" si="159"/>
        <v>9264</v>
      </c>
      <c r="I58" s="264">
        <f t="shared" si="159"/>
        <v>2307</v>
      </c>
      <c r="J58" s="264">
        <f t="shared" si="159"/>
        <v>2441</v>
      </c>
      <c r="K58" s="264">
        <f t="shared" si="159"/>
        <v>2486</v>
      </c>
      <c r="L58" s="264">
        <f t="shared" si="159"/>
        <v>2490</v>
      </c>
      <c r="M58" s="264">
        <f t="shared" si="159"/>
        <v>9724</v>
      </c>
      <c r="N58" s="264">
        <f t="shared" si="159"/>
        <v>2455</v>
      </c>
      <c r="O58" s="264">
        <f t="shared" si="159"/>
        <v>2573</v>
      </c>
      <c r="P58" s="264">
        <f t="shared" si="159"/>
        <v>2556.9138858988158</v>
      </c>
      <c r="Q58" s="264">
        <f t="shared" ref="Q58" si="160">SUM(Q54:Q57)</f>
        <v>2619.5454545454545</v>
      </c>
      <c r="R58" s="264">
        <f t="shared" ref="R58:S58" si="161">SUM(R54:R57)</f>
        <v>10204.459340444269</v>
      </c>
      <c r="S58" s="264">
        <f t="shared" si="161"/>
        <v>2584.3577328396468</v>
      </c>
      <c r="T58" s="264">
        <f t="shared" ref="T58" si="162">SUM(T54:T57)</f>
        <v>2715.4474458411337</v>
      </c>
      <c r="U58" s="264">
        <f t="shared" ref="U58:V58" si="163">SUM(U54:U57)</f>
        <v>2629.8506113846274</v>
      </c>
      <c r="V58" s="264">
        <f t="shared" si="163"/>
        <v>2755.8306780842377</v>
      </c>
      <c r="W58" s="264">
        <f t="shared" ref="W58:AA58" si="164">SUM(W54:W57)</f>
        <v>10685.486468149646</v>
      </c>
      <c r="X58" s="264">
        <f t="shared" si="164"/>
        <v>2720.5315239462639</v>
      </c>
      <c r="Y58" s="264">
        <f t="shared" si="164"/>
        <v>2865.7811236397733</v>
      </c>
      <c r="Z58" s="264">
        <f t="shared" si="164"/>
        <v>2704.8678785554484</v>
      </c>
      <c r="AA58" s="264">
        <f t="shared" si="164"/>
        <v>2899.2063157720809</v>
      </c>
      <c r="AB58" s="264">
        <f t="shared" ref="AB58:AL58" si="165">SUM(AB54:AB57)</f>
        <v>11190.386841913567</v>
      </c>
      <c r="AC58" s="264">
        <f t="shared" si="165"/>
        <v>2863.8805219326091</v>
      </c>
      <c r="AD58" s="264">
        <f t="shared" si="165"/>
        <v>3024.4376340953581</v>
      </c>
      <c r="AE58" s="264">
        <f t="shared" si="165"/>
        <v>2782.0250354787204</v>
      </c>
      <c r="AF58" s="264">
        <f t="shared" si="165"/>
        <v>3050.0412555302119</v>
      </c>
      <c r="AG58" s="264">
        <f t="shared" si="165"/>
        <v>11720.3844470369</v>
      </c>
      <c r="AH58" s="264">
        <f t="shared" si="165"/>
        <v>3014.7827995052476</v>
      </c>
      <c r="AI58" s="264">
        <f t="shared" si="165"/>
        <v>3191.8777491683022</v>
      </c>
      <c r="AJ58" s="264">
        <f t="shared" si="165"/>
        <v>2861.3831231430759</v>
      </c>
      <c r="AK58" s="264">
        <f t="shared" si="165"/>
        <v>3208.7235771487058</v>
      </c>
      <c r="AL58" s="264">
        <f t="shared" si="165"/>
        <v>12276.767248965331</v>
      </c>
    </row>
    <row r="59" spans="2:38" s="94" customFormat="1" outlineLevel="1" x14ac:dyDescent="0.3">
      <c r="B59" s="321" t="s">
        <v>257</v>
      </c>
      <c r="C59" s="336"/>
      <c r="D59" s="263">
        <v>739</v>
      </c>
      <c r="E59" s="263">
        <v>864</v>
      </c>
      <c r="F59" s="263">
        <v>884</v>
      </c>
      <c r="G59" s="263">
        <v>883</v>
      </c>
      <c r="H59" s="263">
        <f t="shared" si="147"/>
        <v>3370</v>
      </c>
      <c r="I59" s="263">
        <v>805</v>
      </c>
      <c r="J59" s="263">
        <v>915</v>
      </c>
      <c r="K59" s="263">
        <v>926</v>
      </c>
      <c r="L59" s="263">
        <v>914</v>
      </c>
      <c r="M59" s="263">
        <f t="shared" ref="M59:M64" si="166">SUM(I59:L59)</f>
        <v>3560</v>
      </c>
      <c r="N59" s="263">
        <v>864</v>
      </c>
      <c r="O59" s="263">
        <v>1023</v>
      </c>
      <c r="P59" s="293">
        <f t="shared" ref="P59:Q63" si="167">K59*(1+P$33)</f>
        <v>952.41442411194839</v>
      </c>
      <c r="Q59" s="293">
        <f t="shared" si="167"/>
        <v>961.552026286966</v>
      </c>
      <c r="R59" s="263">
        <f t="shared" ref="R59:R64" si="168">SUM(N59:Q59)</f>
        <v>3800.9664503989143</v>
      </c>
      <c r="S59" s="275">
        <f t="shared" ref="S59:V64" si="169">N59*(1+S$33)</f>
        <v>909.52549131301612</v>
      </c>
      <c r="T59" s="275">
        <f t="shared" si="169"/>
        <v>1079.635731479005</v>
      </c>
      <c r="U59" s="275">
        <f t="shared" si="169"/>
        <v>979.58232749081458</v>
      </c>
      <c r="V59" s="275">
        <f t="shared" si="169"/>
        <v>1011.5780079393546</v>
      </c>
      <c r="W59" s="263">
        <f t="shared" ref="W59:W64" si="170">SUM(S59:V59)</f>
        <v>3980.3215582221901</v>
      </c>
      <c r="X59" s="275">
        <f t="shared" ref="X59:AA64" si="171">S59*(1+X$33)</f>
        <v>957.44979091224934</v>
      </c>
      <c r="Y59" s="275">
        <f t="shared" si="171"/>
        <v>1139.40695277244</v>
      </c>
      <c r="Z59" s="275">
        <f t="shared" si="171"/>
        <v>1007.5252033557302</v>
      </c>
      <c r="AA59" s="275">
        <f t="shared" si="171"/>
        <v>1064.2066556689485</v>
      </c>
      <c r="AB59" s="263">
        <f t="shared" ref="AB59:AB64" si="172">SUM(X59:AA59)</f>
        <v>4168.5886027093684</v>
      </c>
      <c r="AC59" s="275">
        <f t="shared" ref="AC59:AF64" si="173">X59*(1+AC$33)</f>
        <v>1007.8992957025557</v>
      </c>
      <c r="AD59" s="275">
        <f t="shared" si="173"/>
        <v>1202.4872521102027</v>
      </c>
      <c r="AE59" s="275">
        <f t="shared" si="173"/>
        <v>1036.2651580262652</v>
      </c>
      <c r="AF59" s="275">
        <f t="shared" si="173"/>
        <v>1119.5733765279574</v>
      </c>
      <c r="AG59" s="263">
        <f t="shared" ref="AG59:AG64" si="174">SUM(AC59:AF59)</f>
        <v>4366.225082366981</v>
      </c>
      <c r="AH59" s="275">
        <f t="shared" ref="AH59:AK64" si="175">AC59*(1+AH$33)</f>
        <v>1061.0070626364698</v>
      </c>
      <c r="AI59" s="275">
        <f t="shared" si="175"/>
        <v>1269.0598279825781</v>
      </c>
      <c r="AJ59" s="275">
        <f t="shared" si="175"/>
        <v>1065.8249284112987</v>
      </c>
      <c r="AK59" s="275">
        <f t="shared" si="175"/>
        <v>1177.8206222947458</v>
      </c>
      <c r="AL59" s="263">
        <f t="shared" ref="AL59:AL64" si="176">SUM(AH59:AK59)</f>
        <v>4573.7124413250922</v>
      </c>
    </row>
    <row r="60" spans="2:38" s="94" customFormat="1" ht="13.2" customHeight="1" outlineLevel="1" x14ac:dyDescent="0.3">
      <c r="B60" s="321" t="s">
        <v>258</v>
      </c>
      <c r="C60" s="336"/>
      <c r="D60" s="263">
        <v>366</v>
      </c>
      <c r="E60" s="263">
        <v>414</v>
      </c>
      <c r="F60" s="263">
        <v>412</v>
      </c>
      <c r="G60" s="263">
        <v>399</v>
      </c>
      <c r="H60" s="263">
        <f t="shared" si="147"/>
        <v>1591</v>
      </c>
      <c r="I60" s="263">
        <v>375</v>
      </c>
      <c r="J60" s="263">
        <v>437</v>
      </c>
      <c r="K60" s="263">
        <v>445</v>
      </c>
      <c r="L60" s="263">
        <v>454</v>
      </c>
      <c r="M60" s="263">
        <f t="shared" si="166"/>
        <v>1711</v>
      </c>
      <c r="N60" s="263">
        <v>412</v>
      </c>
      <c r="O60" s="263">
        <v>474</v>
      </c>
      <c r="P60" s="293">
        <f t="shared" si="167"/>
        <v>457.69375672766415</v>
      </c>
      <c r="Q60" s="293">
        <f t="shared" si="167"/>
        <v>477.61993428258484</v>
      </c>
      <c r="R60" s="263">
        <f t="shared" si="168"/>
        <v>1821.3136910102489</v>
      </c>
      <c r="S60" s="275">
        <f t="shared" si="169"/>
        <v>433.70891483907712</v>
      </c>
      <c r="T60" s="275">
        <f t="shared" si="169"/>
        <v>500.24177587590259</v>
      </c>
      <c r="U60" s="275">
        <f t="shared" si="169"/>
        <v>470.74960662355556</v>
      </c>
      <c r="V60" s="275">
        <f t="shared" si="169"/>
        <v>502.4687260442746</v>
      </c>
      <c r="W60" s="263">
        <f t="shared" si="170"/>
        <v>1907.1690233828099</v>
      </c>
      <c r="X60" s="275">
        <f t="shared" si="171"/>
        <v>456.56170585167445</v>
      </c>
      <c r="Y60" s="275">
        <f t="shared" si="171"/>
        <v>527.93635934910708</v>
      </c>
      <c r="Z60" s="275">
        <f t="shared" si="171"/>
        <v>484.17787850248368</v>
      </c>
      <c r="AA60" s="275">
        <f t="shared" si="171"/>
        <v>528.61030817691756</v>
      </c>
      <c r="AB60" s="263">
        <f t="shared" si="172"/>
        <v>1997.2862518801826</v>
      </c>
      <c r="AC60" s="275">
        <f t="shared" si="173"/>
        <v>480.61864563594094</v>
      </c>
      <c r="AD60" s="275">
        <f t="shared" si="173"/>
        <v>557.16418132965396</v>
      </c>
      <c r="AE60" s="275">
        <f t="shared" si="173"/>
        <v>497.98919581175801</v>
      </c>
      <c r="AF60" s="275">
        <f t="shared" si="173"/>
        <v>556.11193976333982</v>
      </c>
      <c r="AG60" s="263">
        <f t="shared" si="174"/>
        <v>2091.8839625406927</v>
      </c>
      <c r="AH60" s="275">
        <f t="shared" si="175"/>
        <v>505.94318264609444</v>
      </c>
      <c r="AI60" s="275">
        <f t="shared" si="175"/>
        <v>588.0101255755053</v>
      </c>
      <c r="AJ60" s="275">
        <f t="shared" si="175"/>
        <v>512.19448503566719</v>
      </c>
      <c r="AK60" s="275">
        <f t="shared" si="175"/>
        <v>585.04437912671176</v>
      </c>
      <c r="AL60" s="263">
        <f t="shared" si="176"/>
        <v>2191.1921723839787</v>
      </c>
    </row>
    <row r="61" spans="2:38" s="94" customFormat="1" ht="13.2" customHeight="1" outlineLevel="1" x14ac:dyDescent="0.3">
      <c r="B61" s="321" t="s">
        <v>259</v>
      </c>
      <c r="C61" s="336"/>
      <c r="D61" s="263">
        <v>372</v>
      </c>
      <c r="E61" s="263">
        <v>375</v>
      </c>
      <c r="F61" s="263">
        <v>375</v>
      </c>
      <c r="G61" s="263">
        <v>310</v>
      </c>
      <c r="H61" s="263">
        <f t="shared" si="147"/>
        <v>1432</v>
      </c>
      <c r="I61" s="263">
        <v>312</v>
      </c>
      <c r="J61" s="263">
        <v>305</v>
      </c>
      <c r="K61" s="263">
        <v>337</v>
      </c>
      <c r="L61" s="263">
        <v>339</v>
      </c>
      <c r="M61" s="263">
        <f t="shared" si="166"/>
        <v>1293</v>
      </c>
      <c r="N61" s="263">
        <v>291</v>
      </c>
      <c r="O61" s="263">
        <v>264</v>
      </c>
      <c r="P61" s="293">
        <f t="shared" si="167"/>
        <v>346.61302475780411</v>
      </c>
      <c r="Q61" s="293">
        <f t="shared" si="167"/>
        <v>356.63691128148957</v>
      </c>
      <c r="R61" s="263">
        <f t="shared" si="168"/>
        <v>1258.2499360392937</v>
      </c>
      <c r="S61" s="275">
        <f t="shared" si="169"/>
        <v>306.33323839362004</v>
      </c>
      <c r="T61" s="275">
        <f t="shared" si="169"/>
        <v>278.6156726397432</v>
      </c>
      <c r="U61" s="275">
        <f t="shared" si="169"/>
        <v>356.50026389244545</v>
      </c>
      <c r="V61" s="275">
        <f t="shared" si="169"/>
        <v>375.19140557050463</v>
      </c>
      <c r="W61" s="263">
        <f t="shared" si="170"/>
        <v>1316.6405804963133</v>
      </c>
      <c r="X61" s="275">
        <f t="shared" si="171"/>
        <v>322.47440874475063</v>
      </c>
      <c r="Y61" s="275">
        <f t="shared" si="171"/>
        <v>294.04050394127484</v>
      </c>
      <c r="Z61" s="275">
        <f t="shared" si="171"/>
        <v>366.66953945019554</v>
      </c>
      <c r="AA61" s="275">
        <f t="shared" si="171"/>
        <v>394.71122130390984</v>
      </c>
      <c r="AB61" s="263">
        <f t="shared" si="172"/>
        <v>1377.8956734401308</v>
      </c>
      <c r="AC61" s="275">
        <f t="shared" si="173"/>
        <v>339.46608223315246</v>
      </c>
      <c r="AD61" s="275">
        <f t="shared" si="173"/>
        <v>310.31929086714905</v>
      </c>
      <c r="AE61" s="275">
        <f t="shared" si="173"/>
        <v>377.12889660351112</v>
      </c>
      <c r="AF61" s="275">
        <f t="shared" si="173"/>
        <v>415.24658057218551</v>
      </c>
      <c r="AG61" s="263">
        <f t="shared" si="174"/>
        <v>1442.1608502759982</v>
      </c>
      <c r="AH61" s="275">
        <f t="shared" si="175"/>
        <v>357.35307317964435</v>
      </c>
      <c r="AI61" s="275">
        <f t="shared" si="175"/>
        <v>327.4993104471169</v>
      </c>
      <c r="AJ61" s="275">
        <f t="shared" si="175"/>
        <v>387.88661001577492</v>
      </c>
      <c r="AK61" s="275">
        <f t="shared" si="175"/>
        <v>436.85031833470333</v>
      </c>
      <c r="AL61" s="263">
        <f t="shared" si="176"/>
        <v>1509.5893119772395</v>
      </c>
    </row>
    <row r="62" spans="2:38" s="94" customFormat="1" ht="13.2" customHeight="1" outlineLevel="1" x14ac:dyDescent="0.3">
      <c r="B62" s="321" t="s">
        <v>260</v>
      </c>
      <c r="C62" s="336"/>
      <c r="D62" s="263">
        <v>400</v>
      </c>
      <c r="E62" s="263">
        <v>437</v>
      </c>
      <c r="F62" s="263">
        <v>443</v>
      </c>
      <c r="G62" s="263">
        <v>433</v>
      </c>
      <c r="H62" s="263">
        <f t="shared" si="147"/>
        <v>1713</v>
      </c>
      <c r="I62" s="263">
        <v>427</v>
      </c>
      <c r="J62" s="263">
        <v>439</v>
      </c>
      <c r="K62" s="263">
        <v>430</v>
      </c>
      <c r="L62" s="263">
        <v>440</v>
      </c>
      <c r="M62" s="263">
        <f t="shared" si="166"/>
        <v>1736</v>
      </c>
      <c r="N62" s="263">
        <v>431</v>
      </c>
      <c r="O62" s="263">
        <v>445</v>
      </c>
      <c r="P62" s="293">
        <f t="shared" si="167"/>
        <v>442.26587728740583</v>
      </c>
      <c r="Q62" s="293">
        <f t="shared" si="167"/>
        <v>462.89156626506019</v>
      </c>
      <c r="R62" s="263">
        <f t="shared" si="168"/>
        <v>1781.157443552466</v>
      </c>
      <c r="S62" s="275">
        <f t="shared" si="169"/>
        <v>453.71005411563652</v>
      </c>
      <c r="T62" s="275">
        <f t="shared" si="169"/>
        <v>469.63626638138533</v>
      </c>
      <c r="U62" s="275">
        <f t="shared" si="169"/>
        <v>454.88164235534583</v>
      </c>
      <c r="V62" s="275">
        <f t="shared" si="169"/>
        <v>486.97409572572866</v>
      </c>
      <c r="W62" s="263">
        <f t="shared" si="170"/>
        <v>1865.2020585780963</v>
      </c>
      <c r="X62" s="275">
        <f t="shared" si="171"/>
        <v>477.61673597590215</v>
      </c>
      <c r="Y62" s="275">
        <f t="shared" si="171"/>
        <v>495.63645550707309</v>
      </c>
      <c r="Z62" s="275">
        <f t="shared" si="171"/>
        <v>467.85727585633259</v>
      </c>
      <c r="AA62" s="275">
        <f t="shared" si="171"/>
        <v>512.30954977498618</v>
      </c>
      <c r="AB62" s="263">
        <f t="shared" si="172"/>
        <v>1953.4200171142941</v>
      </c>
      <c r="AC62" s="275">
        <f t="shared" si="173"/>
        <v>502.78309774051104</v>
      </c>
      <c r="AD62" s="275">
        <f t="shared" si="173"/>
        <v>523.07607740864137</v>
      </c>
      <c r="AE62" s="275">
        <f t="shared" si="173"/>
        <v>481.20304314394599</v>
      </c>
      <c r="AF62" s="275">
        <f t="shared" si="173"/>
        <v>538.96311342702541</v>
      </c>
      <c r="AG62" s="263">
        <f t="shared" si="174"/>
        <v>2046.0253317201236</v>
      </c>
      <c r="AH62" s="275">
        <f t="shared" si="175"/>
        <v>529.27551388462791</v>
      </c>
      <c r="AI62" s="275">
        <f t="shared" si="175"/>
        <v>552.03482253396589</v>
      </c>
      <c r="AJ62" s="275">
        <f t="shared" si="175"/>
        <v>494.92950239401551</v>
      </c>
      <c r="AK62" s="275">
        <f t="shared" si="175"/>
        <v>567.00336303029337</v>
      </c>
      <c r="AL62" s="263">
        <f t="shared" si="176"/>
        <v>2143.2432018429026</v>
      </c>
    </row>
    <row r="63" spans="2:38" s="94" customFormat="1" ht="13.2" customHeight="1" outlineLevel="1" x14ac:dyDescent="0.3">
      <c r="B63" s="321" t="s">
        <v>261</v>
      </c>
      <c r="C63" s="337"/>
      <c r="D63" s="263">
        <v>-672</v>
      </c>
      <c r="E63" s="263">
        <v>-739</v>
      </c>
      <c r="F63" s="263">
        <v>-749</v>
      </c>
      <c r="G63" s="263">
        <v>-725</v>
      </c>
      <c r="H63" s="263">
        <f t="shared" si="147"/>
        <v>-2885</v>
      </c>
      <c r="I63" s="263">
        <v>-715</v>
      </c>
      <c r="J63" s="263">
        <v>-798</v>
      </c>
      <c r="K63" s="263">
        <v>-802</v>
      </c>
      <c r="L63" s="263">
        <v>-795</v>
      </c>
      <c r="M63" s="263">
        <f t="shared" si="166"/>
        <v>-3110</v>
      </c>
      <c r="N63" s="263">
        <v>-757</v>
      </c>
      <c r="O63" s="263">
        <v>-833</v>
      </c>
      <c r="P63" s="293">
        <f t="shared" si="167"/>
        <v>-824.87728740581269</v>
      </c>
      <c r="Q63" s="293">
        <f t="shared" si="167"/>
        <v>-836.36089813800652</v>
      </c>
      <c r="R63" s="263">
        <f t="shared" si="168"/>
        <v>-3251.2381855438193</v>
      </c>
      <c r="S63" s="275">
        <f t="shared" si="169"/>
        <v>-796.88749643976064</v>
      </c>
      <c r="T63" s="275">
        <f t="shared" si="169"/>
        <v>-879.11687617009886</v>
      </c>
      <c r="U63" s="275">
        <f t="shared" si="169"/>
        <v>-848.40715620694732</v>
      </c>
      <c r="V63" s="275">
        <f t="shared" si="169"/>
        <v>-879.87365023171435</v>
      </c>
      <c r="W63" s="263">
        <f t="shared" si="170"/>
        <v>-3404.2851790485211</v>
      </c>
      <c r="X63" s="275">
        <f t="shared" si="171"/>
        <v>-838.8767265284406</v>
      </c>
      <c r="Y63" s="275">
        <f t="shared" si="171"/>
        <v>-927.78689311773462</v>
      </c>
      <c r="Z63" s="275">
        <f t="shared" si="171"/>
        <v>-872.60822148088073</v>
      </c>
      <c r="AA63" s="275">
        <f t="shared" si="171"/>
        <v>-925.65020925253191</v>
      </c>
      <c r="AB63" s="263">
        <f t="shared" si="172"/>
        <v>-3564.9220503795882</v>
      </c>
      <c r="AC63" s="275">
        <f t="shared" si="173"/>
        <v>-883.07843385050307</v>
      </c>
      <c r="AD63" s="275">
        <f t="shared" si="173"/>
        <v>-979.15139883460301</v>
      </c>
      <c r="AE63" s="275">
        <f t="shared" si="173"/>
        <v>-897.49962930568518</v>
      </c>
      <c r="AF63" s="275">
        <f t="shared" si="173"/>
        <v>-973.80835266928466</v>
      </c>
      <c r="AG63" s="263">
        <f t="shared" si="174"/>
        <v>-3733.537814660076</v>
      </c>
      <c r="AH63" s="275">
        <f t="shared" si="175"/>
        <v>-929.60919724051814</v>
      </c>
      <c r="AI63" s="275">
        <f t="shared" si="175"/>
        <v>-1033.3595666759409</v>
      </c>
      <c r="AJ63" s="275">
        <f t="shared" si="175"/>
        <v>-923.10107190697761</v>
      </c>
      <c r="AK63" s="275">
        <f t="shared" si="175"/>
        <v>-1024.4719854751893</v>
      </c>
      <c r="AL63" s="263">
        <f t="shared" si="176"/>
        <v>-3910.541821298626</v>
      </c>
    </row>
    <row r="64" spans="2:38" s="94" customFormat="1" ht="13.2" customHeight="1" outlineLevel="1" x14ac:dyDescent="0.3">
      <c r="B64" s="255" t="s">
        <v>285</v>
      </c>
      <c r="C64" s="265"/>
      <c r="D64" s="263"/>
      <c r="E64" s="263"/>
      <c r="F64" s="263"/>
      <c r="G64" s="263"/>
      <c r="H64" s="263"/>
      <c r="I64" s="275">
        <v>389</v>
      </c>
      <c r="J64" s="275">
        <v>390</v>
      </c>
      <c r="K64" s="275">
        <v>389</v>
      </c>
      <c r="L64" s="275">
        <v>390</v>
      </c>
      <c r="M64" s="263">
        <f t="shared" si="166"/>
        <v>1558</v>
      </c>
      <c r="N64" s="263">
        <v>384</v>
      </c>
      <c r="O64" s="293">
        <f t="shared" ref="O64:Q64" si="177">J64*(1+O$33)</f>
        <v>411.59133458143884</v>
      </c>
      <c r="P64" s="293">
        <f t="shared" si="177"/>
        <v>400.09634015069969</v>
      </c>
      <c r="Q64" s="293">
        <f t="shared" si="177"/>
        <v>410.29025191675794</v>
      </c>
      <c r="R64" s="263">
        <f t="shared" si="168"/>
        <v>1605.9779266488963</v>
      </c>
      <c r="S64" s="275">
        <f t="shared" si="169"/>
        <v>404.23355169467385</v>
      </c>
      <c r="T64" s="275">
        <f t="shared" si="169"/>
        <v>434.37801718597422</v>
      </c>
      <c r="U64" s="275">
        <f t="shared" si="169"/>
        <v>411.50920668890586</v>
      </c>
      <c r="V64" s="275">
        <f t="shared" si="169"/>
        <v>431.63613030235047</v>
      </c>
      <c r="W64" s="263">
        <f t="shared" si="170"/>
        <v>1681.7569058719043</v>
      </c>
      <c r="X64" s="275">
        <f t="shared" si="171"/>
        <v>425.53324040544413</v>
      </c>
      <c r="Y64" s="275">
        <f t="shared" si="171"/>
        <v>458.42622514465205</v>
      </c>
      <c r="Z64" s="275">
        <f t="shared" si="171"/>
        <v>423.24762862351946</v>
      </c>
      <c r="AA64" s="275">
        <f t="shared" si="171"/>
        <v>454.09255548237417</v>
      </c>
      <c r="AB64" s="263">
        <f t="shared" si="172"/>
        <v>1761.2996496559897</v>
      </c>
      <c r="AC64" s="275">
        <f t="shared" si="173"/>
        <v>447.95524253446922</v>
      </c>
      <c r="AD64" s="275">
        <f t="shared" si="173"/>
        <v>483.80579952415002</v>
      </c>
      <c r="AE64" s="275">
        <f t="shared" si="173"/>
        <v>435.32089251859298</v>
      </c>
      <c r="AF64" s="275">
        <f t="shared" si="173"/>
        <v>477.71730508304529</v>
      </c>
      <c r="AG64" s="263">
        <f t="shared" si="174"/>
        <v>1844.7992396602576</v>
      </c>
      <c r="AH64" s="275">
        <f t="shared" si="175"/>
        <v>471.55869450509772</v>
      </c>
      <c r="AI64" s="275">
        <f t="shared" si="175"/>
        <v>510.59044795996141</v>
      </c>
      <c r="AJ64" s="275">
        <f t="shared" si="175"/>
        <v>447.73854984016754</v>
      </c>
      <c r="AK64" s="275">
        <f t="shared" si="175"/>
        <v>502.57116268594194</v>
      </c>
      <c r="AL64" s="263">
        <f t="shared" si="176"/>
        <v>1932.4588549911687</v>
      </c>
    </row>
    <row r="65" spans="2:38" s="94" customFormat="1" ht="13.2" customHeight="1" outlineLevel="1" x14ac:dyDescent="0.3">
      <c r="B65" s="309" t="s">
        <v>262</v>
      </c>
      <c r="C65" s="338"/>
      <c r="D65" s="264">
        <f>SUM(D58:D64)</f>
        <v>3440</v>
      </c>
      <c r="E65" s="264">
        <f>SUM(E58:E64)</f>
        <v>3677</v>
      </c>
      <c r="F65" s="264">
        <f>SUM(F58:F64)</f>
        <v>3716</v>
      </c>
      <c r="G65" s="264">
        <f>SUM(G58:G64)</f>
        <v>3652</v>
      </c>
      <c r="H65" s="264">
        <f>SUM(H58:H64)</f>
        <v>14485</v>
      </c>
      <c r="I65" s="264">
        <f>SUM(I58:I63)</f>
        <v>3511</v>
      </c>
      <c r="J65" s="264">
        <f t="shared" ref="J65:R65" si="178">SUM(J58:J63)</f>
        <v>3739</v>
      </c>
      <c r="K65" s="264">
        <f t="shared" si="178"/>
        <v>3822</v>
      </c>
      <c r="L65" s="264">
        <f t="shared" si="178"/>
        <v>3842</v>
      </c>
      <c r="M65" s="264">
        <f t="shared" si="178"/>
        <v>14914</v>
      </c>
      <c r="N65" s="264">
        <f t="shared" si="178"/>
        <v>3696</v>
      </c>
      <c r="O65" s="264">
        <f t="shared" si="178"/>
        <v>3946</v>
      </c>
      <c r="P65" s="264">
        <f t="shared" si="178"/>
        <v>3931.0236813778251</v>
      </c>
      <c r="Q65" s="264">
        <f t="shared" si="178"/>
        <v>4041.8849945235479</v>
      </c>
      <c r="R65" s="264">
        <f t="shared" si="178"/>
        <v>15614.908675901372</v>
      </c>
      <c r="S65" s="276">
        <f>SUM(S58:S64)</f>
        <v>4294.9814867559107</v>
      </c>
      <c r="T65" s="276">
        <f t="shared" ref="T65:AL65" si="179">SUM(T58:T64)</f>
        <v>4598.8380332330453</v>
      </c>
      <c r="U65" s="276">
        <f t="shared" si="179"/>
        <v>4454.666502228747</v>
      </c>
      <c r="V65" s="276">
        <f t="shared" si="179"/>
        <v>4683.8053934347363</v>
      </c>
      <c r="W65" s="276">
        <f t="shared" si="179"/>
        <v>18032.291415652438</v>
      </c>
      <c r="X65" s="276">
        <f t="shared" si="179"/>
        <v>4521.2906793078437</v>
      </c>
      <c r="Y65" s="276">
        <f t="shared" si="179"/>
        <v>4853.4407272365852</v>
      </c>
      <c r="Z65" s="276">
        <f t="shared" si="179"/>
        <v>4581.7371828628293</v>
      </c>
      <c r="AA65" s="276">
        <f t="shared" si="179"/>
        <v>4927.4863969266862</v>
      </c>
      <c r="AB65" s="276">
        <f t="shared" si="179"/>
        <v>18883.954986333945</v>
      </c>
      <c r="AC65" s="276">
        <f t="shared" si="179"/>
        <v>4759.5244519287353</v>
      </c>
      <c r="AD65" s="276">
        <f t="shared" si="179"/>
        <v>5122.1388365005514</v>
      </c>
      <c r="AE65" s="276">
        <f t="shared" si="179"/>
        <v>4712.4325922771086</v>
      </c>
      <c r="AF65" s="276">
        <f t="shared" si="179"/>
        <v>5183.8452182344818</v>
      </c>
      <c r="AG65" s="276">
        <f t="shared" si="179"/>
        <v>19777.941098940879</v>
      </c>
      <c r="AH65" s="276">
        <f t="shared" si="179"/>
        <v>5010.3111291166624</v>
      </c>
      <c r="AI65" s="276">
        <f t="shared" si="179"/>
        <v>5405.7127169914884</v>
      </c>
      <c r="AJ65" s="276">
        <f t="shared" si="179"/>
        <v>4846.8561269330221</v>
      </c>
      <c r="AK65" s="276">
        <f t="shared" si="179"/>
        <v>5453.5414371459119</v>
      </c>
      <c r="AL65" s="276">
        <f t="shared" si="179"/>
        <v>20716.421410187089</v>
      </c>
    </row>
    <row r="66" spans="2:38" s="94" customFormat="1" ht="13.2" customHeight="1" outlineLevel="1" x14ac:dyDescent="0.3">
      <c r="B66" s="270"/>
      <c r="C66" s="271"/>
      <c r="D66" s="272"/>
      <c r="E66" s="272"/>
      <c r="F66" s="272"/>
      <c r="G66" s="272"/>
      <c r="H66" s="272"/>
      <c r="I66" s="272"/>
      <c r="J66" s="272"/>
      <c r="K66" s="272"/>
      <c r="L66" s="272"/>
      <c r="M66" s="272"/>
      <c r="N66" s="272"/>
      <c r="O66" s="272"/>
      <c r="P66" s="273"/>
      <c r="Q66" s="273"/>
      <c r="R66" s="264"/>
      <c r="S66" s="272"/>
      <c r="T66" s="272"/>
      <c r="U66" s="272"/>
      <c r="V66" s="272"/>
    </row>
    <row r="67" spans="2:38" ht="15.6" x14ac:dyDescent="0.3">
      <c r="B67" s="300" t="s">
        <v>276</v>
      </c>
      <c r="C67" s="301"/>
      <c r="D67" s="256" t="s">
        <v>68</v>
      </c>
      <c r="E67" s="256" t="s">
        <v>244</v>
      </c>
      <c r="F67" s="256" t="s">
        <v>245</v>
      </c>
      <c r="G67" s="256" t="s">
        <v>69</v>
      </c>
      <c r="H67" s="256" t="s">
        <v>246</v>
      </c>
      <c r="I67" s="256" t="s">
        <v>70</v>
      </c>
      <c r="J67" s="256" t="s">
        <v>247</v>
      </c>
      <c r="K67" s="256" t="s">
        <v>248</v>
      </c>
      <c r="L67" s="256" t="s">
        <v>71</v>
      </c>
      <c r="M67" s="256" t="s">
        <v>246</v>
      </c>
      <c r="N67" s="256" t="s">
        <v>72</v>
      </c>
      <c r="O67" s="256" t="s">
        <v>249</v>
      </c>
      <c r="P67" s="257" t="s">
        <v>250</v>
      </c>
      <c r="Q67" s="257" t="s">
        <v>129</v>
      </c>
      <c r="R67" s="257" t="s">
        <v>129</v>
      </c>
      <c r="S67" s="97" t="s">
        <v>130</v>
      </c>
      <c r="T67" s="97" t="s">
        <v>131</v>
      </c>
      <c r="U67" s="97" t="s">
        <v>132</v>
      </c>
      <c r="V67" s="97" t="s">
        <v>140</v>
      </c>
      <c r="W67" s="97" t="s">
        <v>140</v>
      </c>
      <c r="X67" s="97" t="s">
        <v>141</v>
      </c>
      <c r="Y67" s="97" t="s">
        <v>142</v>
      </c>
      <c r="Z67" s="97" t="s">
        <v>143</v>
      </c>
      <c r="AA67" s="97" t="s">
        <v>219</v>
      </c>
      <c r="AB67" s="97" t="s">
        <v>219</v>
      </c>
      <c r="AC67" s="97" t="s">
        <v>220</v>
      </c>
      <c r="AD67" s="97" t="s">
        <v>221</v>
      </c>
      <c r="AE67" s="97" t="s">
        <v>222</v>
      </c>
      <c r="AF67" s="97" t="s">
        <v>229</v>
      </c>
      <c r="AG67" s="97" t="s">
        <v>229</v>
      </c>
      <c r="AH67" s="97" t="s">
        <v>231</v>
      </c>
      <c r="AI67" s="97" t="s">
        <v>233</v>
      </c>
      <c r="AJ67" s="97" t="s">
        <v>224</v>
      </c>
      <c r="AK67" s="97" t="s">
        <v>267</v>
      </c>
      <c r="AL67" s="97" t="s">
        <v>267</v>
      </c>
    </row>
    <row r="68" spans="2:38" ht="16.2" x14ac:dyDescent="0.45">
      <c r="B68" s="145" t="s">
        <v>7</v>
      </c>
      <c r="C68" s="146"/>
      <c r="D68" s="77" t="s">
        <v>148</v>
      </c>
      <c r="E68" s="77" t="s">
        <v>196</v>
      </c>
      <c r="F68" s="216" t="s">
        <v>236</v>
      </c>
      <c r="G68" s="216" t="s">
        <v>237</v>
      </c>
      <c r="H68" s="216" t="s">
        <v>238</v>
      </c>
      <c r="I68" s="216" t="s">
        <v>239</v>
      </c>
      <c r="J68" s="216" t="s">
        <v>240</v>
      </c>
      <c r="K68" s="216" t="s">
        <v>241</v>
      </c>
      <c r="L68" s="216" t="s">
        <v>242</v>
      </c>
      <c r="M68" s="216" t="s">
        <v>243</v>
      </c>
      <c r="N68" s="258">
        <v>2019</v>
      </c>
      <c r="O68" s="258">
        <v>2019</v>
      </c>
      <c r="P68" s="259" t="s">
        <v>251</v>
      </c>
      <c r="Q68" s="259" t="s">
        <v>251</v>
      </c>
      <c r="R68" s="259" t="s">
        <v>263</v>
      </c>
      <c r="S68" s="98" t="s">
        <v>128</v>
      </c>
      <c r="T68" s="98" t="s">
        <v>133</v>
      </c>
      <c r="U68" s="98" t="s">
        <v>134</v>
      </c>
      <c r="V68" s="98" t="s">
        <v>135</v>
      </c>
      <c r="W68" s="98" t="s">
        <v>136</v>
      </c>
      <c r="X68" s="98" t="s">
        <v>144</v>
      </c>
      <c r="Y68" s="98" t="s">
        <v>145</v>
      </c>
      <c r="Z68" s="98" t="s">
        <v>146</v>
      </c>
      <c r="AA68" s="98" t="s">
        <v>266</v>
      </c>
      <c r="AB68" s="98" t="s">
        <v>147</v>
      </c>
      <c r="AC68" s="98" t="s">
        <v>265</v>
      </c>
      <c r="AD68" s="98" t="s">
        <v>226</v>
      </c>
      <c r="AE68" s="98" t="s">
        <v>227</v>
      </c>
      <c r="AF68" s="98" t="s">
        <v>228</v>
      </c>
      <c r="AG68" s="98" t="s">
        <v>223</v>
      </c>
      <c r="AH68" s="98" t="s">
        <v>230</v>
      </c>
      <c r="AI68" s="98" t="s">
        <v>232</v>
      </c>
      <c r="AJ68" s="98" t="s">
        <v>234</v>
      </c>
      <c r="AK68" s="98" t="s">
        <v>235</v>
      </c>
      <c r="AL68" s="98" t="s">
        <v>225</v>
      </c>
    </row>
    <row r="69" spans="2:38" ht="14.4" customHeight="1" outlineLevel="1" x14ac:dyDescent="0.3">
      <c r="B69" s="319" t="s">
        <v>12</v>
      </c>
      <c r="C69" s="320"/>
      <c r="D69" s="8"/>
      <c r="E69" s="192"/>
      <c r="F69" s="192"/>
      <c r="G69" s="192"/>
      <c r="H69" s="192"/>
      <c r="I69" s="192"/>
      <c r="J69" s="192"/>
      <c r="K69" s="192"/>
      <c r="L69" s="192"/>
      <c r="M69" s="192"/>
      <c r="N69" s="192"/>
      <c r="O69" s="192"/>
      <c r="P69" s="192"/>
      <c r="Q69" s="7"/>
      <c r="R69" s="12"/>
      <c r="S69" s="8"/>
      <c r="T69" s="11"/>
      <c r="U69" s="7"/>
      <c r="V69" s="7"/>
      <c r="W69" s="12"/>
      <c r="X69" s="8"/>
      <c r="Y69" s="11"/>
      <c r="Z69" s="7"/>
      <c r="AA69" s="7"/>
      <c r="AB69" s="12"/>
      <c r="AC69" s="8"/>
      <c r="AD69" s="11"/>
      <c r="AE69" s="7"/>
      <c r="AF69" s="7"/>
      <c r="AG69" s="12"/>
      <c r="AH69" s="8"/>
      <c r="AI69" s="11"/>
      <c r="AJ69" s="7"/>
      <c r="AK69" s="7"/>
      <c r="AL69" s="12"/>
    </row>
    <row r="70" spans="2:38" ht="14.4" customHeight="1" outlineLevel="1" x14ac:dyDescent="0.3">
      <c r="B70" s="304" t="s">
        <v>74</v>
      </c>
      <c r="C70" s="308"/>
      <c r="D70" s="89">
        <f>D174</f>
        <v>30</v>
      </c>
      <c r="E70" s="89">
        <f t="shared" ref="E70:AL70" si="180">E174</f>
        <v>32</v>
      </c>
      <c r="F70" s="89">
        <f t="shared" si="180"/>
        <v>35</v>
      </c>
      <c r="G70" s="89">
        <f t="shared" si="180"/>
        <v>22</v>
      </c>
      <c r="H70" s="89">
        <f t="shared" si="180"/>
        <v>22</v>
      </c>
      <c r="I70" s="89">
        <f>I174</f>
        <v>52</v>
      </c>
      <c r="J70" s="89">
        <f t="shared" si="180"/>
        <v>47</v>
      </c>
      <c r="K70" s="89">
        <f t="shared" si="180"/>
        <v>83</v>
      </c>
      <c r="L70" s="89">
        <f t="shared" si="180"/>
        <v>61</v>
      </c>
      <c r="M70" s="89">
        <f t="shared" si="180"/>
        <v>61</v>
      </c>
      <c r="N70" s="89">
        <f>N174</f>
        <v>57</v>
      </c>
      <c r="O70" s="89">
        <f t="shared" si="180"/>
        <v>2250</v>
      </c>
      <c r="P70" s="89">
        <f t="shared" si="180"/>
        <v>2683.3144433523116</v>
      </c>
      <c r="Q70" s="89">
        <f t="shared" si="180"/>
        <v>2736.7177191765309</v>
      </c>
      <c r="R70" s="89">
        <f t="shared" si="180"/>
        <v>2736.7177191765318</v>
      </c>
      <c r="S70" s="89">
        <f>S174</f>
        <v>1463.4491791754722</v>
      </c>
      <c r="T70" s="89">
        <f t="shared" si="180"/>
        <v>2478.3282546852779</v>
      </c>
      <c r="U70" s="89">
        <f t="shared" si="180"/>
        <v>3150.7533785435007</v>
      </c>
      <c r="V70" s="89">
        <f t="shared" si="180"/>
        <v>3945.5658227997878</v>
      </c>
      <c r="W70" s="89">
        <f t="shared" si="180"/>
        <v>3945.5658227997874</v>
      </c>
      <c r="X70" s="89">
        <f t="shared" si="180"/>
        <v>4144.3392056120483</v>
      </c>
      <c r="Y70" s="89">
        <f t="shared" si="180"/>
        <v>4706.4276610058014</v>
      </c>
      <c r="Z70" s="89">
        <f t="shared" si="180"/>
        <v>5971.3466437250554</v>
      </c>
      <c r="AA70" s="89">
        <f t="shared" si="180"/>
        <v>6316.5193842063818</v>
      </c>
      <c r="AB70" s="89">
        <f t="shared" si="180"/>
        <v>6316.5193842063827</v>
      </c>
      <c r="AC70" s="89">
        <f t="shared" si="180"/>
        <v>6745.3153182456117</v>
      </c>
      <c r="AD70" s="89">
        <f t="shared" si="180"/>
        <v>6953.6366819271207</v>
      </c>
      <c r="AE70" s="89">
        <f t="shared" si="180"/>
        <v>8738.2301062309289</v>
      </c>
      <c r="AF70" s="89">
        <f t="shared" si="180"/>
        <v>8693.632851934055</v>
      </c>
      <c r="AG70" s="89">
        <f t="shared" si="180"/>
        <v>8693.6328519340532</v>
      </c>
      <c r="AH70" s="89">
        <f t="shared" si="180"/>
        <v>9443.352315823211</v>
      </c>
      <c r="AI70" s="89">
        <f t="shared" si="180"/>
        <v>9174.1122648178734</v>
      </c>
      <c r="AJ70" s="89">
        <f t="shared" si="180"/>
        <v>11550.300992906408</v>
      </c>
      <c r="AK70" s="89">
        <f t="shared" si="180"/>
        <v>11641.528423299176</v>
      </c>
      <c r="AL70" s="89">
        <f t="shared" si="180"/>
        <v>11641.528423299173</v>
      </c>
    </row>
    <row r="71" spans="2:38" ht="14.4" customHeight="1" outlineLevel="1" x14ac:dyDescent="0.3">
      <c r="B71" s="304" t="s">
        <v>75</v>
      </c>
      <c r="C71" s="308"/>
      <c r="D71" s="89"/>
      <c r="E71" s="89"/>
      <c r="F71" s="218"/>
      <c r="G71" s="218"/>
      <c r="H71" s="60">
        <f t="shared" ref="H71:H76" si="181">G71</f>
        <v>0</v>
      </c>
      <c r="I71" s="218"/>
      <c r="J71" s="218"/>
      <c r="K71" s="218"/>
      <c r="L71" s="218"/>
      <c r="M71" s="60">
        <f t="shared" ref="M71:M76" si="182">L71</f>
        <v>0</v>
      </c>
      <c r="N71" s="218"/>
      <c r="O71" s="89"/>
      <c r="P71" s="89"/>
      <c r="Q71" s="89"/>
      <c r="R71" s="60">
        <f t="shared" ref="R71:R76" si="183">Q71</f>
        <v>0</v>
      </c>
      <c r="S71" s="89"/>
      <c r="T71" s="89"/>
      <c r="U71" s="89"/>
      <c r="V71" s="89"/>
      <c r="W71" s="60">
        <f t="shared" ref="W71:W76" si="184">V71</f>
        <v>0</v>
      </c>
      <c r="X71" s="89"/>
      <c r="Y71" s="89"/>
      <c r="Z71" s="89"/>
      <c r="AA71" s="89"/>
      <c r="AB71" s="60">
        <f t="shared" ref="AB71:AB76" si="185">AA71</f>
        <v>0</v>
      </c>
      <c r="AC71" s="89"/>
      <c r="AD71" s="89"/>
      <c r="AE71" s="89"/>
      <c r="AF71" s="89"/>
      <c r="AG71" s="60">
        <f t="shared" ref="AG71:AG76" si="186">AF71</f>
        <v>0</v>
      </c>
      <c r="AH71" s="89"/>
      <c r="AI71" s="89"/>
      <c r="AJ71" s="89"/>
      <c r="AK71" s="89"/>
      <c r="AL71" s="60">
        <f t="shared" ref="AL71:AL76" si="187">AK71</f>
        <v>0</v>
      </c>
    </row>
    <row r="72" spans="2:38" ht="14.4" customHeight="1" outlineLevel="1" x14ac:dyDescent="0.3">
      <c r="B72" s="304" t="s">
        <v>76</v>
      </c>
      <c r="C72" s="308"/>
      <c r="D72" s="266">
        <v>1634</v>
      </c>
      <c r="E72" s="266">
        <v>1772</v>
      </c>
      <c r="F72" s="266">
        <v>1790</v>
      </c>
      <c r="G72" s="266">
        <v>1805</v>
      </c>
      <c r="H72" s="60">
        <f t="shared" si="181"/>
        <v>1805</v>
      </c>
      <c r="I72" s="218">
        <v>1700</v>
      </c>
      <c r="J72" s="218">
        <v>1838</v>
      </c>
      <c r="K72" s="218">
        <v>1943</v>
      </c>
      <c r="L72" s="218">
        <v>1931</v>
      </c>
      <c r="M72" s="60">
        <f t="shared" si="182"/>
        <v>1931</v>
      </c>
      <c r="N72" s="218">
        <v>1830</v>
      </c>
      <c r="O72" s="89">
        <v>2017</v>
      </c>
      <c r="P72" s="89">
        <f>(P10/P116*2)-O72</f>
        <v>1989.6775879071106</v>
      </c>
      <c r="Q72" s="89">
        <f>(Q10/Q116*2)-P72</f>
        <v>2209.3521466755806</v>
      </c>
      <c r="R72" s="60">
        <f t="shared" si="183"/>
        <v>2209.3521466755806</v>
      </c>
      <c r="S72" s="89">
        <f>(S10/S116*2)-Q72</f>
        <v>2293.5800648876079</v>
      </c>
      <c r="T72" s="89">
        <f>(T10/T116*2)-S72</f>
        <v>2325.7177374770004</v>
      </c>
      <c r="U72" s="89">
        <f>(U10/U116*2)-T72</f>
        <v>2352.244102809274</v>
      </c>
      <c r="V72" s="89">
        <f>(V10/V116*2)-U72</f>
        <v>2661.0892376548977</v>
      </c>
      <c r="W72" s="60">
        <f t="shared" si="184"/>
        <v>2661.0892376548977</v>
      </c>
      <c r="X72" s="89">
        <f>(X10/X116*2)-V72</f>
        <v>2222.7266581452382</v>
      </c>
      <c r="Y72" s="89">
        <f>(Y10/Y116*2)-X72</f>
        <v>2800.0089681115874</v>
      </c>
      <c r="Z72" s="89">
        <f>(Z10/Z116*2)-Y72</f>
        <v>2157.1676683760411</v>
      </c>
      <c r="AA72" s="89">
        <f>(AA10/AA116*2)-Z72</f>
        <v>3276.7858076135913</v>
      </c>
      <c r="AB72" s="60">
        <f t="shared" si="185"/>
        <v>3276.7858076135913</v>
      </c>
      <c r="AC72" s="89">
        <f>(AC10/AC116*2)-AA72</f>
        <v>2020.1310864095635</v>
      </c>
      <c r="AD72" s="89">
        <f>(AD10/AD116*2)-AC72</f>
        <v>3441.2776061314212</v>
      </c>
      <c r="AE72" s="89">
        <f>(AE10/AE116*2)-AD72</f>
        <v>1811.7793969661029</v>
      </c>
      <c r="AF72" s="89">
        <f>(AF10/AF116*2)-AE72</f>
        <v>4078.084367107062</v>
      </c>
      <c r="AG72" s="60">
        <f t="shared" si="186"/>
        <v>4078.084367107062</v>
      </c>
      <c r="AH72" s="89">
        <f>(AH10/AH116*2)-AF72</f>
        <v>1666.8759632600072</v>
      </c>
      <c r="AI72" s="89">
        <f>(AI10/AI116*2)-AH72</f>
        <v>4271.5183951925574</v>
      </c>
      <c r="AJ72" s="89">
        <f>(AJ10/AJ116*2)-AI72</f>
        <v>1295.0792674124014</v>
      </c>
      <c r="AK72" s="89">
        <f>(AK10/AK116*2)-AJ72</f>
        <v>5088.9457914374561</v>
      </c>
      <c r="AL72" s="60">
        <f t="shared" si="187"/>
        <v>5088.9457914374561</v>
      </c>
    </row>
    <row r="73" spans="2:38" ht="14.4" customHeight="1" outlineLevel="1" x14ac:dyDescent="0.3">
      <c r="B73" s="304" t="s">
        <v>8</v>
      </c>
      <c r="C73" s="308"/>
      <c r="D73" s="89"/>
      <c r="E73" s="89"/>
      <c r="F73" s="218"/>
      <c r="G73" s="218"/>
      <c r="H73" s="60">
        <f t="shared" si="181"/>
        <v>0</v>
      </c>
      <c r="I73" s="218"/>
      <c r="J73" s="218"/>
      <c r="K73" s="218"/>
      <c r="L73" s="218"/>
      <c r="M73" s="60">
        <f t="shared" si="182"/>
        <v>0</v>
      </c>
      <c r="N73" s="218"/>
      <c r="O73" s="89"/>
      <c r="P73" s="89"/>
      <c r="Q73" s="89"/>
      <c r="R73" s="60">
        <f t="shared" si="183"/>
        <v>0</v>
      </c>
      <c r="S73" s="89"/>
      <c r="T73" s="89"/>
      <c r="U73" s="89"/>
      <c r="V73" s="89"/>
      <c r="W73" s="60">
        <f t="shared" si="184"/>
        <v>0</v>
      </c>
      <c r="X73" s="89"/>
      <c r="Y73" s="89"/>
      <c r="Z73" s="89"/>
      <c r="AA73" s="89"/>
      <c r="AB73" s="60">
        <f t="shared" si="185"/>
        <v>0</v>
      </c>
      <c r="AC73" s="89"/>
      <c r="AD73" s="89"/>
      <c r="AE73" s="89"/>
      <c r="AF73" s="89"/>
      <c r="AG73" s="60">
        <f t="shared" si="186"/>
        <v>0</v>
      </c>
      <c r="AH73" s="89"/>
      <c r="AI73" s="89"/>
      <c r="AJ73" s="89"/>
      <c r="AK73" s="89"/>
      <c r="AL73" s="60">
        <f t="shared" si="187"/>
        <v>0</v>
      </c>
    </row>
    <row r="74" spans="2:38" ht="14.4" customHeight="1" outlineLevel="1" x14ac:dyDescent="0.3">
      <c r="B74" s="304" t="s">
        <v>16</v>
      </c>
      <c r="C74" s="308"/>
      <c r="D74" s="89"/>
      <c r="E74" s="89"/>
      <c r="F74" s="218"/>
      <c r="G74" s="218"/>
      <c r="H74" s="60">
        <f t="shared" si="181"/>
        <v>0</v>
      </c>
      <c r="I74" s="218"/>
      <c r="J74" s="218"/>
      <c r="K74" s="218"/>
      <c r="L74" s="218"/>
      <c r="M74" s="60">
        <f t="shared" si="182"/>
        <v>0</v>
      </c>
      <c r="N74" s="218"/>
      <c r="O74" s="89"/>
      <c r="P74" s="89"/>
      <c r="Q74" s="89"/>
      <c r="R74" s="60">
        <f t="shared" si="183"/>
        <v>0</v>
      </c>
      <c r="S74" s="89"/>
      <c r="T74" s="89"/>
      <c r="U74" s="89"/>
      <c r="V74" s="89"/>
      <c r="W74" s="60">
        <f t="shared" si="184"/>
        <v>0</v>
      </c>
      <c r="X74" s="89"/>
      <c r="Y74" s="89"/>
      <c r="Z74" s="89"/>
      <c r="AA74" s="89"/>
      <c r="AB74" s="60">
        <f t="shared" si="185"/>
        <v>0</v>
      </c>
      <c r="AC74" s="89"/>
      <c r="AD74" s="89"/>
      <c r="AE74" s="89"/>
      <c r="AF74" s="89"/>
      <c r="AG74" s="60">
        <f t="shared" si="186"/>
        <v>0</v>
      </c>
      <c r="AH74" s="89"/>
      <c r="AI74" s="89"/>
      <c r="AJ74" s="89"/>
      <c r="AK74" s="89"/>
      <c r="AL74" s="60">
        <f t="shared" si="187"/>
        <v>0</v>
      </c>
    </row>
    <row r="75" spans="2:38" ht="14.4" customHeight="1" outlineLevel="1" x14ac:dyDescent="0.3">
      <c r="B75" s="304" t="s">
        <v>91</v>
      </c>
      <c r="C75" s="308"/>
      <c r="D75" s="89"/>
      <c r="E75" s="89"/>
      <c r="F75" s="218"/>
      <c r="G75" s="218"/>
      <c r="H75" s="60">
        <f t="shared" si="181"/>
        <v>0</v>
      </c>
      <c r="I75" s="218"/>
      <c r="J75" s="218"/>
      <c r="K75" s="218"/>
      <c r="L75" s="218"/>
      <c r="M75" s="60">
        <f t="shared" si="182"/>
        <v>0</v>
      </c>
      <c r="N75" s="218"/>
      <c r="O75" s="89"/>
      <c r="P75" s="89"/>
      <c r="Q75" s="89"/>
      <c r="R75" s="60">
        <f t="shared" si="183"/>
        <v>0</v>
      </c>
      <c r="S75" s="89"/>
      <c r="T75" s="89"/>
      <c r="U75" s="89"/>
      <c r="V75" s="89"/>
      <c r="W75" s="60">
        <f t="shared" si="184"/>
        <v>0</v>
      </c>
      <c r="X75" s="89"/>
      <c r="Y75" s="89"/>
      <c r="Z75" s="89"/>
      <c r="AA75" s="89"/>
      <c r="AB75" s="60">
        <f t="shared" si="185"/>
        <v>0</v>
      </c>
      <c r="AC75" s="89"/>
      <c r="AD75" s="89"/>
      <c r="AE75" s="89"/>
      <c r="AF75" s="89"/>
      <c r="AG75" s="60">
        <f t="shared" si="186"/>
        <v>0</v>
      </c>
      <c r="AH75" s="89"/>
      <c r="AI75" s="89"/>
      <c r="AJ75" s="89"/>
      <c r="AK75" s="89"/>
      <c r="AL75" s="60">
        <f t="shared" si="187"/>
        <v>0</v>
      </c>
    </row>
    <row r="76" spans="2:38" ht="16.2" customHeight="1" outlineLevel="1" x14ac:dyDescent="0.45">
      <c r="B76" s="304" t="s">
        <v>15</v>
      </c>
      <c r="C76" s="308"/>
      <c r="D76" s="32">
        <v>559</v>
      </c>
      <c r="E76" s="32">
        <v>522</v>
      </c>
      <c r="F76" s="219">
        <v>475</v>
      </c>
      <c r="G76" s="219">
        <v>867</v>
      </c>
      <c r="H76" s="117">
        <f t="shared" si="181"/>
        <v>867</v>
      </c>
      <c r="I76" s="219">
        <v>739</v>
      </c>
      <c r="J76" s="219">
        <v>586</v>
      </c>
      <c r="K76" s="219">
        <v>649</v>
      </c>
      <c r="L76" s="219">
        <v>653</v>
      </c>
      <c r="M76" s="117">
        <f t="shared" si="182"/>
        <v>653</v>
      </c>
      <c r="N76" s="219">
        <v>601</v>
      </c>
      <c r="O76" s="32">
        <v>569</v>
      </c>
      <c r="P76" s="32">
        <f>O76*(K76/J76)</f>
        <v>630.17235494880538</v>
      </c>
      <c r="Q76" s="32">
        <f>P76*(L76/K76)</f>
        <v>634.05631399317394</v>
      </c>
      <c r="R76" s="117">
        <f t="shared" si="183"/>
        <v>634.05631399317394</v>
      </c>
      <c r="S76" s="32">
        <f>Q76*(N76/L76)</f>
        <v>583.56484641638212</v>
      </c>
      <c r="T76" s="32">
        <f>S76*(O76/N76)</f>
        <v>552.49317406143336</v>
      </c>
      <c r="U76" s="32">
        <f>T76*(P76/O76)</f>
        <v>611.89090437861819</v>
      </c>
      <c r="V76" s="32">
        <f>U76*(Q76/P76)</f>
        <v>615.66218884320131</v>
      </c>
      <c r="W76" s="117">
        <f t="shared" si="184"/>
        <v>615.66218884320131</v>
      </c>
      <c r="X76" s="32">
        <f>V76*(S76/Q76)</f>
        <v>566.6354908036202</v>
      </c>
      <c r="Y76" s="32">
        <f>X76*(T76/S76)</f>
        <v>536.46521508695491</v>
      </c>
      <c r="Z76" s="32">
        <f>Y76*(U76/T76)</f>
        <v>594.13980305705411</v>
      </c>
      <c r="AA76" s="32">
        <f>Z76*(V76/U76)</f>
        <v>597.80168165833015</v>
      </c>
      <c r="AB76" s="117">
        <f t="shared" si="185"/>
        <v>597.80168165833015</v>
      </c>
      <c r="AC76" s="32">
        <f>AA76*(X76/V76)</f>
        <v>550.19725984174033</v>
      </c>
      <c r="AD76" s="32">
        <f>AC76*(Y76/X76)</f>
        <v>520.90223103153119</v>
      </c>
      <c r="AE76" s="32">
        <f>AD76*(Z76/Y76)</f>
        <v>576.90366542570598</v>
      </c>
      <c r="AF76" s="32">
        <f>AE76*(AA76/Z76)</f>
        <v>580.45931205390752</v>
      </c>
      <c r="AG76" s="117">
        <f t="shared" si="186"/>
        <v>580.45931205390752</v>
      </c>
      <c r="AH76" s="32">
        <f>AF76*(AC76/AA76)</f>
        <v>534.235905887287</v>
      </c>
      <c r="AI76" s="32">
        <f>AH76*(AD76/AC76)</f>
        <v>505.79073286167437</v>
      </c>
      <c r="AJ76" s="32">
        <f>AI76*(AE76/AD76)</f>
        <v>560.16755226489192</v>
      </c>
      <c r="AK76" s="32">
        <f>AJ76*(AF76/AE76)</f>
        <v>563.62004873493743</v>
      </c>
      <c r="AL76" s="117">
        <f t="shared" si="187"/>
        <v>563.62004873493743</v>
      </c>
    </row>
    <row r="77" spans="2:38" ht="14.4" customHeight="1" outlineLevel="1" x14ac:dyDescent="0.3">
      <c r="B77" s="309" t="s">
        <v>9</v>
      </c>
      <c r="C77" s="310"/>
      <c r="D77" s="18">
        <f t="shared" ref="D77:R77" si="188">SUM(D70:D76)</f>
        <v>2223</v>
      </c>
      <c r="E77" s="18">
        <f>SUM(E70:E76)</f>
        <v>2326</v>
      </c>
      <c r="F77" s="18">
        <f t="shared" ref="F77:W77" si="189">SUM(F70:F76)</f>
        <v>2300</v>
      </c>
      <c r="G77" s="18">
        <f t="shared" si="189"/>
        <v>2694</v>
      </c>
      <c r="H77" s="18">
        <f t="shared" si="189"/>
        <v>2694</v>
      </c>
      <c r="I77" s="18">
        <f t="shared" si="189"/>
        <v>2491</v>
      </c>
      <c r="J77" s="18">
        <f t="shared" si="189"/>
        <v>2471</v>
      </c>
      <c r="K77" s="18">
        <f t="shared" si="189"/>
        <v>2675</v>
      </c>
      <c r="L77" s="18">
        <f t="shared" si="189"/>
        <v>2645</v>
      </c>
      <c r="M77" s="18">
        <f t="shared" si="189"/>
        <v>2645</v>
      </c>
      <c r="N77" s="18">
        <f t="shared" si="189"/>
        <v>2488</v>
      </c>
      <c r="O77" s="18">
        <f t="shared" si="189"/>
        <v>4836</v>
      </c>
      <c r="P77" s="18">
        <f t="shared" ref="P77:Q77" si="190">SUM(P70:P76)</f>
        <v>5303.1643862082274</v>
      </c>
      <c r="Q77" s="18">
        <f t="shared" si="190"/>
        <v>5580.1261798452852</v>
      </c>
      <c r="R77" s="61">
        <f t="shared" si="188"/>
        <v>5580.1261798452861</v>
      </c>
      <c r="S77" s="18">
        <f t="shared" si="189"/>
        <v>4340.5940904794625</v>
      </c>
      <c r="T77" s="18">
        <f t="shared" si="189"/>
        <v>5356.5391662237125</v>
      </c>
      <c r="U77" s="18">
        <f t="shared" si="189"/>
        <v>6114.8883857313931</v>
      </c>
      <c r="V77" s="18">
        <f t="shared" si="189"/>
        <v>7222.3172492978865</v>
      </c>
      <c r="W77" s="61">
        <f t="shared" si="189"/>
        <v>7222.3172492978856</v>
      </c>
      <c r="X77" s="18">
        <f t="shared" ref="X77" si="191">SUM(X70:X76)</f>
        <v>6933.701354560907</v>
      </c>
      <c r="Y77" s="18">
        <f t="shared" ref="Y77" si="192">SUM(Y70:Y76)</f>
        <v>8042.9018442043434</v>
      </c>
      <c r="Z77" s="18">
        <f t="shared" ref="Z77" si="193">SUM(Z70:Z76)</f>
        <v>8722.6541151581514</v>
      </c>
      <c r="AA77" s="18">
        <f t="shared" ref="AA77" si="194">SUM(AA70:AA76)</f>
        <v>10191.106873478302</v>
      </c>
      <c r="AB77" s="61">
        <f t="shared" ref="AB77" si="195">SUM(AB70:AB76)</f>
        <v>10191.106873478304</v>
      </c>
      <c r="AC77" s="18">
        <f t="shared" ref="AC77" si="196">SUM(AC70:AC76)</f>
        <v>9315.6436644969144</v>
      </c>
      <c r="AD77" s="18">
        <f t="shared" ref="AD77" si="197">SUM(AD70:AD76)</f>
        <v>10915.816519090073</v>
      </c>
      <c r="AE77" s="18">
        <f t="shared" ref="AE77" si="198">SUM(AE70:AE76)</f>
        <v>11126.913168622737</v>
      </c>
      <c r="AF77" s="18">
        <f t="shared" ref="AF77" si="199">SUM(AF70:AF76)</f>
        <v>13352.176531095025</v>
      </c>
      <c r="AG77" s="61">
        <f t="shared" ref="AG77" si="200">SUM(AG70:AG76)</f>
        <v>13352.176531095021</v>
      </c>
      <c r="AH77" s="18">
        <f t="shared" ref="AH77" si="201">SUM(AH70:AH76)</f>
        <v>11644.464184970504</v>
      </c>
      <c r="AI77" s="18">
        <f t="shared" ref="AI77" si="202">SUM(AI70:AI76)</f>
        <v>13951.421392872106</v>
      </c>
      <c r="AJ77" s="18">
        <f t="shared" ref="AJ77" si="203">SUM(AJ70:AJ76)</f>
        <v>13405.5478125837</v>
      </c>
      <c r="AK77" s="18">
        <f t="shared" ref="AK77" si="204">SUM(AK70:AK76)</f>
        <v>17294.094263471572</v>
      </c>
      <c r="AL77" s="61">
        <f t="shared" ref="AL77" si="205">SUM(AL70:AL76)</f>
        <v>17294.094263471565</v>
      </c>
    </row>
    <row r="78" spans="2:38" ht="14.4" customHeight="1" outlineLevel="1" x14ac:dyDescent="0.3">
      <c r="B78" s="304" t="s">
        <v>77</v>
      </c>
      <c r="C78" s="308"/>
      <c r="D78" s="89"/>
      <c r="E78" s="89"/>
      <c r="F78" s="218"/>
      <c r="G78" s="218"/>
      <c r="H78" s="60">
        <f>G78</f>
        <v>0</v>
      </c>
      <c r="I78" s="218"/>
      <c r="J78" s="218"/>
      <c r="K78" s="218"/>
      <c r="L78" s="218"/>
      <c r="M78" s="60">
        <f>L78</f>
        <v>0</v>
      </c>
      <c r="N78" s="218"/>
      <c r="O78" s="89"/>
      <c r="P78" s="89"/>
      <c r="Q78" s="89"/>
      <c r="R78" s="60">
        <f>Q78</f>
        <v>0</v>
      </c>
      <c r="S78" s="89"/>
      <c r="T78" s="89"/>
      <c r="U78" s="89"/>
      <c r="V78" s="89"/>
      <c r="W78" s="60">
        <f>V78</f>
        <v>0</v>
      </c>
      <c r="X78" s="89"/>
      <c r="Y78" s="89"/>
      <c r="Z78" s="89"/>
      <c r="AA78" s="89"/>
      <c r="AB78" s="60">
        <f>AA78</f>
        <v>0</v>
      </c>
      <c r="AC78" s="89"/>
      <c r="AD78" s="89"/>
      <c r="AE78" s="89"/>
      <c r="AF78" s="89"/>
      <c r="AG78" s="60">
        <f>AF78</f>
        <v>0</v>
      </c>
      <c r="AH78" s="89"/>
      <c r="AI78" s="89"/>
      <c r="AJ78" s="89"/>
      <c r="AK78" s="89"/>
      <c r="AL78" s="60">
        <f>AK78</f>
        <v>0</v>
      </c>
    </row>
    <row r="79" spans="2:38" outlineLevel="1" x14ac:dyDescent="0.3">
      <c r="B79" s="304" t="s">
        <v>10</v>
      </c>
      <c r="C79" s="308"/>
      <c r="D79" s="266">
        <v>10929</v>
      </c>
      <c r="E79" s="266">
        <v>11002</v>
      </c>
      <c r="F79" s="266">
        <v>11136</v>
      </c>
      <c r="G79" s="266">
        <v>11559</v>
      </c>
      <c r="H79" s="60">
        <f>G79</f>
        <v>11559</v>
      </c>
      <c r="I79" s="266">
        <v>11637</v>
      </c>
      <c r="J79" s="266">
        <v>11625</v>
      </c>
      <c r="K79" s="266">
        <v>11815</v>
      </c>
      <c r="L79" s="266">
        <v>11942</v>
      </c>
      <c r="M79" s="60">
        <f>L79</f>
        <v>11942</v>
      </c>
      <c r="N79" s="266">
        <v>12390</v>
      </c>
      <c r="O79" s="266">
        <v>12665</v>
      </c>
      <c r="P79" s="89">
        <f>O79-P154-P133</f>
        <v>12832.32721274787</v>
      </c>
      <c r="Q79" s="89">
        <f>P79-Q154-Q133</f>
        <v>12986.267676784479</v>
      </c>
      <c r="R79" s="60">
        <f>Q79</f>
        <v>12986.267676784479</v>
      </c>
      <c r="S79" s="89">
        <f>Q79-S154-S133</f>
        <v>13140.313877177136</v>
      </c>
      <c r="T79" s="89">
        <f>S79-T154-T133</f>
        <v>13290.854006228794</v>
      </c>
      <c r="U79" s="89">
        <f>T79-U154-U133</f>
        <v>13445.533880804867</v>
      </c>
      <c r="V79" s="89">
        <f>U79-V154-V133</f>
        <v>13584.304980401219</v>
      </c>
      <c r="W79" s="60">
        <f>V79</f>
        <v>13584.304980401219</v>
      </c>
      <c r="X79" s="89">
        <f>V79-X154-X133</f>
        <v>13836.202077215537</v>
      </c>
      <c r="Y79" s="89">
        <f>X79-Y154-Y133</f>
        <v>14089.074738678322</v>
      </c>
      <c r="Z79" s="89">
        <f>Y79-Z154-Z133</f>
        <v>14344.002281741987</v>
      </c>
      <c r="AA79" s="89">
        <f>Z79-AA154-AA133</f>
        <v>14583.013122924445</v>
      </c>
      <c r="AB79" s="60">
        <f>AA79</f>
        <v>14583.013122924445</v>
      </c>
      <c r="AC79" s="89">
        <f>AA79-AC154-AC133</f>
        <v>14775.228538674248</v>
      </c>
      <c r="AD79" s="89">
        <f>AC79-AD154-AD133</f>
        <v>14969.261874443602</v>
      </c>
      <c r="AE79" s="89">
        <f>AD79-AE154-AE133</f>
        <v>15165.233219953412</v>
      </c>
      <c r="AF79" s="89">
        <f>AE79-AF154-AF133</f>
        <v>15345.522771147398</v>
      </c>
      <c r="AG79" s="60">
        <f>AF79</f>
        <v>15345.522771147398</v>
      </c>
      <c r="AH79" s="89">
        <f>AF79-AH154-AH133</f>
        <v>15507.987689233951</v>
      </c>
      <c r="AI79" s="89">
        <f>AH79-AI154-AI133</f>
        <v>15672.647508533713</v>
      </c>
      <c r="AJ79" s="89">
        <f>AI79-AJ154-AJ133</f>
        <v>15839.500792177067</v>
      </c>
      <c r="AK79" s="89">
        <f>AJ79-AK154-AK133</f>
        <v>15990.856065843573</v>
      </c>
      <c r="AL79" s="60">
        <f>AK79</f>
        <v>15990.856065843573</v>
      </c>
    </row>
    <row r="80" spans="2:38" outlineLevel="1" x14ac:dyDescent="0.3">
      <c r="B80" s="304" t="s">
        <v>78</v>
      </c>
      <c r="C80" s="308"/>
      <c r="D80" s="266">
        <v>6223</v>
      </c>
      <c r="E80" s="266">
        <v>6248</v>
      </c>
      <c r="F80" s="266">
        <v>6267</v>
      </c>
      <c r="G80" s="266">
        <v>6247</v>
      </c>
      <c r="H80" s="60">
        <f>G80</f>
        <v>6247</v>
      </c>
      <c r="I80" s="266">
        <v>6327</v>
      </c>
      <c r="J80" s="266">
        <v>6346</v>
      </c>
      <c r="K80" s="266">
        <v>6390</v>
      </c>
      <c r="L80" s="266">
        <v>6430</v>
      </c>
      <c r="M80" s="60">
        <f>L80</f>
        <v>6430</v>
      </c>
      <c r="N80" s="266">
        <v>6479</v>
      </c>
      <c r="O80" s="266">
        <v>6512</v>
      </c>
      <c r="P80" s="266">
        <v>6512</v>
      </c>
      <c r="Q80" s="266">
        <v>6512</v>
      </c>
      <c r="R80" s="60">
        <f>Q80</f>
        <v>6512</v>
      </c>
      <c r="S80" s="60">
        <f t="shared" ref="S80:V80" si="206">R80</f>
        <v>6512</v>
      </c>
      <c r="T80" s="60">
        <f t="shared" si="206"/>
        <v>6512</v>
      </c>
      <c r="U80" s="60">
        <f t="shared" si="206"/>
        <v>6512</v>
      </c>
      <c r="V80" s="60">
        <f t="shared" si="206"/>
        <v>6512</v>
      </c>
      <c r="W80" s="60">
        <f>V80</f>
        <v>6512</v>
      </c>
      <c r="X80" s="60">
        <f t="shared" ref="X80:AA80" si="207">W80</f>
        <v>6512</v>
      </c>
      <c r="Y80" s="60">
        <f t="shared" si="207"/>
        <v>6512</v>
      </c>
      <c r="Z80" s="60">
        <f t="shared" si="207"/>
        <v>6512</v>
      </c>
      <c r="AA80" s="60">
        <f t="shared" si="207"/>
        <v>6512</v>
      </c>
      <c r="AB80" s="60">
        <f>AA80</f>
        <v>6512</v>
      </c>
      <c r="AC80" s="60">
        <f t="shared" ref="AC80:AF80" si="208">AB80</f>
        <v>6512</v>
      </c>
      <c r="AD80" s="60">
        <f t="shared" si="208"/>
        <v>6512</v>
      </c>
      <c r="AE80" s="60">
        <f t="shared" si="208"/>
        <v>6512</v>
      </c>
      <c r="AF80" s="60">
        <f t="shared" si="208"/>
        <v>6512</v>
      </c>
      <c r="AG80" s="60">
        <f>AF80</f>
        <v>6512</v>
      </c>
      <c r="AH80" s="60">
        <f t="shared" ref="AH80:AK80" si="209">AG80</f>
        <v>6512</v>
      </c>
      <c r="AI80" s="60">
        <f t="shared" si="209"/>
        <v>6512</v>
      </c>
      <c r="AJ80" s="60">
        <f t="shared" si="209"/>
        <v>6512</v>
      </c>
      <c r="AK80" s="60">
        <f t="shared" si="209"/>
        <v>6512</v>
      </c>
      <c r="AL80" s="60">
        <f>AK80</f>
        <v>6512</v>
      </c>
    </row>
    <row r="81" spans="2:38" outlineLevel="1" x14ac:dyDescent="0.3">
      <c r="B81" s="304" t="s">
        <v>79</v>
      </c>
      <c r="C81" s="308"/>
      <c r="D81" s="266">
        <v>572</v>
      </c>
      <c r="E81" s="266">
        <v>573</v>
      </c>
      <c r="F81" s="266">
        <v>561</v>
      </c>
      <c r="G81" s="266">
        <v>547</v>
      </c>
      <c r="H81" s="60">
        <f>G81</f>
        <v>547</v>
      </c>
      <c r="I81" s="266">
        <v>597</v>
      </c>
      <c r="J81" s="266">
        <v>553</v>
      </c>
      <c r="K81" s="266">
        <v>554</v>
      </c>
      <c r="L81" s="266">
        <v>572</v>
      </c>
      <c r="M81" s="60">
        <f>L81</f>
        <v>572</v>
      </c>
      <c r="N81" s="266">
        <v>570</v>
      </c>
      <c r="O81" s="266">
        <v>547</v>
      </c>
      <c r="P81" s="89">
        <f>O81-P155-P132</f>
        <v>547</v>
      </c>
      <c r="Q81" s="89">
        <f>P81-Q155-Q132</f>
        <v>547</v>
      </c>
      <c r="R81" s="60">
        <f>Q81</f>
        <v>547</v>
      </c>
      <c r="S81" s="89">
        <f>Q81-S155-S132</f>
        <v>547</v>
      </c>
      <c r="T81" s="89">
        <f>S81-T155-T132</f>
        <v>547</v>
      </c>
      <c r="U81" s="89">
        <f>T81-U155-U132</f>
        <v>547</v>
      </c>
      <c r="V81" s="89">
        <f>U81-V155-V132</f>
        <v>547</v>
      </c>
      <c r="W81" s="60">
        <f>V81</f>
        <v>547</v>
      </c>
      <c r="X81" s="89">
        <f>V81-X155-X132</f>
        <v>434.75</v>
      </c>
      <c r="Y81" s="89">
        <f>X81-Y155-Y132</f>
        <v>322.5</v>
      </c>
      <c r="Z81" s="89">
        <f>Y81-Z155-Z132</f>
        <v>210.25</v>
      </c>
      <c r="AA81" s="89">
        <f>Z81-AA155-AA132</f>
        <v>98</v>
      </c>
      <c r="AB81" s="60">
        <f>AA81</f>
        <v>98</v>
      </c>
      <c r="AC81" s="89">
        <f>AA81-AC155-AC132</f>
        <v>34.25</v>
      </c>
      <c r="AD81" s="89">
        <f>AC81-AD155-AD132</f>
        <v>-29.5</v>
      </c>
      <c r="AE81" s="89">
        <f>AD81-AE155-AE132</f>
        <v>-93.25</v>
      </c>
      <c r="AF81" s="89">
        <f>AE81-AF155-AF132</f>
        <v>-157</v>
      </c>
      <c r="AG81" s="60">
        <f>AF81</f>
        <v>-157</v>
      </c>
      <c r="AH81" s="89">
        <f>AF81-AH155-AH132</f>
        <v>-200.75</v>
      </c>
      <c r="AI81" s="89">
        <f>AH81-AI155-AI132</f>
        <v>-244.5</v>
      </c>
      <c r="AJ81" s="89">
        <f>AI81-AJ155-AJ132</f>
        <v>-288.25</v>
      </c>
      <c r="AK81" s="89">
        <f>AJ81-AK155-AK132</f>
        <v>-332</v>
      </c>
      <c r="AL81" s="60">
        <f>AK81</f>
        <v>-332</v>
      </c>
    </row>
    <row r="82" spans="2:38" ht="16.2" outlineLevel="1" x14ac:dyDescent="0.45">
      <c r="B82" s="304" t="s">
        <v>17</v>
      </c>
      <c r="C82" s="308"/>
      <c r="D82" s="32">
        <v>703</v>
      </c>
      <c r="E82" s="32">
        <v>690</v>
      </c>
      <c r="F82" s="219">
        <v>685</v>
      </c>
      <c r="G82" s="219">
        <v>782</v>
      </c>
      <c r="H82" s="117">
        <f>G82</f>
        <v>782</v>
      </c>
      <c r="I82" s="219">
        <v>1054</v>
      </c>
      <c r="J82" s="219">
        <v>1019</v>
      </c>
      <c r="K82" s="219">
        <v>1157</v>
      </c>
      <c r="L82" s="219">
        <v>1061</v>
      </c>
      <c r="M82" s="117">
        <f>L82</f>
        <v>1061</v>
      </c>
      <c r="N82" s="219">
        <v>1446</v>
      </c>
      <c r="O82" s="32">
        <v>1426</v>
      </c>
      <c r="P82" s="32">
        <f>O82*(K82/J82)</f>
        <v>1619.1187438665359</v>
      </c>
      <c r="Q82" s="32">
        <f>P82*(L82/K82)</f>
        <v>1484.7752698724239</v>
      </c>
      <c r="R82" s="117">
        <f>Q82</f>
        <v>1484.7752698724239</v>
      </c>
      <c r="S82" s="32">
        <f>Q82*(N82/L82)</f>
        <v>2023.5485770363102</v>
      </c>
      <c r="T82" s="32">
        <f>S82*(O82/N82)</f>
        <v>1995.5603532875371</v>
      </c>
      <c r="U82" s="32">
        <f>T82*(P82/O82)</f>
        <v>2265.8128839584697</v>
      </c>
      <c r="V82" s="32">
        <f>U82*(Q82/P82)</f>
        <v>2077.8111234917342</v>
      </c>
      <c r="W82" s="117">
        <f>V82</f>
        <v>2077.8111234917342</v>
      </c>
      <c r="X82" s="32">
        <f>V82*(S82/Q82)</f>
        <v>2831.776517030205</v>
      </c>
      <c r="Y82" s="32">
        <f>X82*(T82/S82)</f>
        <v>2792.609483599635</v>
      </c>
      <c r="Z82" s="32">
        <f>Y82*(U82/T82)</f>
        <v>3170.803898454149</v>
      </c>
      <c r="AA82" s="32">
        <f>Z82*(V82/U82)</f>
        <v>2907.7121315988352</v>
      </c>
      <c r="AB82" s="117">
        <f>AA82</f>
        <v>2907.7121315988352</v>
      </c>
      <c r="AC82" s="32">
        <f>AA82*(X82/V82)</f>
        <v>3962.8197382581675</v>
      </c>
      <c r="AD82" s="32">
        <f>AC82*(Y82/X82)</f>
        <v>3908.0089534966437</v>
      </c>
      <c r="AE82" s="32">
        <f>AD82*(Z82/Y82)</f>
        <v>4437.2584486708702</v>
      </c>
      <c r="AF82" s="32">
        <f>AE82*(AA82/Z82)</f>
        <v>4069.084886810539</v>
      </c>
      <c r="AG82" s="117">
        <f>AF82</f>
        <v>4069.084886810539</v>
      </c>
      <c r="AH82" s="32">
        <f>AF82*(AC82/AA82)</f>
        <v>5545.6142755212441</v>
      </c>
      <c r="AI82" s="32">
        <f>AH82*(AD82/AC82)</f>
        <v>5468.9114501336744</v>
      </c>
      <c r="AJ82" s="32">
        <f>AI82*(AE82/AD82)</f>
        <v>6209.5491146267532</v>
      </c>
      <c r="AK82" s="32">
        <f>AJ82*(AF82/AE82)</f>
        <v>5694.3229132402639</v>
      </c>
      <c r="AL82" s="117">
        <f>AK82</f>
        <v>5694.3229132402639</v>
      </c>
    </row>
    <row r="83" spans="2:38" outlineLevel="1" x14ac:dyDescent="0.3">
      <c r="B83" s="309" t="s">
        <v>11</v>
      </c>
      <c r="C83" s="310"/>
      <c r="D83" s="18">
        <f>SUM(D77:D82)</f>
        <v>20650</v>
      </c>
      <c r="E83" s="18">
        <f>SUM(E77:E82)</f>
        <v>20839</v>
      </c>
      <c r="F83" s="18">
        <f t="shared" ref="F83:V83" si="210">SUM(F77:F82)</f>
        <v>20949</v>
      </c>
      <c r="G83" s="18">
        <f t="shared" si="210"/>
        <v>21829</v>
      </c>
      <c r="H83" s="18">
        <f t="shared" si="210"/>
        <v>21829</v>
      </c>
      <c r="I83" s="18">
        <f t="shared" si="210"/>
        <v>22106</v>
      </c>
      <c r="J83" s="18">
        <f t="shared" si="210"/>
        <v>22014</v>
      </c>
      <c r="K83" s="18">
        <f t="shared" si="210"/>
        <v>22591</v>
      </c>
      <c r="L83" s="18">
        <f t="shared" si="210"/>
        <v>22650</v>
      </c>
      <c r="M83" s="18">
        <f t="shared" si="210"/>
        <v>22650</v>
      </c>
      <c r="N83" s="18">
        <f t="shared" si="210"/>
        <v>23373</v>
      </c>
      <c r="O83" s="18">
        <f t="shared" si="210"/>
        <v>25986</v>
      </c>
      <c r="P83" s="18">
        <f t="shared" ref="P83:Q83" si="211">SUM(P77:P82)</f>
        <v>26813.610342822634</v>
      </c>
      <c r="Q83" s="18">
        <f t="shared" si="211"/>
        <v>27110.169126502191</v>
      </c>
      <c r="R83" s="61">
        <f>SUM(R77:R82)</f>
        <v>27110.169126502191</v>
      </c>
      <c r="S83" s="18">
        <f t="shared" si="210"/>
        <v>26563.456544692905</v>
      </c>
      <c r="T83" s="18">
        <f t="shared" si="210"/>
        <v>27701.953525740042</v>
      </c>
      <c r="U83" s="18">
        <f t="shared" si="210"/>
        <v>28885.235150494729</v>
      </c>
      <c r="V83" s="18">
        <f t="shared" si="210"/>
        <v>29943.433353190838</v>
      </c>
      <c r="W83" s="61">
        <f>SUM(W77:W82)</f>
        <v>29943.433353190838</v>
      </c>
      <c r="X83" s="18">
        <f t="shared" ref="X83" si="212">SUM(X77:X82)</f>
        <v>30548.42994880665</v>
      </c>
      <c r="Y83" s="18">
        <f t="shared" ref="Y83" si="213">SUM(Y77:Y82)</f>
        <v>31759.086066482298</v>
      </c>
      <c r="Z83" s="18">
        <f t="shared" ref="Z83" si="214">SUM(Z77:Z82)</f>
        <v>32959.710295354285</v>
      </c>
      <c r="AA83" s="18">
        <f t="shared" ref="AA83" si="215">SUM(AA77:AA82)</f>
        <v>34291.832128001581</v>
      </c>
      <c r="AB83" s="61">
        <f>SUM(AB77:AB82)</f>
        <v>34291.832128001581</v>
      </c>
      <c r="AC83" s="18">
        <f t="shared" ref="AC83" si="216">SUM(AC77:AC82)</f>
        <v>34599.94194142933</v>
      </c>
      <c r="AD83" s="18">
        <f t="shared" ref="AD83" si="217">SUM(AD77:AD82)</f>
        <v>36275.58734703032</v>
      </c>
      <c r="AE83" s="18">
        <f t="shared" ref="AE83" si="218">SUM(AE77:AE82)</f>
        <v>37148.154837247021</v>
      </c>
      <c r="AF83" s="18">
        <f t="shared" ref="AF83" si="219">SUM(AF77:AF82)</f>
        <v>39121.78418905296</v>
      </c>
      <c r="AG83" s="61">
        <f>SUM(AG77:AG82)</f>
        <v>39121.78418905296</v>
      </c>
      <c r="AH83" s="18">
        <f t="shared" ref="AH83" si="220">SUM(AH77:AH82)</f>
        <v>39009.316149725695</v>
      </c>
      <c r="AI83" s="18">
        <f t="shared" ref="AI83" si="221">SUM(AI77:AI82)</f>
        <v>41360.480351539489</v>
      </c>
      <c r="AJ83" s="18">
        <f t="shared" ref="AJ83" si="222">SUM(AJ77:AJ82)</f>
        <v>41678.347719387522</v>
      </c>
      <c r="AK83" s="18">
        <f t="shared" ref="AK83" si="223">SUM(AK77:AK82)</f>
        <v>45159.273242555406</v>
      </c>
      <c r="AL83" s="61">
        <f>SUM(AL77:AL82)</f>
        <v>45159.273242555399</v>
      </c>
    </row>
    <row r="84" spans="2:38" ht="6.75" customHeight="1" outlineLevel="1" x14ac:dyDescent="0.3">
      <c r="B84" s="321"/>
      <c r="C84" s="322"/>
      <c r="D84" s="89"/>
      <c r="E84" s="89"/>
      <c r="F84" s="218"/>
      <c r="G84" s="218"/>
      <c r="H84" s="60"/>
      <c r="I84" s="218"/>
      <c r="J84" s="218"/>
      <c r="K84" s="218"/>
      <c r="L84" s="218"/>
      <c r="M84" s="60"/>
      <c r="N84" s="218"/>
      <c r="O84" s="89"/>
      <c r="P84" s="89"/>
      <c r="Q84" s="89"/>
      <c r="R84" s="60"/>
      <c r="S84" s="89"/>
      <c r="T84" s="89"/>
      <c r="U84" s="89"/>
      <c r="V84" s="89"/>
      <c r="W84" s="60"/>
      <c r="X84" s="89"/>
      <c r="Y84" s="89"/>
      <c r="Z84" s="89"/>
      <c r="AA84" s="89"/>
      <c r="AB84" s="60"/>
      <c r="AC84" s="89"/>
      <c r="AD84" s="89"/>
      <c r="AE84" s="89"/>
      <c r="AF84" s="89"/>
      <c r="AG84" s="60"/>
      <c r="AH84" s="89"/>
      <c r="AI84" s="89"/>
      <c r="AJ84" s="89"/>
      <c r="AK84" s="89"/>
      <c r="AL84" s="60"/>
    </row>
    <row r="85" spans="2:38" outlineLevel="1" x14ac:dyDescent="0.3">
      <c r="B85" s="319" t="s">
        <v>13</v>
      </c>
      <c r="C85" s="320"/>
      <c r="D85" s="89"/>
      <c r="E85" s="89"/>
      <c r="F85" s="218"/>
      <c r="G85" s="218"/>
      <c r="H85" s="60"/>
      <c r="I85" s="218"/>
      <c r="J85" s="218"/>
      <c r="K85" s="218"/>
      <c r="L85" s="218"/>
      <c r="M85" s="60"/>
      <c r="N85" s="218"/>
      <c r="O85" s="89"/>
      <c r="P85" s="89"/>
      <c r="Q85" s="89"/>
      <c r="R85" s="60"/>
      <c r="S85" s="89"/>
      <c r="T85" s="89"/>
      <c r="U85" s="89"/>
      <c r="V85" s="89"/>
      <c r="W85" s="60"/>
      <c r="X85" s="89"/>
      <c r="Y85" s="89"/>
      <c r="Z85" s="89"/>
      <c r="AA85" s="89"/>
      <c r="AB85" s="60"/>
      <c r="AC85" s="89"/>
      <c r="AD85" s="89"/>
      <c r="AE85" s="89"/>
      <c r="AF85" s="89"/>
      <c r="AG85" s="60"/>
      <c r="AH85" s="89"/>
      <c r="AI85" s="89"/>
      <c r="AJ85" s="89"/>
      <c r="AK85" s="89"/>
      <c r="AL85" s="60"/>
    </row>
    <row r="86" spans="2:38" outlineLevel="1" x14ac:dyDescent="0.3">
      <c r="B86" s="304" t="s">
        <v>80</v>
      </c>
      <c r="C86" s="308"/>
      <c r="D86" s="266">
        <v>720</v>
      </c>
      <c r="E86" s="266">
        <v>808</v>
      </c>
      <c r="F86" s="266">
        <v>789</v>
      </c>
      <c r="G86" s="266">
        <v>1040</v>
      </c>
      <c r="H86" s="60">
        <f>G86</f>
        <v>1040</v>
      </c>
      <c r="I86" s="266">
        <v>791</v>
      </c>
      <c r="J86" s="266">
        <v>829</v>
      </c>
      <c r="K86" s="266">
        <v>940</v>
      </c>
      <c r="L86" s="266">
        <v>1037</v>
      </c>
      <c r="M86" s="60">
        <f>L86</f>
        <v>1037</v>
      </c>
      <c r="N86" s="266">
        <v>899</v>
      </c>
      <c r="O86" s="266">
        <v>908</v>
      </c>
      <c r="P86" s="89">
        <f>(P11/P118*2)-O86</f>
        <v>1013.4899359027741</v>
      </c>
      <c r="Q86" s="89">
        <f>(Q11/Q118*2)-P86</f>
        <v>1182.9966977938475</v>
      </c>
      <c r="R86" s="60">
        <f>Q86</f>
        <v>1182.9966977938475</v>
      </c>
      <c r="S86" s="89">
        <f>(S11/S118*2)-Q86</f>
        <v>1192.9133293593773</v>
      </c>
      <c r="T86" s="89">
        <f>(T11/T118*2)-S86</f>
        <v>1031.1363799884534</v>
      </c>
      <c r="U86" s="89">
        <f>(U11/U118*2)-T86</f>
        <v>1268.4141335759086</v>
      </c>
      <c r="V86" s="89">
        <f>(V11/V118*2)-U86</f>
        <v>1419.6446311641389</v>
      </c>
      <c r="W86" s="60">
        <f>V86</f>
        <v>1419.6446311641389</v>
      </c>
      <c r="X86" s="89">
        <f>(X11/X118*2)-V86</f>
        <v>1221.7082565290852</v>
      </c>
      <c r="Y86" s="89">
        <f>(Y11/Y118*2)-X86</f>
        <v>1257.09129803838</v>
      </c>
      <c r="Z86" s="89">
        <f>(Z11/Z118*2)-Y86</f>
        <v>1240.6832462883453</v>
      </c>
      <c r="AA86" s="89">
        <f>(AA11/AA118*2)-Z86</f>
        <v>1745.8039299092097</v>
      </c>
      <c r="AB86" s="60">
        <f>AA86</f>
        <v>1745.8039299092097</v>
      </c>
      <c r="AC86" s="89">
        <f>(AC11/AC118*2)-AA86</f>
        <v>1190.6477865241582</v>
      </c>
      <c r="AD86" s="89">
        <f>(AD11/AD118*2)-AC86</f>
        <v>1572.0814842733153</v>
      </c>
      <c r="AE86" s="89">
        <f>(AE11/AE118*2)-AD86</f>
        <v>1141.0042416045485</v>
      </c>
      <c r="AF86" s="89">
        <f>(AF11/AF118*2)-AE86</f>
        <v>2177.0428824340429</v>
      </c>
      <c r="AG86" s="60">
        <f>AF86</f>
        <v>2177.0428824340429</v>
      </c>
      <c r="AH86" s="89">
        <f>(AH11/AH118*2)-AF86</f>
        <v>1087.4768729989332</v>
      </c>
      <c r="AI86" s="89">
        <f>(AI11/AI118*2)-AH86</f>
        <v>1991.7043418181697</v>
      </c>
      <c r="AJ86" s="89">
        <f>(AJ11/AJ118*2)-AI86</f>
        <v>955.25264942874219</v>
      </c>
      <c r="AK86" s="89">
        <f>(AK11/AK118*2)-AJ86</f>
        <v>2731.1642235739278</v>
      </c>
      <c r="AL86" s="60">
        <f>AK86</f>
        <v>2731.1642235739278</v>
      </c>
    </row>
    <row r="87" spans="2:38" outlineLevel="1" x14ac:dyDescent="0.3">
      <c r="B87" s="294" t="s">
        <v>81</v>
      </c>
      <c r="C87" s="295"/>
      <c r="D87" s="266">
        <v>963</v>
      </c>
      <c r="E87" s="266">
        <v>1075</v>
      </c>
      <c r="F87" s="266">
        <v>1136</v>
      </c>
      <c r="G87" s="266">
        <v>980</v>
      </c>
      <c r="H87" s="60">
        <f>G87</f>
        <v>980</v>
      </c>
      <c r="I87" s="266">
        <v>1031</v>
      </c>
      <c r="J87" s="266">
        <v>1131</v>
      </c>
      <c r="K87" s="266">
        <v>1171</v>
      </c>
      <c r="L87" s="266">
        <v>1117</v>
      </c>
      <c r="M87" s="60">
        <f>L87</f>
        <v>1117</v>
      </c>
      <c r="N87" s="266">
        <v>1158</v>
      </c>
      <c r="O87" s="266">
        <v>1296</v>
      </c>
      <c r="P87" s="89">
        <f>O87*(K87/J87)</f>
        <v>1341.8355437665782</v>
      </c>
      <c r="Q87" s="89">
        <f>P87*(L87/K87)</f>
        <v>1279.9575596816976</v>
      </c>
      <c r="R87" s="60">
        <f>Q87</f>
        <v>1279.9575596816976</v>
      </c>
      <c r="S87" s="89">
        <f>Q87*(N87/L87)</f>
        <v>1326.9389920424403</v>
      </c>
      <c r="T87" s="89">
        <f>S87*(O87/N87)</f>
        <v>1485.0716180371353</v>
      </c>
      <c r="U87" s="89">
        <f>T87*(P87/O87)</f>
        <v>1537.5940448465831</v>
      </c>
      <c r="V87" s="89">
        <f>U87*(Q87/P87)</f>
        <v>1466.6887686538287</v>
      </c>
      <c r="W87" s="60">
        <f>V87</f>
        <v>1466.6887686538287</v>
      </c>
      <c r="X87" s="89">
        <f>V87*(S87/Q87)</f>
        <v>1520.5242561335126</v>
      </c>
      <c r="Y87" s="89">
        <f>X87*(T87/S87)</f>
        <v>1701.7266286261074</v>
      </c>
      <c r="Z87" s="89">
        <f>Y87*(U87/T87)</f>
        <v>1761.9114784448909</v>
      </c>
      <c r="AA87" s="89">
        <f>Z87*(V87/U87)</f>
        <v>1680.6619311895331</v>
      </c>
      <c r="AB87" s="60">
        <f>AA87</f>
        <v>1680.6619311895331</v>
      </c>
      <c r="AC87" s="89">
        <f>AA87*(X87/V87)</f>
        <v>1742.3514022537863</v>
      </c>
      <c r="AD87" s="89">
        <f>AC87*(Y87/X87)</f>
        <v>1949.9891341285897</v>
      </c>
      <c r="AE87" s="89">
        <f>AD87*(Z87/Y87)</f>
        <v>2018.9542670774347</v>
      </c>
      <c r="AF87" s="89">
        <f>AE87*(AA87/Z87)</f>
        <v>1925.8513375964942</v>
      </c>
      <c r="AG87" s="60">
        <f>AF87</f>
        <v>1925.8513375964942</v>
      </c>
      <c r="AH87" s="89">
        <f>AF87*(AC87/AA87)</f>
        <v>1996.5405988690602</v>
      </c>
      <c r="AI87" s="89">
        <f>AH87*(AD87/AC87)</f>
        <v>2234.470307542575</v>
      </c>
      <c r="AJ87" s="89">
        <f>AI87*(AE87/AD87)</f>
        <v>2313.4966667836916</v>
      </c>
      <c r="AK87" s="89">
        <f>AJ87*(AF87/AE87)</f>
        <v>2206.8110818081841</v>
      </c>
      <c r="AL87" s="60">
        <f>AK87</f>
        <v>2206.8110818081841</v>
      </c>
    </row>
    <row r="88" spans="2:38" outlineLevel="1" x14ac:dyDescent="0.3">
      <c r="B88" s="294" t="s">
        <v>213</v>
      </c>
      <c r="C88" s="295"/>
      <c r="D88" s="266">
        <v>479</v>
      </c>
      <c r="E88" s="266">
        <v>497</v>
      </c>
      <c r="F88" s="266">
        <v>484</v>
      </c>
      <c r="G88" s="266">
        <v>503</v>
      </c>
      <c r="H88" s="60">
        <f>G88</f>
        <v>503</v>
      </c>
      <c r="I88" s="266">
        <v>495</v>
      </c>
      <c r="J88" s="266">
        <v>517</v>
      </c>
      <c r="K88" s="266">
        <v>512</v>
      </c>
      <c r="L88" s="266">
        <v>522</v>
      </c>
      <c r="M88" s="60">
        <f>L88</f>
        <v>522</v>
      </c>
      <c r="N88" s="266">
        <v>512</v>
      </c>
      <c r="O88" s="266">
        <v>526</v>
      </c>
      <c r="P88" s="89">
        <f>(O10+N10+L10+P10)*P121*P122</f>
        <v>547.23334068891279</v>
      </c>
      <c r="Q88" s="89">
        <f>(P10+O10+N10+Q10)*Q121*Q122</f>
        <v>554.32925799449879</v>
      </c>
      <c r="R88" s="60">
        <f>Q88</f>
        <v>554.32925799449879</v>
      </c>
      <c r="S88" s="89">
        <f>(Q10+P10+O10+S10)*S121*S122</f>
        <v>575.59310077433361</v>
      </c>
      <c r="T88" s="89">
        <f>(S10+Q10+P10+T10)*T121*T122</f>
        <v>598.76885095410671</v>
      </c>
      <c r="U88" s="89">
        <f>(T10+S10+Q10+U10)*U121*U122</f>
        <v>617.35817109431434</v>
      </c>
      <c r="V88" s="89">
        <f>(U10+T10+S10+V10)*V121*V122</f>
        <v>640.14634525566157</v>
      </c>
      <c r="W88" s="60">
        <f>V88</f>
        <v>640.14634525566157</v>
      </c>
      <c r="X88" s="89">
        <f>(V10+U10+T10+X10)*X121*X122</f>
        <v>648.18032159125517</v>
      </c>
      <c r="Y88" s="89">
        <f>(X10+V10+U10+Y10)*Y121*Y122</f>
        <v>657.2187172283808</v>
      </c>
      <c r="Z88" s="89">
        <f>(Y10+X10+V10+Z10)*Z121*Z122</f>
        <v>661.72972639089085</v>
      </c>
      <c r="AA88" s="89">
        <f>(Z10+Y10+X10+AA10)*AA121*AA122</f>
        <v>670.38040201485489</v>
      </c>
      <c r="AB88" s="60">
        <f>AA88</f>
        <v>670.38040201485489</v>
      </c>
      <c r="AC88" s="89">
        <f>(AA10+Z10+Y10+AC10)*AC121*AC122</f>
        <v>678.83770094289662</v>
      </c>
      <c r="AD88" s="89">
        <f>(AC10+AA10+Z10+AD10)*AD121*AD122</f>
        <v>688.37648382176747</v>
      </c>
      <c r="AE88" s="89">
        <f>(AD10+AC10+AA10+AE10)*AE121*AE122</f>
        <v>693.01617085597445</v>
      </c>
      <c r="AF88" s="89">
        <f>(AE10+AD10+AC10+AF10)*AF121*AF122</f>
        <v>702.11690901240127</v>
      </c>
      <c r="AG88" s="60">
        <f>AF88</f>
        <v>702.11690901240127</v>
      </c>
      <c r="AH88" s="89">
        <f>(AF10+AE10+AD10+AH10)*AH121*AH122</f>
        <v>711.0198360525726</v>
      </c>
      <c r="AI88" s="89">
        <f>(AH10+AF10+AE10+AI10)*AI121*AI122</f>
        <v>721.08670881000091</v>
      </c>
      <c r="AJ88" s="89">
        <f>(AI10+AH10+AF10+AJ10)*AJ121*AJ122</f>
        <v>725.8587442902857</v>
      </c>
      <c r="AK88" s="89">
        <f>(AJ10+AI10+AH10+AK10)*AK121*AK122</f>
        <v>735.43296006164132</v>
      </c>
      <c r="AL88" s="60">
        <f>AK88</f>
        <v>735.43296006164132</v>
      </c>
    </row>
    <row r="89" spans="2:38" ht="16.2" outlineLevel="1" x14ac:dyDescent="0.45">
      <c r="B89" s="304" t="s">
        <v>119</v>
      </c>
      <c r="C89" s="308"/>
      <c r="D89" s="277">
        <v>396</v>
      </c>
      <c r="E89" s="277">
        <v>390</v>
      </c>
      <c r="F89" s="277">
        <v>850</v>
      </c>
      <c r="G89" s="277">
        <v>739</v>
      </c>
      <c r="H89" s="117">
        <f>G89</f>
        <v>739</v>
      </c>
      <c r="I89" s="277">
        <v>1056</v>
      </c>
      <c r="J89" s="277">
        <v>828</v>
      </c>
      <c r="K89" s="277">
        <v>447</v>
      </c>
      <c r="L89" s="277">
        <v>432</v>
      </c>
      <c r="M89" s="117">
        <f>L89</f>
        <v>432</v>
      </c>
      <c r="N89" s="277">
        <v>1043</v>
      </c>
      <c r="O89" s="277">
        <v>116</v>
      </c>
      <c r="P89" s="32">
        <f>+P103*P124*(P126)</f>
        <v>589.41236048097824</v>
      </c>
      <c r="Q89" s="32">
        <f>+Q103*Q124*(Q126)</f>
        <v>602.99181092137485</v>
      </c>
      <c r="R89" s="117">
        <f>Q89</f>
        <v>602.99181092137485</v>
      </c>
      <c r="S89" s="32">
        <f>+S103*S124*(S126)</f>
        <v>644.6881666031079</v>
      </c>
      <c r="T89" s="32">
        <f>+T103*T124*(T126)</f>
        <v>532.67750440757175</v>
      </c>
      <c r="U89" s="32">
        <f>+U103*U124*(U126)</f>
        <v>657.27564335297268</v>
      </c>
      <c r="V89" s="32">
        <f>+V103*V124*(V126)</f>
        <v>681.5929117912101</v>
      </c>
      <c r="W89" s="117">
        <f>V89</f>
        <v>681.5929117912101</v>
      </c>
      <c r="X89" s="32">
        <f>+X103*X124*(X126)</f>
        <v>683.92471063477126</v>
      </c>
      <c r="Y89" s="32">
        <f>+Y103*Y124*(Y126)</f>
        <v>694.56107951673164</v>
      </c>
      <c r="Z89" s="32">
        <f>+Z103*Z124*(Z126)</f>
        <v>748.61389151565174</v>
      </c>
      <c r="AA89" s="32">
        <f>+AA103*AA124*(AA126)</f>
        <v>773.97052354285483</v>
      </c>
      <c r="AB89" s="117">
        <f>AA89</f>
        <v>773.97052354285483</v>
      </c>
      <c r="AC89" s="32">
        <f>+AC103*AC124*(AC126)</f>
        <v>781.22404974334506</v>
      </c>
      <c r="AD89" s="32">
        <f>+AD103*AD124*(AD126)</f>
        <v>811.44870603247216</v>
      </c>
      <c r="AE89" s="32">
        <f>+AE103*AE124*(AE126)</f>
        <v>851.39873316381158</v>
      </c>
      <c r="AF89" s="32">
        <f>+AF103*AF124*(AF126)</f>
        <v>883.00814962187462</v>
      </c>
      <c r="AG89" s="117">
        <f>AF89</f>
        <v>883.00814962187462</v>
      </c>
      <c r="AH89" s="32">
        <f>+AH103*AH124*(AH126)</f>
        <v>894.29174160286971</v>
      </c>
      <c r="AI89" s="32">
        <f>+AI103*AI124*(AI126)</f>
        <v>929.65527382788218</v>
      </c>
      <c r="AJ89" s="32">
        <f>+AJ103*AJ124*(AJ126)</f>
        <v>967.67710751830907</v>
      </c>
      <c r="AK89" s="32">
        <f>+AK103*AK124*(AK126)</f>
        <v>1024.1793183093359</v>
      </c>
      <c r="AL89" s="117">
        <f>AK89</f>
        <v>1024.1793183093359</v>
      </c>
    </row>
    <row r="90" spans="2:38" outlineLevel="1" x14ac:dyDescent="0.3">
      <c r="B90" s="309" t="s">
        <v>14</v>
      </c>
      <c r="C90" s="310"/>
      <c r="D90" s="18">
        <f t="shared" ref="D90:S90" si="224">SUM(D86:D89)</f>
        <v>2558</v>
      </c>
      <c r="E90" s="18">
        <f t="shared" si="224"/>
        <v>2770</v>
      </c>
      <c r="F90" s="18">
        <f t="shared" si="224"/>
        <v>3259</v>
      </c>
      <c r="G90" s="18">
        <f t="shared" si="224"/>
        <v>3262</v>
      </c>
      <c r="H90" s="18">
        <f t="shared" si="224"/>
        <v>3262</v>
      </c>
      <c r="I90" s="18">
        <f t="shared" si="224"/>
        <v>3373</v>
      </c>
      <c r="J90" s="18">
        <f t="shared" si="224"/>
        <v>3305</v>
      </c>
      <c r="K90" s="18">
        <f t="shared" si="224"/>
        <v>3070</v>
      </c>
      <c r="L90" s="18">
        <f t="shared" si="224"/>
        <v>3108</v>
      </c>
      <c r="M90" s="18">
        <f t="shared" si="224"/>
        <v>3108</v>
      </c>
      <c r="N90" s="18">
        <f t="shared" si="224"/>
        <v>3612</v>
      </c>
      <c r="O90" s="18">
        <f t="shared" si="224"/>
        <v>2846</v>
      </c>
      <c r="P90" s="18">
        <f t="shared" si="224"/>
        <v>3491.9711808392435</v>
      </c>
      <c r="Q90" s="18">
        <f t="shared" si="224"/>
        <v>3620.2753263914187</v>
      </c>
      <c r="R90" s="61">
        <f t="shared" si="224"/>
        <v>3620.2753263914187</v>
      </c>
      <c r="S90" s="18">
        <f t="shared" si="224"/>
        <v>3740.1335887792593</v>
      </c>
      <c r="T90" s="18">
        <f t="shared" ref="T90:U90" si="225">SUM(T86:T89)</f>
        <v>3647.6543533872668</v>
      </c>
      <c r="U90" s="18">
        <f t="shared" si="225"/>
        <v>4080.6419928697787</v>
      </c>
      <c r="V90" s="18">
        <f t="shared" ref="V90:Z90" si="226">SUM(V86:V89)</f>
        <v>4208.0726568648397</v>
      </c>
      <c r="W90" s="61">
        <f t="shared" si="226"/>
        <v>4208.0726568648397</v>
      </c>
      <c r="X90" s="18">
        <f t="shared" si="226"/>
        <v>4074.3375448886241</v>
      </c>
      <c r="Y90" s="18">
        <f t="shared" si="226"/>
        <v>4310.5977234095999</v>
      </c>
      <c r="Z90" s="18">
        <f t="shared" si="226"/>
        <v>4412.938342639779</v>
      </c>
      <c r="AA90" s="18">
        <f t="shared" ref="AA90:AL90" si="227">SUM(AA86:AA89)</f>
        <v>4870.8167866564518</v>
      </c>
      <c r="AB90" s="61">
        <f t="shared" si="227"/>
        <v>4870.8167866564518</v>
      </c>
      <c r="AC90" s="18">
        <f t="shared" si="227"/>
        <v>4393.060939464186</v>
      </c>
      <c r="AD90" s="18">
        <f t="shared" si="227"/>
        <v>5021.8958082561439</v>
      </c>
      <c r="AE90" s="18">
        <f t="shared" si="227"/>
        <v>4704.3734127017697</v>
      </c>
      <c r="AF90" s="18">
        <f t="shared" si="227"/>
        <v>5688.0192786648131</v>
      </c>
      <c r="AG90" s="61">
        <f t="shared" si="227"/>
        <v>5688.0192786648131</v>
      </c>
      <c r="AH90" s="18">
        <f t="shared" si="227"/>
        <v>4689.329049523436</v>
      </c>
      <c r="AI90" s="18">
        <f t="shared" si="227"/>
        <v>5876.916631998628</v>
      </c>
      <c r="AJ90" s="18">
        <f t="shared" si="227"/>
        <v>4962.2851680210288</v>
      </c>
      <c r="AK90" s="18">
        <f t="shared" si="227"/>
        <v>6697.5875837530884</v>
      </c>
      <c r="AL90" s="61">
        <f t="shared" si="227"/>
        <v>6697.5875837530884</v>
      </c>
    </row>
    <row r="91" spans="2:38" outlineLevel="1" x14ac:dyDescent="0.3">
      <c r="B91" s="304" t="s">
        <v>83</v>
      </c>
      <c r="C91" s="308"/>
      <c r="D91" s="89"/>
      <c r="E91" s="89"/>
      <c r="F91" s="218"/>
      <c r="G91" s="218"/>
      <c r="H91" s="60">
        <f>G91</f>
        <v>0</v>
      </c>
      <c r="I91" s="218"/>
      <c r="J91" s="218"/>
      <c r="K91" s="218"/>
      <c r="L91" s="218"/>
      <c r="M91" s="60">
        <f>L91</f>
        <v>0</v>
      </c>
      <c r="N91" s="218"/>
      <c r="O91" s="89"/>
      <c r="P91" s="89"/>
      <c r="Q91" s="89"/>
      <c r="R91" s="60">
        <f>Q91</f>
        <v>0</v>
      </c>
      <c r="S91" s="89"/>
      <c r="T91" s="89"/>
      <c r="U91" s="89"/>
      <c r="V91" s="89"/>
      <c r="W91" s="60">
        <f>V91</f>
        <v>0</v>
      </c>
      <c r="X91" s="89"/>
      <c r="Y91" s="89"/>
      <c r="Z91" s="89"/>
      <c r="AA91" s="89"/>
      <c r="AB91" s="60">
        <f>AA91</f>
        <v>0</v>
      </c>
      <c r="AC91" s="89"/>
      <c r="AD91" s="89"/>
      <c r="AE91" s="89"/>
      <c r="AF91" s="89"/>
      <c r="AG91" s="60">
        <f>AF91</f>
        <v>0</v>
      </c>
      <c r="AH91" s="89"/>
      <c r="AI91" s="89"/>
      <c r="AJ91" s="89"/>
      <c r="AK91" s="89"/>
      <c r="AL91" s="60">
        <f>AK91</f>
        <v>0</v>
      </c>
    </row>
    <row r="92" spans="2:38" ht="15.75" customHeight="1" outlineLevel="1" x14ac:dyDescent="0.3">
      <c r="B92" s="317" t="s">
        <v>84</v>
      </c>
      <c r="C92" s="318"/>
      <c r="D92" s="266">
        <v>8646</v>
      </c>
      <c r="E92" s="266">
        <v>8667</v>
      </c>
      <c r="F92" s="266">
        <v>8495</v>
      </c>
      <c r="G92" s="266">
        <v>8752</v>
      </c>
      <c r="H92" s="60">
        <f>G92</f>
        <v>8752</v>
      </c>
      <c r="I92" s="266">
        <v>8901</v>
      </c>
      <c r="J92" s="266">
        <v>8968</v>
      </c>
      <c r="K92" s="266">
        <v>9569</v>
      </c>
      <c r="L92" s="266">
        <v>9594</v>
      </c>
      <c r="M92" s="60">
        <f>L92</f>
        <v>9594</v>
      </c>
      <c r="N92" s="266">
        <v>9323</v>
      </c>
      <c r="O92" s="266">
        <v>12623</v>
      </c>
      <c r="P92" s="89">
        <f>O92</f>
        <v>12623</v>
      </c>
      <c r="Q92" s="89">
        <f>P92</f>
        <v>12623</v>
      </c>
      <c r="R92" s="60">
        <f>Q92</f>
        <v>12623</v>
      </c>
      <c r="S92" s="89">
        <f>+S103*S124*(1-S126)</f>
        <v>11505.518694530156</v>
      </c>
      <c r="T92" s="89">
        <f>+T103*T124*(1-T126)</f>
        <v>12405.663833249491</v>
      </c>
      <c r="U92" s="89">
        <f>+U103*U124*(1-U126)</f>
        <v>12705.623521898011</v>
      </c>
      <c r="V92" s="89">
        <f>+V103*V124*(1-V126)</f>
        <v>13337.010966586766</v>
      </c>
      <c r="W92" s="60">
        <f>V92</f>
        <v>13337.010966586766</v>
      </c>
      <c r="X92" s="89">
        <f>+X103*X124*(1-X126)</f>
        <v>13561.72308918926</v>
      </c>
      <c r="Y92" s="89">
        <f>+Y103*Y124*(1-Y126)</f>
        <v>14163.38964720711</v>
      </c>
      <c r="Z92" s="89">
        <f>+Z103*Z124*(1-Z126)</f>
        <v>14801.882348781894</v>
      </c>
      <c r="AA92" s="89">
        <f>+AA103*AA124*(1-AA126)</f>
        <v>15391.031998062748</v>
      </c>
      <c r="AB92" s="60">
        <f>AA92</f>
        <v>15391.031998062748</v>
      </c>
      <c r="AC92" s="89">
        <f>+AC103*AC124*(1-AC126)</f>
        <v>15598.667137815348</v>
      </c>
      <c r="AD92" s="89">
        <f>+AD103*AD124*(1-AD126)</f>
        <v>16230.32565356731</v>
      </c>
      <c r="AE92" s="89">
        <f>+AE103*AE124*(1-AE126)</f>
        <v>16948.225792906451</v>
      </c>
      <c r="AF92" s="89">
        <f>+AF103*AF124*(1-AF126)</f>
        <v>17607.261030918926</v>
      </c>
      <c r="AG92" s="60">
        <f>AF92</f>
        <v>17607.261030918926</v>
      </c>
      <c r="AH92" s="89">
        <f>+AH103*AH124*(1-AH126)</f>
        <v>17844.431251303638</v>
      </c>
      <c r="AI92" s="89">
        <f>+AI103*AI124*(1-AI126)</f>
        <v>18546.986486637852</v>
      </c>
      <c r="AJ92" s="89">
        <f>+AJ103*AJ124*(1-AJ126)</f>
        <v>19293.170541949326</v>
      </c>
      <c r="AK92" s="89">
        <f>+AK103*AK124*(1-AK126)</f>
        <v>20427.713726164333</v>
      </c>
      <c r="AL92" s="60">
        <f>AK92</f>
        <v>20427.713726164333</v>
      </c>
    </row>
    <row r="93" spans="2:38" ht="15.75" customHeight="1" outlineLevel="1" x14ac:dyDescent="0.45">
      <c r="B93" s="317" t="s">
        <v>85</v>
      </c>
      <c r="C93" s="318"/>
      <c r="D93" s="32">
        <v>3908</v>
      </c>
      <c r="E93" s="32">
        <v>3895</v>
      </c>
      <c r="F93" s="219">
        <v>3895</v>
      </c>
      <c r="G93" s="219">
        <v>3773</v>
      </c>
      <c r="H93" s="117">
        <f>G93</f>
        <v>3773</v>
      </c>
      <c r="I93" s="219">
        <v>3767</v>
      </c>
      <c r="J93" s="219">
        <v>3685</v>
      </c>
      <c r="K93" s="219">
        <v>3711</v>
      </c>
      <c r="L93" s="219">
        <v>3672</v>
      </c>
      <c r="M93" s="117">
        <f>L93</f>
        <v>3672</v>
      </c>
      <c r="N93" s="219">
        <v>4021</v>
      </c>
      <c r="O93" s="32">
        <v>4050</v>
      </c>
      <c r="P93" s="32">
        <f>O93*(K93/J93)</f>
        <v>4078.5753052917235</v>
      </c>
      <c r="Q93" s="32">
        <f>P93*(L93/K93)</f>
        <v>4035.7123473541387</v>
      </c>
      <c r="R93" s="117">
        <f>Q93</f>
        <v>4035.7123473541387</v>
      </c>
      <c r="S93" s="32">
        <f>R93*(N93/L93)</f>
        <v>4419.2808683853464</v>
      </c>
      <c r="T93" s="32">
        <f>S93*(O93/N93)</f>
        <v>4451.153324287653</v>
      </c>
      <c r="U93" s="32">
        <f>T93*(P93/O93)</f>
        <v>4482.5590193843909</v>
      </c>
      <c r="V93" s="32">
        <f>U93*(Q93/P93)</f>
        <v>4435.4504767392846</v>
      </c>
      <c r="W93" s="117">
        <f>V93</f>
        <v>4435.4504767392846</v>
      </c>
      <c r="X93" s="32">
        <f>W93*(S93/Q93)</f>
        <v>4857.0115378454966</v>
      </c>
      <c r="Y93" s="32">
        <f>X93*(T93/S93)</f>
        <v>4892.0409669918581</v>
      </c>
      <c r="Z93" s="32">
        <f>Y93*(U93/T93)</f>
        <v>4926.5574025798605</v>
      </c>
      <c r="AA93" s="32">
        <f>Z93*(V93/U93)</f>
        <v>4874.7827491978569</v>
      </c>
      <c r="AB93" s="117">
        <f>AA93</f>
        <v>4874.7827491978569</v>
      </c>
      <c r="AC93" s="32">
        <f>AB93*(X93/V93)</f>
        <v>5338.0995192060409</v>
      </c>
      <c r="AD93" s="32">
        <f>AC93*(Y93/X93)</f>
        <v>5376.5986204388128</v>
      </c>
      <c r="AE93" s="32">
        <f>AD93*(Z93/Y93)</f>
        <v>5414.5339159968617</v>
      </c>
      <c r="AF93" s="32">
        <f>AE93*(AA93/Z93)</f>
        <v>5357.6309726597883</v>
      </c>
      <c r="AG93" s="117">
        <f>AF93</f>
        <v>5357.6309726597883</v>
      </c>
      <c r="AH93" s="32">
        <f>AG93*(AC93/AA93)</f>
        <v>5866.8393630351329</v>
      </c>
      <c r="AI93" s="32">
        <f>AH93*(AD93/AC93)</f>
        <v>5909.1518080806491</v>
      </c>
      <c r="AJ93" s="32">
        <f>AI93*(AE93/AD93)</f>
        <v>5950.84460238461</v>
      </c>
      <c r="AK93" s="32">
        <f>AJ93*(AF93/AE93)</f>
        <v>5888.3054109286677</v>
      </c>
      <c r="AL93" s="117">
        <f>AK93</f>
        <v>5888.3054109286677</v>
      </c>
    </row>
    <row r="94" spans="2:38" outlineLevel="1" x14ac:dyDescent="0.3">
      <c r="B94" s="309" t="s">
        <v>18</v>
      </c>
      <c r="C94" s="310"/>
      <c r="D94" s="18">
        <f t="shared" ref="D94:Q94" si="228">SUM(D90:D93)</f>
        <v>15112</v>
      </c>
      <c r="E94" s="18">
        <f t="shared" si="228"/>
        <v>15332</v>
      </c>
      <c r="F94" s="18">
        <f t="shared" si="228"/>
        <v>15649</v>
      </c>
      <c r="G94" s="18">
        <f t="shared" si="228"/>
        <v>15787</v>
      </c>
      <c r="H94" s="18">
        <f t="shared" si="228"/>
        <v>15787</v>
      </c>
      <c r="I94" s="18">
        <f t="shared" si="228"/>
        <v>16041</v>
      </c>
      <c r="J94" s="18">
        <f t="shared" si="228"/>
        <v>15958</v>
      </c>
      <c r="K94" s="18">
        <f t="shared" si="228"/>
        <v>16350</v>
      </c>
      <c r="L94" s="18">
        <f t="shared" si="228"/>
        <v>16374</v>
      </c>
      <c r="M94" s="18">
        <f t="shared" si="228"/>
        <v>16374</v>
      </c>
      <c r="N94" s="18">
        <f t="shared" si="228"/>
        <v>16956</v>
      </c>
      <c r="O94" s="18">
        <f t="shared" si="228"/>
        <v>19519</v>
      </c>
      <c r="P94" s="18">
        <f t="shared" si="228"/>
        <v>20193.546486130967</v>
      </c>
      <c r="Q94" s="18">
        <f t="shared" si="228"/>
        <v>20278.987673745556</v>
      </c>
      <c r="R94" s="61">
        <f>SUM(R90:R93)</f>
        <v>20278.987673745556</v>
      </c>
      <c r="S94" s="18">
        <f t="shared" ref="S94:T94" si="229">SUM(S90:S93)</f>
        <v>19664.93315169476</v>
      </c>
      <c r="T94" s="18">
        <f t="shared" si="229"/>
        <v>20504.47151092441</v>
      </c>
      <c r="U94" s="18">
        <f t="shared" ref="U94:V94" si="230">SUM(U90:U93)</f>
        <v>21268.824534152183</v>
      </c>
      <c r="V94" s="18">
        <f t="shared" si="230"/>
        <v>21980.534100190889</v>
      </c>
      <c r="W94" s="61">
        <f>SUM(W90:W93)</f>
        <v>21980.534100190889</v>
      </c>
      <c r="X94" s="18">
        <f t="shared" ref="X94:AA94" si="231">SUM(X90:X93)</f>
        <v>22493.072171923381</v>
      </c>
      <c r="Y94" s="18">
        <f t="shared" si="231"/>
        <v>23366.028337608568</v>
      </c>
      <c r="Z94" s="18">
        <f t="shared" si="231"/>
        <v>24141.378094001531</v>
      </c>
      <c r="AA94" s="18">
        <f t="shared" si="231"/>
        <v>25136.631533917058</v>
      </c>
      <c r="AB94" s="61">
        <f>SUM(AB90:AB93)</f>
        <v>25136.631533917058</v>
      </c>
      <c r="AC94" s="18">
        <f t="shared" ref="AC94:AF94" si="232">SUM(AC90:AC93)</f>
        <v>25329.827596485575</v>
      </c>
      <c r="AD94" s="18">
        <f t="shared" si="232"/>
        <v>26628.820082262268</v>
      </c>
      <c r="AE94" s="18">
        <f t="shared" si="232"/>
        <v>27067.133121605082</v>
      </c>
      <c r="AF94" s="18">
        <f t="shared" si="232"/>
        <v>28652.911282243527</v>
      </c>
      <c r="AG94" s="61">
        <f>SUM(AG90:AG93)</f>
        <v>28652.911282243527</v>
      </c>
      <c r="AH94" s="18">
        <f t="shared" ref="AH94:AK94" si="233">SUM(AH90:AH93)</f>
        <v>28400.599663862209</v>
      </c>
      <c r="AI94" s="18">
        <f t="shared" si="233"/>
        <v>30333.05492671713</v>
      </c>
      <c r="AJ94" s="18">
        <f t="shared" si="233"/>
        <v>30206.300312354964</v>
      </c>
      <c r="AK94" s="18">
        <f t="shared" si="233"/>
        <v>33013.606720846088</v>
      </c>
      <c r="AL94" s="61">
        <f>SUM(AL90:AL93)</f>
        <v>33013.606720846088</v>
      </c>
    </row>
    <row r="95" spans="2:38" ht="6.75" customHeight="1" outlineLevel="1" x14ac:dyDescent="0.3">
      <c r="B95" s="321"/>
      <c r="C95" s="322"/>
      <c r="D95" s="89"/>
      <c r="E95" s="89"/>
      <c r="F95" s="218"/>
      <c r="G95" s="218"/>
      <c r="H95" s="60"/>
      <c r="I95" s="218"/>
      <c r="J95" s="218"/>
      <c r="K95" s="218"/>
      <c r="L95" s="218"/>
      <c r="M95" s="60"/>
      <c r="N95" s="218"/>
      <c r="O95" s="89"/>
      <c r="P95" s="89"/>
      <c r="Q95" s="89"/>
      <c r="R95" s="60"/>
      <c r="S95" s="89"/>
      <c r="T95" s="89"/>
      <c r="U95" s="89"/>
      <c r="V95" s="89"/>
      <c r="W95" s="60"/>
      <c r="X95" s="89"/>
      <c r="Y95" s="89"/>
      <c r="Z95" s="89"/>
      <c r="AA95" s="89"/>
      <c r="AB95" s="60"/>
      <c r="AC95" s="89"/>
      <c r="AD95" s="89"/>
      <c r="AE95" s="89"/>
      <c r="AF95" s="89"/>
      <c r="AG95" s="60"/>
      <c r="AH95" s="89"/>
      <c r="AI95" s="89"/>
      <c r="AJ95" s="89"/>
      <c r="AK95" s="89"/>
      <c r="AL95" s="60"/>
    </row>
    <row r="96" spans="2:38" ht="14.25" customHeight="1" outlineLevel="1" x14ac:dyDescent="0.3">
      <c r="B96" s="294" t="s">
        <v>86</v>
      </c>
      <c r="C96" s="295"/>
      <c r="D96" s="89">
        <v>0</v>
      </c>
      <c r="E96" s="89">
        <v>0</v>
      </c>
      <c r="F96" s="218">
        <v>0</v>
      </c>
      <c r="G96" s="218">
        <v>0</v>
      </c>
      <c r="H96" s="60">
        <f t="shared" ref="H96:M96" si="234">G96</f>
        <v>0</v>
      </c>
      <c r="I96" s="89">
        <v>0</v>
      </c>
      <c r="J96" s="89">
        <v>0</v>
      </c>
      <c r="K96" s="218">
        <v>0</v>
      </c>
      <c r="L96" s="218">
        <v>0</v>
      </c>
      <c r="M96" s="60">
        <f t="shared" si="234"/>
        <v>0</v>
      </c>
      <c r="N96" s="89">
        <v>0</v>
      </c>
      <c r="O96" s="89">
        <v>0</v>
      </c>
      <c r="P96" s="89">
        <f t="shared" ref="P96" si="235">O96</f>
        <v>0</v>
      </c>
      <c r="Q96" s="89">
        <f t="shared" ref="Q96" si="236">P96</f>
        <v>0</v>
      </c>
      <c r="R96" s="60">
        <f t="shared" ref="R96:W96" si="237">Q96</f>
        <v>0</v>
      </c>
      <c r="S96" s="89">
        <f t="shared" si="237"/>
        <v>0</v>
      </c>
      <c r="T96" s="89">
        <f t="shared" si="237"/>
        <v>0</v>
      </c>
      <c r="U96" s="89">
        <f t="shared" si="237"/>
        <v>0</v>
      </c>
      <c r="V96" s="89">
        <f t="shared" si="237"/>
        <v>0</v>
      </c>
      <c r="W96" s="60">
        <f t="shared" si="237"/>
        <v>0</v>
      </c>
      <c r="X96" s="89">
        <f t="shared" ref="X96" si="238">W96</f>
        <v>0</v>
      </c>
      <c r="Y96" s="89">
        <f t="shared" ref="Y96" si="239">X96</f>
        <v>0</v>
      </c>
      <c r="Z96" s="89">
        <f t="shared" ref="Z96" si="240">Y96</f>
        <v>0</v>
      </c>
      <c r="AA96" s="89">
        <f t="shared" ref="AA96" si="241">Z96</f>
        <v>0</v>
      </c>
      <c r="AB96" s="60">
        <f t="shared" ref="AB96" si="242">AA96</f>
        <v>0</v>
      </c>
      <c r="AC96" s="89">
        <f t="shared" ref="AC96" si="243">AB96</f>
        <v>0</v>
      </c>
      <c r="AD96" s="89">
        <f t="shared" ref="AD96" si="244">AC96</f>
        <v>0</v>
      </c>
      <c r="AE96" s="89">
        <f t="shared" ref="AE96" si="245">AD96</f>
        <v>0</v>
      </c>
      <c r="AF96" s="89">
        <f t="shared" ref="AF96" si="246">AE96</f>
        <v>0</v>
      </c>
      <c r="AG96" s="60">
        <f t="shared" ref="AG96" si="247">AF96</f>
        <v>0</v>
      </c>
      <c r="AH96" s="89">
        <f t="shared" ref="AH96" si="248">AG96</f>
        <v>0</v>
      </c>
      <c r="AI96" s="89">
        <f t="shared" ref="AI96" si="249">AH96</f>
        <v>0</v>
      </c>
      <c r="AJ96" s="89">
        <f t="shared" ref="AJ96" si="250">AI96</f>
        <v>0</v>
      </c>
      <c r="AK96" s="89">
        <f t="shared" ref="AK96" si="251">AJ96</f>
        <v>0</v>
      </c>
      <c r="AL96" s="60">
        <f t="shared" ref="AL96" si="252">AK96</f>
        <v>0</v>
      </c>
    </row>
    <row r="97" spans="2:38" outlineLevel="1" x14ac:dyDescent="0.3">
      <c r="B97" s="319" t="s">
        <v>19</v>
      </c>
      <c r="C97" s="320"/>
      <c r="D97" s="89"/>
      <c r="E97" s="89"/>
      <c r="F97" s="218"/>
      <c r="G97" s="218"/>
      <c r="H97" s="60"/>
      <c r="I97" s="218"/>
      <c r="J97" s="218"/>
      <c r="K97" s="218"/>
      <c r="L97" s="218"/>
      <c r="M97" s="60"/>
      <c r="N97" s="218"/>
      <c r="O97" s="89"/>
      <c r="P97" s="89"/>
      <c r="Q97" s="89"/>
      <c r="R97" s="60"/>
      <c r="S97" s="89"/>
      <c r="T97" s="89"/>
      <c r="U97" s="89"/>
      <c r="V97" s="89"/>
      <c r="W97" s="60"/>
      <c r="X97" s="89"/>
      <c r="Y97" s="89"/>
      <c r="Z97" s="89"/>
      <c r="AA97" s="89"/>
      <c r="AB97" s="60"/>
      <c r="AC97" s="89"/>
      <c r="AD97" s="89"/>
      <c r="AE97" s="89"/>
      <c r="AF97" s="89"/>
      <c r="AG97" s="60"/>
      <c r="AH97" s="89"/>
      <c r="AI97" s="89"/>
      <c r="AJ97" s="89"/>
      <c r="AK97" s="89"/>
      <c r="AL97" s="60"/>
    </row>
    <row r="98" spans="2:38" outlineLevel="1" x14ac:dyDescent="0.3">
      <c r="B98" s="294" t="s">
        <v>20</v>
      </c>
      <c r="C98" s="295"/>
      <c r="D98" s="266">
        <v>6</v>
      </c>
      <c r="E98" s="266">
        <v>6</v>
      </c>
      <c r="F98" s="266">
        <v>6</v>
      </c>
      <c r="G98" s="266">
        <v>6</v>
      </c>
      <c r="H98" s="60">
        <f>G98</f>
        <v>6</v>
      </c>
      <c r="I98" s="266">
        <v>6</v>
      </c>
      <c r="J98" s="266">
        <v>6</v>
      </c>
      <c r="K98" s="266">
        <v>6</v>
      </c>
      <c r="L98" s="266">
        <v>6</v>
      </c>
      <c r="M98" s="60">
        <f>L98</f>
        <v>6</v>
      </c>
      <c r="N98" s="266">
        <v>6</v>
      </c>
      <c r="O98" s="266">
        <v>6</v>
      </c>
      <c r="P98" s="89">
        <f>O98+P135+P161+P162</f>
        <v>50.992422431560399</v>
      </c>
      <c r="Q98" s="89">
        <f>P98+Q135+Q161+Q162</f>
        <v>85.108988732227019</v>
      </c>
      <c r="R98" s="60">
        <f>Q98</f>
        <v>85.108988732227019</v>
      </c>
      <c r="S98" s="89">
        <f>Q98+S135+S161+S162</f>
        <v>77.473466089105401</v>
      </c>
      <c r="T98" s="89">
        <f>S98+T135+T161+T162</f>
        <v>180.94732183684891</v>
      </c>
      <c r="U98" s="89">
        <f>T98+U135+U161+U162</f>
        <v>397.36986940346219</v>
      </c>
      <c r="V98" s="89">
        <f>U98+V135+V161+V162</f>
        <v>439.69509838639436</v>
      </c>
      <c r="W98" s="60">
        <f>V98</f>
        <v>439.69509838639436</v>
      </c>
      <c r="X98" s="89">
        <f>V98+X135+X161+X162</f>
        <v>431.65724828984708</v>
      </c>
      <c r="Y98" s="89">
        <f>X98+Y135+Y161+Y162</f>
        <v>540.85966465267029</v>
      </c>
      <c r="Z98" s="89">
        <f>Y98+Z135+Z161+Z162</f>
        <v>763.4557294534228</v>
      </c>
      <c r="AA98" s="89">
        <f>Z98+AA135+AA161+AA162</f>
        <v>766.57014049888471</v>
      </c>
      <c r="AB98" s="60">
        <f>AA98</f>
        <v>766.57014049888471</v>
      </c>
      <c r="AC98" s="89">
        <f>AA98+AC135+AC161+AC162</f>
        <v>758.10876369545576</v>
      </c>
      <c r="AD98" s="89">
        <f>AC98+AD135+AD161+AD162</f>
        <v>873.35688751671819</v>
      </c>
      <c r="AE98" s="89">
        <f>AD98+AE135+AE161+AE162</f>
        <v>1102.3025709581811</v>
      </c>
      <c r="AF98" s="89">
        <f>AE98+AF135+AF161+AF162</f>
        <v>1121.8303042641312</v>
      </c>
      <c r="AG98" s="60">
        <f>AF98</f>
        <v>1121.8303042641312</v>
      </c>
      <c r="AH98" s="89">
        <f>AF98+AH135+AH161+AH162</f>
        <v>1112.9230844790347</v>
      </c>
      <c r="AI98" s="89">
        <f>AH98+AI135+AI161+AI162</f>
        <v>1234.5516206113432</v>
      </c>
      <c r="AJ98" s="89">
        <f>AI98+AJ135+AJ161+AJ162</f>
        <v>1470.0280474448393</v>
      </c>
      <c r="AK98" s="89">
        <f>AJ98+AK135+AK161+AK162</f>
        <v>1737.3546823666081</v>
      </c>
      <c r="AL98" s="60">
        <f>AK98</f>
        <v>1737.3546823666081</v>
      </c>
    </row>
    <row r="99" spans="2:38" outlineLevel="1" x14ac:dyDescent="0.3">
      <c r="B99" s="317" t="s">
        <v>87</v>
      </c>
      <c r="C99" s="318"/>
      <c r="D99" s="89">
        <v>7497</v>
      </c>
      <c r="E99" s="89">
        <v>7671</v>
      </c>
      <c r="F99" s="218">
        <v>7871</v>
      </c>
      <c r="G99" s="218">
        <v>8588</v>
      </c>
      <c r="H99" s="60">
        <f>G99</f>
        <v>8588</v>
      </c>
      <c r="I99" s="218">
        <v>8867</v>
      </c>
      <c r="J99" s="218">
        <v>9166</v>
      </c>
      <c r="K99" s="218">
        <v>9464</v>
      </c>
      <c r="L99" s="218">
        <v>9797</v>
      </c>
      <c r="M99" s="60">
        <f>L99</f>
        <v>9797</v>
      </c>
      <c r="N99" s="218">
        <v>9924</v>
      </c>
      <c r="O99" s="89">
        <v>10088</v>
      </c>
      <c r="P99" s="89">
        <f>O99+P131+P163+P164</f>
        <v>10197.071434260106</v>
      </c>
      <c r="Q99" s="89">
        <f>P99+Q131+Q163+Q164</f>
        <v>10374.072464024403</v>
      </c>
      <c r="R99" s="60">
        <f>Q99</f>
        <v>10374.072464024403</v>
      </c>
      <c r="S99" s="89">
        <f>Q99+S131+S163+S164</f>
        <v>10449.04992690904</v>
      </c>
      <c r="T99" s="89">
        <f>S99+T131+T163+T164</f>
        <v>10644.534692978779</v>
      </c>
      <c r="U99" s="89">
        <f>T99+U131+U163+U164</f>
        <v>10847.040746939085</v>
      </c>
      <c r="V99" s="89">
        <f>U99+V131+V163+V164</f>
        <v>11151.204154613555</v>
      </c>
      <c r="W99" s="60">
        <f>V99</f>
        <v>11151.204154613555</v>
      </c>
      <c r="X99" s="89">
        <f>V99+X131+X163+X164</f>
        <v>11251.700528593423</v>
      </c>
      <c r="Y99" s="89">
        <f>X99+Y131+Y163+Y164</f>
        <v>11480.198064221064</v>
      </c>
      <c r="Z99" s="89">
        <f>Y99+Z131+Z163+Z164</f>
        <v>11682.876471899332</v>
      </c>
      <c r="AA99" s="89">
        <f>Z99+AA131+AA163+AA164</f>
        <v>12016.630453585643</v>
      </c>
      <c r="AB99" s="60">
        <f>AA99</f>
        <v>12016.630453585643</v>
      </c>
      <c r="AC99" s="89">
        <f>AA99+AC131+AC163+AC164</f>
        <v>12140.005581248302</v>
      </c>
      <c r="AD99" s="89">
        <f>AC99+AD131+AD163+AD164</f>
        <v>12401.410377251334</v>
      </c>
      <c r="AE99" s="89">
        <f>AD99+AE131+AE163+AE164</f>
        <v>12606.719144683757</v>
      </c>
      <c r="AF99" s="89">
        <f>AE99+AF131+AF163+AF164</f>
        <v>12975.042602545303</v>
      </c>
      <c r="AG99" s="60">
        <f>AF99</f>
        <v>12975.042602545303</v>
      </c>
      <c r="AH99" s="89">
        <f>AF99+AH131+AH163+AH164</f>
        <v>13123.793401384461</v>
      </c>
      <c r="AI99" s="89">
        <f>AH99+AI131+AI163+AI164</f>
        <v>13420.873804211024</v>
      </c>
      <c r="AJ99" s="89">
        <f>AI99+AJ131+AJ163+AJ164</f>
        <v>13630.019359587721</v>
      </c>
      <c r="AK99" s="89">
        <f>AJ99+AK131+AK163+AK164</f>
        <v>14036.311839342712</v>
      </c>
      <c r="AL99" s="60">
        <f>AK99</f>
        <v>14036.311839342712</v>
      </c>
    </row>
    <row r="100" spans="2:38" ht="16.2" outlineLevel="1" x14ac:dyDescent="0.45">
      <c r="B100" s="326" t="s">
        <v>21</v>
      </c>
      <c r="C100" s="327"/>
      <c r="D100" s="266">
        <v>-66</v>
      </c>
      <c r="E100" s="266">
        <v>-33</v>
      </c>
      <c r="F100" s="266">
        <v>14</v>
      </c>
      <c r="G100" s="266">
        <v>8</v>
      </c>
      <c r="H100" s="117">
        <f>G100</f>
        <v>8</v>
      </c>
      <c r="I100" s="266">
        <v>-28</v>
      </c>
      <c r="J100" s="266">
        <v>-49</v>
      </c>
      <c r="K100" s="266">
        <v>-16</v>
      </c>
      <c r="L100" s="266">
        <v>-87</v>
      </c>
      <c r="M100" s="117">
        <f>L100</f>
        <v>-87</v>
      </c>
      <c r="N100" s="266">
        <v>-53</v>
      </c>
      <c r="O100" s="266">
        <v>-22</v>
      </c>
      <c r="P100" s="32">
        <f>O100</f>
        <v>-22</v>
      </c>
      <c r="Q100" s="32">
        <f>P100</f>
        <v>-22</v>
      </c>
      <c r="R100" s="117">
        <f>Q100</f>
        <v>-22</v>
      </c>
      <c r="S100" s="32">
        <f>Q100</f>
        <v>-22</v>
      </c>
      <c r="T100" s="32">
        <f>S100</f>
        <v>-22</v>
      </c>
      <c r="U100" s="32">
        <f>T100</f>
        <v>-22</v>
      </c>
      <c r="V100" s="32">
        <f>U100</f>
        <v>-22</v>
      </c>
      <c r="W100" s="117">
        <f>V100</f>
        <v>-22</v>
      </c>
      <c r="X100" s="32">
        <f>V100</f>
        <v>-22</v>
      </c>
      <c r="Y100" s="32">
        <f>X100</f>
        <v>-22</v>
      </c>
      <c r="Z100" s="32">
        <f>Y100</f>
        <v>-22</v>
      </c>
      <c r="AA100" s="32">
        <f>Z100</f>
        <v>-22</v>
      </c>
      <c r="AB100" s="117">
        <f>AA100</f>
        <v>-22</v>
      </c>
      <c r="AC100" s="32">
        <f>AA100</f>
        <v>-22</v>
      </c>
      <c r="AD100" s="32">
        <f>AC100</f>
        <v>-22</v>
      </c>
      <c r="AE100" s="32">
        <f>AD100</f>
        <v>-22</v>
      </c>
      <c r="AF100" s="32">
        <f>AE100</f>
        <v>-22</v>
      </c>
      <c r="AG100" s="117">
        <f>AF100</f>
        <v>-22</v>
      </c>
      <c r="AH100" s="32">
        <f>AF100</f>
        <v>-22</v>
      </c>
      <c r="AI100" s="32">
        <f>AH100</f>
        <v>-22</v>
      </c>
      <c r="AJ100" s="32">
        <f>AI100</f>
        <v>-22</v>
      </c>
      <c r="AK100" s="32">
        <f>AJ100</f>
        <v>-22</v>
      </c>
      <c r="AL100" s="117">
        <f>AK100</f>
        <v>-22</v>
      </c>
    </row>
    <row r="101" spans="2:38" s="94" customFormat="1" outlineLevel="1" x14ac:dyDescent="0.3">
      <c r="B101" s="251" t="s">
        <v>268</v>
      </c>
      <c r="C101" s="252"/>
      <c r="D101" s="266">
        <v>4885</v>
      </c>
      <c r="E101" s="266">
        <v>4828</v>
      </c>
      <c r="F101" s="266">
        <v>4806</v>
      </c>
      <c r="G101" s="266">
        <v>4933</v>
      </c>
      <c r="H101" s="3">
        <f>G101</f>
        <v>4933</v>
      </c>
      <c r="I101" s="266">
        <v>4916</v>
      </c>
      <c r="J101" s="266">
        <v>4935</v>
      </c>
      <c r="K101" s="266">
        <v>4927</v>
      </c>
      <c r="L101" s="266">
        <v>4993</v>
      </c>
      <c r="M101" s="3">
        <f>L101</f>
        <v>4993</v>
      </c>
      <c r="N101" s="266">
        <v>4978</v>
      </c>
      <c r="O101" s="266">
        <v>4962</v>
      </c>
      <c r="P101" s="266">
        <v>4962</v>
      </c>
      <c r="Q101" s="266">
        <v>4962</v>
      </c>
      <c r="R101" s="266">
        <v>4962</v>
      </c>
      <c r="S101" s="266">
        <v>4962</v>
      </c>
      <c r="T101" s="266">
        <v>4962</v>
      </c>
      <c r="U101" s="266">
        <v>4962</v>
      </c>
      <c r="V101" s="266">
        <v>4962</v>
      </c>
      <c r="W101" s="266">
        <v>4962</v>
      </c>
      <c r="X101" s="266">
        <v>4962</v>
      </c>
      <c r="Y101" s="266">
        <v>4962</v>
      </c>
      <c r="Z101" s="266">
        <v>4962</v>
      </c>
      <c r="AA101" s="266">
        <v>4962</v>
      </c>
      <c r="AB101" s="266">
        <v>4962</v>
      </c>
      <c r="AC101" s="266">
        <v>4962</v>
      </c>
      <c r="AD101" s="266">
        <v>4962</v>
      </c>
      <c r="AE101" s="266">
        <v>4962</v>
      </c>
      <c r="AF101" s="266">
        <v>4962</v>
      </c>
      <c r="AG101" s="266">
        <v>4962</v>
      </c>
      <c r="AH101" s="266">
        <v>4962</v>
      </c>
      <c r="AI101" s="266">
        <v>4962</v>
      </c>
      <c r="AJ101" s="266">
        <v>4962</v>
      </c>
      <c r="AK101" s="266">
        <v>4962</v>
      </c>
      <c r="AL101" s="266">
        <v>4962</v>
      </c>
    </row>
    <row r="102" spans="2:38" s="94" customFormat="1" ht="16.2" outlineLevel="1" x14ac:dyDescent="0.45">
      <c r="B102" s="251" t="s">
        <v>269</v>
      </c>
      <c r="C102" s="252"/>
      <c r="D102" s="277">
        <v>-6805</v>
      </c>
      <c r="E102" s="277">
        <v>-6986</v>
      </c>
      <c r="F102" s="277">
        <v>-7419</v>
      </c>
      <c r="G102" s="277">
        <v>-7516</v>
      </c>
      <c r="H102" s="267">
        <f>G102</f>
        <v>-7516</v>
      </c>
      <c r="I102" s="277">
        <v>-7717</v>
      </c>
      <c r="J102" s="277">
        <v>-8004</v>
      </c>
      <c r="K102" s="277">
        <v>-8142</v>
      </c>
      <c r="L102" s="277">
        <v>-8434</v>
      </c>
      <c r="M102" s="267">
        <f>L102</f>
        <v>-8434</v>
      </c>
      <c r="N102" s="277">
        <v>-8440</v>
      </c>
      <c r="O102" s="277">
        <v>-8568</v>
      </c>
      <c r="P102" s="277">
        <v>-8568</v>
      </c>
      <c r="Q102" s="277">
        <v>-8568</v>
      </c>
      <c r="R102" s="277">
        <v>-8568</v>
      </c>
      <c r="S102" s="277">
        <v>-8568</v>
      </c>
      <c r="T102" s="277">
        <v>-8568</v>
      </c>
      <c r="U102" s="277">
        <v>-8568</v>
      </c>
      <c r="V102" s="277">
        <v>-8568</v>
      </c>
      <c r="W102" s="277">
        <v>-8568</v>
      </c>
      <c r="X102" s="277">
        <v>-8568</v>
      </c>
      <c r="Y102" s="277">
        <v>-8568</v>
      </c>
      <c r="Z102" s="277">
        <v>-8568</v>
      </c>
      <c r="AA102" s="277">
        <v>-8568</v>
      </c>
      <c r="AB102" s="277">
        <v>-8568</v>
      </c>
      <c r="AC102" s="277">
        <v>-8568</v>
      </c>
      <c r="AD102" s="277">
        <v>-8568</v>
      </c>
      <c r="AE102" s="277">
        <v>-8568</v>
      </c>
      <c r="AF102" s="277">
        <v>-8568</v>
      </c>
      <c r="AG102" s="277">
        <v>-8568</v>
      </c>
      <c r="AH102" s="277">
        <v>-8568</v>
      </c>
      <c r="AI102" s="277">
        <v>-8568</v>
      </c>
      <c r="AJ102" s="277">
        <v>-8568</v>
      </c>
      <c r="AK102" s="277">
        <v>-8568</v>
      </c>
      <c r="AL102" s="277">
        <v>-8568</v>
      </c>
    </row>
    <row r="103" spans="2:38" outlineLevel="1" x14ac:dyDescent="0.3">
      <c r="B103" s="309" t="s">
        <v>88</v>
      </c>
      <c r="C103" s="310"/>
      <c r="D103" s="50">
        <f t="shared" ref="D103:P103" si="253">SUM(D98:D102)</f>
        <v>5517</v>
      </c>
      <c r="E103" s="50">
        <f t="shared" si="253"/>
        <v>5486</v>
      </c>
      <c r="F103" s="50">
        <f t="shared" si="253"/>
        <v>5278</v>
      </c>
      <c r="G103" s="50">
        <f t="shared" si="253"/>
        <v>6019</v>
      </c>
      <c r="H103" s="50">
        <f t="shared" si="253"/>
        <v>6019</v>
      </c>
      <c r="I103" s="50">
        <f t="shared" si="253"/>
        <v>6044</v>
      </c>
      <c r="J103" s="50">
        <f t="shared" si="253"/>
        <v>6054</v>
      </c>
      <c r="K103" s="50">
        <f t="shared" si="253"/>
        <v>6239</v>
      </c>
      <c r="L103" s="50">
        <f t="shared" si="253"/>
        <v>6275</v>
      </c>
      <c r="M103" s="50">
        <f t="shared" si="253"/>
        <v>6275</v>
      </c>
      <c r="N103" s="50">
        <f t="shared" si="253"/>
        <v>6415</v>
      </c>
      <c r="O103" s="50">
        <f t="shared" si="253"/>
        <v>6466</v>
      </c>
      <c r="P103" s="50">
        <f t="shared" si="253"/>
        <v>6620.0638566916659</v>
      </c>
      <c r="Q103" s="50">
        <f t="shared" ref="Q103:R103" si="254">SUM(Q98:Q102)</f>
        <v>6831.1814527566294</v>
      </c>
      <c r="R103" s="50">
        <f t="shared" si="254"/>
        <v>6831.1814527566294</v>
      </c>
      <c r="S103" s="50">
        <f t="shared" ref="S103" si="255">SUM(S98:S102)</f>
        <v>6898.5233929981459</v>
      </c>
      <c r="T103" s="50">
        <f t="shared" ref="T103" si="256">SUM(T98:T102)</f>
        <v>7197.4820148156286</v>
      </c>
      <c r="U103" s="50">
        <f t="shared" ref="U103" si="257">SUM(U98:U102)</f>
        <v>7616.4106163425477</v>
      </c>
      <c r="V103" s="50">
        <f t="shared" ref="V103" si="258">SUM(V98:V102)</f>
        <v>7962.8992529999487</v>
      </c>
      <c r="W103" s="50">
        <f t="shared" ref="W103" si="259">SUM(W98:W102)</f>
        <v>7962.8992529999487</v>
      </c>
      <c r="X103" s="50">
        <f t="shared" ref="X103" si="260">SUM(X98:X102)</f>
        <v>8055.3577768832693</v>
      </c>
      <c r="Y103" s="50">
        <f t="shared" ref="Y103" si="261">SUM(Y98:Y102)</f>
        <v>8393.0577288737331</v>
      </c>
      <c r="Z103" s="50">
        <f t="shared" ref="Z103" si="262">SUM(Z98:Z102)</f>
        <v>8818.3322013527541</v>
      </c>
      <c r="AA103" s="50">
        <f t="shared" ref="AA103" si="263">SUM(AA98:AA102)</f>
        <v>9155.2005940845265</v>
      </c>
      <c r="AB103" s="50">
        <f t="shared" ref="AB103" si="264">SUM(AB98:AB102)</f>
        <v>9155.2005940845265</v>
      </c>
      <c r="AC103" s="50">
        <f t="shared" ref="AC103" si="265">SUM(AC98:AC102)</f>
        <v>9270.1143449437586</v>
      </c>
      <c r="AD103" s="50">
        <f t="shared" ref="AD103" si="266">SUM(AD98:AD102)</f>
        <v>9646.767264768052</v>
      </c>
      <c r="AE103" s="50">
        <f t="shared" ref="AE103" si="267">SUM(AE98:AE102)</f>
        <v>10081.021715641938</v>
      </c>
      <c r="AF103" s="50">
        <f t="shared" ref="AF103" si="268">SUM(AF98:AF102)</f>
        <v>10468.872906809433</v>
      </c>
      <c r="AG103" s="50">
        <f t="shared" ref="AG103" si="269">SUM(AG98:AG102)</f>
        <v>10468.872906809433</v>
      </c>
      <c r="AH103" s="50">
        <f t="shared" ref="AH103" si="270">SUM(AH98:AH102)</f>
        <v>10608.716485863493</v>
      </c>
      <c r="AI103" s="50">
        <f t="shared" ref="AI103" si="271">SUM(AI98:AI102)</f>
        <v>11027.425424822366</v>
      </c>
      <c r="AJ103" s="50">
        <f t="shared" ref="AJ103" si="272">SUM(AJ98:AJ102)</f>
        <v>11472.047407032558</v>
      </c>
      <c r="AK103" s="50">
        <f t="shared" ref="AK103" si="273">SUM(AK98:AK102)</f>
        <v>12145.666521709318</v>
      </c>
      <c r="AL103" s="50">
        <f t="shared" ref="AL103" si="274">SUM(AL98:AL102)</f>
        <v>12145.666521709318</v>
      </c>
    </row>
    <row r="104" spans="2:38" s="94" customFormat="1" outlineLevel="1" x14ac:dyDescent="0.3">
      <c r="B104" s="245" t="s">
        <v>273</v>
      </c>
      <c r="C104" s="247"/>
      <c r="D104" s="266">
        <v>21</v>
      </c>
      <c r="E104" s="266">
        <v>21</v>
      </c>
      <c r="F104" s="266">
        <v>22</v>
      </c>
      <c r="G104" s="266">
        <v>23</v>
      </c>
      <c r="H104" s="3">
        <f>G104</f>
        <v>23</v>
      </c>
      <c r="I104" s="266">
        <v>21</v>
      </c>
      <c r="J104" s="266">
        <v>2</v>
      </c>
      <c r="K104" s="266">
        <v>2</v>
      </c>
      <c r="L104" s="266">
        <v>1</v>
      </c>
      <c r="M104" s="3">
        <f>L104</f>
        <v>1</v>
      </c>
      <c r="N104" s="266">
        <v>2</v>
      </c>
      <c r="O104" s="266">
        <v>1</v>
      </c>
      <c r="P104" s="266">
        <v>1</v>
      </c>
      <c r="Q104" s="266">
        <v>1</v>
      </c>
      <c r="R104" s="266">
        <v>1</v>
      </c>
      <c r="S104" s="266">
        <v>1</v>
      </c>
      <c r="T104" s="266">
        <v>1</v>
      </c>
      <c r="U104" s="266">
        <v>1</v>
      </c>
      <c r="V104" s="266">
        <v>1</v>
      </c>
      <c r="W104" s="266">
        <v>1</v>
      </c>
      <c r="X104" s="266">
        <v>1</v>
      </c>
      <c r="Y104" s="266">
        <v>1</v>
      </c>
      <c r="Z104" s="266">
        <v>1</v>
      </c>
      <c r="AA104" s="266">
        <v>1</v>
      </c>
      <c r="AB104" s="266">
        <v>1</v>
      </c>
      <c r="AC104" s="266">
        <v>1</v>
      </c>
      <c r="AD104" s="266">
        <v>1</v>
      </c>
      <c r="AE104" s="266">
        <v>1</v>
      </c>
      <c r="AF104" s="266">
        <v>1</v>
      </c>
      <c r="AG104" s="266">
        <v>1</v>
      </c>
      <c r="AH104" s="266">
        <v>1</v>
      </c>
      <c r="AI104" s="266">
        <v>1</v>
      </c>
      <c r="AJ104" s="266">
        <v>1</v>
      </c>
      <c r="AK104" s="266">
        <v>1</v>
      </c>
      <c r="AL104" s="266">
        <v>1</v>
      </c>
    </row>
    <row r="105" spans="2:38" s="94" customFormat="1" outlineLevel="1" x14ac:dyDescent="0.3">
      <c r="B105" s="309" t="s">
        <v>272</v>
      </c>
      <c r="C105" s="310"/>
      <c r="D105" s="266">
        <f>SUM(D103:D104)</f>
        <v>5538</v>
      </c>
      <c r="E105" s="266">
        <f t="shared" ref="E105:Q105" si="275">SUM(E103:E104)</f>
        <v>5507</v>
      </c>
      <c r="F105" s="266">
        <f t="shared" si="275"/>
        <v>5300</v>
      </c>
      <c r="G105" s="266">
        <f t="shared" si="275"/>
        <v>6042</v>
      </c>
      <c r="H105" s="266">
        <f t="shared" si="275"/>
        <v>6042</v>
      </c>
      <c r="I105" s="266">
        <f t="shared" si="275"/>
        <v>6065</v>
      </c>
      <c r="J105" s="266">
        <f t="shared" si="275"/>
        <v>6056</v>
      </c>
      <c r="K105" s="266">
        <f t="shared" si="275"/>
        <v>6241</v>
      </c>
      <c r="L105" s="266">
        <f t="shared" si="275"/>
        <v>6276</v>
      </c>
      <c r="M105" s="266">
        <f t="shared" si="275"/>
        <v>6276</v>
      </c>
      <c r="N105" s="266">
        <f t="shared" si="275"/>
        <v>6417</v>
      </c>
      <c r="O105" s="266">
        <f t="shared" si="275"/>
        <v>6467</v>
      </c>
      <c r="P105" s="266">
        <f t="shared" si="275"/>
        <v>6621.0638566916659</v>
      </c>
      <c r="Q105" s="266">
        <f t="shared" si="275"/>
        <v>6832.1814527566294</v>
      </c>
      <c r="R105" s="266">
        <f t="shared" ref="R105:AL105" si="276">SUM(R103:R104)</f>
        <v>6832.1814527566294</v>
      </c>
      <c r="S105" s="266">
        <f t="shared" si="276"/>
        <v>6899.5233929981459</v>
      </c>
      <c r="T105" s="266">
        <f t="shared" si="276"/>
        <v>7198.4820148156286</v>
      </c>
      <c r="U105" s="266">
        <f t="shared" si="276"/>
        <v>7617.4106163425477</v>
      </c>
      <c r="V105" s="266">
        <f t="shared" si="276"/>
        <v>7963.8992529999487</v>
      </c>
      <c r="W105" s="266">
        <f t="shared" si="276"/>
        <v>7963.8992529999487</v>
      </c>
      <c r="X105" s="266">
        <f t="shared" si="276"/>
        <v>8056.3577768832693</v>
      </c>
      <c r="Y105" s="266">
        <f t="shared" si="276"/>
        <v>8394.0577288737331</v>
      </c>
      <c r="Z105" s="266">
        <f t="shared" si="276"/>
        <v>8819.3322013527541</v>
      </c>
      <c r="AA105" s="266">
        <f t="shared" si="276"/>
        <v>9156.2005940845265</v>
      </c>
      <c r="AB105" s="266">
        <f t="shared" si="276"/>
        <v>9156.2005940845265</v>
      </c>
      <c r="AC105" s="266">
        <f t="shared" si="276"/>
        <v>9271.1143449437586</v>
      </c>
      <c r="AD105" s="266">
        <f t="shared" si="276"/>
        <v>9647.767264768052</v>
      </c>
      <c r="AE105" s="266">
        <f t="shared" si="276"/>
        <v>10082.021715641938</v>
      </c>
      <c r="AF105" s="266">
        <f t="shared" si="276"/>
        <v>10469.872906809433</v>
      </c>
      <c r="AG105" s="266">
        <f t="shared" si="276"/>
        <v>10469.872906809433</v>
      </c>
      <c r="AH105" s="266">
        <f t="shared" si="276"/>
        <v>10609.716485863493</v>
      </c>
      <c r="AI105" s="266">
        <f t="shared" si="276"/>
        <v>11028.425424822366</v>
      </c>
      <c r="AJ105" s="266">
        <f t="shared" si="276"/>
        <v>11473.047407032558</v>
      </c>
      <c r="AK105" s="266">
        <f t="shared" si="276"/>
        <v>12146.666521709318</v>
      </c>
      <c r="AL105" s="266">
        <f t="shared" si="276"/>
        <v>12146.666521709318</v>
      </c>
    </row>
    <row r="106" spans="2:38" outlineLevel="1" x14ac:dyDescent="0.3">
      <c r="B106" s="324" t="s">
        <v>22</v>
      </c>
      <c r="C106" s="325"/>
      <c r="D106" s="51">
        <f>D105+D94</f>
        <v>20650</v>
      </c>
      <c r="E106" s="51">
        <f t="shared" ref="E106:O106" si="277">E105+E94</f>
        <v>20839</v>
      </c>
      <c r="F106" s="51">
        <f t="shared" si="277"/>
        <v>20949</v>
      </c>
      <c r="G106" s="51">
        <f t="shared" si="277"/>
        <v>21829</v>
      </c>
      <c r="H106" s="51">
        <f t="shared" si="277"/>
        <v>21829</v>
      </c>
      <c r="I106" s="51">
        <f t="shared" si="277"/>
        <v>22106</v>
      </c>
      <c r="J106" s="51">
        <f t="shared" si="277"/>
        <v>22014</v>
      </c>
      <c r="K106" s="51">
        <f t="shared" si="277"/>
        <v>22591</v>
      </c>
      <c r="L106" s="51">
        <f t="shared" si="277"/>
        <v>22650</v>
      </c>
      <c r="M106" s="51">
        <f t="shared" si="277"/>
        <v>22650</v>
      </c>
      <c r="N106" s="51">
        <f t="shared" si="277"/>
        <v>23373</v>
      </c>
      <c r="O106" s="51">
        <f t="shared" si="277"/>
        <v>25986</v>
      </c>
      <c r="P106" s="51">
        <f t="shared" ref="P106:AL106" si="278">P103+P94</f>
        <v>26813.610342822634</v>
      </c>
      <c r="Q106" s="51">
        <f t="shared" si="278"/>
        <v>27110.169126502187</v>
      </c>
      <c r="R106" s="223">
        <f t="shared" si="278"/>
        <v>27110.169126502187</v>
      </c>
      <c r="S106" s="51">
        <f t="shared" si="278"/>
        <v>26563.456544692905</v>
      </c>
      <c r="T106" s="51">
        <f t="shared" si="278"/>
        <v>27701.953525740038</v>
      </c>
      <c r="U106" s="51">
        <f t="shared" si="278"/>
        <v>28885.235150494729</v>
      </c>
      <c r="V106" s="51">
        <f t="shared" si="278"/>
        <v>29943.433353190838</v>
      </c>
      <c r="W106" s="223">
        <f t="shared" si="278"/>
        <v>29943.433353190838</v>
      </c>
      <c r="X106" s="51">
        <f t="shared" si="278"/>
        <v>30548.42994880665</v>
      </c>
      <c r="Y106" s="51">
        <f t="shared" si="278"/>
        <v>31759.086066482301</v>
      </c>
      <c r="Z106" s="51">
        <f t="shared" si="278"/>
        <v>32959.710295354285</v>
      </c>
      <c r="AA106" s="51">
        <f t="shared" si="278"/>
        <v>34291.832128001581</v>
      </c>
      <c r="AB106" s="223">
        <f t="shared" si="278"/>
        <v>34291.832128001581</v>
      </c>
      <c r="AC106" s="51">
        <f t="shared" si="278"/>
        <v>34599.941941429337</v>
      </c>
      <c r="AD106" s="51">
        <f t="shared" si="278"/>
        <v>36275.58734703032</v>
      </c>
      <c r="AE106" s="51">
        <f t="shared" si="278"/>
        <v>37148.154837247021</v>
      </c>
      <c r="AF106" s="51">
        <f t="shared" si="278"/>
        <v>39121.78418905296</v>
      </c>
      <c r="AG106" s="223">
        <f t="shared" si="278"/>
        <v>39121.78418905296</v>
      </c>
      <c r="AH106" s="51">
        <f t="shared" si="278"/>
        <v>39009.316149725702</v>
      </c>
      <c r="AI106" s="51">
        <f t="shared" si="278"/>
        <v>41360.480351539496</v>
      </c>
      <c r="AJ106" s="51">
        <f t="shared" si="278"/>
        <v>41678.347719387522</v>
      </c>
      <c r="AK106" s="51">
        <f t="shared" si="278"/>
        <v>45159.273242555406</v>
      </c>
      <c r="AL106" s="223">
        <f t="shared" si="278"/>
        <v>45159.273242555406</v>
      </c>
    </row>
    <row r="107" spans="2:38" x14ac:dyDescent="0.3">
      <c r="B107" s="62"/>
      <c r="C107" s="66"/>
      <c r="D107" s="39">
        <f t="shared" ref="D107:AL107" si="279">D106-D83</f>
        <v>0</v>
      </c>
      <c r="E107" s="39">
        <f t="shared" si="279"/>
        <v>0</v>
      </c>
      <c r="F107" s="39">
        <f t="shared" si="279"/>
        <v>0</v>
      </c>
      <c r="G107" s="39">
        <f t="shared" si="279"/>
        <v>0</v>
      </c>
      <c r="H107" s="39">
        <f t="shared" si="279"/>
        <v>0</v>
      </c>
      <c r="I107" s="39">
        <f t="shared" si="279"/>
        <v>0</v>
      </c>
      <c r="J107" s="39">
        <f t="shared" si="279"/>
        <v>0</v>
      </c>
      <c r="K107" s="39">
        <f t="shared" si="279"/>
        <v>0</v>
      </c>
      <c r="L107" s="39">
        <f t="shared" si="279"/>
        <v>0</v>
      </c>
      <c r="M107" s="39">
        <f t="shared" si="279"/>
        <v>0</v>
      </c>
      <c r="N107" s="39">
        <f t="shared" si="279"/>
        <v>0</v>
      </c>
      <c r="O107" s="39">
        <f t="shared" si="279"/>
        <v>0</v>
      </c>
      <c r="P107" s="39">
        <f t="shared" si="279"/>
        <v>0</v>
      </c>
      <c r="Q107" s="39">
        <f t="shared" si="279"/>
        <v>0</v>
      </c>
      <c r="R107" s="39">
        <f t="shared" si="279"/>
        <v>0</v>
      </c>
      <c r="S107" s="39">
        <f t="shared" si="279"/>
        <v>0</v>
      </c>
      <c r="T107" s="39">
        <f t="shared" si="279"/>
        <v>0</v>
      </c>
      <c r="U107" s="39">
        <f t="shared" si="279"/>
        <v>0</v>
      </c>
      <c r="V107" s="39">
        <f t="shared" si="279"/>
        <v>0</v>
      </c>
      <c r="W107" s="39">
        <f t="shared" si="279"/>
        <v>0</v>
      </c>
      <c r="X107" s="39">
        <f t="shared" si="279"/>
        <v>0</v>
      </c>
      <c r="Y107" s="39">
        <f t="shared" si="279"/>
        <v>0</v>
      </c>
      <c r="Z107" s="39">
        <f t="shared" si="279"/>
        <v>0</v>
      </c>
      <c r="AA107" s="39">
        <f t="shared" si="279"/>
        <v>0</v>
      </c>
      <c r="AB107" s="39">
        <f t="shared" si="279"/>
        <v>0</v>
      </c>
      <c r="AC107" s="39">
        <f t="shared" si="279"/>
        <v>0</v>
      </c>
      <c r="AD107" s="39">
        <f t="shared" si="279"/>
        <v>0</v>
      </c>
      <c r="AE107" s="39">
        <f t="shared" si="279"/>
        <v>0</v>
      </c>
      <c r="AF107" s="39">
        <f t="shared" si="279"/>
        <v>0</v>
      </c>
      <c r="AG107" s="39">
        <f t="shared" si="279"/>
        <v>0</v>
      </c>
      <c r="AH107" s="39">
        <f t="shared" si="279"/>
        <v>0</v>
      </c>
      <c r="AI107" s="39">
        <f t="shared" si="279"/>
        <v>0</v>
      </c>
      <c r="AJ107" s="39">
        <f t="shared" si="279"/>
        <v>0</v>
      </c>
      <c r="AK107" s="39">
        <f t="shared" si="279"/>
        <v>0</v>
      </c>
      <c r="AL107" s="39">
        <f t="shared" si="279"/>
        <v>0</v>
      </c>
    </row>
    <row r="108" spans="2:38" ht="15.6" x14ac:dyDescent="0.3">
      <c r="B108" s="300" t="s">
        <v>41</v>
      </c>
      <c r="C108" s="301"/>
      <c r="D108" s="256" t="s">
        <v>68</v>
      </c>
      <c r="E108" s="256" t="s">
        <v>244</v>
      </c>
      <c r="F108" s="256" t="s">
        <v>245</v>
      </c>
      <c r="G108" s="256" t="s">
        <v>69</v>
      </c>
      <c r="H108" s="256" t="s">
        <v>246</v>
      </c>
      <c r="I108" s="256" t="s">
        <v>70</v>
      </c>
      <c r="J108" s="256" t="s">
        <v>247</v>
      </c>
      <c r="K108" s="256" t="s">
        <v>248</v>
      </c>
      <c r="L108" s="256" t="s">
        <v>71</v>
      </c>
      <c r="M108" s="256" t="s">
        <v>246</v>
      </c>
      <c r="N108" s="256" t="s">
        <v>72</v>
      </c>
      <c r="O108" s="256" t="s">
        <v>249</v>
      </c>
      <c r="P108" s="257" t="s">
        <v>250</v>
      </c>
      <c r="Q108" s="257" t="s">
        <v>129</v>
      </c>
      <c r="R108" s="257" t="s">
        <v>129</v>
      </c>
      <c r="S108" s="97" t="s">
        <v>130</v>
      </c>
      <c r="T108" s="97" t="s">
        <v>131</v>
      </c>
      <c r="U108" s="97" t="s">
        <v>132</v>
      </c>
      <c r="V108" s="97" t="s">
        <v>140</v>
      </c>
      <c r="W108" s="97" t="s">
        <v>140</v>
      </c>
      <c r="X108" s="97" t="s">
        <v>141</v>
      </c>
      <c r="Y108" s="97" t="s">
        <v>142</v>
      </c>
      <c r="Z108" s="97" t="s">
        <v>143</v>
      </c>
      <c r="AA108" s="97" t="s">
        <v>219</v>
      </c>
      <c r="AB108" s="97" t="s">
        <v>219</v>
      </c>
      <c r="AC108" s="97" t="s">
        <v>220</v>
      </c>
      <c r="AD108" s="97" t="s">
        <v>221</v>
      </c>
      <c r="AE108" s="97" t="s">
        <v>222</v>
      </c>
      <c r="AF108" s="97" t="s">
        <v>229</v>
      </c>
      <c r="AG108" s="97" t="s">
        <v>229</v>
      </c>
      <c r="AH108" s="97" t="s">
        <v>231</v>
      </c>
      <c r="AI108" s="97" t="s">
        <v>233</v>
      </c>
      <c r="AJ108" s="97" t="s">
        <v>224</v>
      </c>
      <c r="AK108" s="97" t="s">
        <v>267</v>
      </c>
      <c r="AL108" s="97" t="s">
        <v>267</v>
      </c>
    </row>
    <row r="109" spans="2:38" ht="16.2" x14ac:dyDescent="0.45">
      <c r="B109" s="302"/>
      <c r="C109" s="303"/>
      <c r="D109" s="77" t="s">
        <v>148</v>
      </c>
      <c r="E109" s="77" t="s">
        <v>196</v>
      </c>
      <c r="F109" s="216" t="s">
        <v>236</v>
      </c>
      <c r="G109" s="216" t="s">
        <v>237</v>
      </c>
      <c r="H109" s="216" t="s">
        <v>238</v>
      </c>
      <c r="I109" s="216" t="s">
        <v>239</v>
      </c>
      <c r="J109" s="216" t="s">
        <v>240</v>
      </c>
      <c r="K109" s="216" t="s">
        <v>241</v>
      </c>
      <c r="L109" s="216" t="s">
        <v>242</v>
      </c>
      <c r="M109" s="216" t="s">
        <v>243</v>
      </c>
      <c r="N109" s="258">
        <v>2019</v>
      </c>
      <c r="O109" s="258">
        <v>2019</v>
      </c>
      <c r="P109" s="259" t="s">
        <v>251</v>
      </c>
      <c r="Q109" s="259" t="s">
        <v>251</v>
      </c>
      <c r="R109" s="259" t="s">
        <v>263</v>
      </c>
      <c r="S109" s="98" t="s">
        <v>128</v>
      </c>
      <c r="T109" s="98" t="s">
        <v>133</v>
      </c>
      <c r="U109" s="98" t="s">
        <v>134</v>
      </c>
      <c r="V109" s="98" t="s">
        <v>135</v>
      </c>
      <c r="W109" s="98" t="s">
        <v>136</v>
      </c>
      <c r="X109" s="98" t="s">
        <v>144</v>
      </c>
      <c r="Y109" s="98" t="s">
        <v>145</v>
      </c>
      <c r="Z109" s="98" t="s">
        <v>146</v>
      </c>
      <c r="AA109" s="98" t="s">
        <v>266</v>
      </c>
      <c r="AB109" s="98" t="s">
        <v>147</v>
      </c>
      <c r="AC109" s="98" t="s">
        <v>265</v>
      </c>
      <c r="AD109" s="98" t="s">
        <v>226</v>
      </c>
      <c r="AE109" s="98" t="s">
        <v>227</v>
      </c>
      <c r="AF109" s="98" t="s">
        <v>228</v>
      </c>
      <c r="AG109" s="98" t="s">
        <v>223</v>
      </c>
      <c r="AH109" s="98" t="s">
        <v>230</v>
      </c>
      <c r="AI109" s="98" t="s">
        <v>232</v>
      </c>
      <c r="AJ109" s="98" t="s">
        <v>234</v>
      </c>
      <c r="AK109" s="98" t="s">
        <v>235</v>
      </c>
      <c r="AL109" s="98" t="s">
        <v>225</v>
      </c>
    </row>
    <row r="110" spans="2:38" s="24" customFormat="1" outlineLevel="1" x14ac:dyDescent="0.3">
      <c r="B110" s="149" t="s">
        <v>179</v>
      </c>
      <c r="C110" s="151"/>
      <c r="D110" s="224" t="e">
        <f>(D71+D78)/(#REF!+#REF!)-1</f>
        <v>#REF!</v>
      </c>
      <c r="E110" s="224" t="e">
        <f>(E71+E78)/(D71+D78)-1</f>
        <v>#DIV/0!</v>
      </c>
      <c r="F110" s="224" t="e">
        <f>(F71+F78)/(E71+E78)-1</f>
        <v>#DIV/0!</v>
      </c>
      <c r="G110" s="224" t="e">
        <f>(G71+G78)/(F71+F78)-1</f>
        <v>#DIV/0!</v>
      </c>
      <c r="H110" s="178"/>
      <c r="I110" s="224" t="e">
        <f>(I71+I78)/(G71+G78)-1</f>
        <v>#DIV/0!</v>
      </c>
      <c r="J110" s="224" t="e">
        <f>(J71+J78)/(I71+I78)-1</f>
        <v>#DIV/0!</v>
      </c>
      <c r="K110" s="224" t="e">
        <f>(K71+K78)/(J71+J78)-1</f>
        <v>#DIV/0!</v>
      </c>
      <c r="L110" s="224" t="e">
        <f>(L71+L78)/(K71+K78)-1</f>
        <v>#DIV/0!</v>
      </c>
      <c r="M110" s="178"/>
      <c r="N110" s="224" t="e">
        <f>(N71+N78)/(L71+L78)-1</f>
        <v>#DIV/0!</v>
      </c>
      <c r="O110" s="224" t="e">
        <f>(O71+O78)/(N71+N78)-1</f>
        <v>#DIV/0!</v>
      </c>
      <c r="P110" s="224">
        <v>0.01</v>
      </c>
      <c r="Q110" s="224">
        <v>0.01</v>
      </c>
      <c r="R110" s="178"/>
      <c r="S110" s="224">
        <v>0.06</v>
      </c>
      <c r="T110" s="224">
        <v>0.03</v>
      </c>
      <c r="U110" s="224">
        <v>0.01</v>
      </c>
      <c r="V110" s="224">
        <v>0.01</v>
      </c>
      <c r="W110" s="178"/>
      <c r="X110" s="224">
        <v>0.06</v>
      </c>
      <c r="Y110" s="224">
        <v>0.03</v>
      </c>
      <c r="Z110" s="224">
        <v>0.01</v>
      </c>
      <c r="AA110" s="224">
        <v>0.01</v>
      </c>
      <c r="AB110" s="178"/>
      <c r="AC110" s="224">
        <v>0.06</v>
      </c>
      <c r="AD110" s="224">
        <v>0.03</v>
      </c>
      <c r="AE110" s="224">
        <v>0.01</v>
      </c>
      <c r="AF110" s="224">
        <v>0.01</v>
      </c>
      <c r="AG110" s="178"/>
      <c r="AH110" s="224">
        <v>0.06</v>
      </c>
      <c r="AI110" s="224">
        <v>0.03</v>
      </c>
      <c r="AJ110" s="224">
        <v>0.01</v>
      </c>
      <c r="AK110" s="224">
        <v>0.01</v>
      </c>
      <c r="AL110" s="178"/>
    </row>
    <row r="111" spans="2:38" s="24" customFormat="1" outlineLevel="1" x14ac:dyDescent="0.3">
      <c r="B111" s="155" t="s">
        <v>180</v>
      </c>
      <c r="C111" s="157"/>
      <c r="D111" s="225" t="e">
        <f>+D71/(D71+D78)</f>
        <v>#DIV/0!</v>
      </c>
      <c r="E111" s="225" t="e">
        <f>+E71/(E71+E78)</f>
        <v>#DIV/0!</v>
      </c>
      <c r="F111" s="225" t="e">
        <f>+F71/(F71+F78)</f>
        <v>#DIV/0!</v>
      </c>
      <c r="G111" s="225" t="e">
        <f>+G71/(G71+G78)</f>
        <v>#DIV/0!</v>
      </c>
      <c r="H111" s="179"/>
      <c r="I111" s="225" t="e">
        <f>+I71/(I71+I78)</f>
        <v>#DIV/0!</v>
      </c>
      <c r="J111" s="225" t="e">
        <f>+J71/(J71+J78)</f>
        <v>#DIV/0!</v>
      </c>
      <c r="K111" s="225" t="e">
        <f>+K71/(K71+K78)</f>
        <v>#DIV/0!</v>
      </c>
      <c r="L111" s="225" t="e">
        <f>+L71/(L71+L78)</f>
        <v>#DIV/0!</v>
      </c>
      <c r="M111" s="179"/>
      <c r="N111" s="225" t="e">
        <f>+N71/(N71+N78)</f>
        <v>#DIV/0!</v>
      </c>
      <c r="O111" s="225" t="e">
        <f>+O71/(O71+O78)</f>
        <v>#DIV/0!</v>
      </c>
      <c r="P111" s="225" t="e">
        <f>AVERAGE(O111,N111,M111,K111)</f>
        <v>#DIV/0!</v>
      </c>
      <c r="Q111" s="225" t="e">
        <f>AVERAGE(P111,O111,N111,L111)</f>
        <v>#DIV/0!</v>
      </c>
      <c r="R111" s="179"/>
      <c r="S111" s="225" t="e">
        <f>AVERAGE(P111,Q111,O111,N111)</f>
        <v>#DIV/0!</v>
      </c>
      <c r="T111" s="225" t="e">
        <f>AVERAGE(S111,Q111,P111,O111)</f>
        <v>#DIV/0!</v>
      </c>
      <c r="U111" s="225" t="e">
        <f>AVERAGE(T111,S111,Q111,P111)</f>
        <v>#DIV/0!</v>
      </c>
      <c r="V111" s="225" t="e">
        <f>AVERAGE(U111,T111,S111,Q111)</f>
        <v>#DIV/0!</v>
      </c>
      <c r="W111" s="179"/>
      <c r="X111" s="225" t="e">
        <f>AVERAGE(U111,V111,T111,S111)</f>
        <v>#DIV/0!</v>
      </c>
      <c r="Y111" s="225" t="e">
        <f>AVERAGE(X111,V111,U111,T111)</f>
        <v>#DIV/0!</v>
      </c>
      <c r="Z111" s="225" t="e">
        <f>AVERAGE(Y111,X111,V111,U111)</f>
        <v>#DIV/0!</v>
      </c>
      <c r="AA111" s="225" t="e">
        <f>AVERAGE(Z111,Y111,X111,V111)</f>
        <v>#DIV/0!</v>
      </c>
      <c r="AB111" s="179"/>
      <c r="AC111" s="225" t="e">
        <f>AVERAGE(Z111,AA111,Y111,X111)</f>
        <v>#DIV/0!</v>
      </c>
      <c r="AD111" s="225" t="e">
        <f>AVERAGE(AC111,AA111,Z111,Y111)</f>
        <v>#DIV/0!</v>
      </c>
      <c r="AE111" s="225" t="e">
        <f>AVERAGE(AD111,AC111,AA111,Z111)</f>
        <v>#DIV/0!</v>
      </c>
      <c r="AF111" s="225" t="e">
        <f>AVERAGE(AE111,AD111,AC111,AA111)</f>
        <v>#DIV/0!</v>
      </c>
      <c r="AG111" s="179"/>
      <c r="AH111" s="225" t="e">
        <f>AVERAGE(AE111,AF111,AD111,AC111)</f>
        <v>#DIV/0!</v>
      </c>
      <c r="AI111" s="225" t="e">
        <f>AVERAGE(AH111,AF111,AE111,AD111)</f>
        <v>#DIV/0!</v>
      </c>
      <c r="AJ111" s="225" t="e">
        <f>AVERAGE(AI111,AH111,AF111,AE111)</f>
        <v>#DIV/0!</v>
      </c>
      <c r="AK111" s="225" t="e">
        <f>AVERAGE(AJ111,AI111,AH111,AF111)</f>
        <v>#DIV/0!</v>
      </c>
      <c r="AL111" s="179"/>
    </row>
    <row r="112" spans="2:38" s="44" customFormat="1" outlineLevel="1" x14ac:dyDescent="0.3">
      <c r="B112" s="152" t="s">
        <v>181</v>
      </c>
      <c r="C112" s="180"/>
      <c r="D112" s="181">
        <v>90</v>
      </c>
      <c r="E112" s="181">
        <v>90</v>
      </c>
      <c r="F112" s="181">
        <v>90</v>
      </c>
      <c r="G112" s="181">
        <v>90</v>
      </c>
      <c r="H112" s="182"/>
      <c r="I112" s="181">
        <v>90</v>
      </c>
      <c r="J112" s="181">
        <v>90</v>
      </c>
      <c r="K112" s="181">
        <v>90</v>
      </c>
      <c r="L112" s="181">
        <v>90</v>
      </c>
      <c r="M112" s="182"/>
      <c r="N112" s="181">
        <v>90</v>
      </c>
      <c r="O112" s="181">
        <v>90</v>
      </c>
      <c r="P112" s="181">
        <v>90</v>
      </c>
      <c r="Q112" s="181">
        <v>90</v>
      </c>
      <c r="R112" s="182"/>
      <c r="S112" s="181">
        <v>92</v>
      </c>
      <c r="T112" s="181">
        <v>90</v>
      </c>
      <c r="U112" s="181">
        <v>91</v>
      </c>
      <c r="V112" s="181">
        <v>92</v>
      </c>
      <c r="W112" s="182"/>
      <c r="X112" s="181">
        <v>92</v>
      </c>
      <c r="Y112" s="181">
        <v>90</v>
      </c>
      <c r="Z112" s="181">
        <v>91</v>
      </c>
      <c r="AA112" s="181">
        <v>92</v>
      </c>
      <c r="AB112" s="182"/>
      <c r="AC112" s="181">
        <v>92</v>
      </c>
      <c r="AD112" s="181">
        <v>91</v>
      </c>
      <c r="AE112" s="181">
        <v>91</v>
      </c>
      <c r="AF112" s="181">
        <v>92</v>
      </c>
      <c r="AG112" s="182"/>
      <c r="AH112" s="181">
        <v>92</v>
      </c>
      <c r="AI112" s="181">
        <v>90</v>
      </c>
      <c r="AJ112" s="181">
        <v>91</v>
      </c>
      <c r="AK112" s="181">
        <v>92</v>
      </c>
      <c r="AL112" s="182"/>
    </row>
    <row r="113" spans="2:38" s="94" customFormat="1" ht="16.2" outlineLevel="1" x14ac:dyDescent="0.45">
      <c r="B113" s="294" t="s">
        <v>214</v>
      </c>
      <c r="C113" s="295"/>
      <c r="D113" s="139" t="e">
        <f>D11/(AVERAGE(D75,#REF!))</f>
        <v>#REF!</v>
      </c>
      <c r="E113" s="139" t="e">
        <f>E11/(AVERAGE(E75,D75))</f>
        <v>#DIV/0!</v>
      </c>
      <c r="F113" s="139" t="e">
        <f>F11/(AVERAGE(F75,E75))</f>
        <v>#DIV/0!</v>
      </c>
      <c r="G113" s="139" t="e">
        <f>G11/(AVERAGE(G75,F75))</f>
        <v>#DIV/0!</v>
      </c>
      <c r="H113" s="138"/>
      <c r="I113" s="139" t="e">
        <f>I11/(AVERAGE(I75,G75))</f>
        <v>#DIV/0!</v>
      </c>
      <c r="J113" s="139" t="e">
        <f>J11/(AVERAGE(J75,I75))</f>
        <v>#DIV/0!</v>
      </c>
      <c r="K113" s="139" t="e">
        <f>K11/(AVERAGE(K75,J75))</f>
        <v>#DIV/0!</v>
      </c>
      <c r="L113" s="139" t="e">
        <f>L11/(AVERAGE(L75,K75))</f>
        <v>#DIV/0!</v>
      </c>
      <c r="M113" s="138"/>
      <c r="N113" s="139" t="e">
        <f>N11/(AVERAGE(N75,L75))</f>
        <v>#DIV/0!</v>
      </c>
      <c r="O113" s="139" t="e">
        <f>O11/(AVERAGE(O75,N75))</f>
        <v>#DIV/0!</v>
      </c>
      <c r="P113" s="226" t="e">
        <f t="shared" ref="P113:Q114" si="280">O113*(K113/J113)</f>
        <v>#DIV/0!</v>
      </c>
      <c r="Q113" s="226" t="e">
        <f t="shared" si="280"/>
        <v>#DIV/0!</v>
      </c>
      <c r="R113" s="138"/>
      <c r="S113" s="226" t="e">
        <f>Q113*(N113/L113)</f>
        <v>#DIV/0!</v>
      </c>
      <c r="T113" s="226" t="e">
        <f t="shared" ref="T113:V114" si="281">S113*(O113/N113)</f>
        <v>#DIV/0!</v>
      </c>
      <c r="U113" s="226" t="e">
        <f t="shared" si="281"/>
        <v>#DIV/0!</v>
      </c>
      <c r="V113" s="226" t="e">
        <f t="shared" si="281"/>
        <v>#DIV/0!</v>
      </c>
      <c r="W113" s="138"/>
      <c r="X113" s="226" t="e">
        <f>V113*(S113/Q113)</f>
        <v>#DIV/0!</v>
      </c>
      <c r="Y113" s="226" t="e">
        <f t="shared" ref="Y113:Y114" si="282">X113*(T113/S113)</f>
        <v>#DIV/0!</v>
      </c>
      <c r="Z113" s="226" t="e">
        <f t="shared" ref="Z113:Z114" si="283">Y113*(U113/T113)</f>
        <v>#DIV/0!</v>
      </c>
      <c r="AA113" s="226" t="e">
        <f t="shared" ref="AA113:AA114" si="284">Z113*(V113/U113)</f>
        <v>#DIV/0!</v>
      </c>
      <c r="AB113" s="138"/>
      <c r="AC113" s="226" t="e">
        <f>AA113*(X113/V113)</f>
        <v>#DIV/0!</v>
      </c>
      <c r="AD113" s="226" t="e">
        <f t="shared" ref="AD113:AD114" si="285">AC113*(Y113/X113)</f>
        <v>#DIV/0!</v>
      </c>
      <c r="AE113" s="226" t="e">
        <f t="shared" ref="AE113:AE114" si="286">AD113*(Z113/Y113)</f>
        <v>#DIV/0!</v>
      </c>
      <c r="AF113" s="226" t="e">
        <f t="shared" ref="AF113:AF114" si="287">AE113*(AA113/Z113)</f>
        <v>#DIV/0!</v>
      </c>
      <c r="AG113" s="138"/>
      <c r="AH113" s="226" t="e">
        <f>AF113*(AC113/AA113)</f>
        <v>#DIV/0!</v>
      </c>
      <c r="AI113" s="226" t="e">
        <f t="shared" ref="AI113:AI114" si="288">AH113*(AD113/AC113)</f>
        <v>#DIV/0!</v>
      </c>
      <c r="AJ113" s="226" t="e">
        <f t="shared" ref="AJ113:AJ114" si="289">AI113*(AE113/AD113)</f>
        <v>#DIV/0!</v>
      </c>
      <c r="AK113" s="226" t="e">
        <f t="shared" ref="AK113:AK114" si="290">AJ113*(AF113/AE113)</f>
        <v>#DIV/0!</v>
      </c>
      <c r="AL113" s="138"/>
    </row>
    <row r="114" spans="2:38" outlineLevel="1" x14ac:dyDescent="0.3">
      <c r="B114" s="294" t="s">
        <v>43</v>
      </c>
      <c r="C114" s="323"/>
      <c r="D114" s="181" t="e">
        <f>D11/(AVERAGE(#REF!,D73))</f>
        <v>#REF!</v>
      </c>
      <c r="E114" s="181" t="e">
        <f>E11/(AVERAGE(D73,E73))</f>
        <v>#DIV/0!</v>
      </c>
      <c r="F114" s="181" t="e">
        <f>F11/(AVERAGE(E73,F73))</f>
        <v>#DIV/0!</v>
      </c>
      <c r="G114" s="181" t="e">
        <f>G11/(AVERAGE(F73,G73))</f>
        <v>#DIV/0!</v>
      </c>
      <c r="H114" s="182"/>
      <c r="I114" s="181" t="e">
        <f>I11/(AVERAGE(G73,I73))</f>
        <v>#DIV/0!</v>
      </c>
      <c r="J114" s="181" t="e">
        <f>J11/(AVERAGE(I73,J73))</f>
        <v>#DIV/0!</v>
      </c>
      <c r="K114" s="181" t="e">
        <f>K11/(AVERAGE(J73,K73))</f>
        <v>#DIV/0!</v>
      </c>
      <c r="L114" s="181" t="e">
        <f>L11/(AVERAGE(K73,L73))</f>
        <v>#DIV/0!</v>
      </c>
      <c r="M114" s="182"/>
      <c r="N114" s="181" t="e">
        <f>N11/(AVERAGE(L73,N73))</f>
        <v>#DIV/0!</v>
      </c>
      <c r="O114" s="181" t="e">
        <f>O11/(AVERAGE(N73,O73))</f>
        <v>#DIV/0!</v>
      </c>
      <c r="P114" s="226" t="e">
        <f t="shared" si="280"/>
        <v>#DIV/0!</v>
      </c>
      <c r="Q114" s="226" t="e">
        <f t="shared" si="280"/>
        <v>#DIV/0!</v>
      </c>
      <c r="R114" s="182"/>
      <c r="S114" s="226" t="e">
        <f>Q114*(N114/L114)</f>
        <v>#DIV/0!</v>
      </c>
      <c r="T114" s="226" t="e">
        <f t="shared" si="281"/>
        <v>#DIV/0!</v>
      </c>
      <c r="U114" s="226" t="e">
        <f t="shared" si="281"/>
        <v>#DIV/0!</v>
      </c>
      <c r="V114" s="226" t="e">
        <f t="shared" si="281"/>
        <v>#DIV/0!</v>
      </c>
      <c r="W114" s="182"/>
      <c r="X114" s="226" t="e">
        <f>V114*(S114/Q114)</f>
        <v>#DIV/0!</v>
      </c>
      <c r="Y114" s="226" t="e">
        <f t="shared" si="282"/>
        <v>#DIV/0!</v>
      </c>
      <c r="Z114" s="226" t="e">
        <f t="shared" si="283"/>
        <v>#DIV/0!</v>
      </c>
      <c r="AA114" s="226" t="e">
        <f t="shared" si="284"/>
        <v>#DIV/0!</v>
      </c>
      <c r="AB114" s="182"/>
      <c r="AC114" s="226" t="e">
        <f>AA114*(X114/V114)</f>
        <v>#DIV/0!</v>
      </c>
      <c r="AD114" s="226" t="e">
        <f t="shared" si="285"/>
        <v>#DIV/0!</v>
      </c>
      <c r="AE114" s="226" t="e">
        <f t="shared" si="286"/>
        <v>#DIV/0!</v>
      </c>
      <c r="AF114" s="226" t="e">
        <f t="shared" si="287"/>
        <v>#DIV/0!</v>
      </c>
      <c r="AG114" s="182"/>
      <c r="AH114" s="226" t="e">
        <f>AF114*(AC114/AA114)</f>
        <v>#DIV/0!</v>
      </c>
      <c r="AI114" s="226" t="e">
        <f t="shared" si="288"/>
        <v>#DIV/0!</v>
      </c>
      <c r="AJ114" s="226" t="e">
        <f t="shared" si="289"/>
        <v>#DIV/0!</v>
      </c>
      <c r="AK114" s="226" t="e">
        <f t="shared" si="290"/>
        <v>#DIV/0!</v>
      </c>
      <c r="AL114" s="182"/>
    </row>
    <row r="115" spans="2:38" s="44" customFormat="1" outlineLevel="1" x14ac:dyDescent="0.3">
      <c r="B115" s="304" t="s">
        <v>182</v>
      </c>
      <c r="C115" s="305"/>
      <c r="D115" s="181" t="e">
        <f t="shared" ref="D115:G115" si="291">D112/D114</f>
        <v>#REF!</v>
      </c>
      <c r="E115" s="181" t="e">
        <f t="shared" si="291"/>
        <v>#DIV/0!</v>
      </c>
      <c r="F115" s="181" t="e">
        <f t="shared" si="291"/>
        <v>#DIV/0!</v>
      </c>
      <c r="G115" s="181" t="e">
        <f t="shared" si="291"/>
        <v>#DIV/0!</v>
      </c>
      <c r="H115" s="140"/>
      <c r="I115" s="181" t="e">
        <f t="shared" ref="I115:L115" si="292">I112/I114</f>
        <v>#DIV/0!</v>
      </c>
      <c r="J115" s="181" t="e">
        <f t="shared" si="292"/>
        <v>#DIV/0!</v>
      </c>
      <c r="K115" s="181" t="e">
        <f t="shared" si="292"/>
        <v>#DIV/0!</v>
      </c>
      <c r="L115" s="181" t="e">
        <f t="shared" si="292"/>
        <v>#DIV/0!</v>
      </c>
      <c r="M115" s="140"/>
      <c r="N115" s="181" t="e">
        <f t="shared" ref="N115:Q115" si="293">N112/N114</f>
        <v>#DIV/0!</v>
      </c>
      <c r="O115" s="181" t="e">
        <f t="shared" si="293"/>
        <v>#DIV/0!</v>
      </c>
      <c r="P115" s="227" t="e">
        <f t="shared" ref="P115" si="294">P112/P114</f>
        <v>#DIV/0!</v>
      </c>
      <c r="Q115" s="227" t="e">
        <f t="shared" si="293"/>
        <v>#DIV/0!</v>
      </c>
      <c r="R115" s="140"/>
      <c r="S115" s="227" t="e">
        <f t="shared" ref="S115:V115" si="295">S112/S114</f>
        <v>#DIV/0!</v>
      </c>
      <c r="T115" s="227" t="e">
        <f t="shared" si="295"/>
        <v>#DIV/0!</v>
      </c>
      <c r="U115" s="227" t="e">
        <f t="shared" si="295"/>
        <v>#DIV/0!</v>
      </c>
      <c r="V115" s="227" t="e">
        <f t="shared" si="295"/>
        <v>#DIV/0!</v>
      </c>
      <c r="W115" s="140"/>
      <c r="X115" s="227" t="e">
        <f t="shared" ref="X115:AA115" si="296">X112/X114</f>
        <v>#DIV/0!</v>
      </c>
      <c r="Y115" s="227" t="e">
        <f t="shared" si="296"/>
        <v>#DIV/0!</v>
      </c>
      <c r="Z115" s="227" t="e">
        <f t="shared" si="296"/>
        <v>#DIV/0!</v>
      </c>
      <c r="AA115" s="227" t="e">
        <f t="shared" si="296"/>
        <v>#DIV/0!</v>
      </c>
      <c r="AB115" s="140"/>
      <c r="AC115" s="227" t="e">
        <f t="shared" ref="AC115:AF115" si="297">AC112/AC114</f>
        <v>#DIV/0!</v>
      </c>
      <c r="AD115" s="227" t="e">
        <f t="shared" si="297"/>
        <v>#DIV/0!</v>
      </c>
      <c r="AE115" s="227" t="e">
        <f t="shared" si="297"/>
        <v>#DIV/0!</v>
      </c>
      <c r="AF115" s="227" t="e">
        <f t="shared" si="297"/>
        <v>#DIV/0!</v>
      </c>
      <c r="AG115" s="140"/>
      <c r="AH115" s="227" t="e">
        <f t="shared" ref="AH115:AK115" si="298">AH112/AH114</f>
        <v>#DIV/0!</v>
      </c>
      <c r="AI115" s="227" t="e">
        <f t="shared" si="298"/>
        <v>#DIV/0!</v>
      </c>
      <c r="AJ115" s="227" t="e">
        <f t="shared" si="298"/>
        <v>#DIV/0!</v>
      </c>
      <c r="AK115" s="227" t="e">
        <f t="shared" si="298"/>
        <v>#DIV/0!</v>
      </c>
      <c r="AL115" s="140"/>
    </row>
    <row r="116" spans="2:38" outlineLevel="1" x14ac:dyDescent="0.3">
      <c r="B116" s="294" t="s">
        <v>42</v>
      </c>
      <c r="C116" s="323"/>
      <c r="D116" s="139" t="e">
        <f>D10/(AVERAGE(D72,#REF!))</f>
        <v>#REF!</v>
      </c>
      <c r="E116" s="139">
        <f>E10/(AVERAGE(E72,D72))</f>
        <v>2.1591309453904874</v>
      </c>
      <c r="F116" s="139">
        <f>F10/(AVERAGE(F72,E72))</f>
        <v>2.0864682762492981</v>
      </c>
      <c r="G116" s="139">
        <f>G10/(AVERAGE(G72,F72))</f>
        <v>2.0317107093184981</v>
      </c>
      <c r="H116" s="140"/>
      <c r="I116" s="139">
        <f>I10/(AVERAGE(I72,G72))</f>
        <v>2.0034236804564909</v>
      </c>
      <c r="J116" s="139">
        <f>J10/(AVERAGE(J72,I72))</f>
        <v>2.1136235161107972</v>
      </c>
      <c r="K116" s="139">
        <f>K10/(AVERAGE(K72,J72))</f>
        <v>2.0216873842898706</v>
      </c>
      <c r="L116" s="139">
        <f>L10/(AVERAGE(L72,K72))</f>
        <v>1.9834796076406815</v>
      </c>
      <c r="M116" s="140"/>
      <c r="N116" s="139">
        <f>N10/(AVERAGE(N72,L72))</f>
        <v>1.9654347248072321</v>
      </c>
      <c r="O116" s="139">
        <f>O10/(AVERAGE(O72,N72))</f>
        <v>2.0514686768910839</v>
      </c>
      <c r="P116" s="226">
        <f>O116*(K116/J116)</f>
        <v>1.9622360896930551</v>
      </c>
      <c r="Q116" s="226">
        <f>P116*(L116/K116)</f>
        <v>1.9251518803189609</v>
      </c>
      <c r="R116" s="140"/>
      <c r="S116" s="226">
        <f>Q116*(N116/L116)</f>
        <v>1.907637639192846</v>
      </c>
      <c r="T116" s="226">
        <f>S116*(O116/N116)</f>
        <v>1.9911416106919586</v>
      </c>
      <c r="U116" s="226">
        <f>T116*(P116/O116)</f>
        <v>1.9045330656036894</v>
      </c>
      <c r="V116" s="226">
        <f>U116*(Q116/P116)</f>
        <v>1.8685393830209882</v>
      </c>
      <c r="W116" s="140"/>
      <c r="X116" s="226">
        <f>V116*(S116/Q116)</f>
        <v>1.8515401791439157</v>
      </c>
      <c r="Y116" s="226">
        <f>X116*(T116/S116)</f>
        <v>1.9325885686137909</v>
      </c>
      <c r="Z116" s="226">
        <f>Y116*(U116/T116)</f>
        <v>1.8485269010342087</v>
      </c>
      <c r="AA116" s="226">
        <f>Z116*(V116/U116)</f>
        <v>1.8135916763730819</v>
      </c>
      <c r="AB116" s="140"/>
      <c r="AC116" s="226">
        <f>AA116*(X116/V116)</f>
        <v>1.7970923641634653</v>
      </c>
      <c r="AD116" s="226">
        <f>AC116*(Y116/X116)</f>
        <v>1.8757573823384441</v>
      </c>
      <c r="AE116" s="226">
        <f>AD116*(Z116/Y116)</f>
        <v>1.794167696828102</v>
      </c>
      <c r="AF116" s="226">
        <f>AE116*(AA116/Z116)</f>
        <v>1.7602598042605886</v>
      </c>
      <c r="AG116" s="140"/>
      <c r="AH116" s="226">
        <f>AF116*(AC116/AA116)</f>
        <v>1.7442456835194657</v>
      </c>
      <c r="AI116" s="226">
        <f>AH116*(AD116/AC116)</f>
        <v>1.8205974176494797</v>
      </c>
      <c r="AJ116" s="226">
        <f>AI116*(AE116/AD116)</f>
        <v>1.7414070212018433</v>
      </c>
      <c r="AK116" s="226">
        <f>AJ116*(AF116/AE116)</f>
        <v>1.7084962502100263</v>
      </c>
      <c r="AL116" s="140"/>
    </row>
    <row r="117" spans="2:38" s="44" customFormat="1" outlineLevel="1" x14ac:dyDescent="0.3">
      <c r="B117" s="304" t="s">
        <v>183</v>
      </c>
      <c r="C117" s="305"/>
      <c r="D117" s="181" t="e">
        <f t="shared" ref="D117:G117" si="299">D112/D116</f>
        <v>#REF!</v>
      </c>
      <c r="E117" s="181">
        <f t="shared" si="299"/>
        <v>41.683437584987757</v>
      </c>
      <c r="F117" s="181">
        <f t="shared" si="299"/>
        <v>43.135091496232512</v>
      </c>
      <c r="G117" s="181">
        <f t="shared" si="299"/>
        <v>44.297645125958375</v>
      </c>
      <c r="H117" s="140"/>
      <c r="I117" s="181">
        <f t="shared" ref="I117:L117" si="300">I112/I116</f>
        <v>44.923098832241521</v>
      </c>
      <c r="J117" s="181">
        <f t="shared" si="300"/>
        <v>42.580903985022729</v>
      </c>
      <c r="K117" s="181">
        <f t="shared" si="300"/>
        <v>44.517268445839868</v>
      </c>
      <c r="L117" s="181">
        <f t="shared" si="300"/>
        <v>45.374804789172302</v>
      </c>
      <c r="M117" s="140"/>
      <c r="N117" s="181">
        <f t="shared" ref="N117:Q117" si="301">N112/N116</f>
        <v>45.791396103896105</v>
      </c>
      <c r="O117" s="181">
        <f t="shared" si="301"/>
        <v>43.871008616320324</v>
      </c>
      <c r="P117" s="227">
        <f t="shared" ref="P117" si="302">P112/P116</f>
        <v>45.866040520169186</v>
      </c>
      <c r="Q117" s="227">
        <f t="shared" si="301"/>
        <v>46.749558266067154</v>
      </c>
      <c r="R117" s="140"/>
      <c r="S117" s="227">
        <f t="shared" ref="S117:V117" si="303">S112/S116</f>
        <v>48.227188492111516</v>
      </c>
      <c r="T117" s="227">
        <f t="shared" si="303"/>
        <v>45.200200486354824</v>
      </c>
      <c r="U117" s="227">
        <f t="shared" si="303"/>
        <v>47.780740404816903</v>
      </c>
      <c r="V117" s="227">
        <f t="shared" si="303"/>
        <v>49.236318397130951</v>
      </c>
      <c r="W117" s="140"/>
      <c r="X117" s="227">
        <f t="shared" ref="X117:AA117" si="304">X112/X116</f>
        <v>49.688362713542318</v>
      </c>
      <c r="Y117" s="227">
        <f t="shared" si="304"/>
        <v>46.569663849639397</v>
      </c>
      <c r="Z117" s="227">
        <f t="shared" si="304"/>
        <v>49.228388263696665</v>
      </c>
      <c r="AA117" s="227">
        <f t="shared" si="304"/>
        <v>50.728066961570171</v>
      </c>
      <c r="AB117" s="140"/>
      <c r="AC117" s="227">
        <f t="shared" ref="AC117:AF117" si="305">AC112/AC116</f>
        <v>51.193807193558129</v>
      </c>
      <c r="AD117" s="227">
        <f t="shared" si="305"/>
        <v>48.513736828029081</v>
      </c>
      <c r="AE117" s="227">
        <f t="shared" si="305"/>
        <v>50.719896563112989</v>
      </c>
      <c r="AF117" s="227">
        <f t="shared" si="305"/>
        <v>52.265012117711422</v>
      </c>
      <c r="AG117" s="140"/>
      <c r="AH117" s="227">
        <f t="shared" ref="AH117:AK117" si="306">AH112/AH116</f>
        <v>52.7448632203958</v>
      </c>
      <c r="AI117" s="227">
        <f t="shared" si="306"/>
        <v>49.434322562203995</v>
      </c>
      <c r="AJ117" s="227">
        <f t="shared" si="306"/>
        <v>52.256594174747129</v>
      </c>
      <c r="AK117" s="227">
        <f t="shared" si="306"/>
        <v>53.848523219580024</v>
      </c>
      <c r="AL117" s="140"/>
    </row>
    <row r="118" spans="2:38" s="44" customFormat="1" outlineLevel="1" x14ac:dyDescent="0.3">
      <c r="B118" s="304" t="s">
        <v>184</v>
      </c>
      <c r="C118" s="305"/>
      <c r="D118" s="183" t="e">
        <f>D11/(AVERAGE(D86,#REF!))</f>
        <v>#REF!</v>
      </c>
      <c r="E118" s="139">
        <f>E11/(AVERAGE(E86,D86))</f>
        <v>2.9973821989528795</v>
      </c>
      <c r="F118" s="139">
        <f>F11/(AVERAGE(F86,E86))</f>
        <v>2.8829054477144647</v>
      </c>
      <c r="G118" s="139">
        <f>G11/(AVERAGE(G86,F86))</f>
        <v>2.4745762711864407</v>
      </c>
      <c r="H118" s="140"/>
      <c r="I118" s="183">
        <f>I11/(AVERAGE(I86,G86))</f>
        <v>2.385581649371928</v>
      </c>
      <c r="J118" s="139">
        <f>J11/(AVERAGE(J86,I86))</f>
        <v>2.8555555555555556</v>
      </c>
      <c r="K118" s="139">
        <f>K11/(AVERAGE(K86,J86))</f>
        <v>2.682871678914641</v>
      </c>
      <c r="L118" s="139">
        <f>L11/(AVERAGE(L86,K86))</f>
        <v>2.4066767830045523</v>
      </c>
      <c r="M118" s="140"/>
      <c r="N118" s="183">
        <f>N11/(AVERAGE(N86,L86))</f>
        <v>2.3739669421487601</v>
      </c>
      <c r="O118" s="139">
        <f>O11/(AVERAGE(O86,N86))</f>
        <v>2.7039291643608192</v>
      </c>
      <c r="P118" s="226">
        <f>O118*(K118/J118)</f>
        <v>2.5404145833344263</v>
      </c>
      <c r="Q118" s="226">
        <f>P118*(L118/K118)</f>
        <v>2.2788852873464882</v>
      </c>
      <c r="R118" s="140"/>
      <c r="S118" s="226">
        <f>Q118*(N118/L118)</f>
        <v>2.247912297701967</v>
      </c>
      <c r="T118" s="226">
        <f>S118*(O118/N118)</f>
        <v>2.5603539429155244</v>
      </c>
      <c r="U118" s="226">
        <f>T118*(P118/O118)</f>
        <v>2.4055217794945305</v>
      </c>
      <c r="V118" s="226">
        <f>U118*(Q118/P118)</f>
        <v>2.1578793586070271</v>
      </c>
      <c r="W118" s="140"/>
      <c r="X118" s="226">
        <f>V118*(S118/Q118)</f>
        <v>2.128550995569463</v>
      </c>
      <c r="Y118" s="226">
        <f>X118*(T118/S118)</f>
        <v>2.4244023842809157</v>
      </c>
      <c r="Z118" s="226">
        <f>Y118*(U118/T118)</f>
        <v>2.2777916130631741</v>
      </c>
      <c r="AA118" s="226">
        <f>Z118*(V118/U118)</f>
        <v>2.0432986917582818</v>
      </c>
      <c r="AB118" s="140"/>
      <c r="AC118" s="226">
        <f>AA118*(X118/V118)</f>
        <v>2.0155276277332979</v>
      </c>
      <c r="AD118" s="226">
        <f>AC118*(Y118/X118)</f>
        <v>2.2956696815964075</v>
      </c>
      <c r="AE118" s="226">
        <f>AD118*(Z118/Y118)</f>
        <v>2.1568437570459893</v>
      </c>
      <c r="AF118" s="226">
        <f>AE118*(AA118/Z118)</f>
        <v>1.9348021135139979</v>
      </c>
      <c r="AG118" s="140"/>
      <c r="AH118" s="226">
        <f>AF118*(AC118/AA118)</f>
        <v>1.9085056578921156</v>
      </c>
      <c r="AI118" s="226">
        <f>AH118*(AD118/AC118)</f>
        <v>2.1737725227341236</v>
      </c>
      <c r="AJ118" s="226">
        <f>AI118*(AE118/AD118)</f>
        <v>2.0423180793313582</v>
      </c>
      <c r="AK118" s="226">
        <f>AJ118*(AF118/AE118)</f>
        <v>1.8320665664582514</v>
      </c>
      <c r="AL118" s="140"/>
    </row>
    <row r="119" spans="2:38" outlineLevel="1" x14ac:dyDescent="0.3">
      <c r="B119" s="294" t="s">
        <v>44</v>
      </c>
      <c r="C119" s="323"/>
      <c r="D119" s="89" t="e">
        <f t="shared" ref="D119:G119" si="307">D112/D118</f>
        <v>#REF!</v>
      </c>
      <c r="E119" s="89">
        <f t="shared" si="307"/>
        <v>30.026200873362445</v>
      </c>
      <c r="F119" s="89">
        <f t="shared" si="307"/>
        <v>31.21850564726325</v>
      </c>
      <c r="G119" s="89">
        <f t="shared" si="307"/>
        <v>36.369863013698627</v>
      </c>
      <c r="H119" s="185"/>
      <c r="I119" s="89">
        <f t="shared" ref="I119:L119" si="308">I112/I118</f>
        <v>37.72664835164835</v>
      </c>
      <c r="J119" s="89">
        <f t="shared" si="308"/>
        <v>31.517509727626457</v>
      </c>
      <c r="K119" s="89">
        <f t="shared" si="308"/>
        <v>33.546144121365359</v>
      </c>
      <c r="L119" s="89">
        <f t="shared" si="308"/>
        <v>37.395964691046657</v>
      </c>
      <c r="M119" s="185"/>
      <c r="N119" s="89">
        <f t="shared" ref="N119:Q119" si="309">N112/N118</f>
        <v>37.911227154046998</v>
      </c>
      <c r="O119" s="89">
        <f t="shared" si="309"/>
        <v>33.284895620139174</v>
      </c>
      <c r="P119" s="218">
        <f t="shared" ref="P119" si="310">P112/P118</f>
        <v>35.427288360890415</v>
      </c>
      <c r="Q119" s="218">
        <f t="shared" si="309"/>
        <v>39.492992692403192</v>
      </c>
      <c r="R119" s="185"/>
      <c r="S119" s="218">
        <f t="shared" ref="S119:V119" si="311">S112/S118</f>
        <v>40.926863603198079</v>
      </c>
      <c r="T119" s="218">
        <f t="shared" si="311"/>
        <v>35.15139000567838</v>
      </c>
      <c r="U119" s="218">
        <f t="shared" si="311"/>
        <v>37.829630467582682</v>
      </c>
      <c r="V119" s="218">
        <f t="shared" si="311"/>
        <v>42.634450175837742</v>
      </c>
      <c r="W119" s="185"/>
      <c r="X119" s="218">
        <f t="shared" ref="X119:AA119" si="312">X112/X118</f>
        <v>43.221891414157419</v>
      </c>
      <c r="Y119" s="218">
        <f t="shared" si="312"/>
        <v>37.122550523598107</v>
      </c>
      <c r="Z119" s="218">
        <f t="shared" si="312"/>
        <v>39.950976848853699</v>
      </c>
      <c r="AA119" s="218">
        <f t="shared" si="312"/>
        <v>45.025233154156702</v>
      </c>
      <c r="AB119" s="185"/>
      <c r="AC119" s="218">
        <f t="shared" ref="AC119:AF119" si="313">AC112/AC118</f>
        <v>45.645615934059421</v>
      </c>
      <c r="AD119" s="218">
        <f t="shared" si="313"/>
        <v>39.63984920370541</v>
      </c>
      <c r="AE119" s="218">
        <f t="shared" si="313"/>
        <v>42.191280524016022</v>
      </c>
      <c r="AF119" s="218">
        <f t="shared" si="313"/>
        <v>47.550082438616478</v>
      </c>
      <c r="AG119" s="185"/>
      <c r="AH119" s="218">
        <f t="shared" ref="AH119:AK119" si="314">AH112/AH118</f>
        <v>48.205254000457671</v>
      </c>
      <c r="AI119" s="218">
        <f t="shared" si="314"/>
        <v>41.40267625004293</v>
      </c>
      <c r="AJ119" s="218">
        <f t="shared" si="314"/>
        <v>44.557212180089408</v>
      </c>
      <c r="AK119" s="218">
        <f t="shared" si="314"/>
        <v>50.216515974009766</v>
      </c>
      <c r="AL119" s="185"/>
    </row>
    <row r="120" spans="2:38" s="44" customFormat="1" outlineLevel="1" x14ac:dyDescent="0.3">
      <c r="B120" s="304" t="s">
        <v>185</v>
      </c>
      <c r="C120" s="305"/>
      <c r="D120" s="89" t="e">
        <f>D115+D117-D119</f>
        <v>#REF!</v>
      </c>
      <c r="E120" s="89" t="e">
        <f>E115+E117-E119</f>
        <v>#DIV/0!</v>
      </c>
      <c r="F120" s="89" t="e">
        <f>F115+F117-F119</f>
        <v>#DIV/0!</v>
      </c>
      <c r="G120" s="89" t="e">
        <f>G115+G117-G119</f>
        <v>#DIV/0!</v>
      </c>
      <c r="H120" s="185"/>
      <c r="I120" s="89" t="e">
        <f>I115+I117-I119</f>
        <v>#DIV/0!</v>
      </c>
      <c r="J120" s="89" t="e">
        <f>J115+J117-J119</f>
        <v>#DIV/0!</v>
      </c>
      <c r="K120" s="89" t="e">
        <f>K115+K117-K119</f>
        <v>#DIV/0!</v>
      </c>
      <c r="L120" s="89" t="e">
        <f>L115+L117-L119</f>
        <v>#DIV/0!</v>
      </c>
      <c r="M120" s="185"/>
      <c r="N120" s="89" t="e">
        <f>N115+N117-N119</f>
        <v>#DIV/0!</v>
      </c>
      <c r="O120" s="89" t="e">
        <f>O115+O117-O119</f>
        <v>#DIV/0!</v>
      </c>
      <c r="P120" s="218" t="e">
        <f>P115+P117-P119</f>
        <v>#DIV/0!</v>
      </c>
      <c r="Q120" s="218" t="e">
        <f>Q115+Q117-Q119</f>
        <v>#DIV/0!</v>
      </c>
      <c r="R120" s="185"/>
      <c r="S120" s="218" t="e">
        <f>S115+S117-S119</f>
        <v>#DIV/0!</v>
      </c>
      <c r="T120" s="218" t="e">
        <f>T115+T117-T119</f>
        <v>#DIV/0!</v>
      </c>
      <c r="U120" s="218" t="e">
        <f>U115+U117-U119</f>
        <v>#DIV/0!</v>
      </c>
      <c r="V120" s="218" t="e">
        <f>V115+V117-V119</f>
        <v>#DIV/0!</v>
      </c>
      <c r="W120" s="185"/>
      <c r="X120" s="218" t="e">
        <f>X115+X117-X119</f>
        <v>#DIV/0!</v>
      </c>
      <c r="Y120" s="218" t="e">
        <f>Y115+Y117-Y119</f>
        <v>#DIV/0!</v>
      </c>
      <c r="Z120" s="218" t="e">
        <f>Z115+Z117-Z119</f>
        <v>#DIV/0!</v>
      </c>
      <c r="AA120" s="218" t="e">
        <f>AA115+AA117-AA119</f>
        <v>#DIV/0!</v>
      </c>
      <c r="AB120" s="185"/>
      <c r="AC120" s="218" t="e">
        <f>AC115+AC117-AC119</f>
        <v>#DIV/0!</v>
      </c>
      <c r="AD120" s="218" t="e">
        <f>AD115+AD117-AD119</f>
        <v>#DIV/0!</v>
      </c>
      <c r="AE120" s="218" t="e">
        <f>AE115+AE117-AE119</f>
        <v>#DIV/0!</v>
      </c>
      <c r="AF120" s="218" t="e">
        <f>AF115+AF117-AF119</f>
        <v>#DIV/0!</v>
      </c>
      <c r="AG120" s="185"/>
      <c r="AH120" s="218" t="e">
        <f>AH115+AH117-AH119</f>
        <v>#DIV/0!</v>
      </c>
      <c r="AI120" s="218" t="e">
        <f>AI115+AI117-AI119</f>
        <v>#DIV/0!</v>
      </c>
      <c r="AJ120" s="218" t="e">
        <f>AJ115+AJ117-AJ119</f>
        <v>#DIV/0!</v>
      </c>
      <c r="AK120" s="218" t="e">
        <f>AK115+AK117-AK119</f>
        <v>#DIV/0!</v>
      </c>
      <c r="AL120" s="185"/>
    </row>
    <row r="121" spans="2:38" s="44" customFormat="1" outlineLevel="1" x14ac:dyDescent="0.3">
      <c r="B121" s="167" t="s">
        <v>199</v>
      </c>
      <c r="C121" s="203"/>
      <c r="D121" s="171" t="e">
        <f>(+D91+D88)/(D10+#REF!+#REF!+#REF!)</f>
        <v>#REF!</v>
      </c>
      <c r="E121" s="171" t="e">
        <f>(+E91+E88)/(E10+#REF!+#REF!+D10)</f>
        <v>#REF!</v>
      </c>
      <c r="F121" s="171" t="e">
        <f>(+F91+F88)/(F10+#REF!+E10+D10)</f>
        <v>#REF!</v>
      </c>
      <c r="G121" s="171">
        <f>(+G91+G88)/(G10+F10+D10+E10)</f>
        <v>3.4725578184328615E-2</v>
      </c>
      <c r="H121" s="172"/>
      <c r="I121" s="171">
        <f>(+I91+I88)/(I10+E10+F10+G10)</f>
        <v>3.4006595218466613E-2</v>
      </c>
      <c r="J121" s="171">
        <f>(+J91+J88)/(J10+F10+G10+I10)</f>
        <v>3.5367355315364619E-2</v>
      </c>
      <c r="K121" s="171">
        <f>(+K91+K88)/(K10+G10+J10+I10)</f>
        <v>3.4773159467535994E-2</v>
      </c>
      <c r="L121" s="171">
        <f>(+L91+L88)/(L10+K10+I10+J10)</f>
        <v>3.5000670510929331E-2</v>
      </c>
      <c r="M121" s="172"/>
      <c r="N121" s="171">
        <f>(+N91+N88)/(N10+J10+K10+L10)</f>
        <v>3.390953043247897E-2</v>
      </c>
      <c r="O121" s="171">
        <f>(+O91+O88)/(O10+K10+L10+N10)</f>
        <v>3.4365608258199398E-2</v>
      </c>
      <c r="P121" s="228">
        <v>0.05</v>
      </c>
      <c r="Q121" s="228">
        <v>0.05</v>
      </c>
      <c r="R121" s="173"/>
      <c r="S121" s="228">
        <v>0.05</v>
      </c>
      <c r="T121" s="228">
        <v>0.05</v>
      </c>
      <c r="U121" s="228">
        <v>0.05</v>
      </c>
      <c r="V121" s="228">
        <v>0.05</v>
      </c>
      <c r="W121" s="173"/>
      <c r="X121" s="228">
        <v>0.05</v>
      </c>
      <c r="Y121" s="228">
        <v>0.05</v>
      </c>
      <c r="Z121" s="228">
        <v>0.05</v>
      </c>
      <c r="AA121" s="228">
        <v>0.05</v>
      </c>
      <c r="AB121" s="173"/>
      <c r="AC121" s="228">
        <v>0.05</v>
      </c>
      <c r="AD121" s="228">
        <v>0.05</v>
      </c>
      <c r="AE121" s="228">
        <v>0.05</v>
      </c>
      <c r="AF121" s="228">
        <v>0.05</v>
      </c>
      <c r="AG121" s="173"/>
      <c r="AH121" s="228">
        <v>0.05</v>
      </c>
      <c r="AI121" s="228">
        <v>0.05</v>
      </c>
      <c r="AJ121" s="228">
        <v>0.05</v>
      </c>
      <c r="AK121" s="228">
        <v>0.05</v>
      </c>
      <c r="AL121" s="173"/>
    </row>
    <row r="122" spans="2:38" s="44" customFormat="1" outlineLevel="1" x14ac:dyDescent="0.3">
      <c r="B122" s="174" t="s">
        <v>178</v>
      </c>
      <c r="C122" s="204"/>
      <c r="D122" s="175">
        <f>D88/(D88+D91)</f>
        <v>1</v>
      </c>
      <c r="E122" s="175">
        <f>E88/(E88+E91)</f>
        <v>1</v>
      </c>
      <c r="F122" s="175">
        <f>F88/(F88+F91)</f>
        <v>1</v>
      </c>
      <c r="G122" s="175">
        <f>G88/(G88+G91)</f>
        <v>1</v>
      </c>
      <c r="H122" s="176"/>
      <c r="I122" s="175">
        <f>I88/(I88+I91)</f>
        <v>1</v>
      </c>
      <c r="J122" s="175">
        <f>J88/(J88+J91)</f>
        <v>1</v>
      </c>
      <c r="K122" s="175">
        <f>K88/(K88+K91)</f>
        <v>1</v>
      </c>
      <c r="L122" s="175">
        <f>L88/(L88+L91)</f>
        <v>1</v>
      </c>
      <c r="M122" s="176"/>
      <c r="N122" s="175">
        <f>N88/(N88+N91)</f>
        <v>1</v>
      </c>
      <c r="O122" s="175">
        <f>O88/(O88+O91)</f>
        <v>1</v>
      </c>
      <c r="P122" s="229">
        <v>0.71</v>
      </c>
      <c r="Q122" s="229">
        <v>0.71</v>
      </c>
      <c r="R122" s="177"/>
      <c r="S122" s="229">
        <v>0.71</v>
      </c>
      <c r="T122" s="229">
        <v>0.71</v>
      </c>
      <c r="U122" s="229">
        <v>0.71</v>
      </c>
      <c r="V122" s="229">
        <v>0.71</v>
      </c>
      <c r="W122" s="177"/>
      <c r="X122" s="229">
        <v>0.71</v>
      </c>
      <c r="Y122" s="229">
        <v>0.71</v>
      </c>
      <c r="Z122" s="229">
        <v>0.71</v>
      </c>
      <c r="AA122" s="229">
        <v>0.71</v>
      </c>
      <c r="AB122" s="177"/>
      <c r="AC122" s="229">
        <v>0.71</v>
      </c>
      <c r="AD122" s="229">
        <v>0.71</v>
      </c>
      <c r="AE122" s="229">
        <v>0.71</v>
      </c>
      <c r="AF122" s="229">
        <v>0.71</v>
      </c>
      <c r="AG122" s="177"/>
      <c r="AH122" s="229">
        <v>0.71</v>
      </c>
      <c r="AI122" s="229">
        <v>0.71</v>
      </c>
      <c r="AJ122" s="229">
        <v>0.71</v>
      </c>
      <c r="AK122" s="229">
        <v>0.71</v>
      </c>
      <c r="AL122" s="177"/>
    </row>
    <row r="123" spans="2:38" s="24" customFormat="1" outlineLevel="1" x14ac:dyDescent="0.3">
      <c r="B123" s="304" t="s">
        <v>200</v>
      </c>
      <c r="C123" s="308"/>
      <c r="D123" s="166" t="e">
        <f>D134/((D79+D81+#REF!+#REF!)/2)</f>
        <v>#REF!</v>
      </c>
      <c r="E123" s="166">
        <f>E134/((E79+E81+D79+D81)/2)</f>
        <v>3.0854567516033975E-2</v>
      </c>
      <c r="F123" s="166">
        <f>F134/((F79+F81+E79+E81)/2)</f>
        <v>3.0079064970780337E-2</v>
      </c>
      <c r="G123" s="166">
        <f>G134/((G79+G81+F79+F81)/2)</f>
        <v>2.8735873629374447E-2</v>
      </c>
      <c r="H123" s="231"/>
      <c r="I123" s="166">
        <f>I134/((I79+I81+G79+G81)/2)</f>
        <v>2.8512736236647494E-2</v>
      </c>
      <c r="J123" s="166">
        <f>J134/((J79+J81+I79+I81)/2)</f>
        <v>3.14599377355399E-2</v>
      </c>
      <c r="K123" s="166">
        <f>K134/((K79+K81+J79+J81)/2)</f>
        <v>3.0635108159856601E-2</v>
      </c>
      <c r="L123" s="166">
        <f>L134/((L79+L81+K79+K81)/2)</f>
        <v>2.9739179359402002E-2</v>
      </c>
      <c r="M123" s="231"/>
      <c r="N123" s="166">
        <f>N134/((N79+N81+L79+L81)/2)</f>
        <v>2.8735180968830966E-2</v>
      </c>
      <c r="O123" s="166">
        <f>O134/((O79+O81+N79+N81)/2)</f>
        <v>3.1254776096591774E-2</v>
      </c>
      <c r="P123" s="232">
        <f>AVERAGE(O123,N123,M123,K123)</f>
        <v>3.0208355075093115E-2</v>
      </c>
      <c r="Q123" s="232">
        <f>AVERAGE(P123,O123,N123,L123)</f>
        <v>2.9984372874979463E-2</v>
      </c>
      <c r="R123" s="230"/>
      <c r="S123" s="232">
        <f>AVERAGE(Q123,P123,O123,N123)</f>
        <v>3.0045671253873828E-2</v>
      </c>
      <c r="T123" s="232">
        <f>AVERAGE(S123,Q123,P123,O123)</f>
        <v>3.0373293825134547E-2</v>
      </c>
      <c r="U123" s="232">
        <f>AVERAGE(T123,S123,Q123,P123)</f>
        <v>3.0152923257270238E-2</v>
      </c>
      <c r="V123" s="232">
        <f>AVERAGE(U123,T123,S123,Q123)</f>
        <v>3.0139065302814516E-2</v>
      </c>
      <c r="W123" s="230"/>
      <c r="X123" s="232">
        <f>AVERAGE(V123,U123,T123,S123)</f>
        <v>3.017773840977328E-2</v>
      </c>
      <c r="Y123" s="232">
        <f>AVERAGE(X123,V123,U123,T123)</f>
        <v>3.0210755198748142E-2</v>
      </c>
      <c r="Z123" s="232">
        <f>AVERAGE(Y123,X123,V123,U123)</f>
        <v>3.0170120542151541E-2</v>
      </c>
      <c r="AA123" s="232">
        <f>AVERAGE(Z123,Y123,X123,V123)</f>
        <v>3.0174419863371868E-2</v>
      </c>
      <c r="AB123" s="230"/>
      <c r="AC123" s="232">
        <f>AVERAGE(AA123,Z123,Y123,X123)</f>
        <v>3.0183258503511209E-2</v>
      </c>
      <c r="AD123" s="232">
        <f>AVERAGE(AC123,AA123,Z123,Y123)</f>
        <v>3.0184638526945688E-2</v>
      </c>
      <c r="AE123" s="232">
        <f>AVERAGE(AD123,AC123,AA123,Z123)</f>
        <v>3.0178109358995078E-2</v>
      </c>
      <c r="AF123" s="232">
        <f>AVERAGE(AE123,AD123,AC123,AA123)</f>
        <v>3.0180106563205963E-2</v>
      </c>
      <c r="AG123" s="230"/>
      <c r="AH123" s="232">
        <f>AVERAGE(AF123,AE123,AD123,AC123)</f>
        <v>3.0181528238164484E-2</v>
      </c>
      <c r="AI123" s="232">
        <f>AVERAGE(AH123,AF123,AE123,AD123)</f>
        <v>3.0181095671827807E-2</v>
      </c>
      <c r="AJ123" s="232">
        <f>AVERAGE(AI123,AH123,AF123,AE123)</f>
        <v>3.0180209958048335E-2</v>
      </c>
      <c r="AK123" s="232">
        <f>AVERAGE(AJ123,AI123,AH123,AF123)</f>
        <v>3.0180735107811649E-2</v>
      </c>
      <c r="AL123" s="230"/>
    </row>
    <row r="124" spans="2:38" outlineLevel="1" x14ac:dyDescent="0.3">
      <c r="B124" s="304" t="s">
        <v>170</v>
      </c>
      <c r="C124" s="305"/>
      <c r="D124" s="141">
        <f>(D92+D89)/D103</f>
        <v>1.6389342033713974</v>
      </c>
      <c r="E124" s="141">
        <f>(E92+E89)/E103</f>
        <v>1.6509296390812978</v>
      </c>
      <c r="F124" s="141">
        <f>(F92+F89)/F103</f>
        <v>1.7705570291777188</v>
      </c>
      <c r="G124" s="141">
        <f>(G92+G89)/G103</f>
        <v>1.5768400066456223</v>
      </c>
      <c r="H124" s="185"/>
      <c r="I124" s="141">
        <f>(I92+I89)/I103</f>
        <v>1.6474189278623428</v>
      </c>
      <c r="J124" s="141">
        <f>(J92+J89)/J103</f>
        <v>1.6181037330690453</v>
      </c>
      <c r="K124" s="141">
        <f>(K92+K89)/K103</f>
        <v>1.605385478442058</v>
      </c>
      <c r="L124" s="141">
        <f>(L92+L89)/L103</f>
        <v>1.5977689243027888</v>
      </c>
      <c r="M124" s="185"/>
      <c r="N124" s="141">
        <f>(N92+N89)/N103</f>
        <v>1.6159002338269681</v>
      </c>
      <c r="O124" s="141">
        <f>(O92+O89)/O103</f>
        <v>1.9701515620167027</v>
      </c>
      <c r="P124" s="232">
        <f>AVERAGE(O124,N124,M124,K124)</f>
        <v>1.7304790914285764</v>
      </c>
      <c r="Q124" s="232">
        <f>AVERAGE(P124,O124,N124,L124)</f>
        <v>1.7285749528937591</v>
      </c>
      <c r="R124" s="185"/>
      <c r="S124" s="232">
        <f>AVERAGE(Q124,P124,O124,N124)</f>
        <v>1.7612764600415016</v>
      </c>
      <c r="T124" s="232">
        <f>AVERAGE(S124,Q124,P124,O124)</f>
        <v>1.7976205165951351</v>
      </c>
      <c r="U124" s="232">
        <f>AVERAGE(T124,S124,Q124,P124)</f>
        <v>1.7544877552397431</v>
      </c>
      <c r="V124" s="232">
        <f>AVERAGE(U124,T124,S124,Q124)</f>
        <v>1.7604899211925349</v>
      </c>
      <c r="W124" s="185"/>
      <c r="X124" s="232">
        <f>AVERAGE(V124,U124,T124,S124)</f>
        <v>1.7684686632672286</v>
      </c>
      <c r="Y124" s="232">
        <f>AVERAGE(X124,V124,U124,T124)</f>
        <v>1.7702667140736603</v>
      </c>
      <c r="Z124" s="232">
        <f>AVERAGE(Y124,X124,V124,U124)</f>
        <v>1.7634282634432916</v>
      </c>
      <c r="AA124" s="232">
        <f>AVERAGE(Z124,Y124,X124,V124)</f>
        <v>1.7656633904941788</v>
      </c>
      <c r="AB124" s="185"/>
      <c r="AC124" s="232">
        <f>AVERAGE(AA124,Z124,Y124,X124)</f>
        <v>1.7669567578195897</v>
      </c>
      <c r="AD124" s="232">
        <f>AVERAGE(AC124,AA124,Z124,Y124)</f>
        <v>1.7665787814576801</v>
      </c>
      <c r="AE124" s="232">
        <f>AVERAGE(AD124,AC124,AA124,Z124)</f>
        <v>1.7656567983036848</v>
      </c>
      <c r="AF124" s="232">
        <f>AVERAGE(AE124,AD124,AC124,AA124)</f>
        <v>1.7662139320187835</v>
      </c>
      <c r="AG124" s="185"/>
      <c r="AH124" s="232">
        <f>AVERAGE(AF124,AE124,AD124,AC124)</f>
        <v>1.7663515673999346</v>
      </c>
      <c r="AI124" s="232">
        <f>AVERAGE(AH124,AF124,AE124,AD124)</f>
        <v>1.7662002697950205</v>
      </c>
      <c r="AJ124" s="232">
        <f>AVERAGE(AI124,AH124,AF124,AE124)</f>
        <v>1.7661056418793559</v>
      </c>
      <c r="AK124" s="232">
        <f>AVERAGE(AJ124,AI124,AH124,AF124)</f>
        <v>1.7662178527732737</v>
      </c>
      <c r="AL124" s="185"/>
    </row>
    <row r="125" spans="2:38" s="94" customFormat="1" outlineLevel="1" x14ac:dyDescent="0.3">
      <c r="B125" s="152" t="s">
        <v>192</v>
      </c>
      <c r="C125" s="153"/>
      <c r="D125" s="141" t="e">
        <f>(D89+D92)/(#REF!+#REF!)-1</f>
        <v>#REF!</v>
      </c>
      <c r="E125" s="141">
        <f>(E89+E92)/(D89+D92)-1</f>
        <v>1.6589250165892633E-3</v>
      </c>
      <c r="F125" s="141">
        <f>(F89+F92)/(E89+E92)-1</f>
        <v>3.1798608810864604E-2</v>
      </c>
      <c r="G125" s="141">
        <f>(G89+G92)/(F89+F92)-1</f>
        <v>1.5623327982878576E-2</v>
      </c>
      <c r="H125" s="185"/>
      <c r="I125" s="141">
        <f>(I89+I92)/(G89+G92)-1</f>
        <v>4.9099146559898887E-2</v>
      </c>
      <c r="J125" s="141">
        <f>(J89+J92)/(I89+I92)-1</f>
        <v>-1.6169528974590786E-2</v>
      </c>
      <c r="K125" s="141">
        <f>(K89+K92)/(J89+J92)-1</f>
        <v>2.2458146182115168E-2</v>
      </c>
      <c r="L125" s="141">
        <f>(L89+L92)/(K89+K92)-1</f>
        <v>9.9840255591043814E-4</v>
      </c>
      <c r="M125" s="185"/>
      <c r="N125" s="141">
        <f>(N89+N92)/(L89+L92)-1</f>
        <v>3.3911829243965741E-2</v>
      </c>
      <c r="O125" s="141">
        <f>(O89+O92)/(N89+N92)-1</f>
        <v>0.22892147404977803</v>
      </c>
      <c r="P125" s="232">
        <f>(P89+P92)/(O89+O92)-1</f>
        <v>3.7162442929663086E-2</v>
      </c>
      <c r="Q125" s="232">
        <f>(Q89+Q92)/(P89+P92)-1</f>
        <v>1.0277797929629795E-3</v>
      </c>
      <c r="R125" s="185"/>
      <c r="S125" s="232">
        <f>(S89+S92)/(Q89+Q92)-1</f>
        <v>-8.1338697707326602E-2</v>
      </c>
      <c r="T125" s="232">
        <f>(T89+T92)/(S89+S92)-1</f>
        <v>6.4865930722951326E-2</v>
      </c>
      <c r="U125" s="232">
        <f>(U89+U92)/(T89+T92)-1</f>
        <v>3.2813930048223749E-2</v>
      </c>
      <c r="V125" s="232">
        <f>(V89+V92)/(U89+U92)-1</f>
        <v>4.9069045947162104E-2</v>
      </c>
      <c r="W125" s="185"/>
      <c r="X125" s="232">
        <f>(X89+X92)/(V89+V92)-1</f>
        <v>1.6195901062319162E-2</v>
      </c>
      <c r="Y125" s="232">
        <f>(Y89+Y92)/(X89+X92)-1</f>
        <v>4.2981753831326186E-2</v>
      </c>
      <c r="Z125" s="232">
        <f>(Z89+Z92)/(Y89+Y92)-1</f>
        <v>4.6611105818790577E-2</v>
      </c>
      <c r="AA125" s="232">
        <f>(AA89+AA92)/(Z89+Z92)-1</f>
        <v>3.9516827746990391E-2</v>
      </c>
      <c r="AB125" s="185"/>
      <c r="AC125" s="232">
        <f>(AC89+AC92)/(AA89+AA92)-1</f>
        <v>1.3293450815480945E-2</v>
      </c>
      <c r="AD125" s="232">
        <f>(AD89+AD92)/(AC89+AC92)-1</f>
        <v>4.0408276493547168E-2</v>
      </c>
      <c r="AE125" s="232">
        <f>(AE89+AE92)/(AD89+AD92)-1</f>
        <v>4.4470144392187549E-2</v>
      </c>
      <c r="AF125" s="232">
        <f>(AF89+AF92)/(AE89+AE92)-1</f>
        <v>3.8801079958680207E-2</v>
      </c>
      <c r="AG125" s="185"/>
      <c r="AH125" s="232">
        <f>(AH89+AH92)/(AF89+AF92)-1</f>
        <v>1.3437003536280745E-2</v>
      </c>
      <c r="AI125" s="232">
        <f>(AI89+AI92)/(AH89+AH92)-1</f>
        <v>3.9379351935484808E-2</v>
      </c>
      <c r="AJ125" s="232">
        <f>(AJ89+AJ92)/(AI89+AI92)-1</f>
        <v>4.0263917088299461E-2</v>
      </c>
      <c r="AK125" s="232">
        <f>(AK89+AK92)/(AJ89+AJ92)-1</f>
        <v>5.8785565915714599E-2</v>
      </c>
      <c r="AL125" s="185"/>
    </row>
    <row r="126" spans="2:38" s="87" customFormat="1" outlineLevel="1" x14ac:dyDescent="0.3">
      <c r="B126" s="135" t="s">
        <v>172</v>
      </c>
      <c r="C126" s="136"/>
      <c r="D126" s="142">
        <f>D89/(D89+D92)</f>
        <v>4.3795620437956206E-2</v>
      </c>
      <c r="E126" s="233">
        <f>E89/(E89+E92)</f>
        <v>4.3060616098045713E-2</v>
      </c>
      <c r="F126" s="233">
        <f>F89/(F89+F92)</f>
        <v>9.0957731407169604E-2</v>
      </c>
      <c r="G126" s="234">
        <f>G89/(G89+G92)</f>
        <v>7.7863238857865349E-2</v>
      </c>
      <c r="H126" s="162"/>
      <c r="I126" s="142">
        <f>I89/(I89+I92)</f>
        <v>0.10605604097619765</v>
      </c>
      <c r="J126" s="233">
        <f>J89/(J89+J92)</f>
        <v>8.4524295630869745E-2</v>
      </c>
      <c r="K126" s="233">
        <f>K89/(K89+K92)</f>
        <v>4.4628594249201278E-2</v>
      </c>
      <c r="L126" s="234">
        <f>L89/(L89+L92)</f>
        <v>4.3087971274685818E-2</v>
      </c>
      <c r="M126" s="162"/>
      <c r="N126" s="142">
        <f>N89/(N89+N92)</f>
        <v>0.10061740304842755</v>
      </c>
      <c r="O126" s="233">
        <f>O89/(O89+O92)</f>
        <v>9.105895282204254E-3</v>
      </c>
      <c r="P126" s="234">
        <f>AVERAGE(O126,N126,M126,K126)</f>
        <v>5.1450630859944356E-2</v>
      </c>
      <c r="Q126" s="234">
        <f>AVERAGE(P126,O126,N126,L126)</f>
        <v>5.1065475116315498E-2</v>
      </c>
      <c r="R126" s="233"/>
      <c r="S126" s="142">
        <f>AVERAGE(Q126,P126,O126,N126)</f>
        <v>5.3059851076722911E-2</v>
      </c>
      <c r="T126" s="233">
        <f>AVERAGE(S126,Q126,P126,O126)</f>
        <v>4.1170463083796759E-2</v>
      </c>
      <c r="U126" s="233">
        <f>AVERAGE(T126,S126,Q126,P126)</f>
        <v>4.9186605034194884E-2</v>
      </c>
      <c r="V126" s="234">
        <f>AVERAGE(U126,T126,S126,Q126)</f>
        <v>4.8620598577757509E-2</v>
      </c>
      <c r="W126" s="233"/>
      <c r="X126" s="142">
        <f>AVERAGE(V126,U126,T126,S126)</f>
        <v>4.8009379443118019E-2</v>
      </c>
      <c r="Y126" s="233">
        <f>AVERAGE(X126,V126,U126,T126)</f>
        <v>4.6746761534716796E-2</v>
      </c>
      <c r="Z126" s="233">
        <f>AVERAGE(Y126,X126,V126,U126)</f>
        <v>4.8140836147446804E-2</v>
      </c>
      <c r="AA126" s="234">
        <f>AVERAGE(Z126,Y126,X126,V126)</f>
        <v>4.7879393925759781E-2</v>
      </c>
      <c r="AB126" s="233"/>
      <c r="AC126" s="142">
        <f>AVERAGE(AA126,Z126,Y126,X126)</f>
        <v>4.7694092762760348E-2</v>
      </c>
      <c r="AD126" s="233">
        <f>AVERAGE(AC126,AA126,Z126,Y126)</f>
        <v>4.7615271092670934E-2</v>
      </c>
      <c r="AE126" s="233">
        <f>AVERAGE(AD126,AC126,AA126,Z126)</f>
        <v>4.7832398482159463E-2</v>
      </c>
      <c r="AF126" s="234">
        <f>AVERAGE(AE126,AD126,AC126,AA126)</f>
        <v>4.7755289065837633E-2</v>
      </c>
      <c r="AG126" s="233"/>
      <c r="AH126" s="142">
        <f>AVERAGE(AF126,AE126,AD126,AC126)</f>
        <v>4.7724262850857097E-2</v>
      </c>
      <c r="AI126" s="233">
        <f>AVERAGE(AH126,AF126,AE126,AD126)</f>
        <v>4.7731805372881284E-2</v>
      </c>
      <c r="AJ126" s="233">
        <f>AVERAGE(AI126,AH126,AF126,AE126)</f>
        <v>4.7760938942933873E-2</v>
      </c>
      <c r="AK126" s="234">
        <f>AVERAGE(AJ126,AI126,AH126,AF126)</f>
        <v>4.7743074058127472E-2</v>
      </c>
      <c r="AL126" s="235"/>
    </row>
    <row r="127" spans="2:38" x14ac:dyDescent="0.3">
      <c r="B127" s="62"/>
      <c r="C127" s="63"/>
      <c r="D127" s="137"/>
      <c r="E127" s="165"/>
      <c r="F127" s="165"/>
      <c r="G127" s="165"/>
      <c r="H127" s="165"/>
      <c r="I127" s="165"/>
      <c r="J127" s="165"/>
      <c r="K127" s="165"/>
      <c r="L127" s="165"/>
      <c r="M127" s="165"/>
      <c r="N127" s="165"/>
      <c r="O127" s="165"/>
      <c r="P127" s="165"/>
    </row>
    <row r="128" spans="2:38" ht="15.6" x14ac:dyDescent="0.3">
      <c r="B128" s="300" t="s">
        <v>275</v>
      </c>
      <c r="C128" s="301"/>
      <c r="D128" s="256" t="s">
        <v>68</v>
      </c>
      <c r="E128" s="256" t="s">
        <v>244</v>
      </c>
      <c r="F128" s="256" t="s">
        <v>245</v>
      </c>
      <c r="G128" s="256" t="s">
        <v>69</v>
      </c>
      <c r="H128" s="256" t="s">
        <v>246</v>
      </c>
      <c r="I128" s="256" t="s">
        <v>70</v>
      </c>
      <c r="J128" s="256" t="s">
        <v>247</v>
      </c>
      <c r="K128" s="256" t="s">
        <v>248</v>
      </c>
      <c r="L128" s="256" t="s">
        <v>71</v>
      </c>
      <c r="M128" s="256" t="s">
        <v>246</v>
      </c>
      <c r="N128" s="256" t="s">
        <v>72</v>
      </c>
      <c r="O128" s="256" t="s">
        <v>249</v>
      </c>
      <c r="P128" s="257" t="s">
        <v>250</v>
      </c>
      <c r="Q128" s="257" t="s">
        <v>129</v>
      </c>
      <c r="R128" s="257" t="s">
        <v>129</v>
      </c>
      <c r="S128" s="97" t="s">
        <v>130</v>
      </c>
      <c r="T128" s="97" t="s">
        <v>131</v>
      </c>
      <c r="U128" s="97" t="s">
        <v>132</v>
      </c>
      <c r="V128" s="97" t="s">
        <v>140</v>
      </c>
      <c r="W128" s="97" t="s">
        <v>140</v>
      </c>
      <c r="X128" s="97" t="s">
        <v>141</v>
      </c>
      <c r="Y128" s="97" t="s">
        <v>142</v>
      </c>
      <c r="Z128" s="97" t="s">
        <v>143</v>
      </c>
      <c r="AA128" s="97" t="s">
        <v>219</v>
      </c>
      <c r="AB128" s="97" t="s">
        <v>219</v>
      </c>
      <c r="AC128" s="97" t="s">
        <v>220</v>
      </c>
      <c r="AD128" s="97" t="s">
        <v>221</v>
      </c>
      <c r="AE128" s="97" t="s">
        <v>222</v>
      </c>
      <c r="AF128" s="97" t="s">
        <v>229</v>
      </c>
      <c r="AG128" s="97" t="s">
        <v>229</v>
      </c>
      <c r="AH128" s="97" t="s">
        <v>231</v>
      </c>
      <c r="AI128" s="97" t="s">
        <v>233</v>
      </c>
      <c r="AJ128" s="97" t="s">
        <v>224</v>
      </c>
      <c r="AK128" s="97" t="s">
        <v>267</v>
      </c>
      <c r="AL128" s="97" t="s">
        <v>267</v>
      </c>
    </row>
    <row r="129" spans="2:38" ht="16.2" x14ac:dyDescent="0.45">
      <c r="B129" s="145" t="s">
        <v>7</v>
      </c>
      <c r="C129" s="146"/>
      <c r="D129" s="77" t="s">
        <v>148</v>
      </c>
      <c r="E129" s="77" t="s">
        <v>196</v>
      </c>
      <c r="F129" s="216" t="s">
        <v>236</v>
      </c>
      <c r="G129" s="216" t="s">
        <v>237</v>
      </c>
      <c r="H129" s="216" t="s">
        <v>238</v>
      </c>
      <c r="I129" s="216" t="s">
        <v>239</v>
      </c>
      <c r="J129" s="216" t="s">
        <v>240</v>
      </c>
      <c r="K129" s="216" t="s">
        <v>241</v>
      </c>
      <c r="L129" s="216" t="s">
        <v>242</v>
      </c>
      <c r="M129" s="216" t="s">
        <v>243</v>
      </c>
      <c r="N129" s="258">
        <v>2019</v>
      </c>
      <c r="O129" s="258">
        <v>2019</v>
      </c>
      <c r="P129" s="259" t="s">
        <v>251</v>
      </c>
      <c r="Q129" s="259" t="s">
        <v>251</v>
      </c>
      <c r="R129" s="259" t="s">
        <v>263</v>
      </c>
      <c r="S129" s="98" t="s">
        <v>128</v>
      </c>
      <c r="T129" s="98" t="s">
        <v>133</v>
      </c>
      <c r="U129" s="98" t="s">
        <v>134</v>
      </c>
      <c r="V129" s="98" t="s">
        <v>135</v>
      </c>
      <c r="W129" s="98" t="s">
        <v>136</v>
      </c>
      <c r="X129" s="98" t="s">
        <v>144</v>
      </c>
      <c r="Y129" s="98" t="s">
        <v>145</v>
      </c>
      <c r="Z129" s="98" t="s">
        <v>146</v>
      </c>
      <c r="AA129" s="98" t="s">
        <v>266</v>
      </c>
      <c r="AB129" s="98" t="s">
        <v>147</v>
      </c>
      <c r="AC129" s="98" t="s">
        <v>265</v>
      </c>
      <c r="AD129" s="98" t="s">
        <v>226</v>
      </c>
      <c r="AE129" s="98" t="s">
        <v>227</v>
      </c>
      <c r="AF129" s="98" t="s">
        <v>228</v>
      </c>
      <c r="AG129" s="98" t="s">
        <v>223</v>
      </c>
      <c r="AH129" s="98" t="s">
        <v>230</v>
      </c>
      <c r="AI129" s="98" t="s">
        <v>232</v>
      </c>
      <c r="AJ129" s="98" t="s">
        <v>234</v>
      </c>
      <c r="AK129" s="98" t="s">
        <v>235</v>
      </c>
      <c r="AL129" s="98" t="s">
        <v>225</v>
      </c>
    </row>
    <row r="130" spans="2:38" outlineLevel="1" x14ac:dyDescent="0.3">
      <c r="B130" s="319" t="s">
        <v>23</v>
      </c>
      <c r="C130" s="320"/>
      <c r="D130" s="9"/>
      <c r="E130" s="11"/>
      <c r="F130" s="11"/>
      <c r="G130" s="11"/>
      <c r="H130" s="12"/>
      <c r="I130" s="11"/>
      <c r="J130" s="11"/>
      <c r="K130" s="11"/>
      <c r="L130" s="11"/>
      <c r="M130" s="12"/>
      <c r="N130" s="11"/>
      <c r="O130" s="11"/>
      <c r="P130" s="11"/>
      <c r="Q130" s="7"/>
      <c r="R130" s="12"/>
      <c r="S130" s="9"/>
      <c r="T130" s="11"/>
      <c r="U130" s="7"/>
      <c r="V130" s="7"/>
      <c r="W130" s="12"/>
      <c r="X130" s="9"/>
      <c r="Y130" s="11"/>
      <c r="Z130" s="7"/>
      <c r="AA130" s="7"/>
      <c r="AB130" s="12"/>
      <c r="AC130" s="9"/>
      <c r="AD130" s="11"/>
      <c r="AE130" s="7"/>
      <c r="AF130" s="7"/>
      <c r="AG130" s="12"/>
      <c r="AH130" s="9"/>
      <c r="AI130" s="11"/>
      <c r="AJ130" s="7"/>
      <c r="AK130" s="7"/>
      <c r="AL130" s="12"/>
    </row>
    <row r="131" spans="2:38" outlineLevel="1" x14ac:dyDescent="0.3">
      <c r="B131" s="304" t="s">
        <v>24</v>
      </c>
      <c r="C131" s="308"/>
      <c r="D131" s="27">
        <f t="shared" ref="D131:AL131" si="315">D24</f>
        <v>297</v>
      </c>
      <c r="E131" s="28">
        <f t="shared" si="315"/>
        <v>361</v>
      </c>
      <c r="F131" s="28">
        <f t="shared" si="315"/>
        <v>388</v>
      </c>
      <c r="G131" s="28">
        <f t="shared" si="315"/>
        <v>903</v>
      </c>
      <c r="H131" s="60">
        <f t="shared" si="315"/>
        <v>1949</v>
      </c>
      <c r="I131" s="28">
        <f t="shared" si="315"/>
        <v>395</v>
      </c>
      <c r="J131" s="28">
        <f t="shared" si="315"/>
        <v>499</v>
      </c>
      <c r="K131" s="28">
        <f t="shared" si="315"/>
        <v>498</v>
      </c>
      <c r="L131" s="28">
        <f t="shared" si="315"/>
        <v>531</v>
      </c>
      <c r="M131" s="60">
        <f t="shared" si="315"/>
        <v>1923</v>
      </c>
      <c r="N131" s="28">
        <f t="shared" si="315"/>
        <v>347</v>
      </c>
      <c r="O131" s="28">
        <f t="shared" si="315"/>
        <v>382</v>
      </c>
      <c r="P131" s="28">
        <f t="shared" si="315"/>
        <v>463.48850452955742</v>
      </c>
      <c r="Q131" s="28">
        <f t="shared" si="315"/>
        <v>527.1357079884134</v>
      </c>
      <c r="R131" s="60">
        <f t="shared" si="315"/>
        <v>1719.624212517971</v>
      </c>
      <c r="S131" s="27">
        <f t="shared" si="315"/>
        <v>441.73379655421235</v>
      </c>
      <c r="T131" s="28">
        <f t="shared" si="315"/>
        <v>557.6807422765628</v>
      </c>
      <c r="U131" s="28">
        <f t="shared" si="315"/>
        <v>559.79847788896325</v>
      </c>
      <c r="V131" s="28">
        <f t="shared" si="315"/>
        <v>657.05816602722916</v>
      </c>
      <c r="W131" s="60">
        <f t="shared" si="315"/>
        <v>2216.2711827469675</v>
      </c>
      <c r="X131" s="27">
        <f t="shared" si="315"/>
        <v>470.16984759556544</v>
      </c>
      <c r="Y131" s="28">
        <f t="shared" si="315"/>
        <v>593.48789597032805</v>
      </c>
      <c r="Z131" s="28">
        <f t="shared" si="315"/>
        <v>562.63933469683468</v>
      </c>
      <c r="AA131" s="28">
        <f t="shared" si="315"/>
        <v>689.19886666278489</v>
      </c>
      <c r="AB131" s="60">
        <f t="shared" si="315"/>
        <v>2315.4959449255148</v>
      </c>
      <c r="AC131" s="27">
        <f t="shared" si="315"/>
        <v>495.73097922967031</v>
      </c>
      <c r="AD131" s="28">
        <f t="shared" si="315"/>
        <v>628.95147414296571</v>
      </c>
      <c r="AE131" s="28">
        <f t="shared" si="315"/>
        <v>567.69735402234983</v>
      </c>
      <c r="AF131" s="28">
        <f t="shared" si="315"/>
        <v>726.07443948266564</v>
      </c>
      <c r="AG131" s="60">
        <f t="shared" si="315"/>
        <v>2418.454246877649</v>
      </c>
      <c r="AH131" s="27">
        <f t="shared" si="315"/>
        <v>523.51661847003413</v>
      </c>
      <c r="AI131" s="28">
        <f t="shared" si="315"/>
        <v>666.90759558607681</v>
      </c>
      <c r="AJ131" s="28">
        <f t="shared" si="315"/>
        <v>573.68320755309799</v>
      </c>
      <c r="AK131" s="28">
        <f t="shared" si="315"/>
        <v>766.06769180212677</v>
      </c>
      <c r="AL131" s="60">
        <f t="shared" si="315"/>
        <v>2530.1751134113329</v>
      </c>
    </row>
    <row r="132" spans="2:38" s="94" customFormat="1" outlineLevel="1" x14ac:dyDescent="0.3">
      <c r="B132" s="304" t="s">
        <v>174</v>
      </c>
      <c r="C132" s="308"/>
      <c r="D132" s="27"/>
      <c r="E132" s="28"/>
      <c r="F132" s="28"/>
      <c r="G132" s="28"/>
      <c r="H132" s="60"/>
      <c r="I132" s="28"/>
      <c r="J132" s="28"/>
      <c r="K132" s="28"/>
      <c r="L132" s="28"/>
      <c r="M132" s="60"/>
      <c r="N132" s="28"/>
      <c r="O132" s="28"/>
      <c r="P132" s="28"/>
      <c r="Q132" s="28"/>
      <c r="R132" s="60"/>
      <c r="S132" s="27"/>
      <c r="T132" s="28"/>
      <c r="U132" s="28"/>
      <c r="V132" s="28"/>
      <c r="W132" s="60"/>
      <c r="X132" s="27">
        <f>449/4</f>
        <v>112.25</v>
      </c>
      <c r="Y132" s="28">
        <f t="shared" ref="Y132:AA132" si="316">449/4</f>
        <v>112.25</v>
      </c>
      <c r="Z132" s="28">
        <f t="shared" si="316"/>
        <v>112.25</v>
      </c>
      <c r="AA132" s="28">
        <f t="shared" si="316"/>
        <v>112.25</v>
      </c>
      <c r="AB132" s="60"/>
      <c r="AC132" s="27">
        <v>63.75</v>
      </c>
      <c r="AD132" s="28">
        <v>63.75</v>
      </c>
      <c r="AE132" s="28">
        <v>63.75</v>
      </c>
      <c r="AF132" s="28">
        <v>63.75</v>
      </c>
      <c r="AG132" s="60"/>
      <c r="AH132" s="27">
        <v>43.75</v>
      </c>
      <c r="AI132" s="28">
        <v>43.75</v>
      </c>
      <c r="AJ132" s="28">
        <v>43.75</v>
      </c>
      <c r="AK132" s="28">
        <v>43.75</v>
      </c>
      <c r="AL132" s="60"/>
    </row>
    <row r="133" spans="2:38" s="94" customFormat="1" ht="16.2" outlineLevel="1" x14ac:dyDescent="0.45">
      <c r="B133" s="143" t="s">
        <v>177</v>
      </c>
      <c r="C133" s="144"/>
      <c r="D133" s="114">
        <v>328</v>
      </c>
      <c r="E133" s="115">
        <v>356</v>
      </c>
      <c r="F133" s="236">
        <v>350</v>
      </c>
      <c r="G133" s="236">
        <v>342</v>
      </c>
      <c r="H133" s="117">
        <f>SUM(D133:G133)</f>
        <v>1376</v>
      </c>
      <c r="I133" s="267">
        <v>347</v>
      </c>
      <c r="J133" s="267">
        <v>384</v>
      </c>
      <c r="K133" s="267">
        <v>376</v>
      </c>
      <c r="L133" s="267">
        <v>370</v>
      </c>
      <c r="M133" s="117">
        <f>SUM(I133:L133)</f>
        <v>1477</v>
      </c>
      <c r="N133" s="115">
        <v>366</v>
      </c>
      <c r="O133" s="115">
        <v>409</v>
      </c>
      <c r="P133" s="115">
        <f t="shared" ref="P133" si="317">P134-P132</f>
        <v>399.11278725213026</v>
      </c>
      <c r="Q133" s="115">
        <f t="shared" ref="Q133" si="318">Q134-Q132</f>
        <v>401.17073596339185</v>
      </c>
      <c r="R133" s="117">
        <f>SUM(N133:Q133)</f>
        <v>1575.2835232155221</v>
      </c>
      <c r="S133" s="114">
        <f>S134-S132</f>
        <v>406.61611160734327</v>
      </c>
      <c r="T133" s="115">
        <f t="shared" ref="T133" si="319">T134-T132</f>
        <v>415.72880606834269</v>
      </c>
      <c r="U133" s="115">
        <f t="shared" ref="U133" si="320">U134-U132</f>
        <v>417.25174989512635</v>
      </c>
      <c r="V133" s="115">
        <f t="shared" ref="V133" si="321">V134-V132</f>
        <v>421.72189238542251</v>
      </c>
      <c r="W133" s="117">
        <f>SUM(S133:V133)</f>
        <v>1661.3185599562348</v>
      </c>
      <c r="X133" s="114">
        <f>X134-X132</f>
        <v>314.20082508727432</v>
      </c>
      <c r="Y133" s="115">
        <f t="shared" ref="Y133" si="322">Y134-Y132</f>
        <v>318.88623965782489</v>
      </c>
      <c r="Z133" s="115">
        <f t="shared" ref="Z133" si="323">Z134-Z132</f>
        <v>322.54894706815105</v>
      </c>
      <c r="AA133" s="115">
        <f t="shared" ref="AA133" si="324">AA134-AA132</f>
        <v>326.91611914672075</v>
      </c>
      <c r="AB133" s="117">
        <f>SUM(X133:AA133)</f>
        <v>1282.552130959971</v>
      </c>
      <c r="AC133" s="114">
        <f>AC134-AC132</f>
        <v>379.37081418266894</v>
      </c>
      <c r="AD133" s="115">
        <f t="shared" ref="AD133" si="325">AD134-AD132</f>
        <v>383.26875646244201</v>
      </c>
      <c r="AE133" s="115">
        <f t="shared" ref="AE133" si="326">AE134-AE132</f>
        <v>387.1037676443043</v>
      </c>
      <c r="AF133" s="115">
        <f t="shared" ref="AF133" si="327">AF134-AF132</f>
        <v>391.12405969704611</v>
      </c>
      <c r="AG133" s="117">
        <f>SUM(AC133:AF133)</f>
        <v>1540.8673979864614</v>
      </c>
      <c r="AH133" s="114">
        <f>AH134-AH132</f>
        <v>414.66282891338949</v>
      </c>
      <c r="AI133" s="115">
        <f t="shared" ref="AI133" si="328">AI134-AI132</f>
        <v>418.23920517017825</v>
      </c>
      <c r="AJ133" s="115">
        <f t="shared" ref="AJ133" si="329">AJ134-AJ132</f>
        <v>421.87473107128778</v>
      </c>
      <c r="AK133" s="115">
        <f t="shared" ref="AK133" si="330">AK134-AK132</f>
        <v>425.59818075384209</v>
      </c>
      <c r="AL133" s="117">
        <f>SUM(AH133:AK133)</f>
        <v>1680.3749459086978</v>
      </c>
    </row>
    <row r="134" spans="2:38" s="95" customFormat="1" outlineLevel="1" x14ac:dyDescent="0.3">
      <c r="B134" s="306" t="s">
        <v>173</v>
      </c>
      <c r="C134" s="307"/>
      <c r="D134" s="268">
        <f>SUM(D133:D133)</f>
        <v>328</v>
      </c>
      <c r="E134" s="268">
        <f>SUM(E133:E133)</f>
        <v>356</v>
      </c>
      <c r="F134" s="268">
        <f>SUM(F133:F133)</f>
        <v>350</v>
      </c>
      <c r="G134" s="268">
        <f>SUM(G133:G133)</f>
        <v>342</v>
      </c>
      <c r="H134" s="268">
        <f>SUM(D134:G134)</f>
        <v>1376</v>
      </c>
      <c r="I134" s="268">
        <f>SUM(I133:I133)</f>
        <v>347</v>
      </c>
      <c r="J134" s="268">
        <f>SUM(J133:J133)</f>
        <v>384</v>
      </c>
      <c r="K134" s="268">
        <f>SUM(K133:K133)</f>
        <v>376</v>
      </c>
      <c r="L134" s="268">
        <f>SUM(L133:L133)</f>
        <v>370</v>
      </c>
      <c r="M134" s="268">
        <f t="shared" ref="M134" si="331">SUM(I134:L134)</f>
        <v>1477</v>
      </c>
      <c r="N134" s="268">
        <f>SUM(N133:N133)</f>
        <v>366</v>
      </c>
      <c r="O134" s="268">
        <f>SUM(O133:O133)</f>
        <v>409</v>
      </c>
      <c r="P134" s="50">
        <f>((O79+O81))*P123</f>
        <v>399.11278725213026</v>
      </c>
      <c r="Q134" s="50">
        <f>((P79+P81))*Q123</f>
        <v>401.17073596339185</v>
      </c>
      <c r="R134" s="61">
        <f>SUM(N134:Q134)</f>
        <v>1575.2835232155221</v>
      </c>
      <c r="S134" s="52">
        <f>((Q79+Q81))*S123</f>
        <v>406.61611160734327</v>
      </c>
      <c r="T134" s="52">
        <f>((S79+S81))*T123</f>
        <v>415.72880606834269</v>
      </c>
      <c r="U134" s="50">
        <f>((T79+T81))*U123</f>
        <v>417.25174989512635</v>
      </c>
      <c r="V134" s="50">
        <f>((U79+U81))*V123</f>
        <v>421.72189238542251</v>
      </c>
      <c r="W134" s="61">
        <f>SUM(S134:V134)</f>
        <v>1661.3185599562348</v>
      </c>
      <c r="X134" s="52">
        <f>((V79+V81))*X123</f>
        <v>426.45082508727432</v>
      </c>
      <c r="Y134" s="50">
        <f>((X79+X81))*Y123</f>
        <v>431.13623965782489</v>
      </c>
      <c r="Z134" s="50">
        <f>((Y79+Y81))*Z123</f>
        <v>434.79894706815105</v>
      </c>
      <c r="AA134" s="50">
        <f>((Z79+Z81))*AA123</f>
        <v>439.16611914672075</v>
      </c>
      <c r="AB134" s="61">
        <f>SUM(X134:AA134)</f>
        <v>1731.552130959971</v>
      </c>
      <c r="AC134" s="52">
        <f>((AA79+AA81))*AC123</f>
        <v>443.12081418266894</v>
      </c>
      <c r="AD134" s="50">
        <f>((AC79+AC81))*AD123</f>
        <v>447.01875646244201</v>
      </c>
      <c r="AE134" s="50">
        <f>((AD79+AD81))*AE123</f>
        <v>450.8537676443043</v>
      </c>
      <c r="AF134" s="50">
        <f>((AE79+AE81))*AF123</f>
        <v>454.87405969704611</v>
      </c>
      <c r="AG134" s="61">
        <f>SUM(AC134:AF134)</f>
        <v>1795.8673979864614</v>
      </c>
      <c r="AH134" s="52">
        <f>((AF79+AF81))*AH123</f>
        <v>458.41282891338949</v>
      </c>
      <c r="AI134" s="50">
        <f>((AH79+AH81))*AI123</f>
        <v>461.98920517017825</v>
      </c>
      <c r="AJ134" s="50">
        <f>((AI79+AI81))*AJ123</f>
        <v>465.62473107128778</v>
      </c>
      <c r="AK134" s="50">
        <f>((AJ79+AJ81))*AK123</f>
        <v>469.34818075384209</v>
      </c>
      <c r="AL134" s="61">
        <f>SUM(AH134:AK134)</f>
        <v>1855.3749459086978</v>
      </c>
    </row>
    <row r="135" spans="2:38" outlineLevel="1" x14ac:dyDescent="0.3">
      <c r="B135" s="304" t="s">
        <v>89</v>
      </c>
      <c r="C135" s="308"/>
      <c r="D135" s="3">
        <v>36</v>
      </c>
      <c r="E135" s="3">
        <v>18</v>
      </c>
      <c r="F135" s="3">
        <v>20</v>
      </c>
      <c r="G135" s="3">
        <v>27</v>
      </c>
      <c r="H135" s="60">
        <f>SUM(D135:G135)</f>
        <v>101</v>
      </c>
      <c r="I135" s="3">
        <v>23</v>
      </c>
      <c r="J135" s="3">
        <v>18</v>
      </c>
      <c r="K135" s="3">
        <v>22</v>
      </c>
      <c r="L135" s="3">
        <v>26</v>
      </c>
      <c r="M135" s="60">
        <f>SUM(I135:L135)</f>
        <v>89</v>
      </c>
      <c r="N135" s="3">
        <v>27</v>
      </c>
      <c r="O135" s="3">
        <v>16</v>
      </c>
      <c r="P135" s="28">
        <f>P10*P189</f>
        <v>24.541321326305674</v>
      </c>
      <c r="Q135" s="28">
        <f>Q10*Q189</f>
        <v>35.481228952693293</v>
      </c>
      <c r="R135" s="60">
        <f>SUM(N135:Q135)</f>
        <v>103.02255027899898</v>
      </c>
      <c r="S135" s="27">
        <f>S10*S189</f>
        <v>68.719703788094577</v>
      </c>
      <c r="T135" s="28">
        <f>T10*T189</f>
        <v>103.47385574774351</v>
      </c>
      <c r="U135" s="28">
        <f>U10*U189</f>
        <v>118.0486623090618</v>
      </c>
      <c r="V135" s="28">
        <f>V10*V189</f>
        <v>45.852331398176531</v>
      </c>
      <c r="W135" s="60">
        <f>SUM(S135:V135)</f>
        <v>336.0945532430764</v>
      </c>
      <c r="X135" s="27">
        <f>X10*X189</f>
        <v>72.340650868925493</v>
      </c>
      <c r="Y135" s="28">
        <f>Y10*Y189</f>
        <v>109.20241636282316</v>
      </c>
      <c r="Z135" s="28">
        <f>Z10*Z189</f>
        <v>121.41603534586497</v>
      </c>
      <c r="AA135" s="28">
        <f>AA10*AA189</f>
        <v>60.731015386506044</v>
      </c>
      <c r="AB135" s="60">
        <f>SUM(X135:AA135)</f>
        <v>363.69011796411968</v>
      </c>
      <c r="AC135" s="27">
        <f>AC10*AC189</f>
        <v>76.152391230859763</v>
      </c>
      <c r="AD135" s="28">
        <f>AD10*AD189</f>
        <v>115.2481238212624</v>
      </c>
      <c r="AE135" s="28">
        <f>AE10*AE189</f>
        <v>124.87946369534338</v>
      </c>
      <c r="AF135" s="28">
        <f>AF10*AF189</f>
        <v>-22.733779072598505</v>
      </c>
      <c r="AG135" s="60">
        <f>SUM(AC135:AF135)</f>
        <v>293.54619967486701</v>
      </c>
      <c r="AH135" s="27">
        <f>AH10*AH189</f>
        <v>80.164978065866606</v>
      </c>
      <c r="AI135" s="28">
        <f>AI10*AI189</f>
        <v>121.62853613230848</v>
      </c>
      <c r="AJ135" s="28">
        <f>AJ10*AJ189</f>
        <v>128.44168736372509</v>
      </c>
      <c r="AK135" s="28">
        <f>AK10*AK189</f>
        <v>-101.22076467911639</v>
      </c>
      <c r="AL135" s="60">
        <f>SUM(AH135:AK135)</f>
        <v>229.01443688278385</v>
      </c>
    </row>
    <row r="136" spans="2:38" outlineLevel="1" x14ac:dyDescent="0.3">
      <c r="B136" s="304" t="s">
        <v>25</v>
      </c>
      <c r="C136" s="308"/>
      <c r="D136" s="278">
        <v>36</v>
      </c>
      <c r="E136" s="278">
        <f>-3-D136</f>
        <v>-39</v>
      </c>
      <c r="F136" s="278">
        <f>-46-E136-D136</f>
        <v>-43</v>
      </c>
      <c r="G136" s="278">
        <f>-251-F136-E136-D136</f>
        <v>-205</v>
      </c>
      <c r="H136" s="60">
        <f>SUM(D136:G136)</f>
        <v>-251</v>
      </c>
      <c r="I136" s="278">
        <v>-15</v>
      </c>
      <c r="J136" s="278">
        <f>-21-I136</f>
        <v>-6</v>
      </c>
      <c r="K136" s="278">
        <f>-32-J136-I136</f>
        <v>-11</v>
      </c>
      <c r="L136" s="278">
        <f>25-K136-J136-I136</f>
        <v>57</v>
      </c>
      <c r="M136" s="60">
        <f>SUM(I136:L136)</f>
        <v>25</v>
      </c>
      <c r="N136" s="278">
        <v>1</v>
      </c>
      <c r="O136" s="278">
        <f>-12-N136</f>
        <v>-13</v>
      </c>
      <c r="P136" s="28"/>
      <c r="Q136" s="28"/>
      <c r="R136" s="60">
        <f>SUM(N136:Q136)</f>
        <v>-12</v>
      </c>
      <c r="S136" s="27"/>
      <c r="T136" s="28"/>
      <c r="U136" s="28"/>
      <c r="V136" s="28"/>
      <c r="W136" s="60">
        <f>SUM(S136:V136)</f>
        <v>0</v>
      </c>
      <c r="X136" s="27"/>
      <c r="Y136" s="28"/>
      <c r="Z136" s="28"/>
      <c r="AA136" s="28"/>
      <c r="AB136" s="60">
        <f>SUM(X136:AA136)</f>
        <v>0</v>
      </c>
      <c r="AC136" s="27"/>
      <c r="AD136" s="28"/>
      <c r="AE136" s="28"/>
      <c r="AF136" s="28"/>
      <c r="AG136" s="60">
        <f>SUM(AC136:AF136)</f>
        <v>0</v>
      </c>
      <c r="AH136" s="27"/>
      <c r="AI136" s="28"/>
      <c r="AJ136" s="28"/>
      <c r="AK136" s="28"/>
      <c r="AL136" s="60">
        <f>SUM(AH136:AK136)</f>
        <v>0</v>
      </c>
    </row>
    <row r="137" spans="2:38" outlineLevel="1" x14ac:dyDescent="0.3">
      <c r="B137" s="304" t="s">
        <v>26</v>
      </c>
      <c r="C137" s="308"/>
      <c r="D137" s="27">
        <v>59</v>
      </c>
      <c r="E137" s="28">
        <v>48</v>
      </c>
      <c r="F137" s="104">
        <v>50</v>
      </c>
      <c r="G137" s="104">
        <v>48</v>
      </c>
      <c r="H137" s="60">
        <v>203</v>
      </c>
      <c r="I137" s="28">
        <v>34</v>
      </c>
      <c r="J137" s="28">
        <v>3</v>
      </c>
      <c r="K137" s="28">
        <v>63</v>
      </c>
      <c r="L137" s="28">
        <v>-15</v>
      </c>
      <c r="M137" s="60">
        <f>SUM(I137:L137)</f>
        <v>85</v>
      </c>
      <c r="N137" s="28">
        <v>95</v>
      </c>
      <c r="O137" s="28">
        <v>153</v>
      </c>
      <c r="P137" s="28"/>
      <c r="Q137" s="28"/>
      <c r="R137" s="60">
        <f>SUM(N137:Q137)</f>
        <v>248</v>
      </c>
      <c r="S137" s="27"/>
      <c r="T137" s="28"/>
      <c r="U137" s="28"/>
      <c r="V137" s="28"/>
      <c r="W137" s="60">
        <f>SUM(S137:V137)</f>
        <v>0</v>
      </c>
      <c r="X137" s="27"/>
      <c r="Y137" s="28"/>
      <c r="Z137" s="28"/>
      <c r="AA137" s="28"/>
      <c r="AB137" s="60">
        <f>SUM(X137:AA137)</f>
        <v>0</v>
      </c>
      <c r="AC137" s="27"/>
      <c r="AD137" s="28"/>
      <c r="AE137" s="28"/>
      <c r="AF137" s="28"/>
      <c r="AG137" s="60">
        <f>SUM(AC137:AF137)</f>
        <v>0</v>
      </c>
      <c r="AH137" s="27"/>
      <c r="AI137" s="28"/>
      <c r="AJ137" s="28"/>
      <c r="AK137" s="28"/>
      <c r="AL137" s="60">
        <f>SUM(AH137:AK137)</f>
        <v>0</v>
      </c>
    </row>
    <row r="138" spans="2:38" ht="7.5" customHeight="1" outlineLevel="1" x14ac:dyDescent="0.3">
      <c r="B138" s="321"/>
      <c r="C138" s="322"/>
      <c r="D138" s="27"/>
      <c r="E138" s="28"/>
      <c r="F138" s="104"/>
      <c r="G138" s="104"/>
      <c r="H138" s="60"/>
      <c r="I138" s="28"/>
      <c r="J138" s="28"/>
      <c r="K138" s="28"/>
      <c r="L138" s="28"/>
      <c r="M138" s="60"/>
      <c r="N138" s="28"/>
      <c r="O138" s="28"/>
      <c r="P138" s="28"/>
      <c r="Q138" s="28"/>
      <c r="R138" s="60"/>
      <c r="S138" s="27"/>
      <c r="T138" s="28"/>
      <c r="U138" s="28"/>
      <c r="V138" s="28"/>
      <c r="W138" s="60"/>
      <c r="X138" s="27"/>
      <c r="Y138" s="28"/>
      <c r="Z138" s="28"/>
      <c r="AA138" s="28"/>
      <c r="AB138" s="60"/>
      <c r="AC138" s="27"/>
      <c r="AD138" s="28"/>
      <c r="AE138" s="28"/>
      <c r="AF138" s="28"/>
      <c r="AG138" s="60"/>
      <c r="AH138" s="27"/>
      <c r="AI138" s="28"/>
      <c r="AJ138" s="28"/>
      <c r="AK138" s="28"/>
      <c r="AL138" s="60"/>
    </row>
    <row r="139" spans="2:38" outlineLevel="1" x14ac:dyDescent="0.3">
      <c r="B139" s="319" t="s">
        <v>35</v>
      </c>
      <c r="C139" s="320"/>
      <c r="D139" s="27"/>
      <c r="E139" s="28"/>
      <c r="F139" s="104"/>
      <c r="G139" s="104"/>
      <c r="H139" s="60"/>
      <c r="I139" s="28"/>
      <c r="J139" s="28"/>
      <c r="K139" s="28"/>
      <c r="L139" s="28"/>
      <c r="M139" s="60"/>
      <c r="N139" s="28"/>
      <c r="O139" s="28"/>
      <c r="P139" s="28"/>
      <c r="Q139" s="28"/>
      <c r="R139" s="60"/>
      <c r="S139" s="27"/>
      <c r="T139" s="28"/>
      <c r="U139" s="28"/>
      <c r="V139" s="28"/>
      <c r="W139" s="60"/>
      <c r="X139" s="27"/>
      <c r="Y139" s="28"/>
      <c r="Z139" s="28"/>
      <c r="AA139" s="28"/>
      <c r="AB139" s="60"/>
      <c r="AC139" s="27"/>
      <c r="AD139" s="28"/>
      <c r="AE139" s="28"/>
      <c r="AF139" s="28"/>
      <c r="AG139" s="60"/>
      <c r="AH139" s="27"/>
      <c r="AI139" s="28"/>
      <c r="AJ139" s="28"/>
      <c r="AK139" s="28"/>
      <c r="AL139" s="60"/>
    </row>
    <row r="140" spans="2:38" outlineLevel="1" x14ac:dyDescent="0.3">
      <c r="B140" s="294" t="s">
        <v>90</v>
      </c>
      <c r="C140" s="295"/>
      <c r="D140" s="278">
        <v>151</v>
      </c>
      <c r="E140" s="278">
        <f>43-D140</f>
        <v>-108</v>
      </c>
      <c r="F140" s="278">
        <f>112-E140-D140</f>
        <v>69</v>
      </c>
      <c r="G140" s="278">
        <f>-271-F140-E140-D140</f>
        <v>-383</v>
      </c>
      <c r="H140" s="60">
        <f t="shared" ref="H140:H146" si="332">SUM(D140:G140)</f>
        <v>-271</v>
      </c>
      <c r="I140" s="278">
        <v>183</v>
      </c>
      <c r="J140" s="278">
        <f>202-I140</f>
        <v>19</v>
      </c>
      <c r="K140" s="278">
        <f>43-J140-I140</f>
        <v>-159</v>
      </c>
      <c r="L140" s="278">
        <f>-16-K140-J140-I140</f>
        <v>-59</v>
      </c>
      <c r="M140" s="60">
        <f t="shared" ref="M140:M146" si="333">SUM(I140:L140)</f>
        <v>-16</v>
      </c>
      <c r="N140" s="278">
        <v>212</v>
      </c>
      <c r="O140" s="278">
        <f>19-N140</f>
        <v>-193</v>
      </c>
      <c r="P140" s="28">
        <f>-(P72-O72)</f>
        <v>27.322412092889408</v>
      </c>
      <c r="Q140" s="28">
        <f>-(Q72-P72)</f>
        <v>-219.67455876846998</v>
      </c>
      <c r="R140" s="60">
        <f t="shared" ref="R140:R146" si="334">SUM(N140:Q140)</f>
        <v>-173.35214667558057</v>
      </c>
      <c r="S140" s="27">
        <f t="shared" ref="S140:V141" si="335">-(S72-R72)</f>
        <v>-84.227918212027362</v>
      </c>
      <c r="T140" s="28">
        <f t="shared" si="335"/>
        <v>-32.137672589392423</v>
      </c>
      <c r="U140" s="28">
        <f t="shared" si="335"/>
        <v>-26.526365332273599</v>
      </c>
      <c r="V140" s="28">
        <f t="shared" si="335"/>
        <v>-308.84513484562376</v>
      </c>
      <c r="W140" s="60">
        <f t="shared" ref="W140:W146" si="336">SUM(S140:V140)</f>
        <v>-451.73709097931714</v>
      </c>
      <c r="X140" s="27">
        <f t="shared" ref="X140:AA141" si="337">-(X72-W72)</f>
        <v>438.36257950965955</v>
      </c>
      <c r="Y140" s="28">
        <f t="shared" si="337"/>
        <v>-577.2823099663492</v>
      </c>
      <c r="Z140" s="28">
        <f t="shared" si="337"/>
        <v>642.84129973554627</v>
      </c>
      <c r="AA140" s="28">
        <f t="shared" si="337"/>
        <v>-1119.6181392375502</v>
      </c>
      <c r="AB140" s="60">
        <f t="shared" ref="AB140:AB146" si="338">SUM(X140:AA140)</f>
        <v>-615.69656995869354</v>
      </c>
      <c r="AC140" s="27">
        <f t="shared" ref="AC140:AF141" si="339">-(AC72-AB72)</f>
        <v>1256.6547212040277</v>
      </c>
      <c r="AD140" s="28">
        <f t="shared" si="339"/>
        <v>-1421.1465197218577</v>
      </c>
      <c r="AE140" s="28">
        <f t="shared" si="339"/>
        <v>1629.4982091653183</v>
      </c>
      <c r="AF140" s="28">
        <f t="shared" si="339"/>
        <v>-2266.3049701409591</v>
      </c>
      <c r="AG140" s="60">
        <f t="shared" ref="AG140:AG146" si="340">SUM(AC140:AF140)</f>
        <v>-801.29855949347075</v>
      </c>
      <c r="AH140" s="27">
        <f t="shared" ref="AH140:AK141" si="341">-(AH72-AG72)</f>
        <v>2411.2084038470548</v>
      </c>
      <c r="AI140" s="28">
        <f t="shared" si="341"/>
        <v>-2604.6424319325502</v>
      </c>
      <c r="AJ140" s="28">
        <f t="shared" si="341"/>
        <v>2976.439127780156</v>
      </c>
      <c r="AK140" s="28">
        <f t="shared" si="341"/>
        <v>-3793.8665240250548</v>
      </c>
      <c r="AL140" s="60">
        <f t="shared" ref="AL140:AL146" si="342">SUM(AH140:AK140)</f>
        <v>-1010.8614243303941</v>
      </c>
    </row>
    <row r="141" spans="2:38" outlineLevel="1" x14ac:dyDescent="0.3">
      <c r="B141" s="294" t="s">
        <v>8</v>
      </c>
      <c r="C141" s="295"/>
      <c r="D141" s="27"/>
      <c r="E141" s="28"/>
      <c r="F141" s="104"/>
      <c r="G141" s="104"/>
      <c r="H141" s="60">
        <f t="shared" si="332"/>
        <v>0</v>
      </c>
      <c r="I141" s="28"/>
      <c r="J141" s="28"/>
      <c r="K141" s="28"/>
      <c r="L141" s="28"/>
      <c r="M141" s="60">
        <f t="shared" si="333"/>
        <v>0</v>
      </c>
      <c r="N141" s="28"/>
      <c r="O141" s="28"/>
      <c r="P141" s="28">
        <f>-(P73-O73)</f>
        <v>0</v>
      </c>
      <c r="Q141" s="28">
        <f>-(Q73-P73)</f>
        <v>0</v>
      </c>
      <c r="R141" s="60">
        <f t="shared" si="334"/>
        <v>0</v>
      </c>
      <c r="S141" s="27">
        <f t="shared" si="335"/>
        <v>0</v>
      </c>
      <c r="T141" s="28">
        <f t="shared" si="335"/>
        <v>0</v>
      </c>
      <c r="U141" s="28">
        <f t="shared" si="335"/>
        <v>0</v>
      </c>
      <c r="V141" s="28">
        <f t="shared" si="335"/>
        <v>0</v>
      </c>
      <c r="W141" s="60">
        <f t="shared" si="336"/>
        <v>0</v>
      </c>
      <c r="X141" s="27">
        <f t="shared" si="337"/>
        <v>0</v>
      </c>
      <c r="Y141" s="28">
        <f t="shared" si="337"/>
        <v>0</v>
      </c>
      <c r="Z141" s="28">
        <f t="shared" si="337"/>
        <v>0</v>
      </c>
      <c r="AA141" s="28">
        <f t="shared" si="337"/>
        <v>0</v>
      </c>
      <c r="AB141" s="60">
        <f t="shared" si="338"/>
        <v>0</v>
      </c>
      <c r="AC141" s="27">
        <f t="shared" si="339"/>
        <v>0</v>
      </c>
      <c r="AD141" s="28">
        <f t="shared" si="339"/>
        <v>0</v>
      </c>
      <c r="AE141" s="28">
        <f t="shared" si="339"/>
        <v>0</v>
      </c>
      <c r="AF141" s="28">
        <f t="shared" si="339"/>
        <v>0</v>
      </c>
      <c r="AG141" s="60">
        <f t="shared" si="340"/>
        <v>0</v>
      </c>
      <c r="AH141" s="27">
        <f t="shared" si="341"/>
        <v>0</v>
      </c>
      <c r="AI141" s="28">
        <f t="shared" si="341"/>
        <v>0</v>
      </c>
      <c r="AJ141" s="28">
        <f t="shared" si="341"/>
        <v>0</v>
      </c>
      <c r="AK141" s="28">
        <f t="shared" si="341"/>
        <v>0</v>
      </c>
      <c r="AL141" s="60">
        <f t="shared" si="342"/>
        <v>0</v>
      </c>
    </row>
    <row r="142" spans="2:38" outlineLevel="1" x14ac:dyDescent="0.3">
      <c r="B142" s="294" t="s">
        <v>91</v>
      </c>
      <c r="C142" s="295"/>
      <c r="D142" s="27"/>
      <c r="E142" s="28"/>
      <c r="F142" s="104"/>
      <c r="G142" s="104"/>
      <c r="H142" s="60">
        <f t="shared" si="332"/>
        <v>0</v>
      </c>
      <c r="I142" s="28"/>
      <c r="J142" s="28"/>
      <c r="K142" s="28"/>
      <c r="L142" s="28"/>
      <c r="M142" s="60">
        <f t="shared" si="333"/>
        <v>0</v>
      </c>
      <c r="N142" s="28"/>
      <c r="O142" s="28"/>
      <c r="P142" s="28">
        <f>-(P75-O75)</f>
        <v>0</v>
      </c>
      <c r="Q142" s="28">
        <f>-(Q75-P75)</f>
        <v>0</v>
      </c>
      <c r="R142" s="60">
        <f t="shared" si="334"/>
        <v>0</v>
      </c>
      <c r="S142" s="27">
        <f>-(S75-R75)</f>
        <v>0</v>
      </c>
      <c r="T142" s="28">
        <f>-(T75-S75)</f>
        <v>0</v>
      </c>
      <c r="U142" s="28">
        <f>-(U75-T75)</f>
        <v>0</v>
      </c>
      <c r="V142" s="28">
        <f>-(V75-U75)</f>
        <v>0</v>
      </c>
      <c r="W142" s="60">
        <f t="shared" si="336"/>
        <v>0</v>
      </c>
      <c r="X142" s="27">
        <f>-(X75-W75)</f>
        <v>0</v>
      </c>
      <c r="Y142" s="28">
        <f>-(Y75-X75)</f>
        <v>0</v>
      </c>
      <c r="Z142" s="28">
        <f>-(Z75-Y75)</f>
        <v>0</v>
      </c>
      <c r="AA142" s="28">
        <f>-(AA75-Z75)</f>
        <v>0</v>
      </c>
      <c r="AB142" s="60">
        <f t="shared" si="338"/>
        <v>0</v>
      </c>
      <c r="AC142" s="27">
        <f>-(AC75-AB75)</f>
        <v>0</v>
      </c>
      <c r="AD142" s="28">
        <f>-(AD75-AC75)</f>
        <v>0</v>
      </c>
      <c r="AE142" s="28">
        <f>-(AE75-AD75)</f>
        <v>0</v>
      </c>
      <c r="AF142" s="28">
        <f>-(AF75-AE75)</f>
        <v>0</v>
      </c>
      <c r="AG142" s="60">
        <f t="shared" si="340"/>
        <v>0</v>
      </c>
      <c r="AH142" s="27">
        <f>-(AH75-AG75)</f>
        <v>0</v>
      </c>
      <c r="AI142" s="28">
        <f>-(AI75-AH75)</f>
        <v>0</v>
      </c>
      <c r="AJ142" s="28">
        <f>-(AJ75-AI75)</f>
        <v>0</v>
      </c>
      <c r="AK142" s="28">
        <f>-(AK75-AJ75)</f>
        <v>0</v>
      </c>
      <c r="AL142" s="60">
        <f t="shared" si="342"/>
        <v>0</v>
      </c>
    </row>
    <row r="143" spans="2:38" outlineLevel="1" x14ac:dyDescent="0.3">
      <c r="B143" s="294" t="s">
        <v>106</v>
      </c>
      <c r="C143" s="295"/>
      <c r="D143" s="27">
        <v>-14</v>
      </c>
      <c r="E143" s="28">
        <v>6</v>
      </c>
      <c r="F143" s="104">
        <v>-17</v>
      </c>
      <c r="G143" s="104">
        <v>9</v>
      </c>
      <c r="H143" s="60">
        <f t="shared" si="332"/>
        <v>-16</v>
      </c>
      <c r="I143" s="28">
        <v>-9</v>
      </c>
      <c r="J143" s="28">
        <v>-2</v>
      </c>
      <c r="K143" s="28">
        <v>-14</v>
      </c>
      <c r="L143" s="28">
        <v>-5</v>
      </c>
      <c r="M143" s="60">
        <f t="shared" si="333"/>
        <v>-30</v>
      </c>
      <c r="N143" s="28">
        <v>-12</v>
      </c>
      <c r="O143" s="28">
        <v>11</v>
      </c>
      <c r="P143" s="28">
        <f>-(P74-O74)-(P76-O76)-(P82-O82)</f>
        <v>-254.29109881534123</v>
      </c>
      <c r="Q143" s="28">
        <f>-(Q74-P74)-(Q76-P76)-(Q82-P82)</f>
        <v>130.45951494974338</v>
      </c>
      <c r="R143" s="60">
        <f t="shared" si="334"/>
        <v>-124.83158386559785</v>
      </c>
      <c r="S143" s="27">
        <f>-(S74-R74)-(S76-R76)-(S82-R82)</f>
        <v>-488.28183958709451</v>
      </c>
      <c r="T143" s="28">
        <f>-(T74-S74)-(T76-S76)-(T82-S82)</f>
        <v>59.05989610372194</v>
      </c>
      <c r="U143" s="28">
        <f>-(U74-T74)-(U76-T76)-(U82-T82)</f>
        <v>-329.65026098811745</v>
      </c>
      <c r="V143" s="28">
        <f>-(V74-U74)-(V76-U76)-(V82-U82)</f>
        <v>184.23047600215239</v>
      </c>
      <c r="W143" s="60">
        <f t="shared" si="336"/>
        <v>-574.64172846933764</v>
      </c>
      <c r="X143" s="27">
        <f>-(X74-W74)-(X76-W76)-(X82-W82)</f>
        <v>-704.93869549888973</v>
      </c>
      <c r="Y143" s="28">
        <f>-(Y74-X74)-(Y76-X76)-(Y82-X82)</f>
        <v>69.33730914723526</v>
      </c>
      <c r="Z143" s="28">
        <f>-(Z74-Y74)-(Z76-Y76)-(Z82-Y82)</f>
        <v>-435.86900282461318</v>
      </c>
      <c r="AA143" s="28">
        <f>-(AA74-Z74)-(AA76-Z76)-(AA82-Z82)</f>
        <v>259.42988825403779</v>
      </c>
      <c r="AB143" s="60">
        <f t="shared" si="338"/>
        <v>-812.04050092222985</v>
      </c>
      <c r="AC143" s="27">
        <f>-(AC74-AB74)-(AC76-AB76)-(AC82-AB82)</f>
        <v>-1007.5031848427425</v>
      </c>
      <c r="AD143" s="28">
        <f>-(AD74-AC74)-(AD76-AC76)-(AD82-AC82)</f>
        <v>84.105813571732938</v>
      </c>
      <c r="AE143" s="28">
        <f>-(AE74-AD74)-(AE76-AD76)-(AE82-AD82)</f>
        <v>-585.25092956840126</v>
      </c>
      <c r="AF143" s="28">
        <f>-(AF74-AE74)-(AF76-AE76)-(AF82-AE82)</f>
        <v>364.61791523212958</v>
      </c>
      <c r="AG143" s="60">
        <f t="shared" si="340"/>
        <v>-1144.030385607281</v>
      </c>
      <c r="AH143" s="27">
        <f>-(AH74-AG74)-(AH76-AG76)-(AH82-AG82)</f>
        <v>-1430.3059825440846</v>
      </c>
      <c r="AI143" s="28">
        <f>-(AI74-AH74)-(AI76-AH76)-(AI82-AH82)</f>
        <v>105.14799841318228</v>
      </c>
      <c r="AJ143" s="28">
        <f>-(AJ74-AI74)-(AJ76-AI76)-(AJ82-AI82)</f>
        <v>-795.01448389629627</v>
      </c>
      <c r="AK143" s="28">
        <f>-(AK74-AJ74)-(AK76-AJ76)-(AK82-AJ82)</f>
        <v>511.77370491644376</v>
      </c>
      <c r="AL143" s="60">
        <f t="shared" si="342"/>
        <v>-1608.3987631107548</v>
      </c>
    </row>
    <row r="144" spans="2:38" outlineLevel="1" x14ac:dyDescent="0.3">
      <c r="B144" s="294" t="s">
        <v>80</v>
      </c>
      <c r="C144" s="295"/>
      <c r="D144" s="3">
        <v>-144</v>
      </c>
      <c r="E144" s="3">
        <f>32-D144</f>
        <v>176</v>
      </c>
      <c r="F144" s="3">
        <f>105-E144-D144</f>
        <v>73</v>
      </c>
      <c r="G144" s="3">
        <f>126-F144-E144-D144</f>
        <v>21</v>
      </c>
      <c r="H144" s="60">
        <f t="shared" si="332"/>
        <v>126</v>
      </c>
      <c r="I144" s="3">
        <v>-119</v>
      </c>
      <c r="J144" s="3">
        <f>31-I144</f>
        <v>150</v>
      </c>
      <c r="K144" s="3">
        <f>177-J144-I144</f>
        <v>146</v>
      </c>
      <c r="L144" s="3">
        <f>203-K144-J144-I144</f>
        <v>26</v>
      </c>
      <c r="M144" s="60">
        <f t="shared" si="333"/>
        <v>203</v>
      </c>
      <c r="N144" s="3">
        <v>-117</v>
      </c>
      <c r="O144" s="3">
        <f>127-N144</f>
        <v>244</v>
      </c>
      <c r="P144" s="28">
        <f>P86-O86</f>
        <v>105.48993590277405</v>
      </c>
      <c r="Q144" s="28">
        <f>Q86-P86</f>
        <v>169.50676189107344</v>
      </c>
      <c r="R144" s="60">
        <f t="shared" si="334"/>
        <v>401.99669779384749</v>
      </c>
      <c r="S144" s="27">
        <f>S86-R86</f>
        <v>9.9166315655297694</v>
      </c>
      <c r="T144" s="28">
        <f>T86-S86</f>
        <v>-161.77694937092383</v>
      </c>
      <c r="U144" s="28">
        <f>U86-T86</f>
        <v>237.27775358745521</v>
      </c>
      <c r="V144" s="28">
        <f>V86-U86</f>
        <v>151.23049758823026</v>
      </c>
      <c r="W144" s="60">
        <f t="shared" si="336"/>
        <v>236.64793337029141</v>
      </c>
      <c r="X144" s="27">
        <f>X86-W86</f>
        <v>-197.93637463505365</v>
      </c>
      <c r="Y144" s="28">
        <f>Y86-X86</f>
        <v>35.383041509294799</v>
      </c>
      <c r="Z144" s="28">
        <f>Z86-Y86</f>
        <v>-16.408051750034701</v>
      </c>
      <c r="AA144" s="28">
        <f>AA86-Z86</f>
        <v>505.12068362086438</v>
      </c>
      <c r="AB144" s="60">
        <f t="shared" si="338"/>
        <v>326.15929874507083</v>
      </c>
      <c r="AC144" s="27">
        <f>AC86-AB86</f>
        <v>-555.15614338505156</v>
      </c>
      <c r="AD144" s="28">
        <f>AD86-AC86</f>
        <v>381.43369774915709</v>
      </c>
      <c r="AE144" s="28">
        <f>AE86-AD86</f>
        <v>-431.07724266876676</v>
      </c>
      <c r="AF144" s="28">
        <f>AF86-AE86</f>
        <v>1036.0386408294944</v>
      </c>
      <c r="AG144" s="60">
        <f t="shared" si="340"/>
        <v>431.23895252483317</v>
      </c>
      <c r="AH144" s="27">
        <f>AH86-AG86</f>
        <v>-1089.5660094351097</v>
      </c>
      <c r="AI144" s="28">
        <f>AI86-AH86</f>
        <v>904.22746881923649</v>
      </c>
      <c r="AJ144" s="28">
        <f>AJ86-AI86</f>
        <v>-1036.4516923894275</v>
      </c>
      <c r="AK144" s="28">
        <f>AK86-AJ86</f>
        <v>1775.9115741451856</v>
      </c>
      <c r="AL144" s="60">
        <f t="shared" si="342"/>
        <v>554.12134113988486</v>
      </c>
    </row>
    <row r="145" spans="2:38" outlineLevel="1" x14ac:dyDescent="0.3">
      <c r="B145" s="294" t="s">
        <v>82</v>
      </c>
      <c r="C145" s="295"/>
      <c r="D145" s="3">
        <v>-27</v>
      </c>
      <c r="E145" s="3">
        <f>-32-D145</f>
        <v>-5</v>
      </c>
      <c r="F145" s="3">
        <f>-67-E145-D145</f>
        <v>-35</v>
      </c>
      <c r="G145" s="3">
        <f>-37-F145-E145-D145</f>
        <v>30</v>
      </c>
      <c r="H145" s="60">
        <f t="shared" si="332"/>
        <v>-37</v>
      </c>
      <c r="I145" s="3">
        <v>-30</v>
      </c>
      <c r="J145" s="3">
        <f>-120-I145</f>
        <v>-90</v>
      </c>
      <c r="K145" s="3">
        <f>-167-J145-I145</f>
        <v>-47</v>
      </c>
      <c r="L145" s="3">
        <f>-186-K145-J145-I145</f>
        <v>-19</v>
      </c>
      <c r="M145" s="60">
        <f t="shared" si="333"/>
        <v>-186</v>
      </c>
      <c r="N145" s="3">
        <v>-29</v>
      </c>
      <c r="O145" s="3">
        <f>-28-N145</f>
        <v>1</v>
      </c>
      <c r="P145" s="28">
        <f>P88-O88</f>
        <v>21.23334068891279</v>
      </c>
      <c r="Q145" s="28">
        <f>Q88-P88</f>
        <v>7.0959173055859992</v>
      </c>
      <c r="R145" s="60">
        <f t="shared" si="334"/>
        <v>0.32925799449878923</v>
      </c>
      <c r="S145" s="28">
        <f>S88-R88</f>
        <v>21.263842779834818</v>
      </c>
      <c r="T145" s="28">
        <f>T88-S88</f>
        <v>23.175750179773104</v>
      </c>
      <c r="U145" s="28">
        <f>U88-T88</f>
        <v>18.589320140207633</v>
      </c>
      <c r="V145" s="28">
        <f>V88-U88</f>
        <v>22.788174161347229</v>
      </c>
      <c r="W145" s="60">
        <f t="shared" si="336"/>
        <v>85.817087261162783</v>
      </c>
      <c r="X145" s="27">
        <f>X88-W88</f>
        <v>8.0339763355935929</v>
      </c>
      <c r="Y145" s="28">
        <f>Y88-X88</f>
        <v>9.0383956371256318</v>
      </c>
      <c r="Z145" s="28">
        <f>Z88-Y88</f>
        <v>4.5110091625100495</v>
      </c>
      <c r="AA145" s="28">
        <f>AA88-Z88</f>
        <v>8.6506756239640481</v>
      </c>
      <c r="AB145" s="60">
        <f t="shared" si="338"/>
        <v>30.234056759193322</v>
      </c>
      <c r="AC145" s="27">
        <f>AC88-AB88</f>
        <v>8.4572989280417232</v>
      </c>
      <c r="AD145" s="28">
        <f>AD88-AC88</f>
        <v>9.5387828788708475</v>
      </c>
      <c r="AE145" s="28">
        <f>AE88-AD88</f>
        <v>4.639687034206986</v>
      </c>
      <c r="AF145" s="28">
        <f>AF88-AE88</f>
        <v>9.1007381564268144</v>
      </c>
      <c r="AG145" s="60">
        <f t="shared" si="340"/>
        <v>31.736506997546371</v>
      </c>
      <c r="AH145" s="27">
        <f>AH88-AG88</f>
        <v>8.9029270401713347</v>
      </c>
      <c r="AI145" s="28">
        <f>AI88-AH88</f>
        <v>10.066872757428314</v>
      </c>
      <c r="AJ145" s="28">
        <f>AJ88-AI88</f>
        <v>4.7720354802847851</v>
      </c>
      <c r="AK145" s="28">
        <f>AK88-AJ88</f>
        <v>9.5742157713556253</v>
      </c>
      <c r="AL145" s="60">
        <f t="shared" si="342"/>
        <v>33.316051049240059</v>
      </c>
    </row>
    <row r="146" spans="2:38" ht="16.2" outlineLevel="1" x14ac:dyDescent="0.45">
      <c r="B146" s="294" t="s">
        <v>92</v>
      </c>
      <c r="C146" s="295"/>
      <c r="D146" s="114"/>
      <c r="E146" s="115"/>
      <c r="F146" s="236"/>
      <c r="G146" s="236"/>
      <c r="H146" s="117">
        <f t="shared" si="332"/>
        <v>0</v>
      </c>
      <c r="I146" s="115"/>
      <c r="J146" s="115"/>
      <c r="K146" s="115"/>
      <c r="L146" s="115"/>
      <c r="M146" s="117">
        <f t="shared" si="333"/>
        <v>0</v>
      </c>
      <c r="N146" s="115"/>
      <c r="O146" s="115"/>
      <c r="P146" s="115">
        <f>(P87-O87)+(P93-O93)</f>
        <v>74.410849058301665</v>
      </c>
      <c r="Q146" s="115">
        <f>(Q87-P87)+(Q93-P93)</f>
        <v>-104.74094202246533</v>
      </c>
      <c r="R146" s="117">
        <f t="shared" si="334"/>
        <v>-30.330092964163669</v>
      </c>
      <c r="S146" s="114">
        <f>(S87-R87)+(S93-R93)</f>
        <v>430.54995339195034</v>
      </c>
      <c r="T146" s="115">
        <f>(T87-S87)+(T93-S93)</f>
        <v>190.00508189700167</v>
      </c>
      <c r="U146" s="115">
        <f>(U87-T87)+(U93-T93)</f>
        <v>83.928121906185652</v>
      </c>
      <c r="V146" s="115">
        <f>(V87-U87)+(V93-U93)</f>
        <v>-118.01381883786075</v>
      </c>
      <c r="W146" s="117">
        <f t="shared" si="336"/>
        <v>586.46933835727691</v>
      </c>
      <c r="X146" s="114">
        <f>(X87-W87)+(X93-W93)</f>
        <v>475.39654858589597</v>
      </c>
      <c r="Y146" s="115">
        <f>(Y87-X87)+(Y93-X93)</f>
        <v>216.23180163895631</v>
      </c>
      <c r="Z146" s="115">
        <f>(Z87-Y87)+(Z93-Y93)</f>
        <v>94.701285406785928</v>
      </c>
      <c r="AA146" s="115">
        <f>(AA87-Z87)+(AA93-Z93)</f>
        <v>-133.02420063736145</v>
      </c>
      <c r="AB146" s="117">
        <f t="shared" si="338"/>
        <v>653.30543499427677</v>
      </c>
      <c r="AC146" s="114">
        <f>(AC87-AB87)+(AC93-AB93)</f>
        <v>525.00624107243721</v>
      </c>
      <c r="AD146" s="115">
        <f>(AD87-AC87)+(AD93-AC93)</f>
        <v>246.13683310757528</v>
      </c>
      <c r="AE146" s="115">
        <f>(AE87-AD87)+(AE93-AD93)</f>
        <v>106.90042850689383</v>
      </c>
      <c r="AF146" s="115">
        <f>(AF87-AE87)+(AF93-AE93)</f>
        <v>-150.00587281801381</v>
      </c>
      <c r="AG146" s="117">
        <f t="shared" si="340"/>
        <v>728.03762986889251</v>
      </c>
      <c r="AH146" s="114">
        <f>(AH87-AG87)+(AH93-AG93)</f>
        <v>579.89765164791061</v>
      </c>
      <c r="AI146" s="115">
        <f>(AI87-AH87)+(AI93-AH93)</f>
        <v>280.24215371903097</v>
      </c>
      <c r="AJ146" s="115">
        <f>(AJ87-AI87)+(AJ93-AI93)</f>
        <v>120.71915354507746</v>
      </c>
      <c r="AK146" s="115">
        <f>(AK87-AJ87)+(AK93-AJ93)</f>
        <v>-169.22477643144975</v>
      </c>
      <c r="AL146" s="117">
        <f t="shared" si="342"/>
        <v>811.63418248056928</v>
      </c>
    </row>
    <row r="147" spans="2:38" outlineLevel="1" x14ac:dyDescent="0.3">
      <c r="B147" s="309" t="s">
        <v>27</v>
      </c>
      <c r="C147" s="310"/>
      <c r="D147" s="52">
        <f t="shared" ref="D147:AK147" si="343">D131+SUM(D134:D146)</f>
        <v>722</v>
      </c>
      <c r="E147" s="50">
        <f t="shared" si="343"/>
        <v>813</v>
      </c>
      <c r="F147" s="237">
        <f t="shared" ref="F147:G147" si="344">F131+SUM(F134:F146)</f>
        <v>855</v>
      </c>
      <c r="G147" s="237">
        <f t="shared" si="344"/>
        <v>792</v>
      </c>
      <c r="H147" s="61">
        <f t="shared" ref="H147" si="345">H131+SUM(H134:H146)</f>
        <v>3180</v>
      </c>
      <c r="I147" s="50">
        <f t="shared" si="343"/>
        <v>809</v>
      </c>
      <c r="J147" s="50">
        <f t="shared" si="343"/>
        <v>975</v>
      </c>
      <c r="K147" s="50">
        <f t="shared" si="343"/>
        <v>874</v>
      </c>
      <c r="L147" s="50">
        <f t="shared" si="343"/>
        <v>912</v>
      </c>
      <c r="M147" s="61">
        <f t="shared" ref="M147" si="346">M131+SUM(M134:M146)</f>
        <v>3570</v>
      </c>
      <c r="N147" s="50">
        <f t="shared" si="343"/>
        <v>890</v>
      </c>
      <c r="O147" s="50">
        <f t="shared" si="343"/>
        <v>1010</v>
      </c>
      <c r="P147" s="50">
        <f t="shared" si="343"/>
        <v>861.30805203552995</v>
      </c>
      <c r="Q147" s="50">
        <f t="shared" ref="Q147" si="347">Q131+SUM(Q134:Q146)</f>
        <v>946.43436625996605</v>
      </c>
      <c r="R147" s="61">
        <f t="shared" ref="R147" si="348">R131+SUM(R134:R146)</f>
        <v>3707.7424182954965</v>
      </c>
      <c r="S147" s="52">
        <f t="shared" si="343"/>
        <v>806.29028188784332</v>
      </c>
      <c r="T147" s="50">
        <f t="shared" si="343"/>
        <v>1155.2095103128295</v>
      </c>
      <c r="U147" s="50">
        <f t="shared" si="343"/>
        <v>1078.7174594066089</v>
      </c>
      <c r="V147" s="50">
        <f t="shared" si="343"/>
        <v>1056.0225838790736</v>
      </c>
      <c r="W147" s="61">
        <f>W131+SUM(W134:W146)</f>
        <v>4096.2398354863553</v>
      </c>
      <c r="X147" s="52">
        <f t="shared" si="343"/>
        <v>987.87935784897093</v>
      </c>
      <c r="Y147" s="50">
        <f t="shared" si="343"/>
        <v>886.5347899572389</v>
      </c>
      <c r="Z147" s="50">
        <f t="shared" si="343"/>
        <v>1408.630856841045</v>
      </c>
      <c r="AA147" s="50">
        <f t="shared" si="343"/>
        <v>709.65490881996629</v>
      </c>
      <c r="AB147" s="61">
        <f t="shared" ref="AB147" si="349">AB131+SUM(AB134:AB146)</f>
        <v>3992.6999134672233</v>
      </c>
      <c r="AC147" s="52">
        <f t="shared" si="343"/>
        <v>1242.4631176199114</v>
      </c>
      <c r="AD147" s="50">
        <f t="shared" si="343"/>
        <v>491.28696201214859</v>
      </c>
      <c r="AE147" s="50">
        <f t="shared" si="343"/>
        <v>1868.1407378312485</v>
      </c>
      <c r="AF147" s="50">
        <f t="shared" si="343"/>
        <v>151.66117136619096</v>
      </c>
      <c r="AG147" s="61">
        <f t="shared" ref="AG147" si="350">AG131+SUM(AG134:AG146)</f>
        <v>3753.5519888294975</v>
      </c>
      <c r="AH147" s="52">
        <f t="shared" si="343"/>
        <v>1542.2314160052324</v>
      </c>
      <c r="AI147" s="50">
        <f t="shared" si="343"/>
        <v>-54.432601335108757</v>
      </c>
      <c r="AJ147" s="50">
        <f t="shared" si="343"/>
        <v>2438.2137665079053</v>
      </c>
      <c r="AK147" s="50">
        <f t="shared" si="343"/>
        <v>-531.63669774666687</v>
      </c>
      <c r="AL147" s="61">
        <f t="shared" ref="AL147" si="351">AL131+SUM(AL134:AL146)</f>
        <v>3394.3758834313599</v>
      </c>
    </row>
    <row r="148" spans="2:38" ht="12.75" customHeight="1" outlineLevel="1" x14ac:dyDescent="0.3">
      <c r="B148" s="321"/>
      <c r="C148" s="322"/>
      <c r="D148" s="27"/>
      <c r="E148" s="28"/>
      <c r="F148" s="104"/>
      <c r="G148" s="104"/>
      <c r="H148" s="60"/>
      <c r="I148" s="28"/>
      <c r="J148" s="28"/>
      <c r="K148" s="28"/>
      <c r="L148" s="28"/>
      <c r="M148" s="60"/>
      <c r="N148" s="28"/>
      <c r="O148" s="28"/>
      <c r="P148" s="28"/>
      <c r="Q148" s="28"/>
      <c r="R148" s="60"/>
      <c r="S148" s="27"/>
      <c r="T148" s="28"/>
      <c r="U148" s="28"/>
      <c r="V148" s="28"/>
      <c r="W148" s="60"/>
      <c r="X148" s="27"/>
      <c r="Y148" s="28"/>
      <c r="Z148" s="28"/>
      <c r="AA148" s="28"/>
      <c r="AB148" s="60"/>
      <c r="AC148" s="27"/>
      <c r="AD148" s="28"/>
      <c r="AE148" s="28"/>
      <c r="AF148" s="28"/>
      <c r="AG148" s="60"/>
      <c r="AH148" s="27"/>
      <c r="AI148" s="28"/>
      <c r="AJ148" s="28"/>
      <c r="AK148" s="28"/>
      <c r="AL148" s="60"/>
    </row>
    <row r="149" spans="2:38" outlineLevel="1" x14ac:dyDescent="0.3">
      <c r="B149" s="319" t="s">
        <v>28</v>
      </c>
      <c r="C149" s="320"/>
      <c r="D149" s="27"/>
      <c r="E149" s="28"/>
      <c r="F149" s="104"/>
      <c r="G149" s="104"/>
      <c r="H149" s="60"/>
      <c r="I149" s="28"/>
      <c r="J149" s="28"/>
      <c r="K149" s="28"/>
      <c r="L149" s="28"/>
      <c r="M149" s="60"/>
      <c r="N149" s="28"/>
      <c r="O149" s="28"/>
      <c r="P149" s="28"/>
      <c r="Q149" s="28"/>
      <c r="R149" s="60"/>
      <c r="S149" s="27"/>
      <c r="T149" s="28"/>
      <c r="U149" s="28"/>
      <c r="V149" s="28"/>
      <c r="W149" s="60"/>
      <c r="X149" s="27"/>
      <c r="Y149" s="28"/>
      <c r="Z149" s="28"/>
      <c r="AA149" s="28"/>
      <c r="AB149" s="60"/>
      <c r="AC149" s="27"/>
      <c r="AD149" s="28"/>
      <c r="AE149" s="28"/>
      <c r="AF149" s="28"/>
      <c r="AG149" s="60"/>
      <c r="AH149" s="27"/>
      <c r="AI149" s="28"/>
      <c r="AJ149" s="28"/>
      <c r="AK149" s="28"/>
      <c r="AL149" s="60"/>
    </row>
    <row r="150" spans="2:38" outlineLevel="1" x14ac:dyDescent="0.3">
      <c r="B150" s="304" t="s">
        <v>93</v>
      </c>
      <c r="C150" s="308"/>
      <c r="D150" s="27"/>
      <c r="E150" s="28"/>
      <c r="F150" s="104"/>
      <c r="G150" s="104"/>
      <c r="H150" s="60">
        <f t="shared" ref="H150:H156" si="352">SUM(D150:G150)</f>
        <v>0</v>
      </c>
      <c r="I150" s="28"/>
      <c r="J150" s="28"/>
      <c r="K150" s="28"/>
      <c r="L150" s="28"/>
      <c r="M150" s="60">
        <f t="shared" ref="M150:M156" si="353">SUM(I150:L150)</f>
        <v>0</v>
      </c>
      <c r="N150" s="28"/>
      <c r="O150" s="28"/>
      <c r="P150" s="28"/>
      <c r="Q150" s="28"/>
      <c r="R150" s="60">
        <f t="shared" ref="R150:R156" si="354">SUM(N150:Q150)</f>
        <v>0</v>
      </c>
      <c r="S150" s="27"/>
      <c r="T150" s="28"/>
      <c r="U150" s="28"/>
      <c r="V150" s="28"/>
      <c r="W150" s="60">
        <f t="shared" ref="W150:W156" si="355">SUM(S150:V150)</f>
        <v>0</v>
      </c>
      <c r="X150" s="27"/>
      <c r="Y150" s="28"/>
      <c r="Z150" s="28"/>
      <c r="AA150" s="28"/>
      <c r="AB150" s="60">
        <f t="shared" ref="AB150:AB156" si="356">SUM(X150:AA150)</f>
        <v>0</v>
      </c>
      <c r="AC150" s="27"/>
      <c r="AD150" s="28"/>
      <c r="AE150" s="28"/>
      <c r="AF150" s="28"/>
      <c r="AG150" s="60">
        <f t="shared" ref="AG150:AG156" si="357">SUM(AC150:AF150)</f>
        <v>0</v>
      </c>
      <c r="AH150" s="27"/>
      <c r="AI150" s="28"/>
      <c r="AJ150" s="28"/>
      <c r="AK150" s="28"/>
      <c r="AL150" s="60">
        <f t="shared" ref="AL150:AL156" si="358">SUM(AH150:AK150)</f>
        <v>0</v>
      </c>
    </row>
    <row r="151" spans="2:38" outlineLevel="1" x14ac:dyDescent="0.3">
      <c r="B151" s="294" t="s">
        <v>94</v>
      </c>
      <c r="C151" s="295"/>
      <c r="D151" s="27"/>
      <c r="E151" s="28"/>
      <c r="F151" s="104"/>
      <c r="G151" s="104"/>
      <c r="H151" s="60">
        <f t="shared" si="352"/>
        <v>0</v>
      </c>
      <c r="I151" s="28"/>
      <c r="J151" s="28"/>
      <c r="K151" s="28"/>
      <c r="L151" s="28"/>
      <c r="M151" s="60">
        <f t="shared" si="353"/>
        <v>0</v>
      </c>
      <c r="N151" s="28"/>
      <c r="O151" s="28"/>
      <c r="P151" s="28"/>
      <c r="Q151" s="28"/>
      <c r="R151" s="60">
        <f t="shared" si="354"/>
        <v>0</v>
      </c>
      <c r="S151" s="27"/>
      <c r="T151" s="28"/>
      <c r="U151" s="28"/>
      <c r="V151" s="28"/>
      <c r="W151" s="60">
        <f t="shared" si="355"/>
        <v>0</v>
      </c>
      <c r="X151" s="27"/>
      <c r="Y151" s="28"/>
      <c r="Z151" s="28"/>
      <c r="AA151" s="28"/>
      <c r="AB151" s="60">
        <f t="shared" si="356"/>
        <v>0</v>
      </c>
      <c r="AC151" s="27"/>
      <c r="AD151" s="28"/>
      <c r="AE151" s="28"/>
      <c r="AF151" s="28"/>
      <c r="AG151" s="60">
        <f t="shared" si="357"/>
        <v>0</v>
      </c>
      <c r="AH151" s="27"/>
      <c r="AI151" s="28"/>
      <c r="AJ151" s="28"/>
      <c r="AK151" s="28"/>
      <c r="AL151" s="60">
        <f t="shared" si="358"/>
        <v>0</v>
      </c>
    </row>
    <row r="152" spans="2:38" outlineLevel="1" x14ac:dyDescent="0.3">
      <c r="B152" s="294" t="s">
        <v>95</v>
      </c>
      <c r="C152" s="295"/>
      <c r="D152" s="27"/>
      <c r="E152" s="28"/>
      <c r="F152" s="104"/>
      <c r="G152" s="104"/>
      <c r="H152" s="60">
        <f t="shared" si="352"/>
        <v>0</v>
      </c>
      <c r="I152" s="28"/>
      <c r="J152" s="28"/>
      <c r="K152" s="28"/>
      <c r="L152" s="28"/>
      <c r="M152" s="60">
        <f t="shared" si="353"/>
        <v>0</v>
      </c>
      <c r="N152" s="28"/>
      <c r="O152" s="28"/>
      <c r="P152" s="28"/>
      <c r="Q152" s="28"/>
      <c r="R152" s="60">
        <f t="shared" si="354"/>
        <v>0</v>
      </c>
      <c r="S152" s="27"/>
      <c r="T152" s="28"/>
      <c r="U152" s="28"/>
      <c r="V152" s="28"/>
      <c r="W152" s="60">
        <f t="shared" si="355"/>
        <v>0</v>
      </c>
      <c r="X152" s="27"/>
      <c r="Y152" s="28"/>
      <c r="Z152" s="28"/>
      <c r="AA152" s="28"/>
      <c r="AB152" s="60">
        <f t="shared" si="356"/>
        <v>0</v>
      </c>
      <c r="AC152" s="27"/>
      <c r="AD152" s="28"/>
      <c r="AE152" s="28"/>
      <c r="AF152" s="28"/>
      <c r="AG152" s="60">
        <f t="shared" si="357"/>
        <v>0</v>
      </c>
      <c r="AH152" s="27"/>
      <c r="AI152" s="28"/>
      <c r="AJ152" s="28"/>
      <c r="AK152" s="28"/>
      <c r="AL152" s="60">
        <f t="shared" si="358"/>
        <v>0</v>
      </c>
    </row>
    <row r="153" spans="2:38" outlineLevel="1" x14ac:dyDescent="0.3">
      <c r="B153" s="294" t="s">
        <v>96</v>
      </c>
      <c r="C153" s="295"/>
      <c r="D153" s="278">
        <v>-8</v>
      </c>
      <c r="E153" s="278">
        <f>-49-D153</f>
        <v>-41</v>
      </c>
      <c r="F153" s="278">
        <f>-80-E153-D153</f>
        <v>-31</v>
      </c>
      <c r="G153" s="278">
        <f>-198-F153-E153-D153</f>
        <v>-118</v>
      </c>
      <c r="H153" s="60">
        <f t="shared" si="352"/>
        <v>-198</v>
      </c>
      <c r="I153" s="278">
        <v>-246</v>
      </c>
      <c r="J153" s="278">
        <f>-263-I153</f>
        <v>-17</v>
      </c>
      <c r="K153" s="278">
        <f>-342-J153-I153</f>
        <v>-79</v>
      </c>
      <c r="L153" s="278">
        <f>-460-K153-J153-I153</f>
        <v>-118</v>
      </c>
      <c r="M153" s="60">
        <f t="shared" si="353"/>
        <v>-460</v>
      </c>
      <c r="N153" s="278">
        <v>-394</v>
      </c>
      <c r="O153" s="278">
        <f>-440-N153</f>
        <v>-46</v>
      </c>
      <c r="P153" s="59"/>
      <c r="Q153" s="59"/>
      <c r="R153" s="60">
        <f t="shared" si="354"/>
        <v>-440</v>
      </c>
      <c r="S153" s="27"/>
      <c r="T153" s="28"/>
      <c r="U153" s="28"/>
      <c r="V153" s="59"/>
      <c r="W153" s="60">
        <f t="shared" si="355"/>
        <v>0</v>
      </c>
      <c r="X153" s="27"/>
      <c r="Y153" s="28"/>
      <c r="Z153" s="28"/>
      <c r="AA153" s="59"/>
      <c r="AB153" s="60">
        <f t="shared" si="356"/>
        <v>0</v>
      </c>
      <c r="AC153" s="27"/>
      <c r="AD153" s="28"/>
      <c r="AE153" s="28"/>
      <c r="AF153" s="59"/>
      <c r="AG153" s="60">
        <f t="shared" si="357"/>
        <v>0</v>
      </c>
      <c r="AH153" s="27"/>
      <c r="AI153" s="28"/>
      <c r="AJ153" s="28"/>
      <c r="AK153" s="59"/>
      <c r="AL153" s="60">
        <f t="shared" si="358"/>
        <v>0</v>
      </c>
    </row>
    <row r="154" spans="2:38" outlineLevel="1" x14ac:dyDescent="0.3">
      <c r="B154" s="294" t="s">
        <v>215</v>
      </c>
      <c r="C154" s="295"/>
      <c r="D154" s="278">
        <v>-332</v>
      </c>
      <c r="E154" s="278">
        <f>-631-D154</f>
        <v>-299</v>
      </c>
      <c r="F154" s="278">
        <f>-981-E154-D154</f>
        <v>-350</v>
      </c>
      <c r="G154" s="278">
        <f>-1509-F154-E154-D154</f>
        <v>-528</v>
      </c>
      <c r="H154" s="60">
        <f t="shared" si="352"/>
        <v>-1509</v>
      </c>
      <c r="I154" s="278">
        <v>-400</v>
      </c>
      <c r="J154" s="278">
        <f>-836-I154</f>
        <v>-436</v>
      </c>
      <c r="K154" s="278">
        <f>-1240-J154-I154</f>
        <v>-404</v>
      </c>
      <c r="L154" s="278">
        <f>-1694-K154-J154-I154</f>
        <v>-454</v>
      </c>
      <c r="M154" s="60">
        <f t="shared" si="353"/>
        <v>-1694</v>
      </c>
      <c r="N154" s="3">
        <v>-471</v>
      </c>
      <c r="O154" s="3">
        <f>-1049-N154</f>
        <v>-578</v>
      </c>
      <c r="P154" s="28">
        <f>O154*(1+P194)</f>
        <v>-566.43999999999994</v>
      </c>
      <c r="Q154" s="28">
        <f>P154*(1+Q194)</f>
        <v>-555.11119999999994</v>
      </c>
      <c r="R154" s="60">
        <f t="shared" si="354"/>
        <v>-2170.5511999999999</v>
      </c>
      <c r="S154" s="27">
        <f>Q154*(1+S194)</f>
        <v>-560.66231199999993</v>
      </c>
      <c r="T154" s="28">
        <f>S154*(1+T194)</f>
        <v>-566.26893511999992</v>
      </c>
      <c r="U154" s="28">
        <f>T154*(1+U194)</f>
        <v>-571.93162447119994</v>
      </c>
      <c r="V154" s="28">
        <f>U154*(1+V194)</f>
        <v>-560.49299198177596</v>
      </c>
      <c r="W154" s="60">
        <f t="shared" si="355"/>
        <v>-2259.355863572976</v>
      </c>
      <c r="X154" s="27">
        <f>V154*(1+X194)</f>
        <v>-566.09792190159374</v>
      </c>
      <c r="Y154" s="28">
        <f>X154*(1+Y194)</f>
        <v>-571.75890112060972</v>
      </c>
      <c r="Z154" s="28">
        <f>Y154*(1+Z194)</f>
        <v>-577.47649013181581</v>
      </c>
      <c r="AA154" s="28">
        <f>Z154*(1+AA194)</f>
        <v>-565.92696032917945</v>
      </c>
      <c r="AB154" s="60">
        <f t="shared" si="356"/>
        <v>-2281.2602734831989</v>
      </c>
      <c r="AC154" s="27">
        <f>AA154*(1+AC194)</f>
        <v>-571.58622993247127</v>
      </c>
      <c r="AD154" s="28">
        <f>AC154*(1+AD194)</f>
        <v>-577.302092231796</v>
      </c>
      <c r="AE154" s="28">
        <f>AD154*(1+AE194)</f>
        <v>-583.07511315411398</v>
      </c>
      <c r="AF154" s="28">
        <f>AE154*(1+AF194)</f>
        <v>-571.41361089103168</v>
      </c>
      <c r="AG154" s="60">
        <f t="shared" si="357"/>
        <v>-2303.377046209413</v>
      </c>
      <c r="AH154" s="27">
        <f>AF154*(1+AH194)</f>
        <v>-577.12774699994202</v>
      </c>
      <c r="AI154" s="28">
        <f>AH154*(1+AI194)</f>
        <v>-582.89902446994142</v>
      </c>
      <c r="AJ154" s="28">
        <f>AI154*(1+AJ194)</f>
        <v>-588.72801471464084</v>
      </c>
      <c r="AK154" s="28">
        <f>AJ154*(1+AK194)</f>
        <v>-576.95345442034795</v>
      </c>
      <c r="AL154" s="60">
        <f t="shared" si="358"/>
        <v>-2325.7082406048721</v>
      </c>
    </row>
    <row r="155" spans="2:38" outlineLevel="1" x14ac:dyDescent="0.3">
      <c r="B155" s="294" t="s">
        <v>216</v>
      </c>
      <c r="C155" s="295"/>
      <c r="D155" s="27"/>
      <c r="E155" s="28"/>
      <c r="F155" s="104"/>
      <c r="G155" s="104"/>
      <c r="H155" s="60">
        <f t="shared" si="352"/>
        <v>0</v>
      </c>
      <c r="I155" s="28"/>
      <c r="J155" s="28"/>
      <c r="K155" s="28"/>
      <c r="L155" s="28"/>
      <c r="M155" s="60">
        <f t="shared" si="353"/>
        <v>0</v>
      </c>
      <c r="N155" s="28"/>
      <c r="O155" s="28"/>
      <c r="P155" s="28">
        <f>+AVERAGE(O155,N155,M155,K155)</f>
        <v>0</v>
      </c>
      <c r="Q155" s="28">
        <f>+AVERAGE(P155,O155,N155,L155)</f>
        <v>0</v>
      </c>
      <c r="R155" s="60">
        <f t="shared" si="354"/>
        <v>0</v>
      </c>
      <c r="S155" s="28">
        <f>AVERAGE(Q155,P155,O155,N155)</f>
        <v>0</v>
      </c>
      <c r="T155" s="28">
        <f>AVERAGE(S155,Q155,P155,O155)</f>
        <v>0</v>
      </c>
      <c r="U155" s="28">
        <f>AVERAGE(T155,S155,Q155,P155)</f>
        <v>0</v>
      </c>
      <c r="V155" s="28">
        <f>+AVERAGE(U155,T155,S155,Q155)</f>
        <v>0</v>
      </c>
      <c r="W155" s="60">
        <f t="shared" si="355"/>
        <v>0</v>
      </c>
      <c r="X155" s="28">
        <f>AVERAGE(V155,U155,T155,S155)</f>
        <v>0</v>
      </c>
      <c r="Y155" s="28">
        <f>AVERAGE(X155,V155,U155,T155)</f>
        <v>0</v>
      </c>
      <c r="Z155" s="28">
        <f>AVERAGE(Y155,X155,V155,U155)</f>
        <v>0</v>
      </c>
      <c r="AA155" s="28">
        <f>+AVERAGE(Z155,Y155,X155,V155)</f>
        <v>0</v>
      </c>
      <c r="AB155" s="60">
        <f t="shared" si="356"/>
        <v>0</v>
      </c>
      <c r="AC155" s="28">
        <f>AVERAGE(AA155,Z155,Y155,X155)</f>
        <v>0</v>
      </c>
      <c r="AD155" s="28">
        <f>AVERAGE(AC155,AA155,Z155,Y155)</f>
        <v>0</v>
      </c>
      <c r="AE155" s="28">
        <f>AVERAGE(AD155,AC155,AA155,Z155)</f>
        <v>0</v>
      </c>
      <c r="AF155" s="28">
        <f>+AVERAGE(AE155,AD155,AC155,AA155)</f>
        <v>0</v>
      </c>
      <c r="AG155" s="60">
        <f t="shared" si="357"/>
        <v>0</v>
      </c>
      <c r="AH155" s="28">
        <f>AVERAGE(AF155,AE155,AD155,AC155)</f>
        <v>0</v>
      </c>
      <c r="AI155" s="28">
        <f>AVERAGE(AH155,AF155,AE155,AD155)</f>
        <v>0</v>
      </c>
      <c r="AJ155" s="28">
        <f>AVERAGE(AI155,AH155,AF155,AE155)</f>
        <v>0</v>
      </c>
      <c r="AK155" s="28">
        <f>+AVERAGE(AJ155,AI155,AH155,AF155)</f>
        <v>0</v>
      </c>
      <c r="AL155" s="60">
        <f t="shared" si="358"/>
        <v>0</v>
      </c>
    </row>
    <row r="156" spans="2:38" ht="16.2" outlineLevel="1" x14ac:dyDescent="0.45">
      <c r="B156" s="294" t="s">
        <v>104</v>
      </c>
      <c r="C156" s="295"/>
      <c r="D156" s="114">
        <v>3</v>
      </c>
      <c r="E156" s="115">
        <v>4</v>
      </c>
      <c r="F156" s="115">
        <v>70</v>
      </c>
      <c r="G156" s="104">
        <v>10</v>
      </c>
      <c r="H156" s="117">
        <f t="shared" si="352"/>
        <v>87</v>
      </c>
      <c r="I156" s="115">
        <v>9</v>
      </c>
      <c r="J156" s="115">
        <v>80</v>
      </c>
      <c r="K156" s="115">
        <v>-13</v>
      </c>
      <c r="L156" s="115">
        <v>-91</v>
      </c>
      <c r="M156" s="117">
        <f t="shared" si="353"/>
        <v>-15</v>
      </c>
      <c r="N156" s="115">
        <v>65</v>
      </c>
      <c r="O156" s="115">
        <v>-141</v>
      </c>
      <c r="P156" s="115">
        <f>-(P80-O80)</f>
        <v>0</v>
      </c>
      <c r="Q156" s="115">
        <f>-(Q80-P80)</f>
        <v>0</v>
      </c>
      <c r="R156" s="117">
        <f t="shared" si="354"/>
        <v>-76</v>
      </c>
      <c r="S156" s="114">
        <f>-(S80-R80)</f>
        <v>0</v>
      </c>
      <c r="T156" s="115">
        <f>-(T80-S80)</f>
        <v>0</v>
      </c>
      <c r="U156" s="115">
        <f>-(U80-T80)</f>
        <v>0</v>
      </c>
      <c r="V156" s="115">
        <f>-(V80-U80)</f>
        <v>0</v>
      </c>
      <c r="W156" s="117">
        <f t="shared" si="355"/>
        <v>0</v>
      </c>
      <c r="X156" s="114">
        <f>-(X80-W80)</f>
        <v>0</v>
      </c>
      <c r="Y156" s="115">
        <f>-(Y80-X80)</f>
        <v>0</v>
      </c>
      <c r="Z156" s="115">
        <f>-(Z80-Y80)</f>
        <v>0</v>
      </c>
      <c r="AA156" s="115">
        <f>-(AA80-Z80)</f>
        <v>0</v>
      </c>
      <c r="AB156" s="117">
        <f t="shared" si="356"/>
        <v>0</v>
      </c>
      <c r="AC156" s="114">
        <f>-(AC80-AB80)</f>
        <v>0</v>
      </c>
      <c r="AD156" s="115">
        <f>-(AD80-AC80)</f>
        <v>0</v>
      </c>
      <c r="AE156" s="115">
        <f>-(AE80-AD80)</f>
        <v>0</v>
      </c>
      <c r="AF156" s="115">
        <f>-(AF80-AE80)</f>
        <v>0</v>
      </c>
      <c r="AG156" s="117">
        <f t="shared" si="357"/>
        <v>0</v>
      </c>
      <c r="AH156" s="114">
        <f>-(AH80-AG80)</f>
        <v>0</v>
      </c>
      <c r="AI156" s="115">
        <f>-(AI80-AH80)</f>
        <v>0</v>
      </c>
      <c r="AJ156" s="115">
        <f>-(AJ80-AI80)</f>
        <v>0</v>
      </c>
      <c r="AK156" s="115">
        <f>-(AK80-AJ80)</f>
        <v>0</v>
      </c>
      <c r="AL156" s="117">
        <f t="shared" si="358"/>
        <v>0</v>
      </c>
    </row>
    <row r="157" spans="2:38" outlineLevel="1" x14ac:dyDescent="0.3">
      <c r="B157" s="309" t="s">
        <v>29</v>
      </c>
      <c r="C157" s="310"/>
      <c r="D157" s="52">
        <f>SUM(D149:D156)</f>
        <v>-337</v>
      </c>
      <c r="E157" s="50">
        <f>SUM(E149:E156)</f>
        <v>-336</v>
      </c>
      <c r="F157" s="50">
        <f t="shared" ref="F157:G157" si="359">SUM(F149:F156)</f>
        <v>-311</v>
      </c>
      <c r="G157" s="50">
        <f t="shared" si="359"/>
        <v>-636</v>
      </c>
      <c r="H157" s="61">
        <f>SUM(H150:H156)</f>
        <v>-1620</v>
      </c>
      <c r="I157" s="50">
        <f t="shared" ref="I157:O157" si="360">SUM(I149:I156)</f>
        <v>-637</v>
      </c>
      <c r="J157" s="50">
        <f t="shared" si="360"/>
        <v>-373</v>
      </c>
      <c r="K157" s="50">
        <f t="shared" si="360"/>
        <v>-496</v>
      </c>
      <c r="L157" s="50">
        <f t="shared" si="360"/>
        <v>-663</v>
      </c>
      <c r="M157" s="61">
        <f>SUM(M150:M156)</f>
        <v>-2169</v>
      </c>
      <c r="N157" s="50">
        <f t="shared" si="360"/>
        <v>-800</v>
      </c>
      <c r="O157" s="50">
        <f t="shared" si="360"/>
        <v>-765</v>
      </c>
      <c r="P157" s="50">
        <f>SUM(P149:P156)</f>
        <v>-566.43999999999994</v>
      </c>
      <c r="Q157" s="50">
        <f>SUM(Q149:Q156)</f>
        <v>-555.11119999999994</v>
      </c>
      <c r="R157" s="61">
        <f>SUM(R150:R156)</f>
        <v>-2686.5511999999999</v>
      </c>
      <c r="S157" s="52">
        <f>SUM(S149:S156)</f>
        <v>-560.66231199999993</v>
      </c>
      <c r="T157" s="50">
        <f>SUM(T149:T156)</f>
        <v>-566.26893511999992</v>
      </c>
      <c r="U157" s="50">
        <f>SUM(U149:U156)</f>
        <v>-571.93162447119994</v>
      </c>
      <c r="V157" s="50">
        <f>SUM(V149:V156)</f>
        <v>-560.49299198177596</v>
      </c>
      <c r="W157" s="61">
        <f>SUM(W150:W156)</f>
        <v>-2259.355863572976</v>
      </c>
      <c r="X157" s="52">
        <f>SUM(X149:X156)</f>
        <v>-566.09792190159374</v>
      </c>
      <c r="Y157" s="50">
        <f>SUM(Y149:Y156)</f>
        <v>-571.75890112060972</v>
      </c>
      <c r="Z157" s="50">
        <f>SUM(Z149:Z156)</f>
        <v>-577.47649013181581</v>
      </c>
      <c r="AA157" s="50">
        <f>SUM(AA149:AA156)</f>
        <v>-565.92696032917945</v>
      </c>
      <c r="AB157" s="61">
        <f>SUM(AB150:AB156)</f>
        <v>-2281.2602734831989</v>
      </c>
      <c r="AC157" s="52">
        <f>SUM(AC149:AC156)</f>
        <v>-571.58622993247127</v>
      </c>
      <c r="AD157" s="50">
        <f>SUM(AD149:AD156)</f>
        <v>-577.302092231796</v>
      </c>
      <c r="AE157" s="50">
        <f>SUM(AE149:AE156)</f>
        <v>-583.07511315411398</v>
      </c>
      <c r="AF157" s="50">
        <f>SUM(AF149:AF156)</f>
        <v>-571.41361089103168</v>
      </c>
      <c r="AG157" s="61">
        <f>SUM(AG150:AG156)</f>
        <v>-2303.377046209413</v>
      </c>
      <c r="AH157" s="52">
        <f>SUM(AH149:AH156)</f>
        <v>-577.12774699994202</v>
      </c>
      <c r="AI157" s="50">
        <f>SUM(AI149:AI156)</f>
        <v>-582.89902446994142</v>
      </c>
      <c r="AJ157" s="50">
        <f>SUM(AJ149:AJ156)</f>
        <v>-588.72801471464084</v>
      </c>
      <c r="AK157" s="50">
        <f>SUM(AK149:AK156)</f>
        <v>-576.95345442034795</v>
      </c>
      <c r="AL157" s="61">
        <f>SUM(AL150:AL156)</f>
        <v>-2325.7082406048721</v>
      </c>
    </row>
    <row r="158" spans="2:38" ht="18" customHeight="1" outlineLevel="1" x14ac:dyDescent="0.3">
      <c r="B158" s="321"/>
      <c r="C158" s="322"/>
      <c r="D158" s="27"/>
      <c r="E158" s="28"/>
      <c r="F158" s="237"/>
      <c r="G158" s="237"/>
      <c r="H158" s="60"/>
      <c r="I158" s="28"/>
      <c r="J158" s="28"/>
      <c r="K158" s="28"/>
      <c r="L158" s="28"/>
      <c r="M158" s="60"/>
      <c r="N158" s="28"/>
      <c r="O158" s="28"/>
      <c r="P158" s="28"/>
      <c r="Q158" s="28"/>
      <c r="R158" s="60"/>
      <c r="S158" s="27"/>
      <c r="T158" s="28"/>
      <c r="U158" s="28"/>
      <c r="V158" s="28"/>
      <c r="W158" s="60"/>
      <c r="X158" s="27"/>
      <c r="Y158" s="28"/>
      <c r="Z158" s="28"/>
      <c r="AA158" s="28"/>
      <c r="AB158" s="60"/>
      <c r="AC158" s="27"/>
      <c r="AD158" s="28"/>
      <c r="AE158" s="28"/>
      <c r="AF158" s="28"/>
      <c r="AG158" s="60"/>
      <c r="AH158" s="27"/>
      <c r="AI158" s="28"/>
      <c r="AJ158" s="28"/>
      <c r="AK158" s="28"/>
      <c r="AL158" s="60"/>
    </row>
    <row r="159" spans="2:38" outlineLevel="1" x14ac:dyDescent="0.3">
      <c r="B159" s="319" t="s">
        <v>30</v>
      </c>
      <c r="C159" s="320"/>
      <c r="D159" s="27"/>
      <c r="E159" s="28"/>
      <c r="F159" s="104"/>
      <c r="G159" s="104"/>
      <c r="H159" s="60"/>
      <c r="I159" s="28"/>
      <c r="J159" s="28"/>
      <c r="K159" s="28"/>
      <c r="L159" s="28"/>
      <c r="M159" s="60"/>
      <c r="N159" s="28"/>
      <c r="O159" s="28"/>
      <c r="P159" s="28"/>
      <c r="Q159" s="28"/>
      <c r="R159" s="60"/>
      <c r="S159" s="27"/>
      <c r="T159" s="28"/>
      <c r="U159" s="28"/>
      <c r="V159" s="28"/>
      <c r="W159" s="60"/>
      <c r="X159" s="27"/>
      <c r="Y159" s="28"/>
      <c r="Z159" s="28"/>
      <c r="AA159" s="28"/>
      <c r="AB159" s="60"/>
      <c r="AC159" s="27"/>
      <c r="AD159" s="28"/>
      <c r="AE159" s="28"/>
      <c r="AF159" s="28"/>
      <c r="AG159" s="60"/>
      <c r="AH159" s="27"/>
      <c r="AI159" s="28"/>
      <c r="AJ159" s="28"/>
      <c r="AK159" s="28"/>
      <c r="AL159" s="60"/>
    </row>
    <row r="160" spans="2:38" outlineLevel="1" x14ac:dyDescent="0.3">
      <c r="B160" s="294" t="s">
        <v>97</v>
      </c>
      <c r="C160" s="295"/>
      <c r="D160" s="27"/>
      <c r="E160" s="28"/>
      <c r="F160" s="104"/>
      <c r="G160" s="104"/>
      <c r="H160" s="60">
        <f t="shared" ref="H160:H167" si="361">SUM(D160:G160)</f>
        <v>0</v>
      </c>
      <c r="I160" s="28"/>
      <c r="J160" s="28"/>
      <c r="K160" s="28"/>
      <c r="L160" s="28"/>
      <c r="M160" s="60">
        <f t="shared" ref="M160:M167" si="362">SUM(I160:L160)</f>
        <v>0</v>
      </c>
      <c r="N160" s="28"/>
      <c r="O160" s="28"/>
      <c r="P160" s="28"/>
      <c r="Q160" s="28"/>
      <c r="R160" s="60">
        <f t="shared" ref="R160:R167" si="363">SUM(N160:Q160)</f>
        <v>0</v>
      </c>
      <c r="S160" s="27"/>
      <c r="T160" s="28"/>
      <c r="U160" s="28"/>
      <c r="V160" s="28"/>
      <c r="W160" s="60">
        <f t="shared" ref="W160:W167" si="364">SUM(S160:V160)</f>
        <v>0</v>
      </c>
      <c r="X160" s="27"/>
      <c r="Y160" s="28"/>
      <c r="Z160" s="28"/>
      <c r="AA160" s="28"/>
      <c r="AB160" s="60">
        <f t="shared" ref="AB160:AB167" si="365">SUM(X160:AA160)</f>
        <v>0</v>
      </c>
      <c r="AC160" s="27"/>
      <c r="AD160" s="28"/>
      <c r="AE160" s="28"/>
      <c r="AF160" s="28"/>
      <c r="AG160" s="60">
        <f t="shared" ref="AG160:AG167" si="366">SUM(AC160:AF160)</f>
        <v>0</v>
      </c>
      <c r="AH160" s="27"/>
      <c r="AI160" s="28"/>
      <c r="AJ160" s="28"/>
      <c r="AK160" s="28"/>
      <c r="AL160" s="60">
        <f t="shared" ref="AL160:AL167" si="367">SUM(AH160:AK160)</f>
        <v>0</v>
      </c>
    </row>
    <row r="161" spans="1:38" outlineLevel="1" x14ac:dyDescent="0.3">
      <c r="B161" s="294" t="s">
        <v>98</v>
      </c>
      <c r="C161" s="295"/>
      <c r="D161" s="27"/>
      <c r="E161" s="28"/>
      <c r="F161" s="104"/>
      <c r="G161" s="104"/>
      <c r="H161" s="60">
        <f t="shared" si="361"/>
        <v>0</v>
      </c>
      <c r="I161" s="28"/>
      <c r="J161" s="28"/>
      <c r="K161" s="28"/>
      <c r="L161" s="28"/>
      <c r="M161" s="60">
        <f t="shared" si="362"/>
        <v>0</v>
      </c>
      <c r="N161" s="28"/>
      <c r="O161" s="28"/>
      <c r="P161" s="28"/>
      <c r="Q161" s="28"/>
      <c r="R161" s="60">
        <f t="shared" si="363"/>
        <v>0</v>
      </c>
      <c r="S161" s="27"/>
      <c r="T161" s="28"/>
      <c r="U161" s="28"/>
      <c r="V161" s="28"/>
      <c r="W161" s="60">
        <f t="shared" si="364"/>
        <v>0</v>
      </c>
      <c r="X161" s="27"/>
      <c r="Y161" s="28"/>
      <c r="Z161" s="28"/>
      <c r="AA161" s="28"/>
      <c r="AB161" s="60">
        <f t="shared" si="365"/>
        <v>0</v>
      </c>
      <c r="AC161" s="27"/>
      <c r="AD161" s="28"/>
      <c r="AE161" s="28"/>
      <c r="AF161" s="28"/>
      <c r="AG161" s="60">
        <f t="shared" si="366"/>
        <v>0</v>
      </c>
      <c r="AH161" s="27"/>
      <c r="AI161" s="28"/>
      <c r="AJ161" s="28"/>
      <c r="AK161" s="28"/>
      <c r="AL161" s="60">
        <f t="shared" si="367"/>
        <v>0</v>
      </c>
    </row>
    <row r="162" spans="1:38" outlineLevel="1" x14ac:dyDescent="0.3">
      <c r="B162" s="294" t="s">
        <v>99</v>
      </c>
      <c r="C162" s="295"/>
      <c r="D162" s="27">
        <v>-32</v>
      </c>
      <c r="E162" s="28">
        <v>-15</v>
      </c>
      <c r="F162" s="104">
        <v>0</v>
      </c>
      <c r="G162" s="104">
        <v>0</v>
      </c>
      <c r="H162" s="60">
        <f t="shared" si="361"/>
        <v>-47</v>
      </c>
      <c r="I162" s="28">
        <v>-28</v>
      </c>
      <c r="J162" s="28">
        <v>0</v>
      </c>
      <c r="K162" s="28">
        <v>0</v>
      </c>
      <c r="L162" s="28">
        <v>-1</v>
      </c>
      <c r="M162" s="60">
        <f t="shared" si="362"/>
        <v>-29</v>
      </c>
      <c r="N162" s="28">
        <v>-30</v>
      </c>
      <c r="O162" s="28">
        <v>0</v>
      </c>
      <c r="P162" s="28">
        <f t="shared" ref="P162" si="368">+P135*P191</f>
        <v>20.451101105254729</v>
      </c>
      <c r="Q162" s="28">
        <f t="shared" ref="Q162" si="369">+Q135*Q191</f>
        <v>-1.3646626520266651</v>
      </c>
      <c r="R162" s="60">
        <f t="shared" si="363"/>
        <v>-10.913561546771936</v>
      </c>
      <c r="S162" s="27">
        <f>+S135*S191</f>
        <v>-76.355226431216195</v>
      </c>
      <c r="T162" s="28">
        <f t="shared" ref="T162:U162" si="370">+T135*T191</f>
        <v>0</v>
      </c>
      <c r="U162" s="28">
        <f t="shared" si="370"/>
        <v>98.373885257551507</v>
      </c>
      <c r="V162" s="28">
        <f t="shared" ref="V162" si="371">+V135*V191</f>
        <v>-3.5271024152443489</v>
      </c>
      <c r="W162" s="60">
        <f t="shared" si="364"/>
        <v>18.491556411090961</v>
      </c>
      <c r="X162" s="27">
        <f>+X135*X191</f>
        <v>-80.378500965472767</v>
      </c>
      <c r="Y162" s="28">
        <f t="shared" ref="Y162:AA162" si="372">+Y135*Y191</f>
        <v>0</v>
      </c>
      <c r="Z162" s="28">
        <f t="shared" si="372"/>
        <v>101.18002945488747</v>
      </c>
      <c r="AA162" s="28">
        <f t="shared" si="372"/>
        <v>-57.616604341044194</v>
      </c>
      <c r="AB162" s="60">
        <f t="shared" si="365"/>
        <v>-36.815075851629487</v>
      </c>
      <c r="AC162" s="27">
        <f>+AC135*AC191</f>
        <v>-84.613768034288626</v>
      </c>
      <c r="AD162" s="28">
        <f t="shared" ref="AD162:AF162" si="373">+AD135*AD191</f>
        <v>0</v>
      </c>
      <c r="AE162" s="28">
        <f t="shared" si="373"/>
        <v>104.06621974611949</v>
      </c>
      <c r="AF162" s="28">
        <f t="shared" si="373"/>
        <v>42.261512378548503</v>
      </c>
      <c r="AG162" s="60">
        <f t="shared" si="366"/>
        <v>61.713964090379363</v>
      </c>
      <c r="AH162" s="27">
        <f>+AH135*AH191</f>
        <v>-89.072197850962894</v>
      </c>
      <c r="AI162" s="28">
        <f t="shared" ref="AI162:AK162" si="374">+AI135*AI191</f>
        <v>0</v>
      </c>
      <c r="AJ162" s="28">
        <f t="shared" si="374"/>
        <v>107.03473946977091</v>
      </c>
      <c r="AK162" s="28">
        <f t="shared" si="374"/>
        <v>368.54739960088529</v>
      </c>
      <c r="AL162" s="60">
        <f t="shared" si="367"/>
        <v>386.5099412196933</v>
      </c>
    </row>
    <row r="163" spans="1:38" outlineLevel="1" x14ac:dyDescent="0.3">
      <c r="B163" s="294" t="s">
        <v>100</v>
      </c>
      <c r="C163" s="295"/>
      <c r="D163" s="27">
        <v>-194</v>
      </c>
      <c r="E163" s="28">
        <v>-187</v>
      </c>
      <c r="F163" s="104">
        <v>-185</v>
      </c>
      <c r="G163" s="104">
        <v>-184</v>
      </c>
      <c r="H163" s="60">
        <f t="shared" si="361"/>
        <v>-750</v>
      </c>
      <c r="I163" s="28">
        <v>-206</v>
      </c>
      <c r="J163" s="28">
        <v>-200</v>
      </c>
      <c r="K163" s="28">
        <v>-199</v>
      </c>
      <c r="L163" s="28">
        <v>-197</v>
      </c>
      <c r="M163" s="60">
        <f t="shared" si="362"/>
        <v>-802</v>
      </c>
      <c r="N163" s="28">
        <v>-223</v>
      </c>
      <c r="O163" s="28">
        <v>-217</v>
      </c>
      <c r="P163" s="28">
        <f>-P29*P25</f>
        <v>-212.41707026945119</v>
      </c>
      <c r="Q163" s="28">
        <f>-Q29*Q25</f>
        <v>-208.13467822411673</v>
      </c>
      <c r="R163" s="60">
        <f t="shared" si="363"/>
        <v>-860.55174849356786</v>
      </c>
      <c r="S163" s="27">
        <f>-S29*S25</f>
        <v>-224.75633366957567</v>
      </c>
      <c r="T163" s="28">
        <f>-T29*T25</f>
        <v>-220.19597620682347</v>
      </c>
      <c r="U163" s="28">
        <f>-U29*U25</f>
        <v>-215.29242392865797</v>
      </c>
      <c r="V163" s="28">
        <f>-V29*V25</f>
        <v>-210.8947583527584</v>
      </c>
      <c r="W163" s="60">
        <f t="shared" si="364"/>
        <v>-871.13949215781554</v>
      </c>
      <c r="X163" s="27">
        <f>-X29*X25</f>
        <v>-227.67347361569819</v>
      </c>
      <c r="Y163" s="28">
        <f>-Y29*Y25</f>
        <v>-222.9903603426873</v>
      </c>
      <c r="Z163" s="28">
        <f>-Z29*Z25</f>
        <v>-217.96092701856665</v>
      </c>
      <c r="AA163" s="28">
        <f>-AA29*AA25</f>
        <v>-213.4448849764743</v>
      </c>
      <c r="AB163" s="60">
        <f t="shared" si="365"/>
        <v>-882.0696459534264</v>
      </c>
      <c r="AC163" s="27">
        <f>-AC29*AC25</f>
        <v>-230.35585156701231</v>
      </c>
      <c r="AD163" s="28">
        <f>-AD29*AD25</f>
        <v>-225.54667813993294</v>
      </c>
      <c r="AE163" s="28">
        <f>-AE29*AE25</f>
        <v>-220.38858658992669</v>
      </c>
      <c r="AF163" s="28">
        <f>-AF29*AF25</f>
        <v>-215.75098162111917</v>
      </c>
      <c r="AG163" s="60">
        <f t="shared" si="366"/>
        <v>-892.0420979179911</v>
      </c>
      <c r="AH163" s="27">
        <f>-AH29*AH25</f>
        <v>-232.76581963087693</v>
      </c>
      <c r="AI163" s="28">
        <f>-AI29*AI25</f>
        <v>-227.82719275951436</v>
      </c>
      <c r="AJ163" s="28">
        <f>-AJ29*AJ25</f>
        <v>-222.53765217640165</v>
      </c>
      <c r="AK163" s="28">
        <f>-AK29*AK25</f>
        <v>-217.77521204713673</v>
      </c>
      <c r="AL163" s="60">
        <f t="shared" si="367"/>
        <v>-900.90587661392976</v>
      </c>
    </row>
    <row r="164" spans="1:38" outlineLevel="1" x14ac:dyDescent="0.3">
      <c r="B164" s="294" t="s">
        <v>101</v>
      </c>
      <c r="C164" s="295"/>
      <c r="D164" s="27">
        <v>0</v>
      </c>
      <c r="E164" s="28">
        <v>-250</v>
      </c>
      <c r="F164" s="104">
        <v>-500</v>
      </c>
      <c r="G164" s="104">
        <v>0</v>
      </c>
      <c r="H164" s="60">
        <f t="shared" si="361"/>
        <v>-750</v>
      </c>
      <c r="I164" s="28">
        <v>-250</v>
      </c>
      <c r="J164" s="28">
        <v>-300</v>
      </c>
      <c r="K164" s="28">
        <v>-200</v>
      </c>
      <c r="L164" s="28">
        <v>-254</v>
      </c>
      <c r="M164" s="60">
        <f t="shared" si="362"/>
        <v>-1004</v>
      </c>
      <c r="N164" s="28">
        <v>-68</v>
      </c>
      <c r="O164" s="28">
        <v>-180</v>
      </c>
      <c r="P164" s="28">
        <f>-P48</f>
        <v>-142</v>
      </c>
      <c r="Q164" s="28">
        <f>-Q48</f>
        <v>-142</v>
      </c>
      <c r="R164" s="60">
        <f t="shared" si="363"/>
        <v>-532</v>
      </c>
      <c r="S164" s="27">
        <f>-S48</f>
        <v>-142</v>
      </c>
      <c r="T164" s="28">
        <f>-T48</f>
        <v>-142</v>
      </c>
      <c r="U164" s="28">
        <f>-U48</f>
        <v>-142</v>
      </c>
      <c r="V164" s="28">
        <f>-V48</f>
        <v>-142</v>
      </c>
      <c r="W164" s="60">
        <f t="shared" si="364"/>
        <v>-568</v>
      </c>
      <c r="X164" s="27">
        <f>-X48</f>
        <v>-142</v>
      </c>
      <c r="Y164" s="28">
        <f>-Y48</f>
        <v>-142</v>
      </c>
      <c r="Z164" s="28">
        <f>-Z48</f>
        <v>-142</v>
      </c>
      <c r="AA164" s="28">
        <f>-AA48</f>
        <v>-142</v>
      </c>
      <c r="AB164" s="60">
        <f t="shared" si="365"/>
        <v>-568</v>
      </c>
      <c r="AC164" s="27">
        <f>-AC48</f>
        <v>-142</v>
      </c>
      <c r="AD164" s="28">
        <f>-AD48</f>
        <v>-142</v>
      </c>
      <c r="AE164" s="28">
        <f>-AE48</f>
        <v>-142</v>
      </c>
      <c r="AF164" s="28">
        <f>-AF48</f>
        <v>-142</v>
      </c>
      <c r="AG164" s="60">
        <f t="shared" si="366"/>
        <v>-568</v>
      </c>
      <c r="AH164" s="27">
        <f>-AH48</f>
        <v>-142</v>
      </c>
      <c r="AI164" s="28">
        <f>-AI48</f>
        <v>-142</v>
      </c>
      <c r="AJ164" s="28">
        <f>-AJ48</f>
        <v>-142</v>
      </c>
      <c r="AK164" s="28">
        <f>-AK48</f>
        <v>-142</v>
      </c>
      <c r="AL164" s="60">
        <f t="shared" si="367"/>
        <v>-568</v>
      </c>
    </row>
    <row r="165" spans="1:38" outlineLevel="1" x14ac:dyDescent="0.3">
      <c r="B165" s="294" t="s">
        <v>102</v>
      </c>
      <c r="C165" s="295"/>
      <c r="D165" s="27">
        <v>-487</v>
      </c>
      <c r="E165" s="28">
        <v>-54</v>
      </c>
      <c r="F165" s="104">
        <v>-86</v>
      </c>
      <c r="G165" s="104">
        <v>199</v>
      </c>
      <c r="H165" s="60">
        <f t="shared" si="361"/>
        <v>-428</v>
      </c>
      <c r="I165" s="28">
        <v>-19</v>
      </c>
      <c r="J165" s="28">
        <v>-94</v>
      </c>
      <c r="K165" s="28">
        <v>-51</v>
      </c>
      <c r="L165" s="28">
        <v>24</v>
      </c>
      <c r="M165" s="60">
        <f t="shared" si="362"/>
        <v>-140</v>
      </c>
      <c r="N165" s="28">
        <v>-56</v>
      </c>
      <c r="O165" s="28">
        <v>3642</v>
      </c>
      <c r="P165" s="28">
        <f>P92-O92</f>
        <v>0</v>
      </c>
      <c r="Q165" s="28">
        <f>Q92-P92</f>
        <v>0</v>
      </c>
      <c r="R165" s="60">
        <f t="shared" si="363"/>
        <v>3586</v>
      </c>
      <c r="S165" s="27">
        <f>S92-R92</f>
        <v>-1117.4813054698443</v>
      </c>
      <c r="T165" s="28">
        <f>T92-S92</f>
        <v>900.14513871933559</v>
      </c>
      <c r="U165" s="28">
        <f>U92-T92</f>
        <v>299.95968864851966</v>
      </c>
      <c r="V165" s="28">
        <f>V92-U92</f>
        <v>631.38744468875484</v>
      </c>
      <c r="W165" s="60">
        <f t="shared" si="364"/>
        <v>714.01096658676579</v>
      </c>
      <c r="X165" s="27">
        <f>X92-W92</f>
        <v>224.71212260249376</v>
      </c>
      <c r="Y165" s="28">
        <f>Y92-X92</f>
        <v>601.66655801785055</v>
      </c>
      <c r="Z165" s="28">
        <f>Z92-Y92</f>
        <v>638.4927015747835</v>
      </c>
      <c r="AA165" s="28">
        <f>AA92-Z92</f>
        <v>589.14964928085465</v>
      </c>
      <c r="AB165" s="60">
        <f t="shared" si="365"/>
        <v>2054.0210314759825</v>
      </c>
      <c r="AC165" s="27">
        <f>AC92-AB92</f>
        <v>207.63513975259957</v>
      </c>
      <c r="AD165" s="28">
        <f>AD92-AC92</f>
        <v>631.65851575196211</v>
      </c>
      <c r="AE165" s="28">
        <f>AE92-AD92</f>
        <v>717.90013933914088</v>
      </c>
      <c r="AF165" s="28">
        <f>AF92-AE92</f>
        <v>659.03523801247502</v>
      </c>
      <c r="AG165" s="60">
        <f t="shared" si="366"/>
        <v>2216.2290328561776</v>
      </c>
      <c r="AH165" s="27">
        <f>AH92-AG92</f>
        <v>237.17022038471259</v>
      </c>
      <c r="AI165" s="28">
        <f>AI92-AH92</f>
        <v>702.55523533421365</v>
      </c>
      <c r="AJ165" s="28">
        <f>AJ92-AI92</f>
        <v>746.18405531147437</v>
      </c>
      <c r="AK165" s="28">
        <f>AK92-AJ92</f>
        <v>1134.5431842150065</v>
      </c>
      <c r="AL165" s="60">
        <f t="shared" si="367"/>
        <v>2820.4526952454071</v>
      </c>
    </row>
    <row r="166" spans="1:38" outlineLevel="1" x14ac:dyDescent="0.3">
      <c r="B166" s="294" t="s">
        <v>103</v>
      </c>
      <c r="C166" s="295"/>
      <c r="D166" s="278">
        <v>210</v>
      </c>
      <c r="E166" s="278">
        <f>253-D166</f>
        <v>43</v>
      </c>
      <c r="F166" s="278">
        <f>501-E166-D166</f>
        <v>248</v>
      </c>
      <c r="G166" s="278">
        <f>513-F166-E166-D166</f>
        <v>12</v>
      </c>
      <c r="H166" s="60">
        <f t="shared" si="361"/>
        <v>513</v>
      </c>
      <c r="I166" s="278">
        <v>471</v>
      </c>
      <c r="J166" s="278">
        <f>443-I166</f>
        <v>-28</v>
      </c>
      <c r="K166" s="278">
        <f>523-J166-I166</f>
        <v>80</v>
      </c>
      <c r="L166" s="278">
        <f>453-K166-J166-I166</f>
        <v>-70</v>
      </c>
      <c r="M166" s="60">
        <f t="shared" si="362"/>
        <v>453</v>
      </c>
      <c r="N166" s="278">
        <v>357</v>
      </c>
      <c r="O166" s="278">
        <f>-1001-N166-84</f>
        <v>-1442</v>
      </c>
      <c r="P166" s="28">
        <f>P89-O89</f>
        <v>473.41236048097824</v>
      </c>
      <c r="Q166" s="28">
        <f>Q89-P89</f>
        <v>13.579450440396613</v>
      </c>
      <c r="R166" s="60">
        <f t="shared" si="363"/>
        <v>-598.00818907862515</v>
      </c>
      <c r="S166" s="27">
        <f>S89-R89</f>
        <v>41.696355681733053</v>
      </c>
      <c r="T166" s="28">
        <f>T89-S89</f>
        <v>-112.01066219553616</v>
      </c>
      <c r="U166" s="28">
        <f>U89-T89</f>
        <v>124.59813894540093</v>
      </c>
      <c r="V166" s="28">
        <f>V89-U89</f>
        <v>24.31726843823742</v>
      </c>
      <c r="W166" s="60">
        <f t="shared" si="364"/>
        <v>78.60110086983525</v>
      </c>
      <c r="X166" s="27">
        <f>X89-W89</f>
        <v>2.3317988435611596</v>
      </c>
      <c r="Y166" s="28">
        <f>Y89-X89</f>
        <v>10.636368881960379</v>
      </c>
      <c r="Z166" s="28">
        <f>Z89-Y89</f>
        <v>54.052811998920106</v>
      </c>
      <c r="AA166" s="28">
        <f>AA89-Z89</f>
        <v>25.356632027203091</v>
      </c>
      <c r="AB166" s="60">
        <f t="shared" si="365"/>
        <v>92.377611751644736</v>
      </c>
      <c r="AC166" s="27">
        <f>AC89-AB89</f>
        <v>7.2535262004902279</v>
      </c>
      <c r="AD166" s="28">
        <f>AD89-AC89</f>
        <v>30.224656289127097</v>
      </c>
      <c r="AE166" s="28">
        <f>AE89-AD89</f>
        <v>39.950027131339425</v>
      </c>
      <c r="AF166" s="28">
        <f>AF89-AE89</f>
        <v>31.609416458063038</v>
      </c>
      <c r="AG166" s="60">
        <f t="shared" si="366"/>
        <v>109.03762607901979</v>
      </c>
      <c r="AH166" s="27">
        <f>AH89-AG89</f>
        <v>11.283591980995084</v>
      </c>
      <c r="AI166" s="28">
        <f>AI89-AH89</f>
        <v>35.363532225012477</v>
      </c>
      <c r="AJ166" s="28">
        <f>AJ89-AI89</f>
        <v>38.021833690426888</v>
      </c>
      <c r="AK166" s="28">
        <f>AK89-AJ89</f>
        <v>56.502210791026869</v>
      </c>
      <c r="AL166" s="60">
        <f t="shared" si="367"/>
        <v>141.17116868746132</v>
      </c>
    </row>
    <row r="167" spans="1:38" ht="16.2" outlineLevel="1" x14ac:dyDescent="0.45">
      <c r="B167" s="294" t="s">
        <v>105</v>
      </c>
      <c r="C167" s="295"/>
      <c r="D167" s="114">
        <v>118</v>
      </c>
      <c r="E167" s="115">
        <v>-11</v>
      </c>
      <c r="F167" s="115">
        <v>-22</v>
      </c>
      <c r="G167" s="115">
        <v>16</v>
      </c>
      <c r="H167" s="117">
        <f t="shared" si="361"/>
        <v>101</v>
      </c>
      <c r="I167" s="115">
        <v>-6</v>
      </c>
      <c r="J167" s="115">
        <v>13</v>
      </c>
      <c r="K167" s="115">
        <v>2</v>
      </c>
      <c r="L167" s="115">
        <v>5</v>
      </c>
      <c r="M167" s="117">
        <f t="shared" si="362"/>
        <v>14</v>
      </c>
      <c r="N167" s="115">
        <v>62</v>
      </c>
      <c r="O167" s="115">
        <v>-23</v>
      </c>
      <c r="P167" s="115">
        <f>P91-O91</f>
        <v>0</v>
      </c>
      <c r="Q167" s="115">
        <f>Q91-P91</f>
        <v>0</v>
      </c>
      <c r="R167" s="117">
        <f t="shared" si="363"/>
        <v>39</v>
      </c>
      <c r="S167" s="114">
        <f>S91-R91</f>
        <v>0</v>
      </c>
      <c r="T167" s="115">
        <f>T91-S91</f>
        <v>0</v>
      </c>
      <c r="U167" s="115">
        <f>U91-T91</f>
        <v>0</v>
      </c>
      <c r="V167" s="115">
        <f>V91-U91</f>
        <v>0</v>
      </c>
      <c r="W167" s="117">
        <f t="shared" si="364"/>
        <v>0</v>
      </c>
      <c r="X167" s="114">
        <f>X91-W91</f>
        <v>0</v>
      </c>
      <c r="Y167" s="115">
        <f>Y91-X91</f>
        <v>0</v>
      </c>
      <c r="Z167" s="115">
        <f>Z91-Y91</f>
        <v>0</v>
      </c>
      <c r="AA167" s="115">
        <f>AA91-Z91</f>
        <v>0</v>
      </c>
      <c r="AB167" s="117">
        <f t="shared" si="365"/>
        <v>0</v>
      </c>
      <c r="AC167" s="114">
        <f>AC91-AB91</f>
        <v>0</v>
      </c>
      <c r="AD167" s="115">
        <f>AD91-AC91</f>
        <v>0</v>
      </c>
      <c r="AE167" s="115">
        <f>AE91-AD91</f>
        <v>0</v>
      </c>
      <c r="AF167" s="115">
        <f>AF91-AE91</f>
        <v>0</v>
      </c>
      <c r="AG167" s="117">
        <f t="shared" si="366"/>
        <v>0</v>
      </c>
      <c r="AH167" s="114">
        <f>AH91-AG91</f>
        <v>0</v>
      </c>
      <c r="AI167" s="115">
        <f>AI91-AH91</f>
        <v>0</v>
      </c>
      <c r="AJ167" s="115">
        <f>AJ91-AI91</f>
        <v>0</v>
      </c>
      <c r="AK167" s="115">
        <f>AK91-AJ91</f>
        <v>0</v>
      </c>
      <c r="AL167" s="117">
        <f t="shared" si="367"/>
        <v>0</v>
      </c>
    </row>
    <row r="168" spans="1:38" outlineLevel="1" x14ac:dyDescent="0.3">
      <c r="B168" s="309" t="s">
        <v>31</v>
      </c>
      <c r="C168" s="310"/>
      <c r="D168" s="52">
        <f>SUM(D160:D167)</f>
        <v>-385</v>
      </c>
      <c r="E168" s="50">
        <f>SUM(E160:E167)</f>
        <v>-474</v>
      </c>
      <c r="F168" s="50">
        <f t="shared" ref="F168:G168" si="375">SUM(F160:F167)</f>
        <v>-545</v>
      </c>
      <c r="G168" s="50">
        <f t="shared" si="375"/>
        <v>43</v>
      </c>
      <c r="H168" s="61">
        <f t="shared" ref="H168:R168" si="376">SUM(H160:H167)</f>
        <v>-1361</v>
      </c>
      <c r="I168" s="50">
        <f t="shared" si="376"/>
        <v>-38</v>
      </c>
      <c r="J168" s="50">
        <f t="shared" si="376"/>
        <v>-609</v>
      </c>
      <c r="K168" s="50">
        <f t="shared" si="376"/>
        <v>-368</v>
      </c>
      <c r="L168" s="50">
        <f t="shared" si="376"/>
        <v>-493</v>
      </c>
      <c r="M168" s="61">
        <f t="shared" si="376"/>
        <v>-1508</v>
      </c>
      <c r="N168" s="50">
        <f t="shared" si="376"/>
        <v>42</v>
      </c>
      <c r="O168" s="50">
        <f t="shared" si="376"/>
        <v>1780</v>
      </c>
      <c r="P168" s="50">
        <f>SUM(P160:P167)</f>
        <v>139.44639131678179</v>
      </c>
      <c r="Q168" s="50">
        <f>SUM(Q160:Q167)</f>
        <v>-337.91989043574677</v>
      </c>
      <c r="R168" s="61">
        <f t="shared" si="376"/>
        <v>1623.5265008810352</v>
      </c>
      <c r="S168" s="52">
        <f>SUM(S160:S167)</f>
        <v>-1518.896509888903</v>
      </c>
      <c r="T168" s="50">
        <f>SUM(T160:T167)</f>
        <v>425.93850031697593</v>
      </c>
      <c r="U168" s="50">
        <f>SUM(U160:U167)</f>
        <v>165.6392889228141</v>
      </c>
      <c r="V168" s="50">
        <f>SUM(V160:V167)</f>
        <v>299.28285235898954</v>
      </c>
      <c r="W168" s="61">
        <f t="shared" ref="W168" si="377">SUM(W160:W167)</f>
        <v>-628.03586829012363</v>
      </c>
      <c r="X168" s="52">
        <f>SUM(X160:X167)</f>
        <v>-223.00805313511603</v>
      </c>
      <c r="Y168" s="50">
        <f>SUM(Y160:Y167)</f>
        <v>247.31256655712366</v>
      </c>
      <c r="Z168" s="50">
        <f>SUM(Z160:Z167)</f>
        <v>433.76461601002444</v>
      </c>
      <c r="AA168" s="50">
        <f>SUM(AA160:AA167)</f>
        <v>201.44479199053922</v>
      </c>
      <c r="AB168" s="61">
        <f t="shared" ref="AB168" si="378">SUM(AB160:AB167)</f>
        <v>659.51392142257123</v>
      </c>
      <c r="AC168" s="52">
        <f>SUM(AC160:AC167)</f>
        <v>-242.08095364821111</v>
      </c>
      <c r="AD168" s="50">
        <f>SUM(AD160:AD167)</f>
        <v>294.33649390115625</v>
      </c>
      <c r="AE168" s="50">
        <f>SUM(AE160:AE167)</f>
        <v>499.52779962667307</v>
      </c>
      <c r="AF168" s="50">
        <f>SUM(AF160:AF167)</f>
        <v>375.15518522796742</v>
      </c>
      <c r="AG168" s="61">
        <f t="shared" ref="AG168" si="379">SUM(AG160:AG167)</f>
        <v>926.93852510758563</v>
      </c>
      <c r="AH168" s="52">
        <f>SUM(AH160:AH167)</f>
        <v>-215.38420511613214</v>
      </c>
      <c r="AI168" s="50">
        <f>SUM(AI160:AI167)</f>
        <v>368.09157479971179</v>
      </c>
      <c r="AJ168" s="50">
        <f>SUM(AJ160:AJ167)</f>
        <v>526.70297629527045</v>
      </c>
      <c r="AK168" s="50">
        <f>SUM(AK160:AK167)</f>
        <v>1199.8175825597818</v>
      </c>
      <c r="AL168" s="61">
        <f t="shared" ref="AL168" si="380">SUM(AL160:AL167)</f>
        <v>1879.2279285386321</v>
      </c>
    </row>
    <row r="169" spans="1:38" s="94" customFormat="1" outlineLevel="1" x14ac:dyDescent="0.3">
      <c r="B169" s="250" t="s">
        <v>274</v>
      </c>
      <c r="C169" s="247"/>
      <c r="D169" s="3">
        <v>0</v>
      </c>
      <c r="E169" s="3">
        <v>0</v>
      </c>
      <c r="F169" s="3">
        <v>1</v>
      </c>
      <c r="G169" s="3">
        <v>0</v>
      </c>
      <c r="H169" s="3">
        <f>G169</f>
        <v>0</v>
      </c>
      <c r="I169" s="3">
        <v>-1</v>
      </c>
      <c r="J169" s="3">
        <f>-1-I169</f>
        <v>0</v>
      </c>
      <c r="K169" s="3">
        <f>0-J169-I169</f>
        <v>1</v>
      </c>
      <c r="L169" s="3">
        <f>-3-K169-J169-I169</f>
        <v>-3</v>
      </c>
      <c r="M169" s="3"/>
      <c r="N169" s="3">
        <v>0</v>
      </c>
      <c r="O169" s="3">
        <v>2</v>
      </c>
      <c r="P169" s="50"/>
      <c r="Q169" s="50"/>
      <c r="R169" s="61"/>
      <c r="S169" s="50"/>
      <c r="T169" s="50"/>
      <c r="U169" s="50"/>
      <c r="V169" s="50"/>
      <c r="W169" s="61"/>
      <c r="X169" s="52"/>
      <c r="Y169" s="50"/>
      <c r="Z169" s="50"/>
      <c r="AA169" s="50"/>
      <c r="AB169" s="61"/>
      <c r="AC169" s="52"/>
      <c r="AD169" s="50"/>
      <c r="AE169" s="50"/>
      <c r="AF169" s="50"/>
      <c r="AG169" s="61"/>
      <c r="AH169" s="52"/>
      <c r="AI169" s="50"/>
      <c r="AJ169" s="50"/>
      <c r="AK169" s="50"/>
      <c r="AL169" s="61"/>
    </row>
    <row r="170" spans="1:38" s="24" customFormat="1" outlineLevel="1" x14ac:dyDescent="0.3">
      <c r="B170" s="294" t="s">
        <v>32</v>
      </c>
      <c r="C170" s="295"/>
      <c r="D170" s="279">
        <v>-10</v>
      </c>
      <c r="E170" s="69">
        <f>E168+E157+E147+E169</f>
        <v>3</v>
      </c>
      <c r="F170" s="69">
        <f>F168+F157+F147+F169</f>
        <v>0</v>
      </c>
      <c r="G170" s="69">
        <f>G168+G157+G147+G169</f>
        <v>199</v>
      </c>
      <c r="H170" s="69">
        <f t="shared" ref="H170:O170" si="381">H168+H157+H147+H169</f>
        <v>199</v>
      </c>
      <c r="I170" s="69">
        <f t="shared" si="381"/>
        <v>133</v>
      </c>
      <c r="J170" s="69">
        <f t="shared" si="381"/>
        <v>-7</v>
      </c>
      <c r="K170" s="69">
        <f t="shared" si="381"/>
        <v>11</v>
      </c>
      <c r="L170" s="69">
        <f t="shared" si="381"/>
        <v>-247</v>
      </c>
      <c r="M170" s="69">
        <f t="shared" si="381"/>
        <v>-107</v>
      </c>
      <c r="N170" s="69">
        <f t="shared" si="381"/>
        <v>132</v>
      </c>
      <c r="O170" s="69">
        <f t="shared" si="381"/>
        <v>2027</v>
      </c>
      <c r="P170" s="69">
        <f t="shared" ref="P170" si="382">P168+P157+P147</f>
        <v>434.3144433523118</v>
      </c>
      <c r="Q170" s="69">
        <f t="shared" ref="Q170:S170" si="383">Q168+Q157+Q147</f>
        <v>53.403275824219349</v>
      </c>
      <c r="R170" s="86">
        <f>R168+R157+R147</f>
        <v>2644.7177191765318</v>
      </c>
      <c r="S170" s="69">
        <f t="shared" si="383"/>
        <v>-1273.2685400010596</v>
      </c>
      <c r="T170" s="69">
        <f t="shared" ref="T170:AB170" si="384">T168+T157+T147</f>
        <v>1014.8790755098055</v>
      </c>
      <c r="U170" s="69">
        <f t="shared" si="384"/>
        <v>672.42512385822306</v>
      </c>
      <c r="V170" s="69">
        <f t="shared" si="384"/>
        <v>794.81244425628722</v>
      </c>
      <c r="W170" s="86">
        <f t="shared" si="384"/>
        <v>1208.8481036232556</v>
      </c>
      <c r="X170" s="68">
        <f t="shared" si="384"/>
        <v>198.77338281226116</v>
      </c>
      <c r="Y170" s="69">
        <f t="shared" si="384"/>
        <v>562.08845539375284</v>
      </c>
      <c r="Z170" s="69">
        <f t="shared" si="384"/>
        <v>1264.9189827192536</v>
      </c>
      <c r="AA170" s="69">
        <f t="shared" si="384"/>
        <v>345.17274048132606</v>
      </c>
      <c r="AB170" s="86">
        <f t="shared" si="384"/>
        <v>2370.9535614065953</v>
      </c>
      <c r="AC170" s="68">
        <f t="shared" ref="AC170:AK170" si="385">AC168+AC157+AC147</f>
        <v>428.795934039229</v>
      </c>
      <c r="AD170" s="69">
        <f t="shared" si="385"/>
        <v>208.32136368150884</v>
      </c>
      <c r="AE170" s="69">
        <f t="shared" si="385"/>
        <v>1784.5934243038078</v>
      </c>
      <c r="AF170" s="69">
        <f t="shared" si="385"/>
        <v>-44.597254296873302</v>
      </c>
      <c r="AG170" s="86">
        <f>AG168+AG157+AG147</f>
        <v>2377.11346772767</v>
      </c>
      <c r="AH170" s="68">
        <f t="shared" si="385"/>
        <v>749.71946388915831</v>
      </c>
      <c r="AI170" s="69">
        <f t="shared" si="385"/>
        <v>-269.24005100533839</v>
      </c>
      <c r="AJ170" s="69">
        <f t="shared" si="385"/>
        <v>2376.1887280885348</v>
      </c>
      <c r="AK170" s="69">
        <f t="shared" si="385"/>
        <v>91.227430392767019</v>
      </c>
      <c r="AL170" s="86">
        <f>AL168+AL157+AL147</f>
        <v>2947.8955713651198</v>
      </c>
    </row>
    <row r="171" spans="1:38" s="24" customFormat="1" ht="16.2" outlineLevel="1" x14ac:dyDescent="0.45">
      <c r="B171" s="294" t="s">
        <v>33</v>
      </c>
      <c r="C171" s="295"/>
      <c r="D171" s="267">
        <v>104</v>
      </c>
      <c r="E171" s="115">
        <f t="shared" ref="E171:AA171" si="386">D172</f>
        <v>94</v>
      </c>
      <c r="F171" s="115">
        <f t="shared" ref="F171" si="387">E172</f>
        <v>97</v>
      </c>
      <c r="G171" s="115">
        <f t="shared" ref="G171" si="388">F172</f>
        <v>97</v>
      </c>
      <c r="H171" s="117">
        <v>94</v>
      </c>
      <c r="I171" s="115">
        <f t="shared" ref="I171" si="389">H172</f>
        <v>293</v>
      </c>
      <c r="J171" s="115">
        <f t="shared" ref="J171" si="390">I172</f>
        <v>426</v>
      </c>
      <c r="K171" s="115">
        <f t="shared" ref="K171" si="391">J172</f>
        <v>419</v>
      </c>
      <c r="L171" s="115">
        <f t="shared" ref="L171" si="392">K172</f>
        <v>430</v>
      </c>
      <c r="M171" s="117">
        <f>H172</f>
        <v>293</v>
      </c>
      <c r="N171" s="115">
        <f t="shared" ref="N171" si="393">M172</f>
        <v>183</v>
      </c>
      <c r="O171" s="115">
        <f t="shared" ref="O171" si="394">N172</f>
        <v>315</v>
      </c>
      <c r="P171" s="115">
        <f t="shared" si="386"/>
        <v>2342</v>
      </c>
      <c r="Q171" s="115">
        <f t="shared" si="386"/>
        <v>2776.3144433523116</v>
      </c>
      <c r="R171" s="117">
        <f>M172</f>
        <v>183</v>
      </c>
      <c r="S171" s="114">
        <f t="shared" si="386"/>
        <v>2827.7177191765318</v>
      </c>
      <c r="T171" s="115">
        <f t="shared" si="386"/>
        <v>1554.4491791754722</v>
      </c>
      <c r="U171" s="115">
        <f t="shared" si="386"/>
        <v>2569.3282546852779</v>
      </c>
      <c r="V171" s="115">
        <f t="shared" si="386"/>
        <v>3241.7533785435007</v>
      </c>
      <c r="W171" s="117">
        <f>R172</f>
        <v>2827.7177191765318</v>
      </c>
      <c r="X171" s="114">
        <f t="shared" si="386"/>
        <v>4036.5658227997874</v>
      </c>
      <c r="Y171" s="115">
        <f t="shared" si="386"/>
        <v>4235.3392056120483</v>
      </c>
      <c r="Z171" s="115">
        <f t="shared" si="386"/>
        <v>4797.4276610058014</v>
      </c>
      <c r="AA171" s="115">
        <f t="shared" si="386"/>
        <v>6062.3466437250554</v>
      </c>
      <c r="AB171" s="117">
        <f>W172</f>
        <v>4036.5658227997874</v>
      </c>
      <c r="AC171" s="114">
        <f>AB172</f>
        <v>6407.5193842063827</v>
      </c>
      <c r="AD171" s="115">
        <f>AC172</f>
        <v>6836.3153182456117</v>
      </c>
      <c r="AE171" s="115">
        <f>AD172</f>
        <v>7044.6366819271207</v>
      </c>
      <c r="AF171" s="115">
        <f>AE172</f>
        <v>8829.2301062309289</v>
      </c>
      <c r="AG171" s="117">
        <f>AB172</f>
        <v>6407.5193842063827</v>
      </c>
      <c r="AH171" s="114">
        <f>AG172</f>
        <v>8784.6328519340532</v>
      </c>
      <c r="AI171" s="115">
        <f>AH172</f>
        <v>9534.352315823211</v>
      </c>
      <c r="AJ171" s="115">
        <f>AI172</f>
        <v>9265.1122648178734</v>
      </c>
      <c r="AK171" s="115">
        <f>AJ172</f>
        <v>11641.300992906408</v>
      </c>
      <c r="AL171" s="117">
        <f>AG172</f>
        <v>8784.6328519340532</v>
      </c>
    </row>
    <row r="172" spans="1:38" outlineLevel="1" x14ac:dyDescent="0.3">
      <c r="B172" s="309" t="s">
        <v>34</v>
      </c>
      <c r="C172" s="310"/>
      <c r="D172" s="52">
        <f t="shared" ref="D172:AK172" si="395">D171+D170</f>
        <v>94</v>
      </c>
      <c r="E172" s="50">
        <f t="shared" si="395"/>
        <v>97</v>
      </c>
      <c r="F172" s="50">
        <f t="shared" si="395"/>
        <v>97</v>
      </c>
      <c r="G172" s="50">
        <f t="shared" si="395"/>
        <v>296</v>
      </c>
      <c r="H172" s="61">
        <f>H171+H170</f>
        <v>293</v>
      </c>
      <c r="I172" s="50">
        <f t="shared" si="395"/>
        <v>426</v>
      </c>
      <c r="J172" s="50">
        <f t="shared" si="395"/>
        <v>419</v>
      </c>
      <c r="K172" s="50">
        <f t="shared" si="395"/>
        <v>430</v>
      </c>
      <c r="L172" s="50">
        <f t="shared" si="395"/>
        <v>183</v>
      </c>
      <c r="M172" s="61">
        <f>L172</f>
        <v>183</v>
      </c>
      <c r="N172" s="50">
        <f t="shared" si="395"/>
        <v>315</v>
      </c>
      <c r="O172" s="50">
        <f t="shared" si="395"/>
        <v>2342</v>
      </c>
      <c r="P172" s="50">
        <f t="shared" si="395"/>
        <v>2776.3144433523116</v>
      </c>
      <c r="Q172" s="50">
        <f t="shared" ref="Q172" si="396">Q171+Q170</f>
        <v>2829.7177191765309</v>
      </c>
      <c r="R172" s="61">
        <f>R171+R170</f>
        <v>2827.7177191765318</v>
      </c>
      <c r="S172" s="52">
        <f t="shared" si="395"/>
        <v>1554.4491791754722</v>
      </c>
      <c r="T172" s="50">
        <f t="shared" si="395"/>
        <v>2569.3282546852779</v>
      </c>
      <c r="U172" s="50">
        <f t="shared" si="395"/>
        <v>3241.7533785435007</v>
      </c>
      <c r="V172" s="50">
        <f t="shared" si="395"/>
        <v>4036.5658227997878</v>
      </c>
      <c r="W172" s="61">
        <f>W171+W170</f>
        <v>4036.5658227997874</v>
      </c>
      <c r="X172" s="52">
        <f t="shared" si="395"/>
        <v>4235.3392056120483</v>
      </c>
      <c r="Y172" s="50">
        <f t="shared" si="395"/>
        <v>4797.4276610058014</v>
      </c>
      <c r="Z172" s="50">
        <f t="shared" si="395"/>
        <v>6062.3466437250554</v>
      </c>
      <c r="AA172" s="50">
        <f t="shared" si="395"/>
        <v>6407.5193842063818</v>
      </c>
      <c r="AB172" s="61">
        <f>AB171+AB170</f>
        <v>6407.5193842063827</v>
      </c>
      <c r="AC172" s="52">
        <f t="shared" si="395"/>
        <v>6836.3153182456117</v>
      </c>
      <c r="AD172" s="50">
        <f t="shared" si="395"/>
        <v>7044.6366819271207</v>
      </c>
      <c r="AE172" s="50">
        <f t="shared" si="395"/>
        <v>8829.2301062309289</v>
      </c>
      <c r="AF172" s="50">
        <f t="shared" si="395"/>
        <v>8784.632851934055</v>
      </c>
      <c r="AG172" s="61">
        <f>AG171+AG170</f>
        <v>8784.6328519340532</v>
      </c>
      <c r="AH172" s="52">
        <f t="shared" si="395"/>
        <v>9534.352315823211</v>
      </c>
      <c r="AI172" s="50">
        <f t="shared" si="395"/>
        <v>9265.1122648178734</v>
      </c>
      <c r="AJ172" s="50">
        <f t="shared" si="395"/>
        <v>11641.300992906408</v>
      </c>
      <c r="AK172" s="50">
        <f t="shared" si="395"/>
        <v>11732.528423299176</v>
      </c>
      <c r="AL172" s="61">
        <f>AL171+AL170</f>
        <v>11732.528423299173</v>
      </c>
    </row>
    <row r="173" spans="1:38" s="94" customFormat="1" outlineLevel="1" x14ac:dyDescent="0.3">
      <c r="A173" s="250"/>
      <c r="B173" s="250" t="s">
        <v>270</v>
      </c>
      <c r="C173" s="250"/>
      <c r="D173" s="279">
        <v>64</v>
      </c>
      <c r="E173" s="3">
        <v>65</v>
      </c>
      <c r="F173" s="279">
        <v>62</v>
      </c>
      <c r="G173" s="279">
        <v>274</v>
      </c>
      <c r="H173" s="281">
        <v>271</v>
      </c>
      <c r="I173" s="279">
        <v>374</v>
      </c>
      <c r="J173" s="279">
        <v>372</v>
      </c>
      <c r="K173" s="279">
        <v>347</v>
      </c>
      <c r="L173" s="279">
        <v>122</v>
      </c>
      <c r="M173" s="284">
        <f>L173</f>
        <v>122</v>
      </c>
      <c r="N173" s="279">
        <v>258</v>
      </c>
      <c r="O173" s="279">
        <v>92</v>
      </c>
      <c r="P173" s="283">
        <v>93</v>
      </c>
      <c r="Q173" s="283">
        <v>93</v>
      </c>
      <c r="R173" s="281">
        <v>91</v>
      </c>
      <c r="S173" s="281">
        <v>91</v>
      </c>
      <c r="T173" s="281">
        <v>91</v>
      </c>
      <c r="U173" s="281">
        <v>91</v>
      </c>
      <c r="V173" s="281">
        <v>91</v>
      </c>
      <c r="W173" s="281">
        <v>91</v>
      </c>
      <c r="X173" s="281">
        <v>91</v>
      </c>
      <c r="Y173" s="281">
        <v>91</v>
      </c>
      <c r="Z173" s="281">
        <v>91</v>
      </c>
      <c r="AA173" s="281">
        <v>91</v>
      </c>
      <c r="AB173" s="281">
        <v>91</v>
      </c>
      <c r="AC173" s="281">
        <v>91</v>
      </c>
      <c r="AD173" s="281">
        <v>91</v>
      </c>
      <c r="AE173" s="281">
        <v>91</v>
      </c>
      <c r="AF173" s="281">
        <v>91</v>
      </c>
      <c r="AG173" s="281">
        <v>91</v>
      </c>
      <c r="AH173" s="281">
        <v>91</v>
      </c>
      <c r="AI173" s="281">
        <v>91</v>
      </c>
      <c r="AJ173" s="281">
        <v>91</v>
      </c>
      <c r="AK173" s="281">
        <v>91</v>
      </c>
      <c r="AL173" s="281">
        <v>91</v>
      </c>
    </row>
    <row r="174" spans="1:38" s="94" customFormat="1" outlineLevel="1" x14ac:dyDescent="0.3">
      <c r="A174" s="280"/>
      <c r="B174" s="246" t="s">
        <v>271</v>
      </c>
      <c r="C174" s="280"/>
      <c r="D174" s="268">
        <f>D172-D173</f>
        <v>30</v>
      </c>
      <c r="E174" s="268">
        <f t="shared" ref="E174:H174" si="397">E172-E173</f>
        <v>32</v>
      </c>
      <c r="F174" s="268">
        <f t="shared" si="397"/>
        <v>35</v>
      </c>
      <c r="G174" s="268">
        <f t="shared" si="397"/>
        <v>22</v>
      </c>
      <c r="H174" s="268">
        <f t="shared" si="397"/>
        <v>22</v>
      </c>
      <c r="I174" s="268">
        <f>I172-I173</f>
        <v>52</v>
      </c>
      <c r="J174" s="268">
        <f t="shared" ref="J174:M174" si="398">J172-J173</f>
        <v>47</v>
      </c>
      <c r="K174" s="268">
        <f t="shared" si="398"/>
        <v>83</v>
      </c>
      <c r="L174" s="268">
        <f t="shared" si="398"/>
        <v>61</v>
      </c>
      <c r="M174" s="268">
        <f t="shared" si="398"/>
        <v>61</v>
      </c>
      <c r="N174" s="268">
        <f>N172-N173</f>
        <v>57</v>
      </c>
      <c r="O174" s="268">
        <f t="shared" ref="O174:AL174" si="399">O172-O173</f>
        <v>2250</v>
      </c>
      <c r="P174" s="268">
        <f t="shared" si="399"/>
        <v>2683.3144433523116</v>
      </c>
      <c r="Q174" s="268">
        <f t="shared" si="399"/>
        <v>2736.7177191765309</v>
      </c>
      <c r="R174" s="268">
        <f t="shared" si="399"/>
        <v>2736.7177191765318</v>
      </c>
      <c r="S174" s="268">
        <f t="shared" si="399"/>
        <v>1463.4491791754722</v>
      </c>
      <c r="T174" s="268">
        <f t="shared" si="399"/>
        <v>2478.3282546852779</v>
      </c>
      <c r="U174" s="268">
        <f t="shared" si="399"/>
        <v>3150.7533785435007</v>
      </c>
      <c r="V174" s="268">
        <f t="shared" si="399"/>
        <v>3945.5658227997878</v>
      </c>
      <c r="W174" s="268">
        <f t="shared" si="399"/>
        <v>3945.5658227997874</v>
      </c>
      <c r="X174" s="268">
        <f t="shared" si="399"/>
        <v>4144.3392056120483</v>
      </c>
      <c r="Y174" s="268">
        <f t="shared" si="399"/>
        <v>4706.4276610058014</v>
      </c>
      <c r="Z174" s="268">
        <f t="shared" si="399"/>
        <v>5971.3466437250554</v>
      </c>
      <c r="AA174" s="268">
        <f t="shared" si="399"/>
        <v>6316.5193842063818</v>
      </c>
      <c r="AB174" s="268">
        <f t="shared" si="399"/>
        <v>6316.5193842063827</v>
      </c>
      <c r="AC174" s="268">
        <f t="shared" si="399"/>
        <v>6745.3153182456117</v>
      </c>
      <c r="AD174" s="268">
        <f t="shared" si="399"/>
        <v>6953.6366819271207</v>
      </c>
      <c r="AE174" s="268">
        <f t="shared" si="399"/>
        <v>8738.2301062309289</v>
      </c>
      <c r="AF174" s="268">
        <f t="shared" si="399"/>
        <v>8693.632851934055</v>
      </c>
      <c r="AG174" s="268">
        <f t="shared" si="399"/>
        <v>8693.6328519340532</v>
      </c>
      <c r="AH174" s="268">
        <f t="shared" si="399"/>
        <v>9443.352315823211</v>
      </c>
      <c r="AI174" s="268">
        <f t="shared" si="399"/>
        <v>9174.1122648178734</v>
      </c>
      <c r="AJ174" s="268">
        <f t="shared" si="399"/>
        <v>11550.300992906408</v>
      </c>
      <c r="AK174" s="268">
        <f t="shared" si="399"/>
        <v>11641.528423299176</v>
      </c>
      <c r="AL174" s="268">
        <f t="shared" si="399"/>
        <v>11641.528423299173</v>
      </c>
    </row>
    <row r="175" spans="1:38" ht="16.2" outlineLevel="1" x14ac:dyDescent="0.45">
      <c r="B175" s="304" t="s">
        <v>51</v>
      </c>
      <c r="C175" s="308"/>
      <c r="D175" s="68"/>
      <c r="E175" s="69"/>
      <c r="F175" s="236"/>
      <c r="G175" s="236"/>
      <c r="H175" s="86">
        <f>H147-(-H154)+($C$219*H92*(1-$C$220))</f>
        <v>1947.2515757575757</v>
      </c>
      <c r="I175" s="69"/>
      <c r="J175" s="69"/>
      <c r="K175" s="69"/>
      <c r="L175" s="69"/>
      <c r="M175" s="86">
        <f>M147-(-M154)+($C$219*M92*(1-$C$220))</f>
        <v>2178.8287954545453</v>
      </c>
      <c r="N175" s="69"/>
      <c r="O175" s="69"/>
      <c r="P175" s="69"/>
      <c r="Q175" s="69"/>
      <c r="R175" s="86">
        <f>R147-(-R154)+($C$219*R92*(1-$C$220))</f>
        <v>1935.6285629924664</v>
      </c>
      <c r="S175" s="68"/>
      <c r="T175" s="69"/>
      <c r="U175" s="69"/>
      <c r="V175" s="69"/>
      <c r="W175" s="86">
        <f>W147-(-W154)+($C$219*W92*(1-$C$220))</f>
        <v>2257.8586400367412</v>
      </c>
      <c r="X175" s="68"/>
      <c r="Y175" s="69"/>
      <c r="Z175" s="69"/>
      <c r="AA175" s="69"/>
      <c r="AB175" s="86">
        <f>AB147-(-AB154)+($C$219*AB92*(1-$C$220))</f>
        <v>2197.2482371046945</v>
      </c>
      <c r="AC175" s="68"/>
      <c r="AD175" s="69"/>
      <c r="AE175" s="69"/>
      <c r="AF175" s="69"/>
      <c r="AG175" s="86">
        <f>AG147-(-AG154)+($C$219*AG92*(1-$C$220))</f>
        <v>2005.9374659937489</v>
      </c>
      <c r="AH175" s="68"/>
      <c r="AI175" s="69"/>
      <c r="AJ175" s="69"/>
      <c r="AK175" s="69"/>
      <c r="AL175" s="86">
        <f>AL147-(-AL154)+($C$219*AL92*(1-$C$220))</f>
        <v>1713.4560461603037</v>
      </c>
    </row>
    <row r="176" spans="1:38" s="72" customFormat="1" outlineLevel="1" x14ac:dyDescent="0.3">
      <c r="B176" s="85" t="s">
        <v>118</v>
      </c>
      <c r="C176" s="83"/>
      <c r="D176" s="69"/>
      <c r="E176" s="69"/>
      <c r="F176" s="237"/>
      <c r="G176" s="237"/>
      <c r="H176" s="86">
        <v>0</v>
      </c>
      <c r="I176" s="69"/>
      <c r="J176" s="69"/>
      <c r="K176" s="69"/>
      <c r="L176" s="69"/>
      <c r="M176" s="86">
        <v>0</v>
      </c>
      <c r="N176" s="69"/>
      <c r="O176" s="69"/>
      <c r="P176" s="69"/>
      <c r="Q176" s="69"/>
      <c r="R176" s="86">
        <v>1</v>
      </c>
      <c r="S176" s="69"/>
      <c r="T176" s="69"/>
      <c r="U176" s="69"/>
      <c r="V176" s="69"/>
      <c r="W176" s="86">
        <v>2</v>
      </c>
      <c r="X176" s="69"/>
      <c r="Y176" s="69"/>
      <c r="Z176" s="69"/>
      <c r="AA176" s="69"/>
      <c r="AB176" s="86">
        <v>3</v>
      </c>
      <c r="AC176" s="69"/>
      <c r="AD176" s="69"/>
      <c r="AE176" s="69"/>
      <c r="AF176" s="69"/>
      <c r="AG176" s="86">
        <v>4</v>
      </c>
      <c r="AH176" s="69"/>
      <c r="AI176" s="69"/>
      <c r="AJ176" s="69"/>
      <c r="AK176" s="69"/>
      <c r="AL176" s="86">
        <v>5</v>
      </c>
    </row>
    <row r="177" spans="2:38" outlineLevel="1" x14ac:dyDescent="0.3">
      <c r="B177" s="304" t="s">
        <v>52</v>
      </c>
      <c r="C177" s="305"/>
      <c r="D177" s="69"/>
      <c r="E177" s="69"/>
      <c r="F177" s="69"/>
      <c r="G177" s="69"/>
      <c r="H177" s="86">
        <f>H175/(1+$C$222)^H176</f>
        <v>1947.2515757575757</v>
      </c>
      <c r="I177" s="69"/>
      <c r="J177" s="69"/>
      <c r="K177" s="69"/>
      <c r="L177" s="69"/>
      <c r="M177" s="86">
        <f>M175/(1+$C$222)^M176</f>
        <v>2178.8287954545453</v>
      </c>
      <c r="N177" s="69"/>
      <c r="O177" s="69"/>
      <c r="P177" s="69"/>
      <c r="Q177" s="69"/>
      <c r="R177" s="86">
        <f>R175/(1+$C$222)^R176</f>
        <v>1845.477912806914</v>
      </c>
      <c r="S177" s="69"/>
      <c r="T177" s="69"/>
      <c r="U177" s="69"/>
      <c r="V177" s="69"/>
      <c r="W177" s="86">
        <f>W175/(1+$C$222)^W176</f>
        <v>2052.4397044907814</v>
      </c>
      <c r="X177" s="69"/>
      <c r="Y177" s="69"/>
      <c r="Z177" s="69"/>
      <c r="AA177" s="69"/>
      <c r="AB177" s="86">
        <f>AB175/(1+$C$222)^AB176</f>
        <v>1904.3186194568898</v>
      </c>
      <c r="AC177" s="69"/>
      <c r="AD177" s="69"/>
      <c r="AE177" s="69"/>
      <c r="AF177" s="69"/>
      <c r="AG177" s="86">
        <f>AG175/(1+$C$222)^AG176</f>
        <v>1657.5426375201002</v>
      </c>
      <c r="AH177" s="69"/>
      <c r="AI177" s="69"/>
      <c r="AJ177" s="69"/>
      <c r="AK177" s="69"/>
      <c r="AL177" s="86">
        <f>AL175/(1+$C$222)^AL176</f>
        <v>1349.9171557673772</v>
      </c>
    </row>
    <row r="178" spans="2:38" s="94" customFormat="1" outlineLevel="1" x14ac:dyDescent="0.3">
      <c r="B178" s="133" t="s">
        <v>167</v>
      </c>
      <c r="C178" s="134"/>
      <c r="D178" s="168"/>
      <c r="E178" s="168"/>
      <c r="F178" s="238"/>
      <c r="G178" s="238"/>
      <c r="H178" s="220"/>
      <c r="I178" s="168"/>
      <c r="J178" s="168"/>
      <c r="K178" s="168"/>
      <c r="L178" s="168"/>
      <c r="M178" s="220"/>
      <c r="N178" s="168"/>
      <c r="O178" s="168"/>
      <c r="P178" s="168"/>
      <c r="Q178" s="168"/>
      <c r="R178" s="220"/>
      <c r="S178" s="168"/>
      <c r="T178" s="168"/>
      <c r="U178" s="168"/>
      <c r="V178" s="168"/>
      <c r="W178" s="220"/>
      <c r="X178" s="168"/>
      <c r="Y178" s="168"/>
      <c r="Z178" s="168"/>
      <c r="AA178" s="168"/>
      <c r="AB178" s="220"/>
      <c r="AC178" s="168"/>
      <c r="AD178" s="168"/>
      <c r="AE178" s="168"/>
      <c r="AF178" s="168"/>
      <c r="AG178" s="220"/>
      <c r="AH178" s="168"/>
      <c r="AI178" s="168"/>
      <c r="AJ178" s="168"/>
      <c r="AK178" s="168"/>
      <c r="AL178" s="220"/>
    </row>
    <row r="179" spans="2:38" s="24" customFormat="1" outlineLevel="1" x14ac:dyDescent="0.3">
      <c r="B179" s="131" t="s">
        <v>164</v>
      </c>
      <c r="C179" s="132"/>
      <c r="D179" s="68"/>
      <c r="E179" s="69"/>
      <c r="F179" s="238"/>
      <c r="G179" s="238"/>
      <c r="H179" s="86">
        <f>G179</f>
        <v>0</v>
      </c>
      <c r="I179" s="69">
        <v>0</v>
      </c>
      <c r="J179" s="69">
        <v>0</v>
      </c>
      <c r="K179" s="69">
        <v>0</v>
      </c>
      <c r="L179" s="69">
        <v>0</v>
      </c>
      <c r="M179" s="86">
        <f>L179</f>
        <v>0</v>
      </c>
      <c r="N179" s="69">
        <v>0</v>
      </c>
      <c r="O179" s="69">
        <v>0</v>
      </c>
      <c r="P179" s="69">
        <v>0</v>
      </c>
      <c r="Q179" s="69">
        <v>0</v>
      </c>
      <c r="R179" s="86">
        <f>Q179</f>
        <v>0</v>
      </c>
      <c r="S179" s="68">
        <f>(S70+S71+S78)*S180</f>
        <v>0</v>
      </c>
      <c r="T179" s="69">
        <f>(T70+T71+T78)*T180</f>
        <v>0</v>
      </c>
      <c r="U179" s="69">
        <f>(U70+U71+U78)*U180</f>
        <v>0</v>
      </c>
      <c r="V179" s="69">
        <f>(V70+V71+V78)*V180</f>
        <v>0</v>
      </c>
      <c r="W179" s="86">
        <f>V179</f>
        <v>0</v>
      </c>
      <c r="X179" s="68">
        <f>(X70+X71+X78)*X180</f>
        <v>0</v>
      </c>
      <c r="Y179" s="69">
        <f>(Y70+Y71+Y78)*Y180</f>
        <v>0</v>
      </c>
      <c r="Z179" s="69">
        <f>(Z70+Z71+Z78)*Z180</f>
        <v>0</v>
      </c>
      <c r="AA179" s="69">
        <f>(AA70+AA71+AA78)*AA180</f>
        <v>0</v>
      </c>
      <c r="AB179" s="86">
        <f>AA179</f>
        <v>0</v>
      </c>
      <c r="AC179" s="68">
        <f>(AC70+AC71+AC78)*AC180</f>
        <v>0</v>
      </c>
      <c r="AD179" s="69">
        <f>(AD70+AD71+AD78)*AD180</f>
        <v>0</v>
      </c>
      <c r="AE179" s="69">
        <f>(AE70+AE71+AE78)*AE180</f>
        <v>0</v>
      </c>
      <c r="AF179" s="69">
        <f>(AF70+AF71+AF78)*AF180</f>
        <v>0</v>
      </c>
      <c r="AG179" s="86">
        <f>AF179</f>
        <v>0</v>
      </c>
      <c r="AH179" s="68">
        <f>(AH70+AH71+AH78)*AH180</f>
        <v>0</v>
      </c>
      <c r="AI179" s="69">
        <f>(AI70+AI71+AI78)*AI180</f>
        <v>0</v>
      </c>
      <c r="AJ179" s="69">
        <f>(AJ70+AJ71+AJ78)*AJ180</f>
        <v>0</v>
      </c>
      <c r="AK179" s="69">
        <f>(AK70+AK71+AK78)*AK180</f>
        <v>0</v>
      </c>
      <c r="AL179" s="86">
        <f>AK179</f>
        <v>0</v>
      </c>
    </row>
    <row r="180" spans="2:38" s="24" customFormat="1" outlineLevel="1" x14ac:dyDescent="0.3">
      <c r="B180" s="131" t="s">
        <v>201</v>
      </c>
      <c r="C180" s="132"/>
      <c r="D180" s="184">
        <f t="shared" ref="D180:O180" si="400">D179/(D70+D71+D78)</f>
        <v>0</v>
      </c>
      <c r="E180" s="240">
        <f t="shared" si="400"/>
        <v>0</v>
      </c>
      <c r="F180" s="240">
        <f t="shared" si="400"/>
        <v>0</v>
      </c>
      <c r="G180" s="240">
        <f t="shared" si="400"/>
        <v>0</v>
      </c>
      <c r="H180" s="239">
        <f t="shared" si="400"/>
        <v>0</v>
      </c>
      <c r="I180" s="184">
        <f t="shared" si="400"/>
        <v>0</v>
      </c>
      <c r="J180" s="240">
        <f t="shared" si="400"/>
        <v>0</v>
      </c>
      <c r="K180" s="240">
        <f t="shared" si="400"/>
        <v>0</v>
      </c>
      <c r="L180" s="240">
        <f t="shared" si="400"/>
        <v>0</v>
      </c>
      <c r="M180" s="239">
        <f t="shared" si="400"/>
        <v>0</v>
      </c>
      <c r="N180" s="184">
        <f t="shared" si="400"/>
        <v>0</v>
      </c>
      <c r="O180" s="240">
        <f t="shared" si="400"/>
        <v>0</v>
      </c>
      <c r="P180" s="240">
        <f>O180</f>
        <v>0</v>
      </c>
      <c r="Q180" s="240">
        <f>P180</f>
        <v>0</v>
      </c>
      <c r="R180" s="239">
        <f>R179/(R70+R71+R78)</f>
        <v>0</v>
      </c>
      <c r="S180" s="184">
        <f>Q180</f>
        <v>0</v>
      </c>
      <c r="T180" s="240">
        <f t="shared" ref="T180" si="401">S180</f>
        <v>0</v>
      </c>
      <c r="U180" s="240">
        <f>T180</f>
        <v>0</v>
      </c>
      <c r="V180" s="240">
        <f>U180</f>
        <v>0</v>
      </c>
      <c r="W180" s="239">
        <f>W179/(W70+W71+W78)</f>
        <v>0</v>
      </c>
      <c r="X180" s="184">
        <f>V180</f>
        <v>0</v>
      </c>
      <c r="Y180" s="240">
        <f t="shared" ref="Y180" si="402">X180</f>
        <v>0</v>
      </c>
      <c r="Z180" s="240">
        <f>Y180</f>
        <v>0</v>
      </c>
      <c r="AA180" s="240">
        <f>Z180</f>
        <v>0</v>
      </c>
      <c r="AB180" s="239">
        <f>AB179/(AB70+AB71+AB78)</f>
        <v>0</v>
      </c>
      <c r="AC180" s="184">
        <f>AA180</f>
        <v>0</v>
      </c>
      <c r="AD180" s="240">
        <f t="shared" ref="AD180" si="403">AC180</f>
        <v>0</v>
      </c>
      <c r="AE180" s="240">
        <f>AD180</f>
        <v>0</v>
      </c>
      <c r="AF180" s="240">
        <f>AE180</f>
        <v>0</v>
      </c>
      <c r="AG180" s="239">
        <f>AG179/(AG70+AG71+AG78)</f>
        <v>0</v>
      </c>
      <c r="AH180" s="184">
        <f>AF180</f>
        <v>0</v>
      </c>
      <c r="AI180" s="240">
        <f t="shared" ref="AI180" si="404">AH180</f>
        <v>0</v>
      </c>
      <c r="AJ180" s="240">
        <f>AI180</f>
        <v>0</v>
      </c>
      <c r="AK180" s="240">
        <f>AJ180</f>
        <v>0</v>
      </c>
      <c r="AL180" s="239">
        <f>AL179/(AL70+AL71+AL78)</f>
        <v>0</v>
      </c>
    </row>
    <row r="181" spans="2:38" s="24" customFormat="1" outlineLevel="1" x14ac:dyDescent="0.3">
      <c r="B181" s="294" t="s">
        <v>202</v>
      </c>
      <c r="C181" s="295"/>
      <c r="D181" s="68">
        <f>D179*D182</f>
        <v>0</v>
      </c>
      <c r="E181" s="69">
        <f>E179*E182</f>
        <v>0</v>
      </c>
      <c r="F181" s="69">
        <f t="shared" ref="F181:G181" si="405">F179*F182</f>
        <v>0</v>
      </c>
      <c r="G181" s="69">
        <f t="shared" si="405"/>
        <v>0</v>
      </c>
      <c r="H181" s="86"/>
      <c r="I181" s="68">
        <f>I179*I182</f>
        <v>0</v>
      </c>
      <c r="J181" s="69">
        <f>J179*J182</f>
        <v>0</v>
      </c>
      <c r="K181" s="69">
        <f t="shared" ref="K181" si="406">K179*K182</f>
        <v>0</v>
      </c>
      <c r="L181" s="69">
        <f t="shared" ref="L181" si="407">L179*L182</f>
        <v>0</v>
      </c>
      <c r="M181" s="86"/>
      <c r="N181" s="68">
        <f>N179*N182</f>
        <v>0</v>
      </c>
      <c r="O181" s="69">
        <f>O179*O182</f>
        <v>0</v>
      </c>
      <c r="P181" s="69">
        <f>P179*P182</f>
        <v>0</v>
      </c>
      <c r="Q181" s="69">
        <f>Q179*Q182</f>
        <v>0</v>
      </c>
      <c r="R181" s="86"/>
      <c r="S181" s="68">
        <f>S179*S182</f>
        <v>0</v>
      </c>
      <c r="T181" s="69">
        <f t="shared" ref="T181" si="408">T179*T182</f>
        <v>0</v>
      </c>
      <c r="U181" s="69">
        <f>U179*U182</f>
        <v>0</v>
      </c>
      <c r="V181" s="69">
        <f>V179*V182</f>
        <v>0</v>
      </c>
      <c r="W181" s="86"/>
      <c r="X181" s="68">
        <f>X179*X182</f>
        <v>0</v>
      </c>
      <c r="Y181" s="69">
        <f t="shared" ref="Y181" si="409">Y179*Y182</f>
        <v>0</v>
      </c>
      <c r="Z181" s="69">
        <f>Z179*Z182</f>
        <v>0</v>
      </c>
      <c r="AA181" s="69">
        <f>AA179*AA182</f>
        <v>0</v>
      </c>
      <c r="AB181" s="86"/>
      <c r="AC181" s="68">
        <f>AC179*AC182</f>
        <v>0</v>
      </c>
      <c r="AD181" s="69">
        <f t="shared" ref="AD181" si="410">AD179*AD182</f>
        <v>0</v>
      </c>
      <c r="AE181" s="69">
        <f>AE179*AE182</f>
        <v>0</v>
      </c>
      <c r="AF181" s="69">
        <f>AF179*AF182</f>
        <v>0</v>
      </c>
      <c r="AG181" s="86"/>
      <c r="AH181" s="68">
        <f>AH179*AH182</f>
        <v>0</v>
      </c>
      <c r="AI181" s="69">
        <f t="shared" ref="AI181" si="411">AI179*AI182</f>
        <v>0</v>
      </c>
      <c r="AJ181" s="69">
        <f>AJ179*AJ182</f>
        <v>0</v>
      </c>
      <c r="AK181" s="69">
        <f>AK179*AK182</f>
        <v>0</v>
      </c>
      <c r="AL181" s="86"/>
    </row>
    <row r="182" spans="2:38" s="24" customFormat="1" outlineLevel="1" x14ac:dyDescent="0.3">
      <c r="B182" s="294" t="s">
        <v>168</v>
      </c>
      <c r="C182" s="295"/>
      <c r="D182" s="184"/>
      <c r="E182" s="240"/>
      <c r="F182" s="240"/>
      <c r="G182" s="240"/>
      <c r="H182" s="239" t="e">
        <f>H181/H179</f>
        <v>#DIV/0!</v>
      </c>
      <c r="I182" s="240"/>
      <c r="J182" s="240"/>
      <c r="K182" s="240"/>
      <c r="L182" s="240"/>
      <c r="M182" s="239" t="e">
        <f>M181/M179</f>
        <v>#DIV/0!</v>
      </c>
      <c r="N182" s="240"/>
      <c r="O182" s="240"/>
      <c r="P182" s="240"/>
      <c r="Q182" s="240"/>
      <c r="R182" s="239" t="e">
        <f>R181/R179</f>
        <v>#DIV/0!</v>
      </c>
      <c r="S182" s="184">
        <v>0.15</v>
      </c>
      <c r="T182" s="240">
        <v>0.15</v>
      </c>
      <c r="U182" s="240">
        <v>0.15</v>
      </c>
      <c r="V182" s="240">
        <v>0.15</v>
      </c>
      <c r="W182" s="239" t="e">
        <f>W181/W179</f>
        <v>#DIV/0!</v>
      </c>
      <c r="X182" s="184">
        <v>0.15</v>
      </c>
      <c r="Y182" s="240">
        <v>0.15</v>
      </c>
      <c r="Z182" s="240">
        <v>0.15</v>
      </c>
      <c r="AA182" s="240">
        <v>0.15</v>
      </c>
      <c r="AB182" s="239" t="e">
        <f>AB181/AB179</f>
        <v>#DIV/0!</v>
      </c>
      <c r="AC182" s="184">
        <v>0.15</v>
      </c>
      <c r="AD182" s="240">
        <v>0.15</v>
      </c>
      <c r="AE182" s="240">
        <v>0.15</v>
      </c>
      <c r="AF182" s="240">
        <v>0.15</v>
      </c>
      <c r="AG182" s="239" t="e">
        <f>AG181/AG179</f>
        <v>#DIV/0!</v>
      </c>
      <c r="AH182" s="184">
        <v>0.15</v>
      </c>
      <c r="AI182" s="240">
        <v>0.15</v>
      </c>
      <c r="AJ182" s="240">
        <v>0.15</v>
      </c>
      <c r="AK182" s="240">
        <v>0.15</v>
      </c>
      <c r="AL182" s="239" t="e">
        <f>AL181/AL179</f>
        <v>#DIV/0!</v>
      </c>
    </row>
    <row r="183" spans="2:38" s="24" customFormat="1" outlineLevel="1" x14ac:dyDescent="0.3">
      <c r="B183" s="131" t="s">
        <v>165</v>
      </c>
      <c r="C183" s="132"/>
      <c r="D183" s="285">
        <f>(D70+D71+D78+D173-D92-D89)/D26</f>
        <v>-20.148615176761989</v>
      </c>
      <c r="E183" s="285">
        <f t="shared" ref="E183:AL183" si="412">(E70+E71+E78-E92-E89)/E26</f>
        <v>-20.308280828082808</v>
      </c>
      <c r="F183" s="285">
        <f t="shared" si="412"/>
        <v>-21.120689655172413</v>
      </c>
      <c r="G183" s="285">
        <f t="shared" si="412"/>
        <v>-21.427924869880066</v>
      </c>
      <c r="H183" s="285">
        <f t="shared" si="412"/>
        <v>-21.399870035930292</v>
      </c>
      <c r="I183" s="285">
        <f t="shared" si="412"/>
        <v>-22.728315741165673</v>
      </c>
      <c r="J183" s="285">
        <f t="shared" si="412"/>
        <v>-22.551468887346751</v>
      </c>
      <c r="K183" s="285">
        <f t="shared" si="412"/>
        <v>-23.057103064066851</v>
      </c>
      <c r="L183" s="285">
        <f t="shared" si="412"/>
        <v>-23.056455344747803</v>
      </c>
      <c r="M183" s="285">
        <f t="shared" si="412"/>
        <v>-23.034984089944974</v>
      </c>
      <c r="N183" s="285">
        <f t="shared" si="412"/>
        <v>-24.148512532208951</v>
      </c>
      <c r="O183" s="285">
        <f t="shared" si="412"/>
        <v>-24.535672514619883</v>
      </c>
      <c r="P183" s="285">
        <f t="shared" si="412"/>
        <v>-25.119662943733402</v>
      </c>
      <c r="Q183" s="285">
        <f t="shared" si="412"/>
        <v>-25.524283538476588</v>
      </c>
      <c r="R183" s="285">
        <f t="shared" si="412"/>
        <v>-24.971014190258376</v>
      </c>
      <c r="S183" s="285">
        <f t="shared" si="412"/>
        <v>-26.525703568082939</v>
      </c>
      <c r="T183" s="285">
        <f t="shared" si="412"/>
        <v>-26.484634192761551</v>
      </c>
      <c r="U183" s="285">
        <f t="shared" si="412"/>
        <v>-26.37838434772247</v>
      </c>
      <c r="V183" s="285">
        <f t="shared" si="412"/>
        <v>-26.545469067053723</v>
      </c>
      <c r="W183" s="285">
        <f t="shared" si="412"/>
        <v>-25.830521315676357</v>
      </c>
      <c r="X183" s="285">
        <f t="shared" si="412"/>
        <v>-27.160409606525047</v>
      </c>
      <c r="Y183" s="285">
        <f t="shared" si="412"/>
        <v>-27.851548658463994</v>
      </c>
      <c r="Z183" s="285">
        <f t="shared" si="412"/>
        <v>-26.818595021964637</v>
      </c>
      <c r="AA183" s="285">
        <f t="shared" si="412"/>
        <v>-28.138539520274087</v>
      </c>
      <c r="AB183" s="285">
        <f t="shared" si="412"/>
        <v>-27.363889947412016</v>
      </c>
      <c r="AC183" s="285">
        <f t="shared" si="412"/>
        <v>-28.094476727800419</v>
      </c>
      <c r="AD183" s="285">
        <f t="shared" si="412"/>
        <v>-30.025434005597887</v>
      </c>
      <c r="AE183" s="285">
        <f t="shared" si="412"/>
        <v>-27.529473971264906</v>
      </c>
      <c r="AF183" s="285">
        <f t="shared" si="412"/>
        <v>-30.383650215151661</v>
      </c>
      <c r="AG183" s="285">
        <f t="shared" si="412"/>
        <v>-29.531339704866721</v>
      </c>
      <c r="AH183" s="285">
        <f t="shared" si="412"/>
        <v>-29.432431377251671</v>
      </c>
      <c r="AI183" s="285">
        <f t="shared" si="412"/>
        <v>-33.307118052199087</v>
      </c>
      <c r="AJ183" s="285">
        <f t="shared" si="412"/>
        <v>-28.754816753027182</v>
      </c>
      <c r="AK183" s="285">
        <f t="shared" si="412"/>
        <v>-33.072083819804192</v>
      </c>
      <c r="AL183" s="285">
        <f t="shared" si="412"/>
        <v>-32.125696793042302</v>
      </c>
    </row>
    <row r="184" spans="2:38" outlineLevel="1" x14ac:dyDescent="0.3">
      <c r="B184" s="330" t="s">
        <v>166</v>
      </c>
      <c r="C184" s="334"/>
      <c r="D184" s="241">
        <f t="shared" ref="D184:AL184" si="413">D181/D26</f>
        <v>0</v>
      </c>
      <c r="E184" s="242">
        <f t="shared" si="413"/>
        <v>0</v>
      </c>
      <c r="F184" s="242">
        <f t="shared" si="413"/>
        <v>0</v>
      </c>
      <c r="G184" s="242">
        <f t="shared" si="413"/>
        <v>0</v>
      </c>
      <c r="H184" s="244">
        <f t="shared" si="413"/>
        <v>0</v>
      </c>
      <c r="I184" s="241">
        <f t="shared" si="413"/>
        <v>0</v>
      </c>
      <c r="J184" s="242">
        <f t="shared" si="413"/>
        <v>0</v>
      </c>
      <c r="K184" s="242">
        <f t="shared" si="413"/>
        <v>0</v>
      </c>
      <c r="L184" s="242">
        <f t="shared" si="413"/>
        <v>0</v>
      </c>
      <c r="M184" s="244">
        <f t="shared" si="413"/>
        <v>0</v>
      </c>
      <c r="N184" s="241">
        <f t="shared" si="413"/>
        <v>0</v>
      </c>
      <c r="O184" s="242">
        <f t="shared" si="413"/>
        <v>0</v>
      </c>
      <c r="P184" s="243">
        <f t="shared" si="413"/>
        <v>0</v>
      </c>
      <c r="Q184" s="243">
        <f t="shared" si="413"/>
        <v>0</v>
      </c>
      <c r="R184" s="244">
        <f t="shared" si="413"/>
        <v>0</v>
      </c>
      <c r="S184" s="241">
        <f t="shared" si="413"/>
        <v>0</v>
      </c>
      <c r="T184" s="242">
        <f t="shared" si="413"/>
        <v>0</v>
      </c>
      <c r="U184" s="242">
        <f t="shared" si="413"/>
        <v>0</v>
      </c>
      <c r="V184" s="243">
        <f t="shared" si="413"/>
        <v>0</v>
      </c>
      <c r="W184" s="244">
        <f t="shared" si="413"/>
        <v>0</v>
      </c>
      <c r="X184" s="241">
        <f t="shared" si="413"/>
        <v>0</v>
      </c>
      <c r="Y184" s="242">
        <f t="shared" si="413"/>
        <v>0</v>
      </c>
      <c r="Z184" s="242">
        <f t="shared" si="413"/>
        <v>0</v>
      </c>
      <c r="AA184" s="243">
        <f t="shared" si="413"/>
        <v>0</v>
      </c>
      <c r="AB184" s="244">
        <f t="shared" si="413"/>
        <v>0</v>
      </c>
      <c r="AC184" s="241">
        <f t="shared" si="413"/>
        <v>0</v>
      </c>
      <c r="AD184" s="242">
        <f t="shared" si="413"/>
        <v>0</v>
      </c>
      <c r="AE184" s="242">
        <f t="shared" si="413"/>
        <v>0</v>
      </c>
      <c r="AF184" s="243">
        <f t="shared" si="413"/>
        <v>0</v>
      </c>
      <c r="AG184" s="244">
        <f t="shared" si="413"/>
        <v>0</v>
      </c>
      <c r="AH184" s="241">
        <f t="shared" si="413"/>
        <v>0</v>
      </c>
      <c r="AI184" s="242">
        <f t="shared" si="413"/>
        <v>0</v>
      </c>
      <c r="AJ184" s="242">
        <f t="shared" si="413"/>
        <v>0</v>
      </c>
      <c r="AK184" s="243">
        <f t="shared" si="413"/>
        <v>0</v>
      </c>
      <c r="AL184" s="244">
        <f t="shared" si="413"/>
        <v>0</v>
      </c>
    </row>
    <row r="185" spans="2:38" x14ac:dyDescent="0.3">
      <c r="B185" s="333"/>
      <c r="C185" s="333"/>
      <c r="D185" s="67"/>
      <c r="E185" s="67"/>
      <c r="F185" s="67"/>
      <c r="G185" s="67"/>
      <c r="H185" s="67"/>
      <c r="I185" s="67"/>
      <c r="J185" s="67"/>
      <c r="K185" s="67"/>
      <c r="L185" s="67"/>
      <c r="M185" s="67"/>
      <c r="N185" s="67"/>
      <c r="O185" s="67"/>
      <c r="P185" s="67"/>
      <c r="Q185" s="67"/>
      <c r="R185" s="67"/>
      <c r="S185" s="67"/>
      <c r="T185" s="67"/>
      <c r="U185" s="67"/>
      <c r="V185" s="67"/>
      <c r="W185" s="67"/>
      <c r="X185" s="67"/>
      <c r="Y185" s="67"/>
      <c r="Z185" s="67"/>
      <c r="AA185" s="67"/>
      <c r="AB185" s="67"/>
      <c r="AC185" s="67"/>
      <c r="AD185" s="67"/>
      <c r="AE185" s="67"/>
      <c r="AF185" s="67"/>
      <c r="AG185" s="67"/>
      <c r="AH185" s="67"/>
      <c r="AI185" s="67"/>
      <c r="AJ185" s="67"/>
      <c r="AK185" s="67"/>
      <c r="AL185" s="67"/>
    </row>
    <row r="186" spans="2:38" ht="15.6" x14ac:dyDescent="0.3">
      <c r="B186" s="300" t="s">
        <v>45</v>
      </c>
      <c r="C186" s="301"/>
      <c r="D186" s="256" t="s">
        <v>68</v>
      </c>
      <c r="E186" s="256" t="s">
        <v>244</v>
      </c>
      <c r="F186" s="256" t="s">
        <v>245</v>
      </c>
      <c r="G186" s="256" t="s">
        <v>69</v>
      </c>
      <c r="H186" s="256" t="s">
        <v>246</v>
      </c>
      <c r="I186" s="256" t="s">
        <v>70</v>
      </c>
      <c r="J186" s="256" t="s">
        <v>247</v>
      </c>
      <c r="K186" s="256" t="s">
        <v>248</v>
      </c>
      <c r="L186" s="256" t="s">
        <v>71</v>
      </c>
      <c r="M186" s="256" t="s">
        <v>246</v>
      </c>
      <c r="N186" s="256" t="s">
        <v>72</v>
      </c>
      <c r="O186" s="256" t="s">
        <v>249</v>
      </c>
      <c r="P186" s="257" t="s">
        <v>250</v>
      </c>
      <c r="Q186" s="257" t="s">
        <v>129</v>
      </c>
      <c r="R186" s="257" t="s">
        <v>129</v>
      </c>
      <c r="S186" s="97" t="s">
        <v>130</v>
      </c>
      <c r="T186" s="97" t="s">
        <v>131</v>
      </c>
      <c r="U186" s="97" t="s">
        <v>132</v>
      </c>
      <c r="V186" s="97" t="s">
        <v>140</v>
      </c>
      <c r="W186" s="97" t="s">
        <v>140</v>
      </c>
      <c r="X186" s="97" t="s">
        <v>141</v>
      </c>
      <c r="Y186" s="97" t="s">
        <v>142</v>
      </c>
      <c r="Z186" s="97" t="s">
        <v>143</v>
      </c>
      <c r="AA186" s="97" t="s">
        <v>219</v>
      </c>
      <c r="AB186" s="97" t="s">
        <v>219</v>
      </c>
      <c r="AC186" s="97" t="s">
        <v>220</v>
      </c>
      <c r="AD186" s="97" t="s">
        <v>221</v>
      </c>
      <c r="AE186" s="97" t="s">
        <v>222</v>
      </c>
      <c r="AF186" s="97" t="s">
        <v>229</v>
      </c>
      <c r="AG186" s="97" t="s">
        <v>229</v>
      </c>
      <c r="AH186" s="97" t="s">
        <v>231</v>
      </c>
      <c r="AI186" s="97" t="s">
        <v>233</v>
      </c>
      <c r="AJ186" s="97" t="s">
        <v>224</v>
      </c>
      <c r="AK186" s="97" t="s">
        <v>267</v>
      </c>
      <c r="AL186" s="97" t="s">
        <v>267</v>
      </c>
    </row>
    <row r="187" spans="2:38" ht="16.2" x14ac:dyDescent="0.45">
      <c r="B187" s="302"/>
      <c r="C187" s="303"/>
      <c r="D187" s="77" t="s">
        <v>148</v>
      </c>
      <c r="E187" s="77" t="s">
        <v>196</v>
      </c>
      <c r="F187" s="216" t="s">
        <v>236</v>
      </c>
      <c r="G187" s="216" t="s">
        <v>237</v>
      </c>
      <c r="H187" s="216" t="s">
        <v>238</v>
      </c>
      <c r="I187" s="216" t="s">
        <v>239</v>
      </c>
      <c r="J187" s="216" t="s">
        <v>240</v>
      </c>
      <c r="K187" s="216" t="s">
        <v>241</v>
      </c>
      <c r="L187" s="216" t="s">
        <v>242</v>
      </c>
      <c r="M187" s="216" t="s">
        <v>243</v>
      </c>
      <c r="N187" s="258">
        <v>2019</v>
      </c>
      <c r="O187" s="258">
        <v>2019</v>
      </c>
      <c r="P187" s="259" t="s">
        <v>251</v>
      </c>
      <c r="Q187" s="259" t="s">
        <v>251</v>
      </c>
      <c r="R187" s="259" t="s">
        <v>263</v>
      </c>
      <c r="S187" s="98" t="s">
        <v>128</v>
      </c>
      <c r="T187" s="98" t="s">
        <v>133</v>
      </c>
      <c r="U187" s="98" t="s">
        <v>134</v>
      </c>
      <c r="V187" s="98" t="s">
        <v>135</v>
      </c>
      <c r="W187" s="98" t="s">
        <v>136</v>
      </c>
      <c r="X187" s="98" t="s">
        <v>144</v>
      </c>
      <c r="Y187" s="98" t="s">
        <v>145</v>
      </c>
      <c r="Z187" s="98" t="s">
        <v>146</v>
      </c>
      <c r="AA187" s="98" t="s">
        <v>266</v>
      </c>
      <c r="AB187" s="98" t="s">
        <v>147</v>
      </c>
      <c r="AC187" s="98" t="s">
        <v>265</v>
      </c>
      <c r="AD187" s="98" t="s">
        <v>226</v>
      </c>
      <c r="AE187" s="98" t="s">
        <v>227</v>
      </c>
      <c r="AF187" s="98" t="s">
        <v>228</v>
      </c>
      <c r="AG187" s="98" t="s">
        <v>223</v>
      </c>
      <c r="AH187" s="98" t="s">
        <v>230</v>
      </c>
      <c r="AI187" s="98" t="s">
        <v>232</v>
      </c>
      <c r="AJ187" s="98" t="s">
        <v>234</v>
      </c>
      <c r="AK187" s="98" t="s">
        <v>235</v>
      </c>
      <c r="AL187" s="98" t="s">
        <v>225</v>
      </c>
    </row>
    <row r="188" spans="2:38" ht="16.2" outlineLevel="1" x14ac:dyDescent="0.45">
      <c r="B188" s="319" t="s">
        <v>39</v>
      </c>
      <c r="C188" s="332"/>
      <c r="D188" s="2"/>
      <c r="E188" s="2"/>
      <c r="F188" s="91"/>
      <c r="G188" s="91"/>
      <c r="H188" s="22"/>
      <c r="I188" s="91"/>
      <c r="J188" s="91"/>
      <c r="K188" s="91"/>
      <c r="L188" s="91"/>
      <c r="M188" s="22"/>
      <c r="N188" s="91"/>
      <c r="O188" s="91"/>
      <c r="P188" s="91"/>
      <c r="Q188" s="2"/>
      <c r="R188" s="22"/>
      <c r="S188" s="2"/>
      <c r="T188" s="2"/>
      <c r="U188" s="2"/>
      <c r="V188" s="2"/>
      <c r="W188" s="22"/>
      <c r="X188" s="2"/>
      <c r="Y188" s="2"/>
      <c r="Z188" s="2"/>
      <c r="AA188" s="2"/>
      <c r="AB188" s="22"/>
      <c r="AC188" s="91"/>
      <c r="AD188" s="91"/>
      <c r="AE188" s="91"/>
      <c r="AF188" s="91"/>
      <c r="AG188" s="22"/>
      <c r="AH188" s="91"/>
      <c r="AI188" s="91"/>
      <c r="AJ188" s="91"/>
      <c r="AK188" s="91"/>
      <c r="AL188" s="22"/>
    </row>
    <row r="189" spans="2:38" s="24" customFormat="1" outlineLevel="1" x14ac:dyDescent="0.3">
      <c r="B189" s="126" t="s">
        <v>217</v>
      </c>
      <c r="C189" s="127"/>
      <c r="D189" s="112">
        <f>D135/D10</f>
        <v>1.0465116279069767E-2</v>
      </c>
      <c r="E189" s="112">
        <f>E135/E10</f>
        <v>4.8952950775088388E-3</v>
      </c>
      <c r="F189" s="112">
        <f>F135/F10</f>
        <v>5.3821313240043061E-3</v>
      </c>
      <c r="G189" s="112">
        <f>G135/G10</f>
        <v>7.3932092004381162E-3</v>
      </c>
      <c r="H189" s="230"/>
      <c r="I189" s="112">
        <f>I135/I10</f>
        <v>6.5508402164625463E-3</v>
      </c>
      <c r="J189" s="112">
        <f>J135/J10</f>
        <v>4.8141214228403315E-3</v>
      </c>
      <c r="K189" s="112">
        <f>K135/K10</f>
        <v>5.7561486132914706E-3</v>
      </c>
      <c r="L189" s="112">
        <f>L135/L10</f>
        <v>6.7673086933888599E-3</v>
      </c>
      <c r="M189" s="230"/>
      <c r="N189" s="112">
        <f>N135/N10</f>
        <v>7.305194805194805E-3</v>
      </c>
      <c r="O189" s="112">
        <f>O135/O10</f>
        <v>4.0547389761784085E-3</v>
      </c>
      <c r="P189" s="282">
        <f t="shared" ref="P189:Q191" si="414">+K189+(F189-E189)</f>
        <v>6.2429848597869379E-3</v>
      </c>
      <c r="Q189" s="282">
        <f t="shared" si="414"/>
        <v>8.7783865698226708E-3</v>
      </c>
      <c r="R189" s="230"/>
      <c r="S189" s="112">
        <v>1.6E-2</v>
      </c>
      <c r="T189" s="112">
        <v>2.2499999999999999E-2</v>
      </c>
      <c r="U189" s="112">
        <v>2.6499999999999999E-2</v>
      </c>
      <c r="V189" s="282">
        <f>+Q189+(L189-K189)</f>
        <v>9.7895466499200601E-3</v>
      </c>
      <c r="W189" s="230"/>
      <c r="X189" s="112">
        <v>1.6E-2</v>
      </c>
      <c r="Y189" s="112">
        <v>2.2499999999999999E-2</v>
      </c>
      <c r="Z189" s="112">
        <v>2.6499999999999999E-2</v>
      </c>
      <c r="AA189" s="282">
        <f>+V189+(Q189-P189)</f>
        <v>1.2324948359955793E-2</v>
      </c>
      <c r="AB189" s="230"/>
      <c r="AC189" s="112">
        <v>1.6E-2</v>
      </c>
      <c r="AD189" s="112">
        <v>2.2499999999999999E-2</v>
      </c>
      <c r="AE189" s="112">
        <v>2.6499999999999999E-2</v>
      </c>
      <c r="AF189" s="282">
        <f>+AA189+(V189-U189)</f>
        <v>-4.3855049901241443E-3</v>
      </c>
      <c r="AG189" s="230"/>
      <c r="AH189" s="112">
        <v>1.6E-2</v>
      </c>
      <c r="AI189" s="112">
        <v>2.2499999999999999E-2</v>
      </c>
      <c r="AJ189" s="112">
        <v>2.6499999999999999E-2</v>
      </c>
      <c r="AK189" s="282">
        <f>+AF189+(AA189-Z189)</f>
        <v>-1.856055663016835E-2</v>
      </c>
      <c r="AL189" s="230"/>
    </row>
    <row r="190" spans="2:38" s="24" customFormat="1" outlineLevel="1" x14ac:dyDescent="0.3">
      <c r="B190" s="149" t="s">
        <v>194</v>
      </c>
      <c r="C190" s="154"/>
      <c r="D190" s="74">
        <f t="shared" ref="D190:E190" si="415">D161/D135</f>
        <v>0</v>
      </c>
      <c r="E190" s="74">
        <f t="shared" si="415"/>
        <v>0</v>
      </c>
      <c r="F190" s="74">
        <f t="shared" ref="F190:G190" si="416">F161/F135</f>
        <v>0</v>
      </c>
      <c r="G190" s="74">
        <f t="shared" si="416"/>
        <v>0</v>
      </c>
      <c r="H190" s="25">
        <f t="shared" ref="H190:L190" si="417">H161/H135</f>
        <v>0</v>
      </c>
      <c r="I190" s="74">
        <f t="shared" si="417"/>
        <v>0</v>
      </c>
      <c r="J190" s="74">
        <f t="shared" si="417"/>
        <v>0</v>
      </c>
      <c r="K190" s="74">
        <f t="shared" si="417"/>
        <v>0</v>
      </c>
      <c r="L190" s="74">
        <f t="shared" si="417"/>
        <v>0</v>
      </c>
      <c r="M190" s="25">
        <f>M161/M135</f>
        <v>0</v>
      </c>
      <c r="N190" s="74">
        <f t="shared" ref="N190:O190" si="418">N161/N135</f>
        <v>0</v>
      </c>
      <c r="O190" s="74">
        <f t="shared" si="418"/>
        <v>0</v>
      </c>
      <c r="P190" s="282">
        <f t="shared" si="414"/>
        <v>0</v>
      </c>
      <c r="Q190" s="282">
        <f t="shared" si="414"/>
        <v>0</v>
      </c>
      <c r="R190" s="25">
        <f>R161/R135</f>
        <v>0</v>
      </c>
      <c r="S190" s="74">
        <f t="shared" ref="S190:U191" si="419">N190</f>
        <v>0</v>
      </c>
      <c r="T190" s="74">
        <f t="shared" si="419"/>
        <v>0</v>
      </c>
      <c r="U190" s="74">
        <f t="shared" si="419"/>
        <v>0</v>
      </c>
      <c r="V190" s="282">
        <f>+Q190+(L190-K190)</f>
        <v>0</v>
      </c>
      <c r="W190" s="25">
        <f>W161/W135</f>
        <v>0</v>
      </c>
      <c r="X190" s="74">
        <f t="shared" ref="X190:X191" si="420">S190</f>
        <v>0</v>
      </c>
      <c r="Y190" s="74">
        <f t="shared" ref="Y190:Y191" si="421">T190</f>
        <v>0</v>
      </c>
      <c r="Z190" s="74">
        <f t="shared" ref="Z190:Z191" si="422">U190</f>
        <v>0</v>
      </c>
      <c r="AA190" s="282">
        <f>+V190+(Q190-P190)</f>
        <v>0</v>
      </c>
      <c r="AB190" s="25"/>
      <c r="AC190" s="74">
        <f t="shared" ref="AC190:AC191" si="423">X190</f>
        <v>0</v>
      </c>
      <c r="AD190" s="74">
        <f t="shared" ref="AD190:AD191" si="424">Y190</f>
        <v>0</v>
      </c>
      <c r="AE190" s="74">
        <f t="shared" ref="AE190:AE191" si="425">Z190</f>
        <v>0</v>
      </c>
      <c r="AF190" s="282">
        <f>+AA190+(V190-U190)</f>
        <v>0</v>
      </c>
      <c r="AG190" s="25"/>
      <c r="AH190" s="74">
        <f t="shared" ref="AH190:AH191" si="426">AC190</f>
        <v>0</v>
      </c>
      <c r="AI190" s="74">
        <f t="shared" ref="AI190:AI191" si="427">AD190</f>
        <v>0</v>
      </c>
      <c r="AJ190" s="74">
        <f t="shared" ref="AJ190:AJ191" si="428">AE190</f>
        <v>0</v>
      </c>
      <c r="AK190" s="282">
        <f>+AF190+(AA190-Z190)</f>
        <v>0</v>
      </c>
      <c r="AL190" s="25"/>
    </row>
    <row r="191" spans="2:38" s="24" customFormat="1" outlineLevel="1" x14ac:dyDescent="0.3">
      <c r="B191" s="149" t="s">
        <v>195</v>
      </c>
      <c r="C191" s="154"/>
      <c r="D191" s="74">
        <f t="shared" ref="D191:E191" si="429">+D162/D135</f>
        <v>-0.88888888888888884</v>
      </c>
      <c r="E191" s="74">
        <f t="shared" si="429"/>
        <v>-0.83333333333333337</v>
      </c>
      <c r="F191" s="74">
        <f t="shared" ref="F191:G191" si="430">+F162/F135</f>
        <v>0</v>
      </c>
      <c r="G191" s="74">
        <f t="shared" si="430"/>
        <v>0</v>
      </c>
      <c r="H191" s="25">
        <f t="shared" ref="H191:L191" si="431">+H162/H135</f>
        <v>-0.46534653465346537</v>
      </c>
      <c r="I191" s="74">
        <f t="shared" si="431"/>
        <v>-1.2173913043478262</v>
      </c>
      <c r="J191" s="74">
        <f t="shared" si="431"/>
        <v>0</v>
      </c>
      <c r="K191" s="74">
        <f t="shared" si="431"/>
        <v>0</v>
      </c>
      <c r="L191" s="74">
        <f t="shared" si="431"/>
        <v>-3.8461538461538464E-2</v>
      </c>
      <c r="M191" s="25">
        <f t="shared" ref="M191:O191" si="432">+M162/M135</f>
        <v>-0.3258426966292135</v>
      </c>
      <c r="N191" s="74">
        <f t="shared" si="432"/>
        <v>-1.1111111111111112</v>
      </c>
      <c r="O191" s="74">
        <f t="shared" si="432"/>
        <v>0</v>
      </c>
      <c r="P191" s="282">
        <f t="shared" si="414"/>
        <v>0.83333333333333337</v>
      </c>
      <c r="Q191" s="282">
        <f t="shared" si="414"/>
        <v>-3.8461538461538464E-2</v>
      </c>
      <c r="R191" s="25">
        <f t="shared" ref="R191" si="433">+R162/R135</f>
        <v>-0.10593371564979256</v>
      </c>
      <c r="S191" s="74">
        <f t="shared" si="419"/>
        <v>-1.1111111111111112</v>
      </c>
      <c r="T191" s="74">
        <f t="shared" si="419"/>
        <v>0</v>
      </c>
      <c r="U191" s="74">
        <f t="shared" si="419"/>
        <v>0.83333333333333337</v>
      </c>
      <c r="V191" s="282">
        <f>+Q191+(L191-K191)</f>
        <v>-7.6923076923076927E-2</v>
      </c>
      <c r="W191" s="25">
        <f t="shared" ref="W191" si="434">+W162/W135</f>
        <v>5.5018911293445334E-2</v>
      </c>
      <c r="X191" s="74">
        <f t="shared" si="420"/>
        <v>-1.1111111111111112</v>
      </c>
      <c r="Y191" s="74">
        <f t="shared" si="421"/>
        <v>0</v>
      </c>
      <c r="Z191" s="74">
        <f t="shared" si="422"/>
        <v>0.83333333333333337</v>
      </c>
      <c r="AA191" s="282">
        <f>+V191+(Q191-P191)</f>
        <v>-0.94871794871794868</v>
      </c>
      <c r="AB191" s="25"/>
      <c r="AC191" s="74">
        <f t="shared" si="423"/>
        <v>-1.1111111111111112</v>
      </c>
      <c r="AD191" s="74">
        <f t="shared" si="424"/>
        <v>0</v>
      </c>
      <c r="AE191" s="74">
        <f t="shared" si="425"/>
        <v>0.83333333333333337</v>
      </c>
      <c r="AF191" s="282">
        <f>+AA191+(V191-U191)</f>
        <v>-1.858974358974359</v>
      </c>
      <c r="AG191" s="25"/>
      <c r="AH191" s="74">
        <f t="shared" si="426"/>
        <v>-1.1111111111111112</v>
      </c>
      <c r="AI191" s="74">
        <f t="shared" si="427"/>
        <v>0</v>
      </c>
      <c r="AJ191" s="74">
        <f t="shared" si="428"/>
        <v>0.83333333333333337</v>
      </c>
      <c r="AK191" s="282">
        <f>+AF191+(AA191-Z191)</f>
        <v>-3.641025641025641</v>
      </c>
      <c r="AL191" s="25"/>
    </row>
    <row r="192" spans="2:38" s="38" customFormat="1" outlineLevel="1" x14ac:dyDescent="0.3">
      <c r="B192" s="304" t="s">
        <v>193</v>
      </c>
      <c r="C192" s="305"/>
      <c r="D192" s="74" t="e">
        <f>D147/#REF!-1</f>
        <v>#REF!</v>
      </c>
      <c r="E192" s="74" t="e">
        <f>E147/#REF!-1</f>
        <v>#REF!</v>
      </c>
      <c r="F192" s="74" t="e">
        <f>F147/#REF!-1</f>
        <v>#REF!</v>
      </c>
      <c r="G192" s="74" t="e">
        <f>G147/#REF!-1</f>
        <v>#REF!</v>
      </c>
      <c r="H192" s="25" t="e">
        <f>H147/#REF!-1</f>
        <v>#REF!</v>
      </c>
      <c r="I192" s="74">
        <f t="shared" ref="I192" si="435">I147/D147-1</f>
        <v>0.12049861495844882</v>
      </c>
      <c r="J192" s="74">
        <f t="shared" ref="J192" si="436">J147/E147-1</f>
        <v>0.19926199261992616</v>
      </c>
      <c r="K192" s="74">
        <f t="shared" ref="K192" si="437">K147/F147-1</f>
        <v>2.2222222222222143E-2</v>
      </c>
      <c r="L192" s="74">
        <f t="shared" ref="L192" si="438">L147/G147-1</f>
        <v>0.1515151515151516</v>
      </c>
      <c r="M192" s="25">
        <f t="shared" ref="M192:AL192" si="439">M147/H147-1</f>
        <v>0.12264150943396235</v>
      </c>
      <c r="N192" s="74">
        <f t="shared" ref="N192" si="440">N147/I147-1</f>
        <v>0.10012360939431386</v>
      </c>
      <c r="O192" s="74">
        <f t="shared" ref="O192" si="441">O147/J147-1</f>
        <v>3.5897435897435992E-2</v>
      </c>
      <c r="P192" s="282">
        <f>K192</f>
        <v>2.2222222222222143E-2</v>
      </c>
      <c r="Q192" s="282">
        <f>L192</f>
        <v>0.1515151515151516</v>
      </c>
      <c r="R192" s="25">
        <f t="shared" si="439"/>
        <v>3.8583310446917762E-2</v>
      </c>
      <c r="S192" s="74">
        <f>S147/D147-1</f>
        <v>0.11674554278094651</v>
      </c>
      <c r="T192" s="74">
        <f>T147/E147-1</f>
        <v>0.42092190690384923</v>
      </c>
      <c r="U192" s="74">
        <f>U147/F147-1</f>
        <v>0.26165784725919172</v>
      </c>
      <c r="V192" s="282">
        <f>Q192</f>
        <v>0.1515151515151516</v>
      </c>
      <c r="W192" s="25">
        <f t="shared" si="439"/>
        <v>0.10478004493350346</v>
      </c>
      <c r="X192" s="74">
        <f>X147/I147-1</f>
        <v>0.22111169078982806</v>
      </c>
      <c r="Y192" s="74">
        <f>Y147/J147-1</f>
        <v>-9.0733548761806282E-2</v>
      </c>
      <c r="Z192" s="74">
        <f>Z147/K147-1</f>
        <v>0.61170578585931912</v>
      </c>
      <c r="AA192" s="282">
        <f>V192</f>
        <v>0.1515151515151516</v>
      </c>
      <c r="AB192" s="25">
        <f t="shared" si="439"/>
        <v>-2.5276821225688417E-2</v>
      </c>
      <c r="AC192" s="74">
        <f>AC147/N147-1</f>
        <v>0.39602597485383306</v>
      </c>
      <c r="AD192" s="74">
        <f>AD147/O147-1</f>
        <v>-0.51357726533450632</v>
      </c>
      <c r="AE192" s="74">
        <f>AE147/P147-1</f>
        <v>1.1689577073107236</v>
      </c>
      <c r="AF192" s="282">
        <f>AA192</f>
        <v>0.1515151515151516</v>
      </c>
      <c r="AG192" s="25">
        <f t="shared" si="439"/>
        <v>-5.9896293190251804E-2</v>
      </c>
      <c r="AH192" s="74">
        <f>AH147/S147-1</f>
        <v>0.912749602282519</v>
      </c>
      <c r="AI192" s="74">
        <f>AI147/T147-1</f>
        <v>-1.0471192462052779</v>
      </c>
      <c r="AJ192" s="74">
        <f>AJ147/U147-1</f>
        <v>1.2602895181182485</v>
      </c>
      <c r="AK192" s="282">
        <f>AF192</f>
        <v>0.1515151515151516</v>
      </c>
      <c r="AL192" s="25">
        <f t="shared" si="439"/>
        <v>-9.5689657813995743E-2</v>
      </c>
    </row>
    <row r="193" spans="2:38" s="38" customFormat="1" outlineLevel="1" x14ac:dyDescent="0.3">
      <c r="B193" s="109" t="s">
        <v>175</v>
      </c>
      <c r="C193" s="110"/>
      <c r="D193" s="112"/>
      <c r="E193" s="112"/>
      <c r="F193" s="112"/>
      <c r="G193" s="112"/>
      <c r="H193" s="25">
        <f>-H154/H10</f>
        <v>0.10417673455298584</v>
      </c>
      <c r="I193" s="112"/>
      <c r="J193" s="112"/>
      <c r="K193" s="112"/>
      <c r="L193" s="112"/>
      <c r="M193" s="25">
        <f>-M154/M10</f>
        <v>0.11358455142818828</v>
      </c>
      <c r="N193" s="112"/>
      <c r="O193" s="112"/>
      <c r="P193" s="112"/>
      <c r="Q193" s="112"/>
      <c r="R193" s="25">
        <f>-R154/R10</f>
        <v>0.1390050524823005</v>
      </c>
      <c r="S193" s="112"/>
      <c r="T193" s="112"/>
      <c r="U193" s="112"/>
      <c r="V193" s="112"/>
      <c r="W193" s="25">
        <f>-W154/W10</f>
        <v>0.12529499504493388</v>
      </c>
      <c r="X193" s="112"/>
      <c r="Y193" s="112"/>
      <c r="Z193" s="112"/>
      <c r="AA193" s="112"/>
      <c r="AB193" s="25">
        <f>-AB154/AB10</f>
        <v>0.12080415755778465</v>
      </c>
      <c r="AC193" s="112"/>
      <c r="AD193" s="112"/>
      <c r="AE193" s="112"/>
      <c r="AF193" s="112"/>
      <c r="AG193" s="25">
        <f>-AG154/AG10</f>
        <v>0.11646192263828517</v>
      </c>
      <c r="AH193" s="112"/>
      <c r="AI193" s="112"/>
      <c r="AJ193" s="112"/>
      <c r="AK193" s="112"/>
      <c r="AL193" s="25">
        <f>-AL154/AL10</f>
        <v>0.1122639955306774</v>
      </c>
    </row>
    <row r="194" spans="2:38" s="24" customFormat="1" ht="16.2" outlineLevel="1" x14ac:dyDescent="0.45">
      <c r="B194" s="330" t="s">
        <v>176</v>
      </c>
      <c r="C194" s="331"/>
      <c r="D194" s="74" t="e">
        <f>D154/#REF!-1</f>
        <v>#REF!</v>
      </c>
      <c r="E194" s="74">
        <f>E154/D154-1</f>
        <v>-9.9397590361445798E-2</v>
      </c>
      <c r="F194" s="74">
        <f>F154/D154-1</f>
        <v>5.4216867469879526E-2</v>
      </c>
      <c r="G194" s="74">
        <f>G154/F154-1</f>
        <v>0.50857142857142867</v>
      </c>
      <c r="H194" s="113"/>
      <c r="I194" s="74">
        <f>I154/G154-1</f>
        <v>-0.24242424242424243</v>
      </c>
      <c r="J194" s="74">
        <f>J154/I154-1</f>
        <v>9.000000000000008E-2</v>
      </c>
      <c r="K194" s="74">
        <f>K154/I154-1</f>
        <v>1.0000000000000009E-2</v>
      </c>
      <c r="L194" s="74">
        <f>L154/K154-1</f>
        <v>0.12376237623762387</v>
      </c>
      <c r="M194" s="113"/>
      <c r="N194" s="74">
        <f>N154/L154-1</f>
        <v>3.7444933920704804E-2</v>
      </c>
      <c r="O194" s="74">
        <f>O154/N154-1</f>
        <v>0.227176220806794</v>
      </c>
      <c r="P194" s="74">
        <v>-0.02</v>
      </c>
      <c r="Q194" s="74">
        <v>-0.02</v>
      </c>
      <c r="R194" s="113"/>
      <c r="S194" s="74">
        <v>0.01</v>
      </c>
      <c r="T194" s="74">
        <v>0.01</v>
      </c>
      <c r="U194" s="74">
        <v>0.01</v>
      </c>
      <c r="V194" s="74">
        <v>-0.02</v>
      </c>
      <c r="W194" s="113"/>
      <c r="X194" s="74">
        <v>0.01</v>
      </c>
      <c r="Y194" s="74">
        <v>0.01</v>
      </c>
      <c r="Z194" s="74">
        <v>0.01</v>
      </c>
      <c r="AA194" s="74">
        <v>-0.02</v>
      </c>
      <c r="AB194" s="113"/>
      <c r="AC194" s="74">
        <v>0.01</v>
      </c>
      <c r="AD194" s="74">
        <v>0.01</v>
      </c>
      <c r="AE194" s="74">
        <v>0.01</v>
      </c>
      <c r="AF194" s="74">
        <v>-0.02</v>
      </c>
      <c r="AG194" s="113"/>
      <c r="AH194" s="74">
        <v>0.01</v>
      </c>
      <c r="AI194" s="74">
        <v>0.01</v>
      </c>
      <c r="AJ194" s="74">
        <v>0.01</v>
      </c>
      <c r="AK194" s="74">
        <v>-0.02</v>
      </c>
      <c r="AL194" s="113"/>
    </row>
    <row r="195" spans="2:38" s="90" customFormat="1" ht="16.2" x14ac:dyDescent="0.45">
      <c r="B195" s="92"/>
      <c r="C195" s="92"/>
      <c r="D195" s="93"/>
      <c r="E195" s="93"/>
      <c r="F195" s="93"/>
      <c r="G195" s="93"/>
      <c r="H195" s="93"/>
      <c r="I195" s="93"/>
      <c r="J195" s="93"/>
      <c r="K195" s="93"/>
      <c r="L195" s="93"/>
      <c r="M195" s="93"/>
      <c r="N195" s="93"/>
      <c r="O195" s="93"/>
      <c r="P195" s="93"/>
      <c r="Q195" s="93"/>
      <c r="R195" s="29"/>
      <c r="S195" s="93"/>
      <c r="T195" s="93"/>
      <c r="U195" s="93"/>
      <c r="V195" s="93"/>
      <c r="W195" s="29"/>
      <c r="X195" s="93"/>
      <c r="Y195" s="93"/>
      <c r="Z195" s="93"/>
      <c r="AA195" s="93"/>
      <c r="AB195" s="29"/>
      <c r="AC195" s="93"/>
      <c r="AD195" s="93"/>
      <c r="AE195" s="93"/>
      <c r="AF195" s="93"/>
      <c r="AG195" s="29"/>
      <c r="AH195" s="93"/>
      <c r="AI195" s="93"/>
      <c r="AJ195" s="93"/>
      <c r="AK195" s="93"/>
      <c r="AL195" s="29"/>
    </row>
    <row r="196" spans="2:38" ht="15.6" x14ac:dyDescent="0.3">
      <c r="B196" s="300" t="s">
        <v>38</v>
      </c>
      <c r="C196" s="335"/>
      <c r="D196" s="41"/>
      <c r="E196" s="41"/>
      <c r="F196" s="41"/>
      <c r="G196" s="41"/>
      <c r="H196" s="41"/>
      <c r="I196" s="41"/>
      <c r="J196" s="41"/>
      <c r="K196" s="41"/>
      <c r="L196" s="41"/>
      <c r="M196" s="41"/>
      <c r="N196" s="41"/>
      <c r="O196" s="41"/>
      <c r="P196" s="41"/>
      <c r="Q196" s="41"/>
      <c r="R196" s="41"/>
      <c r="S196" s="41"/>
      <c r="T196" s="41"/>
      <c r="U196" s="41"/>
      <c r="V196" s="41"/>
      <c r="W196" s="41"/>
      <c r="X196" s="41"/>
      <c r="Y196" s="41"/>
      <c r="Z196" s="41"/>
      <c r="AA196" s="41"/>
      <c r="AB196" s="41"/>
      <c r="AC196" s="41"/>
      <c r="AD196" s="41"/>
      <c r="AE196" s="41"/>
      <c r="AF196" s="41"/>
      <c r="AG196" s="41"/>
      <c r="AH196" s="41"/>
      <c r="AI196" s="41"/>
      <c r="AJ196" s="41"/>
      <c r="AK196" s="41"/>
      <c r="AL196" s="41"/>
    </row>
    <row r="197" spans="2:38" x14ac:dyDescent="0.3">
      <c r="B197" s="205" t="s">
        <v>283</v>
      </c>
      <c r="C197" s="287">
        <f>C209</f>
        <v>119</v>
      </c>
      <c r="D197" s="14"/>
      <c r="E197" s="15"/>
      <c r="F197" s="88"/>
      <c r="G197" s="88"/>
      <c r="H197" s="88"/>
      <c r="I197" s="88"/>
      <c r="J197" s="88"/>
      <c r="K197" s="88"/>
      <c r="L197" s="88"/>
      <c r="M197" s="88"/>
      <c r="N197" s="88"/>
      <c r="O197" s="88"/>
      <c r="P197" s="88"/>
      <c r="Q197" s="10"/>
      <c r="R197" s="15"/>
      <c r="S197" s="14"/>
      <c r="T197" s="15"/>
      <c r="U197" s="10"/>
      <c r="V197" s="10"/>
      <c r="W197" s="15"/>
      <c r="X197" s="14"/>
      <c r="Y197" s="15"/>
      <c r="Z197" s="10"/>
      <c r="AA197" s="10"/>
      <c r="AB197" s="15"/>
      <c r="AC197" s="14"/>
      <c r="AD197" s="88"/>
      <c r="AE197" s="10"/>
      <c r="AF197" s="10"/>
      <c r="AG197" s="88"/>
      <c r="AH197" s="14"/>
      <c r="AI197" s="88"/>
      <c r="AJ197" s="10"/>
      <c r="AK197" s="10"/>
      <c r="AL197" s="88"/>
    </row>
    <row r="198" spans="2:38" x14ac:dyDescent="0.3">
      <c r="B198" s="5" t="s">
        <v>282</v>
      </c>
      <c r="C198" s="107">
        <v>29</v>
      </c>
      <c r="D198" s="64"/>
      <c r="E198" s="64"/>
      <c r="F198" s="64"/>
      <c r="G198" s="64"/>
      <c r="H198" s="64"/>
      <c r="I198" s="64"/>
      <c r="J198" s="64"/>
      <c r="K198" s="64"/>
      <c r="L198" s="64"/>
      <c r="M198" s="64"/>
      <c r="N198" s="64"/>
      <c r="O198" s="64"/>
      <c r="P198" s="64"/>
      <c r="Q198" s="65"/>
      <c r="R198" s="65"/>
      <c r="S198" s="64"/>
      <c r="T198" s="64"/>
    </row>
    <row r="199" spans="2:38" x14ac:dyDescent="0.3">
      <c r="B199" s="5" t="s">
        <v>281</v>
      </c>
      <c r="C199" s="288">
        <f>AVERAGE(I42:R42)</f>
        <v>4.6852997398579309E-2</v>
      </c>
      <c r="D199" s="64"/>
      <c r="E199" s="64"/>
      <c r="F199" s="64"/>
      <c r="G199" s="64"/>
      <c r="H199" s="64"/>
      <c r="I199" s="64"/>
      <c r="J199" s="64"/>
      <c r="K199" s="64"/>
      <c r="L199" s="64"/>
      <c r="M199" s="64"/>
      <c r="N199" s="64"/>
      <c r="O199" s="64"/>
      <c r="P199" s="64"/>
      <c r="Q199" s="65"/>
      <c r="R199" s="65"/>
      <c r="S199" s="64"/>
      <c r="T199" s="64"/>
    </row>
    <row r="200" spans="2:38" s="94" customFormat="1" x14ac:dyDescent="0.3">
      <c r="B200" s="286" t="s">
        <v>280</v>
      </c>
      <c r="C200" s="289">
        <f>27/11.36</f>
        <v>2.376760563380282</v>
      </c>
      <c r="D200" s="64"/>
      <c r="E200" s="64"/>
      <c r="F200" s="64"/>
      <c r="G200" s="64"/>
      <c r="H200" s="64"/>
      <c r="I200" s="64"/>
      <c r="J200" s="64"/>
      <c r="K200" s="64"/>
      <c r="L200" s="64"/>
      <c r="M200" s="64"/>
      <c r="N200" s="64"/>
      <c r="O200" s="64"/>
      <c r="P200" s="64"/>
      <c r="Q200" s="65"/>
      <c r="R200" s="65"/>
      <c r="S200" s="64"/>
      <c r="T200" s="64"/>
      <c r="U200" s="4"/>
      <c r="V200" s="4"/>
      <c r="W200" s="4"/>
      <c r="X200" s="1"/>
      <c r="Y200" s="1"/>
      <c r="Z200" s="4"/>
      <c r="AA200" s="4"/>
      <c r="AB200" s="4"/>
      <c r="AC200" s="1"/>
      <c r="AD200" s="1"/>
      <c r="AE200" s="4"/>
      <c r="AF200" s="4"/>
      <c r="AG200" s="4"/>
      <c r="AH200" s="1"/>
      <c r="AI200" s="1"/>
      <c r="AJ200" s="4"/>
      <c r="AK200" s="4"/>
      <c r="AL200" s="4"/>
    </row>
    <row r="201" spans="2:38" x14ac:dyDescent="0.3">
      <c r="B201" s="73" t="s">
        <v>64</v>
      </c>
      <c r="C201" s="108">
        <v>34</v>
      </c>
      <c r="D201" s="64"/>
      <c r="E201" s="64"/>
      <c r="F201" s="64"/>
      <c r="G201" s="64"/>
      <c r="H201" s="64"/>
      <c r="I201" s="64"/>
      <c r="J201" s="64"/>
      <c r="K201" s="64"/>
      <c r="L201" s="64"/>
      <c r="M201" s="64"/>
      <c r="N201" s="64"/>
      <c r="O201" s="64"/>
      <c r="P201" s="64"/>
      <c r="Q201" s="65"/>
      <c r="R201" s="65"/>
      <c r="S201" s="64"/>
      <c r="T201" s="64"/>
    </row>
    <row r="202" spans="2:38" x14ac:dyDescent="0.3">
      <c r="B202" s="5" t="s">
        <v>169</v>
      </c>
      <c r="C202" s="70">
        <f>+O183</f>
        <v>-24.535672514619883</v>
      </c>
      <c r="D202" s="26"/>
      <c r="E202" s="26"/>
      <c r="F202" s="26"/>
      <c r="G202" s="26"/>
      <c r="H202" s="26"/>
      <c r="I202" s="26"/>
      <c r="J202" s="26"/>
      <c r="K202" s="26"/>
      <c r="L202" s="26"/>
      <c r="M202" s="26"/>
      <c r="N202" s="26"/>
      <c r="O202" s="26"/>
      <c r="P202" s="26"/>
      <c r="Q202" s="26"/>
      <c r="R202" s="40"/>
      <c r="S202" s="26"/>
      <c r="T202" s="26"/>
      <c r="U202" s="26"/>
      <c r="V202" s="26"/>
      <c r="W202" s="40"/>
      <c r="X202" s="26"/>
      <c r="Y202" s="26"/>
      <c r="Z202" s="26"/>
      <c r="AA202" s="26"/>
      <c r="AB202" s="40"/>
      <c r="AC202" s="26"/>
      <c r="AD202" s="26"/>
      <c r="AE202" s="26"/>
      <c r="AF202" s="26"/>
      <c r="AG202" s="40"/>
      <c r="AH202" s="26"/>
      <c r="AI202" s="26"/>
      <c r="AJ202" s="26"/>
      <c r="AK202" s="26"/>
      <c r="AL202" s="40"/>
    </row>
    <row r="203" spans="2:38" s="94" customFormat="1" x14ac:dyDescent="0.3">
      <c r="B203" s="5" t="s">
        <v>163</v>
      </c>
      <c r="C203" s="70">
        <f>+E184</f>
        <v>0</v>
      </c>
      <c r="D203" s="26"/>
      <c r="E203" s="26"/>
      <c r="F203" s="26"/>
      <c r="G203" s="26"/>
      <c r="H203" s="26"/>
      <c r="I203" s="26"/>
      <c r="J203" s="26"/>
      <c r="K203" s="26"/>
      <c r="L203" s="26"/>
      <c r="M203" s="26"/>
      <c r="N203" s="26"/>
      <c r="O203" s="26"/>
      <c r="P203" s="26"/>
      <c r="Q203" s="26"/>
      <c r="R203" s="40"/>
      <c r="S203" s="26"/>
      <c r="T203" s="26"/>
      <c r="U203" s="26"/>
      <c r="V203" s="26"/>
      <c r="W203" s="40"/>
      <c r="X203" s="26"/>
      <c r="Y203" s="26"/>
      <c r="Z203" s="26"/>
      <c r="AA203" s="26"/>
      <c r="AB203" s="40"/>
      <c r="AC203" s="26"/>
      <c r="AD203" s="26"/>
      <c r="AE203" s="26"/>
      <c r="AF203" s="26"/>
      <c r="AG203" s="40"/>
      <c r="AH203" s="26"/>
      <c r="AI203" s="26"/>
      <c r="AJ203" s="26"/>
      <c r="AK203" s="26"/>
      <c r="AL203" s="40"/>
    </row>
    <row r="204" spans="2:38" ht="16.2" x14ac:dyDescent="0.45">
      <c r="B204" s="5" t="s">
        <v>107</v>
      </c>
      <c r="C204" s="124">
        <f>C202-C203</f>
        <v>-24.535672514619883</v>
      </c>
      <c r="D204" s="26"/>
      <c r="E204" s="26"/>
      <c r="F204" s="26"/>
      <c r="G204" s="26"/>
      <c r="H204" s="26"/>
      <c r="I204" s="26"/>
      <c r="J204" s="26"/>
      <c r="K204" s="26"/>
      <c r="L204" s="26"/>
      <c r="M204" s="26"/>
      <c r="N204" s="26"/>
      <c r="O204" s="26"/>
      <c r="P204" s="26"/>
      <c r="Q204" s="26"/>
      <c r="R204" s="40"/>
      <c r="S204" s="26"/>
      <c r="T204" s="26"/>
      <c r="U204" s="26"/>
      <c r="V204" s="26"/>
      <c r="W204" s="40"/>
      <c r="X204" s="26"/>
      <c r="Y204" s="26"/>
      <c r="Z204" s="26"/>
      <c r="AA204" s="26"/>
      <c r="AB204" s="40"/>
      <c r="AC204" s="26"/>
      <c r="AD204" s="26"/>
      <c r="AE204" s="26"/>
      <c r="AF204" s="26"/>
      <c r="AG204" s="40"/>
      <c r="AH204" s="26"/>
      <c r="AI204" s="26"/>
      <c r="AJ204" s="26"/>
      <c r="AK204" s="26"/>
      <c r="AL204" s="40"/>
    </row>
    <row r="205" spans="2:38" x14ac:dyDescent="0.3">
      <c r="B205" s="290" t="s">
        <v>123</v>
      </c>
      <c r="C205" s="291">
        <f>(C201*(T28+P28+Q28+S28))+C204</f>
        <v>141.96066165233418</v>
      </c>
      <c r="D205" s="64"/>
      <c r="E205" s="64"/>
      <c r="F205" s="64"/>
      <c r="G205" s="64"/>
      <c r="H205" s="64"/>
      <c r="I205" s="64"/>
      <c r="J205" s="64"/>
      <c r="K205" s="64"/>
      <c r="L205" s="64"/>
      <c r="M205" s="64"/>
      <c r="N205" s="64"/>
      <c r="O205" s="64"/>
      <c r="P205" s="64"/>
      <c r="Q205" s="65"/>
      <c r="R205" s="65"/>
      <c r="S205" s="64"/>
      <c r="T205" s="64"/>
    </row>
    <row r="206" spans="2:38" x14ac:dyDescent="0.3">
      <c r="B206" s="24"/>
      <c r="C206" s="1"/>
    </row>
    <row r="207" spans="2:38" ht="15.6" x14ac:dyDescent="0.3">
      <c r="B207" s="300" t="s">
        <v>53</v>
      </c>
      <c r="C207" s="301"/>
    </row>
    <row r="208" spans="2:38" outlineLevel="1" x14ac:dyDescent="0.3">
      <c r="B208" s="13" t="s">
        <v>62</v>
      </c>
      <c r="C208" s="43"/>
    </row>
    <row r="209" spans="2:38" outlineLevel="1" x14ac:dyDescent="0.3">
      <c r="B209" s="5" t="s">
        <v>54</v>
      </c>
      <c r="C209" s="215">
        <v>119</v>
      </c>
    </row>
    <row r="210" spans="2:38" ht="16.2" outlineLevel="1" x14ac:dyDescent="0.45">
      <c r="B210" s="5" t="s">
        <v>55</v>
      </c>
      <c r="C210" s="116">
        <f>P26</f>
        <v>419.15761133870461</v>
      </c>
    </row>
    <row r="211" spans="2:38" outlineLevel="1" x14ac:dyDescent="0.3">
      <c r="B211" s="84" t="s">
        <v>56</v>
      </c>
      <c r="C211" s="213">
        <f>C210*C209</f>
        <v>49879.755749305848</v>
      </c>
    </row>
    <row r="212" spans="2:38" outlineLevel="1" x14ac:dyDescent="0.3">
      <c r="B212" s="6" t="s">
        <v>108</v>
      </c>
      <c r="C212" s="100">
        <v>0.6</v>
      </c>
    </row>
    <row r="213" spans="2:38" outlineLevel="1" x14ac:dyDescent="0.3">
      <c r="B213" s="6" t="s">
        <v>121</v>
      </c>
      <c r="C213" s="45">
        <v>0.308</v>
      </c>
    </row>
    <row r="214" spans="2:38" outlineLevel="1" x14ac:dyDescent="0.3">
      <c r="B214" s="6" t="s">
        <v>122</v>
      </c>
      <c r="C214" s="101">
        <v>0.18</v>
      </c>
    </row>
    <row r="215" spans="2:38" outlineLevel="1" x14ac:dyDescent="0.3">
      <c r="B215" s="42" t="s">
        <v>57</v>
      </c>
      <c r="C215" s="47">
        <f>C213*C214</f>
        <v>5.5439999999999996E-2</v>
      </c>
    </row>
    <row r="216" spans="2:38" outlineLevel="1" x14ac:dyDescent="0.3">
      <c r="B216" s="6" t="s">
        <v>139</v>
      </c>
      <c r="C216" s="214">
        <v>0.02</v>
      </c>
      <c r="D216"/>
      <c r="E216"/>
      <c r="F216"/>
      <c r="G216"/>
      <c r="H216"/>
      <c r="I216"/>
      <c r="J216"/>
      <c r="K216"/>
      <c r="L216"/>
      <c r="M216"/>
      <c r="N216"/>
      <c r="O216"/>
      <c r="P216"/>
      <c r="Q216"/>
      <c r="R216"/>
      <c r="S216"/>
      <c r="T216"/>
      <c r="U216"/>
      <c r="V216"/>
      <c r="W216"/>
      <c r="X216"/>
      <c r="Y216"/>
      <c r="Z216"/>
      <c r="AA216"/>
      <c r="AB216"/>
      <c r="AC216"/>
      <c r="AD216"/>
      <c r="AE216"/>
      <c r="AF216"/>
      <c r="AG216"/>
      <c r="AH216"/>
      <c r="AI216"/>
      <c r="AJ216"/>
      <c r="AK216"/>
      <c r="AL216"/>
    </row>
    <row r="217" spans="2:38" outlineLevel="1" x14ac:dyDescent="0.3">
      <c r="B217" s="42" t="s">
        <v>58</v>
      </c>
      <c r="C217" s="47">
        <f>C216+(C212*C215)</f>
        <v>5.3263999999999992E-2</v>
      </c>
      <c r="D217"/>
      <c r="E217"/>
      <c r="F217"/>
      <c r="G217"/>
      <c r="H217"/>
      <c r="I217"/>
      <c r="J217"/>
      <c r="K217"/>
      <c r="L217"/>
      <c r="M217"/>
      <c r="N217"/>
      <c r="O217"/>
      <c r="P217"/>
      <c r="Q217"/>
      <c r="R217"/>
      <c r="S217"/>
      <c r="T217"/>
      <c r="U217"/>
      <c r="V217"/>
      <c r="W217"/>
      <c r="X217"/>
      <c r="Y217"/>
      <c r="Z217"/>
      <c r="AA217"/>
      <c r="AB217"/>
      <c r="AC217"/>
      <c r="AD217"/>
      <c r="AE217"/>
      <c r="AF217"/>
      <c r="AG217"/>
      <c r="AH217"/>
      <c r="AI217"/>
      <c r="AJ217"/>
      <c r="AK217"/>
      <c r="AL217"/>
    </row>
    <row r="218" spans="2:38" outlineLevel="1" x14ac:dyDescent="0.3">
      <c r="B218" s="6" t="s">
        <v>59</v>
      </c>
      <c r="C218" s="46">
        <f>C211/(C211+O89+O92)</f>
        <v>0.79656254986923436</v>
      </c>
      <c r="D218"/>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row>
    <row r="219" spans="2:38" outlineLevel="1" x14ac:dyDescent="0.3">
      <c r="B219" s="6" t="s">
        <v>60</v>
      </c>
      <c r="C219" s="46">
        <v>3.9E-2</v>
      </c>
      <c r="D219"/>
      <c r="E219"/>
      <c r="F219"/>
      <c r="G219"/>
      <c r="H219"/>
      <c r="I219"/>
      <c r="J219"/>
      <c r="K219"/>
      <c r="L219"/>
      <c r="M219"/>
      <c r="N219"/>
      <c r="O219"/>
      <c r="P219"/>
      <c r="Q219"/>
      <c r="R219"/>
      <c r="S219"/>
      <c r="T219"/>
      <c r="U219"/>
      <c r="V219"/>
      <c r="W219"/>
      <c r="X219"/>
      <c r="Y219"/>
      <c r="Z219"/>
      <c r="AA219"/>
      <c r="AB219"/>
      <c r="AC219"/>
      <c r="AD219"/>
      <c r="AE219"/>
      <c r="AF219"/>
      <c r="AG219"/>
      <c r="AH219"/>
      <c r="AI219"/>
      <c r="AJ219"/>
      <c r="AK219"/>
      <c r="AL219"/>
    </row>
    <row r="220" spans="2:38" outlineLevel="1" x14ac:dyDescent="0.3">
      <c r="B220" s="6" t="s">
        <v>6</v>
      </c>
      <c r="C220" s="71">
        <f>M38</f>
        <v>0.19065656565656566</v>
      </c>
      <c r="D220"/>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row>
    <row r="221" spans="2:38" outlineLevel="1" x14ac:dyDescent="0.3">
      <c r="B221" s="6" t="s">
        <v>61</v>
      </c>
      <c r="C221" s="46">
        <f>C219*(1-C220)</f>
        <v>3.1564393939393941E-2</v>
      </c>
      <c r="D221"/>
      <c r="E221"/>
      <c r="F221"/>
      <c r="G221"/>
      <c r="H221"/>
      <c r="I221"/>
      <c r="J221"/>
      <c r="K221"/>
      <c r="L221"/>
      <c r="M221"/>
      <c r="N221"/>
      <c r="O221"/>
      <c r="P221"/>
      <c r="Q221"/>
      <c r="R221"/>
      <c r="S221"/>
      <c r="T221"/>
      <c r="U221"/>
      <c r="V221"/>
      <c r="W221"/>
      <c r="X221"/>
      <c r="Y221"/>
      <c r="Z221"/>
      <c r="AA221"/>
      <c r="AB221"/>
      <c r="AC221"/>
      <c r="AD221"/>
      <c r="AE221"/>
      <c r="AF221"/>
      <c r="AG221"/>
      <c r="AH221"/>
      <c r="AI221"/>
      <c r="AJ221"/>
      <c r="AK221"/>
      <c r="AL221"/>
    </row>
    <row r="222" spans="2:38" outlineLevel="1" x14ac:dyDescent="0.3">
      <c r="B222" s="84" t="s">
        <v>211</v>
      </c>
      <c r="C222" s="212">
        <f>(C218*C217)+((1-C218)*C221)</f>
        <v>4.8849487474188186E-2</v>
      </c>
      <c r="D222"/>
      <c r="E222"/>
      <c r="F222"/>
      <c r="G222"/>
      <c r="H222"/>
      <c r="I222"/>
      <c r="J222"/>
      <c r="K222"/>
      <c r="L222"/>
      <c r="M222"/>
      <c r="N222"/>
      <c r="O222"/>
      <c r="P222"/>
      <c r="Q222"/>
      <c r="R222"/>
      <c r="S222"/>
      <c r="T222"/>
      <c r="U222"/>
      <c r="V222"/>
      <c r="W222"/>
      <c r="X222"/>
      <c r="Y222"/>
      <c r="Z222"/>
      <c r="AA222"/>
      <c r="AB222"/>
      <c r="AC222"/>
      <c r="AD222"/>
      <c r="AE222"/>
      <c r="AF222"/>
      <c r="AG222"/>
      <c r="AH222"/>
      <c r="AI222"/>
      <c r="AJ222"/>
      <c r="AK222"/>
      <c r="AL222"/>
    </row>
    <row r="223" spans="2:38" outlineLevel="1" x14ac:dyDescent="0.3">
      <c r="B223" s="13" t="s">
        <v>278</v>
      </c>
      <c r="C223" s="43"/>
      <c r="D223"/>
      <c r="E223"/>
      <c r="F223"/>
      <c r="G223"/>
      <c r="H223"/>
      <c r="I223"/>
      <c r="J223"/>
      <c r="K223"/>
      <c r="L223"/>
      <c r="M223"/>
      <c r="N223"/>
      <c r="O223"/>
      <c r="P223"/>
      <c r="Q223"/>
      <c r="R223"/>
      <c r="S223"/>
      <c r="T223"/>
      <c r="U223"/>
      <c r="V223"/>
      <c r="W223"/>
      <c r="X223"/>
      <c r="Y223"/>
      <c r="Z223"/>
      <c r="AA223"/>
      <c r="AB223"/>
      <c r="AC223"/>
      <c r="AD223"/>
      <c r="AE223"/>
      <c r="AF223"/>
      <c r="AG223"/>
      <c r="AH223"/>
      <c r="AI223"/>
      <c r="AJ223"/>
      <c r="AK223"/>
      <c r="AL223"/>
    </row>
    <row r="224" spans="2:38" outlineLevel="1" x14ac:dyDescent="0.3">
      <c r="B224" s="5" t="s">
        <v>109</v>
      </c>
      <c r="C224" s="99">
        <v>0.03</v>
      </c>
      <c r="D224"/>
      <c r="E224"/>
      <c r="F224"/>
      <c r="G224"/>
      <c r="H224"/>
      <c r="I224"/>
      <c r="J224"/>
      <c r="K224"/>
      <c r="L224"/>
      <c r="M224"/>
      <c r="N224"/>
      <c r="O224"/>
      <c r="P224"/>
      <c r="Q224"/>
      <c r="R224"/>
      <c r="S224"/>
      <c r="T224"/>
      <c r="U224"/>
      <c r="V224"/>
      <c r="W224"/>
      <c r="X224"/>
      <c r="Y224"/>
      <c r="Z224"/>
      <c r="AA224"/>
      <c r="AB224"/>
      <c r="AC224"/>
      <c r="AD224"/>
      <c r="AE224"/>
      <c r="AF224"/>
      <c r="AG224"/>
      <c r="AH224"/>
      <c r="AI224"/>
      <c r="AJ224"/>
      <c r="AK224"/>
      <c r="AL224"/>
    </row>
    <row r="225" spans="2:38" outlineLevel="1" x14ac:dyDescent="0.3">
      <c r="B225" s="5" t="s">
        <v>111</v>
      </c>
      <c r="C225" s="99">
        <v>0.05</v>
      </c>
      <c r="D225"/>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row>
    <row r="226" spans="2:38" outlineLevel="1" x14ac:dyDescent="0.3">
      <c r="B226" s="5" t="s">
        <v>112</v>
      </c>
      <c r="C226" s="99">
        <v>0.05</v>
      </c>
      <c r="D226"/>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row>
    <row r="227" spans="2:38" outlineLevel="1" x14ac:dyDescent="0.3">
      <c r="B227" s="5" t="s">
        <v>212</v>
      </c>
      <c r="C227" s="99">
        <f>(C218*(C216+(1.25*(0.31*0.195))))+((1-C218)*C221)</f>
        <v>8.2542888489832003E-2</v>
      </c>
      <c r="D227"/>
      <c r="E227"/>
      <c r="F227"/>
      <c r="G227"/>
      <c r="H227"/>
      <c r="I227"/>
      <c r="J227"/>
      <c r="K227"/>
      <c r="L227"/>
      <c r="M227"/>
      <c r="N227"/>
      <c r="O227"/>
      <c r="P227"/>
      <c r="Q227"/>
      <c r="R227"/>
      <c r="S227"/>
      <c r="T227"/>
      <c r="U227"/>
      <c r="V227"/>
      <c r="W227"/>
      <c r="X227"/>
      <c r="Y227"/>
      <c r="Z227"/>
      <c r="AA227"/>
      <c r="AB227"/>
      <c r="AC227"/>
      <c r="AD227"/>
      <c r="AE227"/>
      <c r="AF227"/>
      <c r="AG227"/>
      <c r="AH227"/>
      <c r="AI227"/>
      <c r="AJ227"/>
      <c r="AK227"/>
      <c r="AL227"/>
    </row>
    <row r="228" spans="2:38" outlineLevel="1" x14ac:dyDescent="0.3">
      <c r="B228" s="13" t="s">
        <v>113</v>
      </c>
      <c r="C228" s="43"/>
      <c r="D228"/>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row>
    <row r="229" spans="2:38" outlineLevel="1" x14ac:dyDescent="0.3">
      <c r="B229" s="5" t="s">
        <v>114</v>
      </c>
      <c r="C229" s="59">
        <f>((((AL147*(1+C225))-(C226*AL10*(1+C224))+(C221*AL92)))/(C227-C224))/(1+$C$227)^5</f>
        <v>40222.117954665744</v>
      </c>
      <c r="D229"/>
      <c r="E229"/>
      <c r="F229"/>
      <c r="G229"/>
      <c r="H229"/>
      <c r="I229"/>
      <c r="J229"/>
      <c r="K229"/>
      <c r="L229"/>
      <c r="M229"/>
      <c r="N229"/>
      <c r="O229"/>
      <c r="P229"/>
      <c r="Q229"/>
      <c r="R229"/>
      <c r="S229"/>
      <c r="T229"/>
      <c r="U229"/>
      <c r="V229"/>
      <c r="W229"/>
      <c r="X229"/>
      <c r="Y229"/>
      <c r="Z229"/>
      <c r="AA229"/>
      <c r="AB229"/>
      <c r="AC229"/>
      <c r="AD229"/>
      <c r="AE229"/>
      <c r="AF229"/>
      <c r="AG229"/>
      <c r="AH229"/>
      <c r="AI229"/>
      <c r="AJ229"/>
      <c r="AK229"/>
      <c r="AL229"/>
    </row>
    <row r="230" spans="2:38" outlineLevel="1" x14ac:dyDescent="0.3">
      <c r="B230" s="5" t="s">
        <v>110</v>
      </c>
      <c r="C230" s="17">
        <f>R177+W177+AB177+AG177+AL177</f>
        <v>8809.6960300420615</v>
      </c>
      <c r="D230"/>
      <c r="E230"/>
      <c r="F230"/>
      <c r="G230"/>
      <c r="H230"/>
      <c r="I230"/>
      <c r="J230"/>
      <c r="K230"/>
      <c r="L230"/>
      <c r="M230"/>
      <c r="N230"/>
      <c r="O230"/>
      <c r="P230"/>
      <c r="Q230"/>
      <c r="R230"/>
      <c r="S230"/>
      <c r="T230"/>
      <c r="U230"/>
      <c r="V230"/>
      <c r="W230"/>
      <c r="X230"/>
      <c r="Y230"/>
      <c r="Z230"/>
      <c r="AA230"/>
      <c r="AB230"/>
      <c r="AC230"/>
      <c r="AD230"/>
      <c r="AE230"/>
      <c r="AF230"/>
      <c r="AG230"/>
      <c r="AH230"/>
      <c r="AI230"/>
      <c r="AJ230"/>
      <c r="AK230"/>
      <c r="AL230"/>
    </row>
    <row r="231" spans="2:38" ht="16.2" outlineLevel="1" x14ac:dyDescent="0.45">
      <c r="B231" s="5" t="s">
        <v>120</v>
      </c>
      <c r="C231" s="125">
        <f>C204</f>
        <v>-24.535672514619883</v>
      </c>
      <c r="D231"/>
      <c r="E231"/>
      <c r="F231"/>
      <c r="G231"/>
      <c r="H231"/>
      <c r="I231"/>
      <c r="J231"/>
      <c r="K231"/>
      <c r="L231"/>
      <c r="M231"/>
      <c r="N231"/>
      <c r="O231"/>
      <c r="P231"/>
      <c r="Q231"/>
      <c r="R231"/>
      <c r="S231"/>
      <c r="T231"/>
      <c r="U231"/>
      <c r="V231"/>
      <c r="W231"/>
      <c r="X231"/>
      <c r="Y231"/>
      <c r="Z231"/>
      <c r="AA231"/>
      <c r="AB231"/>
      <c r="AC231"/>
      <c r="AD231"/>
      <c r="AE231"/>
      <c r="AF231"/>
      <c r="AG231"/>
      <c r="AH231"/>
      <c r="AI231"/>
      <c r="AJ231"/>
      <c r="AK231"/>
      <c r="AL231"/>
    </row>
    <row r="232" spans="2:38" outlineLevel="1" x14ac:dyDescent="0.3">
      <c r="B232" s="84" t="s">
        <v>124</v>
      </c>
      <c r="C232" s="105">
        <f>(C229+C230)/C210+C231</f>
        <v>92.441361084054648</v>
      </c>
      <c r="D232"/>
      <c r="E232"/>
      <c r="F232"/>
      <c r="G232"/>
      <c r="H232"/>
      <c r="I232"/>
      <c r="J232"/>
      <c r="K232"/>
      <c r="L232"/>
      <c r="M232"/>
      <c r="N232"/>
      <c r="O232"/>
      <c r="P232"/>
      <c r="Q232"/>
      <c r="R232"/>
      <c r="S232"/>
      <c r="T232"/>
      <c r="U232"/>
      <c r="V232"/>
      <c r="W232"/>
      <c r="X232"/>
      <c r="Y232"/>
      <c r="Z232"/>
      <c r="AA232"/>
      <c r="AB232"/>
      <c r="AC232"/>
      <c r="AD232"/>
      <c r="AE232"/>
      <c r="AF232"/>
      <c r="AG232"/>
      <c r="AH232"/>
      <c r="AI232"/>
      <c r="AJ232"/>
      <c r="AK232"/>
      <c r="AL232"/>
    </row>
    <row r="233" spans="2:38" x14ac:dyDescent="0.3">
      <c r="C233" s="16"/>
      <c r="D233"/>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row>
    <row r="234" spans="2:38" ht="15.6" x14ac:dyDescent="0.3">
      <c r="B234" s="328" t="s">
        <v>209</v>
      </c>
      <c r="C234" s="329"/>
      <c r="D234"/>
      <c r="E234"/>
      <c r="F234"/>
      <c r="G234"/>
      <c r="H234"/>
      <c r="I234"/>
      <c r="J234"/>
      <c r="K234"/>
      <c r="L234"/>
      <c r="M234"/>
      <c r="N234"/>
      <c r="O234"/>
      <c r="P234"/>
      <c r="Q234"/>
      <c r="R234"/>
      <c r="S234"/>
      <c r="T234"/>
      <c r="U234"/>
      <c r="V234"/>
      <c r="W234"/>
      <c r="X234"/>
      <c r="Y234"/>
      <c r="Z234"/>
      <c r="AA234"/>
      <c r="AB234"/>
      <c r="AC234"/>
      <c r="AD234"/>
      <c r="AE234"/>
      <c r="AF234"/>
      <c r="AG234"/>
      <c r="AH234"/>
      <c r="AI234"/>
      <c r="AJ234"/>
      <c r="AK234"/>
      <c r="AL234"/>
    </row>
    <row r="235" spans="2:38" x14ac:dyDescent="0.3">
      <c r="B235" s="205" t="s">
        <v>203</v>
      </c>
      <c r="C235" s="206">
        <v>4.2500000000000003E-2</v>
      </c>
      <c r="D235"/>
      <c r="E235"/>
      <c r="F235"/>
      <c r="G235"/>
      <c r="H235"/>
      <c r="I235"/>
      <c r="J235"/>
      <c r="K235"/>
      <c r="L235"/>
      <c r="M235"/>
      <c r="N235"/>
      <c r="O235"/>
      <c r="P235"/>
      <c r="Q235"/>
      <c r="R235"/>
      <c r="S235"/>
      <c r="T235"/>
      <c r="U235"/>
      <c r="V235"/>
      <c r="W235"/>
      <c r="X235"/>
      <c r="Y235"/>
      <c r="Z235"/>
      <c r="AA235"/>
      <c r="AB235"/>
      <c r="AC235"/>
      <c r="AD235"/>
      <c r="AE235"/>
      <c r="AF235"/>
      <c r="AG235"/>
      <c r="AH235"/>
      <c r="AI235"/>
      <c r="AJ235"/>
      <c r="AK235"/>
      <c r="AL235"/>
    </row>
    <row r="236" spans="2:38" x14ac:dyDescent="0.3">
      <c r="B236" s="5" t="s">
        <v>204</v>
      </c>
      <c r="C236" s="207">
        <v>4.4900000000000002E-2</v>
      </c>
      <c r="D236"/>
      <c r="E236"/>
      <c r="F236"/>
      <c r="G236"/>
      <c r="H236"/>
      <c r="I236"/>
      <c r="J236"/>
      <c r="K236"/>
      <c r="L236"/>
      <c r="M236"/>
      <c r="N236"/>
      <c r="O236"/>
      <c r="P236"/>
      <c r="Q236"/>
      <c r="R236"/>
      <c r="S236"/>
      <c r="T236"/>
      <c r="U236"/>
      <c r="V236"/>
      <c r="W236"/>
      <c r="X236"/>
      <c r="Y236"/>
      <c r="Z236"/>
      <c r="AA236"/>
      <c r="AB236"/>
      <c r="AC236"/>
      <c r="AD236"/>
      <c r="AE236"/>
      <c r="AF236"/>
      <c r="AG236"/>
      <c r="AH236"/>
      <c r="AI236"/>
      <c r="AJ236"/>
      <c r="AK236"/>
      <c r="AL236"/>
    </row>
    <row r="237" spans="2:38" x14ac:dyDescent="0.3">
      <c r="B237" s="5" t="s">
        <v>207</v>
      </c>
      <c r="C237" s="208">
        <f>C5</f>
        <v>117.20101136819441</v>
      </c>
      <c r="D237"/>
      <c r="E237"/>
      <c r="F237"/>
      <c r="G237"/>
      <c r="H237"/>
      <c r="I237"/>
      <c r="J237"/>
      <c r="K237"/>
      <c r="L237"/>
      <c r="M237"/>
      <c r="N237"/>
      <c r="O237"/>
      <c r="P237"/>
      <c r="Q237"/>
      <c r="R237"/>
      <c r="S237"/>
      <c r="T237"/>
      <c r="U237"/>
      <c r="V237"/>
      <c r="W237"/>
      <c r="X237"/>
      <c r="Y237"/>
      <c r="Z237"/>
      <c r="AA237"/>
      <c r="AB237"/>
      <c r="AC237"/>
      <c r="AD237"/>
      <c r="AE237"/>
      <c r="AF237"/>
      <c r="AG237"/>
      <c r="AH237"/>
      <c r="AI237"/>
      <c r="AJ237"/>
      <c r="AK237"/>
      <c r="AL237"/>
    </row>
    <row r="238" spans="2:38" x14ac:dyDescent="0.3">
      <c r="B238" s="73" t="s">
        <v>205</v>
      </c>
      <c r="C238" s="208">
        <f>C237*(1+(C236+2*C235))</f>
        <v>132.42542274492288</v>
      </c>
      <c r="D238"/>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row>
    <row r="239" spans="2:38" x14ac:dyDescent="0.3">
      <c r="B239" s="209" t="s">
        <v>206</v>
      </c>
      <c r="C239" s="217">
        <f>C237*(1-(C236+2*C235))</f>
        <v>101.97659999146596</v>
      </c>
      <c r="D239"/>
      <c r="E239"/>
      <c r="F239"/>
      <c r="G239"/>
      <c r="H239"/>
      <c r="I239"/>
      <c r="J239"/>
      <c r="K239"/>
      <c r="L239"/>
      <c r="M239"/>
      <c r="N239"/>
      <c r="O239"/>
      <c r="P239"/>
      <c r="Q239"/>
      <c r="R239"/>
      <c r="S239"/>
      <c r="T239"/>
      <c r="U239"/>
      <c r="V239"/>
      <c r="W239"/>
      <c r="X239"/>
      <c r="Y239"/>
      <c r="Z239"/>
      <c r="AA239"/>
      <c r="AB239"/>
      <c r="AC239"/>
      <c r="AD239"/>
      <c r="AE239"/>
      <c r="AF239"/>
      <c r="AG239"/>
      <c r="AH239"/>
      <c r="AI239"/>
      <c r="AJ239"/>
      <c r="AK239"/>
      <c r="AL239"/>
    </row>
  </sheetData>
  <dataConsolidate/>
  <mergeCells count="152">
    <mergeCell ref="B61:C61"/>
    <mergeCell ref="B62:C62"/>
    <mergeCell ref="B63:C63"/>
    <mergeCell ref="B65:C65"/>
    <mergeCell ref="B105:C105"/>
    <mergeCell ref="B52:C52"/>
    <mergeCell ref="B53:C53"/>
    <mergeCell ref="B54:C54"/>
    <mergeCell ref="B55:C55"/>
    <mergeCell ref="B56:C56"/>
    <mergeCell ref="B57:C57"/>
    <mergeCell ref="B58:C58"/>
    <mergeCell ref="B59:C59"/>
    <mergeCell ref="B60:C60"/>
    <mergeCell ref="B81:C81"/>
    <mergeCell ref="B80:C80"/>
    <mergeCell ref="B79:C79"/>
    <mergeCell ref="B84:C84"/>
    <mergeCell ref="B88:C88"/>
    <mergeCell ref="B87:C87"/>
    <mergeCell ref="B86:C86"/>
    <mergeCell ref="B85:C85"/>
    <mergeCell ref="B83:C83"/>
    <mergeCell ref="B82:C82"/>
    <mergeCell ref="B234:C234"/>
    <mergeCell ref="B181:C181"/>
    <mergeCell ref="B182:C182"/>
    <mergeCell ref="B170:C170"/>
    <mergeCell ref="B168:C168"/>
    <mergeCell ref="B167:C167"/>
    <mergeCell ref="B194:C194"/>
    <mergeCell ref="B192:C192"/>
    <mergeCell ref="B123:C123"/>
    <mergeCell ref="B188:C188"/>
    <mergeCell ref="B187:C187"/>
    <mergeCell ref="B186:C186"/>
    <mergeCell ref="B185:C185"/>
    <mergeCell ref="B177:C177"/>
    <mergeCell ref="B175:C175"/>
    <mergeCell ref="B184:C184"/>
    <mergeCell ref="B172:C172"/>
    <mergeCell ref="B171:C171"/>
    <mergeCell ref="B196:C196"/>
    <mergeCell ref="B207:C207"/>
    <mergeCell ref="B150:C150"/>
    <mergeCell ref="B149:C149"/>
    <mergeCell ref="B148:C148"/>
    <mergeCell ref="B166:C166"/>
    <mergeCell ref="B165:C165"/>
    <mergeCell ref="B164:C164"/>
    <mergeCell ref="B163:C163"/>
    <mergeCell ref="B162:C162"/>
    <mergeCell ref="B161:C161"/>
    <mergeCell ref="B160:C160"/>
    <mergeCell ref="B159:C159"/>
    <mergeCell ref="B158:C158"/>
    <mergeCell ref="B157:C157"/>
    <mergeCell ref="B156:C156"/>
    <mergeCell ref="B155:C155"/>
    <mergeCell ref="B154:C154"/>
    <mergeCell ref="B153:C153"/>
    <mergeCell ref="B152:C152"/>
    <mergeCell ref="B151:C151"/>
    <mergeCell ref="B137:C137"/>
    <mergeCell ref="B138:C138"/>
    <mergeCell ref="B147:C147"/>
    <mergeCell ref="B146:C146"/>
    <mergeCell ref="B145:C145"/>
    <mergeCell ref="B144:C144"/>
    <mergeCell ref="B143:C143"/>
    <mergeCell ref="B142:C142"/>
    <mergeCell ref="B141:C141"/>
    <mergeCell ref="B140:C140"/>
    <mergeCell ref="B139:C139"/>
    <mergeCell ref="B130:C130"/>
    <mergeCell ref="B131:C131"/>
    <mergeCell ref="B134:C134"/>
    <mergeCell ref="B135:C135"/>
    <mergeCell ref="B136:C136"/>
    <mergeCell ref="B115:C115"/>
    <mergeCell ref="B114:C114"/>
    <mergeCell ref="B113:C113"/>
    <mergeCell ref="B132:C132"/>
    <mergeCell ref="B109:C109"/>
    <mergeCell ref="B108:C108"/>
    <mergeCell ref="B128:C128"/>
    <mergeCell ref="B96:C96"/>
    <mergeCell ref="B95:C95"/>
    <mergeCell ref="B124:C124"/>
    <mergeCell ref="B120:C120"/>
    <mergeCell ref="B119:C119"/>
    <mergeCell ref="B118:C118"/>
    <mergeCell ref="B117:C117"/>
    <mergeCell ref="B116:C116"/>
    <mergeCell ref="B106:C106"/>
    <mergeCell ref="B103:C103"/>
    <mergeCell ref="B100:C100"/>
    <mergeCell ref="B99:C99"/>
    <mergeCell ref="B98:C98"/>
    <mergeCell ref="B97:C97"/>
    <mergeCell ref="B94:C94"/>
    <mergeCell ref="B93:C93"/>
    <mergeCell ref="B92:C92"/>
    <mergeCell ref="B91:C91"/>
    <mergeCell ref="B90:C90"/>
    <mergeCell ref="B89:C89"/>
    <mergeCell ref="B70:C70"/>
    <mergeCell ref="B69:C69"/>
    <mergeCell ref="B67:C67"/>
    <mergeCell ref="B78:C78"/>
    <mergeCell ref="B77:C77"/>
    <mergeCell ref="B76:C76"/>
    <mergeCell ref="B75:C75"/>
    <mergeCell ref="B74:C74"/>
    <mergeCell ref="B73:C73"/>
    <mergeCell ref="B72:C72"/>
    <mergeCell ref="B71:C71"/>
    <mergeCell ref="B50:C50"/>
    <mergeCell ref="B49:C49"/>
    <mergeCell ref="B48:C48"/>
    <mergeCell ref="B47:C47"/>
    <mergeCell ref="B37:C37"/>
    <mergeCell ref="B36:C36"/>
    <mergeCell ref="B35:C35"/>
    <mergeCell ref="B34:C34"/>
    <mergeCell ref="B46:C46"/>
    <mergeCell ref="B45:C45"/>
    <mergeCell ref="B40:C40"/>
    <mergeCell ref="B39:C39"/>
    <mergeCell ref="B38:C38"/>
    <mergeCell ref="B41:C41"/>
    <mergeCell ref="B44:C44"/>
    <mergeCell ref="B33:C33"/>
    <mergeCell ref="B32:C32"/>
    <mergeCell ref="B2:C2"/>
    <mergeCell ref="B8:C8"/>
    <mergeCell ref="B9:C9"/>
    <mergeCell ref="B29:C29"/>
    <mergeCell ref="B28:C28"/>
    <mergeCell ref="B27:C27"/>
    <mergeCell ref="B26:C26"/>
    <mergeCell ref="B25:C25"/>
    <mergeCell ref="B24:C24"/>
    <mergeCell ref="B10:C10"/>
    <mergeCell ref="B11:C11"/>
    <mergeCell ref="B12:C12"/>
    <mergeCell ref="B13:C13"/>
    <mergeCell ref="B23:C23"/>
    <mergeCell ref="B22:C22"/>
    <mergeCell ref="B21:C21"/>
    <mergeCell ref="B16:C16"/>
    <mergeCell ref="B14:C14"/>
  </mergeCells>
  <pageMargins left="0.7" right="0.7" top="0.75" bottom="0.75" header="0.3" footer="0.3"/>
  <pageSetup scale="40" orientation="portrait" r:id="rId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FB8F8E-6644-4C96-A623-1F1FD81B3639}">
  <dimension ref="B1:C12"/>
  <sheetViews>
    <sheetView workbookViewId="0">
      <selection activeCell="C12" sqref="C12"/>
    </sheetView>
  </sheetViews>
  <sheetFormatPr defaultRowHeight="14.4" x14ac:dyDescent="0.3"/>
  <sheetData>
    <row r="1" spans="2:3" x14ac:dyDescent="0.3">
      <c r="B1" t="s">
        <v>295</v>
      </c>
      <c r="C1" t="s">
        <v>296</v>
      </c>
    </row>
    <row r="2" spans="2:3" x14ac:dyDescent="0.3">
      <c r="B2" t="s">
        <v>286</v>
      </c>
      <c r="C2">
        <v>29</v>
      </c>
    </row>
    <row r="3" spans="2:3" x14ac:dyDescent="0.3">
      <c r="B3" t="s">
        <v>287</v>
      </c>
      <c r="C3">
        <v>28</v>
      </c>
    </row>
    <row r="4" spans="2:3" x14ac:dyDescent="0.3">
      <c r="B4" t="s">
        <v>288</v>
      </c>
      <c r="C4">
        <v>43.85</v>
      </c>
    </row>
    <row r="5" spans="2:3" x14ac:dyDescent="0.3">
      <c r="B5" t="s">
        <v>289</v>
      </c>
      <c r="C5">
        <v>25</v>
      </c>
    </row>
    <row r="6" spans="2:3" x14ac:dyDescent="0.3">
      <c r="B6" t="s">
        <v>290</v>
      </c>
      <c r="C6">
        <v>114</v>
      </c>
    </row>
    <row r="7" spans="2:3" x14ac:dyDescent="0.3">
      <c r="B7" t="s">
        <v>291</v>
      </c>
      <c r="C7">
        <v>27</v>
      </c>
    </row>
    <row r="8" spans="2:3" x14ac:dyDescent="0.3">
      <c r="B8" t="s">
        <v>292</v>
      </c>
      <c r="C8">
        <v>11</v>
      </c>
    </row>
    <row r="10" spans="2:3" x14ac:dyDescent="0.3">
      <c r="B10" t="s">
        <v>162</v>
      </c>
      <c r="C10" s="292">
        <f>AVERAGE(C2:C8)</f>
        <v>39.692857142857143</v>
      </c>
    </row>
    <row r="11" spans="2:3" x14ac:dyDescent="0.3">
      <c r="B11" t="s">
        <v>293</v>
      </c>
      <c r="C11">
        <f>MEDIAN(C2:C8)</f>
        <v>28</v>
      </c>
    </row>
    <row r="12" spans="2:3" x14ac:dyDescent="0.3">
      <c r="B12" t="s">
        <v>294</v>
      </c>
      <c r="C12" s="292">
        <f>(0.5*C10)+(0.5*C11)</f>
        <v>33.846428571428575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C1273"/>
  <sheetViews>
    <sheetView topLeftCell="A12" workbookViewId="0">
      <selection activeCell="F344" sqref="F344"/>
    </sheetView>
  </sheetViews>
  <sheetFormatPr defaultRowHeight="14.4" x14ac:dyDescent="0.3"/>
  <cols>
    <col min="1" max="1" width="13" customWidth="1"/>
  </cols>
  <sheetData>
    <row r="1" spans="1:3" s="94" customFormat="1" x14ac:dyDescent="0.3">
      <c r="A1" s="94" t="s">
        <v>149</v>
      </c>
    </row>
    <row r="2" spans="1:3" x14ac:dyDescent="0.3">
      <c r="A2" s="106" t="s">
        <v>150</v>
      </c>
    </row>
    <row r="3" spans="1:3" x14ac:dyDescent="0.3">
      <c r="A3" t="s">
        <v>151</v>
      </c>
    </row>
    <row r="5" spans="1:3" x14ac:dyDescent="0.3">
      <c r="A5" s="94" t="s">
        <v>152</v>
      </c>
      <c r="B5" s="94"/>
    </row>
    <row r="6" spans="1:3" x14ac:dyDescent="0.3">
      <c r="A6" s="94" t="s">
        <v>153</v>
      </c>
      <c r="B6" s="94"/>
    </row>
    <row r="7" spans="1:3" x14ac:dyDescent="0.3">
      <c r="A7" s="94" t="s">
        <v>154</v>
      </c>
      <c r="B7" s="94"/>
    </row>
    <row r="8" spans="1:3" x14ac:dyDescent="0.3">
      <c r="A8" s="94" t="s">
        <v>155</v>
      </c>
      <c r="B8" s="94"/>
    </row>
    <row r="9" spans="1:3" x14ac:dyDescent="0.3">
      <c r="A9" s="94" t="s">
        <v>156</v>
      </c>
      <c r="B9" s="94"/>
    </row>
    <row r="10" spans="1:3" x14ac:dyDescent="0.3">
      <c r="A10" s="94" t="s">
        <v>157</v>
      </c>
      <c r="B10" s="94"/>
    </row>
    <row r="11" spans="1:3" x14ac:dyDescent="0.3">
      <c r="A11" s="94"/>
      <c r="B11" s="94"/>
    </row>
    <row r="12" spans="1:3" x14ac:dyDescent="0.3">
      <c r="A12" s="94" t="s">
        <v>158</v>
      </c>
      <c r="B12" s="94" t="s">
        <v>159</v>
      </c>
    </row>
    <row r="13" spans="1:3" x14ac:dyDescent="0.3">
      <c r="A13" s="94"/>
      <c r="B13" s="94"/>
    </row>
    <row r="14" spans="1:3" x14ac:dyDescent="0.3">
      <c r="A14" s="94" t="s">
        <v>160</v>
      </c>
      <c r="B14" s="94"/>
    </row>
    <row r="15" spans="1:3" x14ac:dyDescent="0.3">
      <c r="A15" s="94" t="s">
        <v>161</v>
      </c>
      <c r="B15" s="94" t="s">
        <v>158</v>
      </c>
      <c r="C15" t="s">
        <v>162</v>
      </c>
    </row>
    <row r="16" spans="1:3" hidden="1" x14ac:dyDescent="0.3">
      <c r="A16" s="128">
        <v>40980</v>
      </c>
      <c r="B16" s="129">
        <v>98.881699999999995</v>
      </c>
    </row>
    <row r="17" spans="1:2" hidden="1" x14ac:dyDescent="0.3">
      <c r="A17" s="128">
        <v>40981</v>
      </c>
      <c r="B17" s="129">
        <v>98.763800000000003</v>
      </c>
    </row>
    <row r="18" spans="1:2" hidden="1" x14ac:dyDescent="0.3">
      <c r="A18" s="128">
        <v>40982</v>
      </c>
      <c r="B18" s="129">
        <v>99.179100000000005</v>
      </c>
    </row>
    <row r="19" spans="1:2" hidden="1" x14ac:dyDescent="0.3">
      <c r="A19" s="128">
        <v>40983</v>
      </c>
      <c r="B19" s="129">
        <v>99.017200000000003</v>
      </c>
    </row>
    <row r="20" spans="1:2" hidden="1" x14ac:dyDescent="0.3">
      <c r="A20" s="128">
        <v>40984</v>
      </c>
      <c r="B20" s="129">
        <v>98.764300000000006</v>
      </c>
    </row>
    <row r="21" spans="1:2" hidden="1" x14ac:dyDescent="0.3">
      <c r="A21" s="128">
        <v>40987</v>
      </c>
      <c r="B21" s="129">
        <v>98.529200000000003</v>
      </c>
    </row>
    <row r="22" spans="1:2" hidden="1" x14ac:dyDescent="0.3">
      <c r="A22" s="128">
        <v>40988</v>
      </c>
      <c r="B22" s="129">
        <v>98.850999999999999</v>
      </c>
    </row>
    <row r="23" spans="1:2" hidden="1" x14ac:dyDescent="0.3">
      <c r="A23" s="128">
        <v>40989</v>
      </c>
      <c r="B23" s="129">
        <v>98.922300000000007</v>
      </c>
    </row>
    <row r="24" spans="1:2" hidden="1" x14ac:dyDescent="0.3">
      <c r="A24" s="128">
        <v>40990</v>
      </c>
      <c r="B24" s="129">
        <v>99.034400000000005</v>
      </c>
    </row>
    <row r="25" spans="1:2" hidden="1" x14ac:dyDescent="0.3">
      <c r="A25" s="128">
        <v>40991</v>
      </c>
      <c r="B25" s="129">
        <v>98.8369</v>
      </c>
    </row>
    <row r="26" spans="1:2" hidden="1" x14ac:dyDescent="0.3">
      <c r="A26" s="128">
        <v>40994</v>
      </c>
      <c r="B26" s="129">
        <v>98.562200000000004</v>
      </c>
    </row>
    <row r="27" spans="1:2" hidden="1" x14ac:dyDescent="0.3">
      <c r="A27" s="128">
        <v>40995</v>
      </c>
      <c r="B27" s="129">
        <v>98.509799999999998</v>
      </c>
    </row>
    <row r="28" spans="1:2" hidden="1" x14ac:dyDescent="0.3">
      <c r="A28" s="128">
        <v>40996</v>
      </c>
      <c r="B28" s="129">
        <v>98.822699999999998</v>
      </c>
    </row>
    <row r="29" spans="1:2" hidden="1" x14ac:dyDescent="0.3">
      <c r="A29" s="128">
        <v>40997</v>
      </c>
      <c r="B29" s="129">
        <v>98.958399999999997</v>
      </c>
    </row>
    <row r="30" spans="1:2" hidden="1" x14ac:dyDescent="0.3">
      <c r="A30" s="128">
        <v>40998</v>
      </c>
      <c r="B30" s="129">
        <v>98.674000000000007</v>
      </c>
    </row>
    <row r="31" spans="1:2" hidden="1" x14ac:dyDescent="0.3">
      <c r="A31" s="128">
        <v>41001</v>
      </c>
      <c r="B31" s="129">
        <v>98.465299999999999</v>
      </c>
    </row>
    <row r="32" spans="1:2" hidden="1" x14ac:dyDescent="0.3">
      <c r="A32" s="128">
        <v>41002</v>
      </c>
      <c r="B32" s="129">
        <v>98.397800000000004</v>
      </c>
    </row>
    <row r="33" spans="1:2" hidden="1" x14ac:dyDescent="0.3">
      <c r="A33" s="128">
        <v>41003</v>
      </c>
      <c r="B33" s="129">
        <v>99.043599999999998</v>
      </c>
    </row>
    <row r="34" spans="1:2" hidden="1" x14ac:dyDescent="0.3">
      <c r="A34" s="128">
        <v>41004</v>
      </c>
      <c r="B34" s="129">
        <v>99.108599999999996</v>
      </c>
    </row>
    <row r="35" spans="1:2" hidden="1" x14ac:dyDescent="0.3">
      <c r="A35" s="128">
        <v>41005</v>
      </c>
      <c r="B35" s="129">
        <v>99.161600000000007</v>
      </c>
    </row>
    <row r="36" spans="1:2" hidden="1" x14ac:dyDescent="0.3">
      <c r="A36" s="128">
        <v>41008</v>
      </c>
      <c r="B36" s="129">
        <v>99.198400000000007</v>
      </c>
    </row>
    <row r="37" spans="1:2" hidden="1" x14ac:dyDescent="0.3">
      <c r="A37" s="128">
        <v>41009</v>
      </c>
      <c r="B37" s="129">
        <v>99.504800000000003</v>
      </c>
    </row>
    <row r="38" spans="1:2" hidden="1" x14ac:dyDescent="0.3">
      <c r="A38" s="128">
        <v>41010</v>
      </c>
      <c r="B38" s="129">
        <v>99.403400000000005</v>
      </c>
    </row>
    <row r="39" spans="1:2" hidden="1" x14ac:dyDescent="0.3">
      <c r="A39" s="128">
        <v>41011</v>
      </c>
      <c r="B39" s="129">
        <v>98.999799999999993</v>
      </c>
    </row>
    <row r="40" spans="1:2" hidden="1" x14ac:dyDescent="0.3">
      <c r="A40" s="128">
        <v>41012</v>
      </c>
      <c r="B40" s="129">
        <v>99.270499999999998</v>
      </c>
    </row>
    <row r="41" spans="1:2" hidden="1" x14ac:dyDescent="0.3">
      <c r="A41" s="128">
        <v>41015</v>
      </c>
      <c r="B41" s="129">
        <v>99.463700000000003</v>
      </c>
    </row>
    <row r="42" spans="1:2" hidden="1" x14ac:dyDescent="0.3">
      <c r="A42" s="128">
        <v>41016</v>
      </c>
      <c r="B42" s="129">
        <v>99.001099999999994</v>
      </c>
    </row>
    <row r="43" spans="1:2" hidden="1" x14ac:dyDescent="0.3">
      <c r="A43" s="128">
        <v>41017</v>
      </c>
      <c r="B43" s="129">
        <v>99.181799999999996</v>
      </c>
    </row>
    <row r="44" spans="1:2" hidden="1" x14ac:dyDescent="0.3">
      <c r="A44" s="128">
        <v>41018</v>
      </c>
      <c r="B44" s="129">
        <v>99.334900000000005</v>
      </c>
    </row>
    <row r="45" spans="1:2" hidden="1" x14ac:dyDescent="0.3">
      <c r="A45" s="128">
        <v>41019</v>
      </c>
      <c r="B45" s="129">
        <v>99.065100000000001</v>
      </c>
    </row>
    <row r="46" spans="1:2" hidden="1" x14ac:dyDescent="0.3">
      <c r="A46" s="128">
        <v>41022</v>
      </c>
      <c r="B46" s="129">
        <v>99.339799999999997</v>
      </c>
    </row>
    <row r="47" spans="1:2" hidden="1" x14ac:dyDescent="0.3">
      <c r="A47" s="128">
        <v>41023</v>
      </c>
      <c r="B47" s="129">
        <v>99.076800000000006</v>
      </c>
    </row>
    <row r="48" spans="1:2" hidden="1" x14ac:dyDescent="0.3">
      <c r="A48" s="128">
        <v>41024</v>
      </c>
      <c r="B48" s="129">
        <v>99.019099999999995</v>
      </c>
    </row>
    <row r="49" spans="1:2" hidden="1" x14ac:dyDescent="0.3">
      <c r="A49" s="128">
        <v>41025</v>
      </c>
      <c r="B49" s="129">
        <v>98.898200000000003</v>
      </c>
    </row>
    <row r="50" spans="1:2" hidden="1" x14ac:dyDescent="0.3">
      <c r="A50" s="128">
        <v>41026</v>
      </c>
      <c r="B50" s="129">
        <v>98.584800000000001</v>
      </c>
    </row>
    <row r="51" spans="1:2" hidden="1" x14ac:dyDescent="0.3">
      <c r="A51" s="128">
        <v>41029</v>
      </c>
      <c r="B51" s="129">
        <v>98.565799999999996</v>
      </c>
    </row>
    <row r="52" spans="1:2" hidden="1" x14ac:dyDescent="0.3">
      <c r="A52" s="128">
        <v>41030</v>
      </c>
      <c r="B52" s="129">
        <v>98.560599999999994</v>
      </c>
    </row>
    <row r="53" spans="1:2" hidden="1" x14ac:dyDescent="0.3">
      <c r="A53" s="128">
        <v>41031</v>
      </c>
      <c r="B53" s="129">
        <v>98.845399999999998</v>
      </c>
    </row>
    <row r="54" spans="1:2" hidden="1" x14ac:dyDescent="0.3">
      <c r="A54" s="128">
        <v>41032</v>
      </c>
      <c r="B54" s="129">
        <v>98.924099999999996</v>
      </c>
    </row>
    <row r="55" spans="1:2" hidden="1" x14ac:dyDescent="0.3">
      <c r="A55" s="128">
        <v>41033</v>
      </c>
      <c r="B55" s="129">
        <v>99.284000000000006</v>
      </c>
    </row>
    <row r="56" spans="1:2" hidden="1" x14ac:dyDescent="0.3">
      <c r="A56" s="128">
        <v>41036</v>
      </c>
      <c r="B56" s="129">
        <v>99.328999999999994</v>
      </c>
    </row>
    <row r="57" spans="1:2" hidden="1" x14ac:dyDescent="0.3">
      <c r="A57" s="128">
        <v>41037</v>
      </c>
      <c r="B57" s="129">
        <v>99.661699999999996</v>
      </c>
    </row>
    <row r="58" spans="1:2" hidden="1" x14ac:dyDescent="0.3">
      <c r="A58" s="128">
        <v>41038</v>
      </c>
      <c r="B58" s="129">
        <v>100.0256</v>
      </c>
    </row>
    <row r="59" spans="1:2" hidden="1" x14ac:dyDescent="0.3">
      <c r="A59" s="128">
        <v>41039</v>
      </c>
      <c r="B59" s="129">
        <v>99.973500000000001</v>
      </c>
    </row>
    <row r="60" spans="1:2" hidden="1" x14ac:dyDescent="0.3">
      <c r="A60" s="128">
        <v>41040</v>
      </c>
      <c r="B60" s="129">
        <v>99.996300000000005</v>
      </c>
    </row>
    <row r="61" spans="1:2" hidden="1" x14ac:dyDescent="0.3">
      <c r="A61" s="128">
        <v>41043</v>
      </c>
      <c r="B61" s="129">
        <v>100.54649999999999</v>
      </c>
    </row>
    <row r="62" spans="1:2" hidden="1" x14ac:dyDescent="0.3">
      <c r="A62" s="128">
        <v>41044</v>
      </c>
      <c r="B62" s="129">
        <v>100.8229</v>
      </c>
    </row>
    <row r="63" spans="1:2" hidden="1" x14ac:dyDescent="0.3">
      <c r="A63" s="128">
        <v>41045</v>
      </c>
      <c r="B63" s="129">
        <v>101.2132</v>
      </c>
    </row>
    <row r="64" spans="1:2" hidden="1" x14ac:dyDescent="0.3">
      <c r="A64" s="128">
        <v>41046</v>
      </c>
      <c r="B64" s="129">
        <v>101.25320000000001</v>
      </c>
    </row>
    <row r="65" spans="1:2" hidden="1" x14ac:dyDescent="0.3">
      <c r="A65" s="128">
        <v>41047</v>
      </c>
      <c r="B65" s="129">
        <v>101.4284</v>
      </c>
    </row>
    <row r="66" spans="1:2" hidden="1" x14ac:dyDescent="0.3">
      <c r="A66" s="128">
        <v>41050</v>
      </c>
      <c r="B66" s="129">
        <v>101.37439999999999</v>
      </c>
    </row>
    <row r="67" spans="1:2" hidden="1" x14ac:dyDescent="0.3">
      <c r="A67" s="128">
        <v>41051</v>
      </c>
      <c r="B67" s="129">
        <v>101.387</v>
      </c>
    </row>
    <row r="68" spans="1:2" hidden="1" x14ac:dyDescent="0.3">
      <c r="A68" s="128">
        <v>41052</v>
      </c>
      <c r="B68" s="129">
        <v>102.185</v>
      </c>
    </row>
    <row r="69" spans="1:2" hidden="1" x14ac:dyDescent="0.3">
      <c r="A69" s="128">
        <v>41053</v>
      </c>
      <c r="B69" s="129">
        <v>102.11239999999999</v>
      </c>
    </row>
    <row r="70" spans="1:2" hidden="1" x14ac:dyDescent="0.3">
      <c r="A70" s="128">
        <v>41054</v>
      </c>
      <c r="B70" s="129">
        <v>102.2765</v>
      </c>
    </row>
    <row r="71" spans="1:2" hidden="1" x14ac:dyDescent="0.3">
      <c r="A71" s="128">
        <v>41058</v>
      </c>
      <c r="B71" s="129">
        <v>102.21</v>
      </c>
    </row>
    <row r="72" spans="1:2" hidden="1" x14ac:dyDescent="0.3">
      <c r="A72" s="128">
        <v>41059</v>
      </c>
      <c r="B72" s="129">
        <v>102.6514</v>
      </c>
    </row>
    <row r="73" spans="1:2" hidden="1" x14ac:dyDescent="0.3">
      <c r="A73" s="128">
        <v>41060</v>
      </c>
      <c r="B73" s="129">
        <v>103.038</v>
      </c>
    </row>
    <row r="74" spans="1:2" hidden="1" x14ac:dyDescent="0.3">
      <c r="A74" s="128">
        <v>41061</v>
      </c>
      <c r="B74" s="129">
        <v>103.0557</v>
      </c>
    </row>
    <row r="75" spans="1:2" hidden="1" x14ac:dyDescent="0.3">
      <c r="A75" s="128">
        <v>41064</v>
      </c>
      <c r="B75" s="129">
        <v>102.8528</v>
      </c>
    </row>
    <row r="76" spans="1:2" hidden="1" x14ac:dyDescent="0.3">
      <c r="A76" s="128">
        <v>41065</v>
      </c>
      <c r="B76" s="129">
        <v>102.9438</v>
      </c>
    </row>
    <row r="77" spans="1:2" hidden="1" x14ac:dyDescent="0.3">
      <c r="A77" s="128">
        <v>41066</v>
      </c>
      <c r="B77" s="129">
        <v>102.36</v>
      </c>
    </row>
    <row r="78" spans="1:2" hidden="1" x14ac:dyDescent="0.3">
      <c r="A78" s="128">
        <v>41067</v>
      </c>
      <c r="B78" s="129">
        <v>102.1088</v>
      </c>
    </row>
    <row r="79" spans="1:2" hidden="1" x14ac:dyDescent="0.3">
      <c r="A79" s="128">
        <v>41068</v>
      </c>
      <c r="B79" s="129">
        <v>102.5314</v>
      </c>
    </row>
    <row r="80" spans="1:2" hidden="1" x14ac:dyDescent="0.3">
      <c r="A80" s="128">
        <v>41071</v>
      </c>
      <c r="B80" s="129">
        <v>102.36960000000001</v>
      </c>
    </row>
    <row r="81" spans="1:3" hidden="1" x14ac:dyDescent="0.3">
      <c r="A81" s="128">
        <v>41072</v>
      </c>
      <c r="B81" s="129">
        <v>102.4066</v>
      </c>
    </row>
    <row r="82" spans="1:3" hidden="1" x14ac:dyDescent="0.3">
      <c r="A82" s="128">
        <v>41073</v>
      </c>
      <c r="B82" s="129">
        <v>102.17149999999999</v>
      </c>
    </row>
    <row r="83" spans="1:3" hidden="1" x14ac:dyDescent="0.3">
      <c r="A83" s="128">
        <v>41074</v>
      </c>
      <c r="B83" s="129">
        <v>102.16</v>
      </c>
    </row>
    <row r="84" spans="1:3" hidden="1" x14ac:dyDescent="0.3">
      <c r="A84" s="128">
        <v>41075</v>
      </c>
      <c r="B84" s="129">
        <v>101.8646</v>
      </c>
    </row>
    <row r="85" spans="1:3" hidden="1" x14ac:dyDescent="0.3">
      <c r="A85" s="128">
        <v>41078</v>
      </c>
      <c r="B85" s="129">
        <v>101.9669</v>
      </c>
    </row>
    <row r="86" spans="1:3" hidden="1" x14ac:dyDescent="0.3">
      <c r="A86" s="128">
        <v>41079</v>
      </c>
      <c r="B86" s="129">
        <v>101.3886</v>
      </c>
    </row>
    <row r="87" spans="1:3" hidden="1" x14ac:dyDescent="0.3">
      <c r="A87" s="128">
        <v>41080</v>
      </c>
      <c r="B87" s="129">
        <v>101.50530000000001</v>
      </c>
    </row>
    <row r="88" spans="1:3" hidden="1" x14ac:dyDescent="0.3">
      <c r="A88" s="128">
        <v>41081</v>
      </c>
      <c r="B88" s="129">
        <v>101.98779999999999</v>
      </c>
    </row>
    <row r="89" spans="1:3" hidden="1" x14ac:dyDescent="0.3">
      <c r="A89" s="128">
        <v>41082</v>
      </c>
      <c r="B89" s="129">
        <v>102.28749999999999</v>
      </c>
    </row>
    <row r="90" spans="1:3" hidden="1" x14ac:dyDescent="0.3">
      <c r="A90" s="128">
        <v>41085</v>
      </c>
      <c r="B90" s="129">
        <v>102.5296</v>
      </c>
    </row>
    <row r="91" spans="1:3" hidden="1" x14ac:dyDescent="0.3">
      <c r="A91" s="128">
        <v>41086</v>
      </c>
      <c r="B91" s="129">
        <v>102.3459</v>
      </c>
    </row>
    <row r="92" spans="1:3" hidden="1" x14ac:dyDescent="0.3">
      <c r="A92" s="128">
        <v>41087</v>
      </c>
      <c r="B92" s="129">
        <v>102.21120000000001</v>
      </c>
    </row>
    <row r="93" spans="1:3" hidden="1" x14ac:dyDescent="0.3">
      <c r="A93" s="128">
        <v>41088</v>
      </c>
      <c r="B93" s="129">
        <v>102.3432</v>
      </c>
    </row>
    <row r="94" spans="1:3" x14ac:dyDescent="0.3">
      <c r="A94" s="128">
        <v>41089</v>
      </c>
      <c r="B94" s="129">
        <v>101.2362</v>
      </c>
      <c r="C94" s="130">
        <f>AVERAGE(B31:B94)</f>
        <v>100.68454687500001</v>
      </c>
    </row>
    <row r="95" spans="1:3" hidden="1" x14ac:dyDescent="0.3">
      <c r="A95" s="128">
        <v>41092</v>
      </c>
      <c r="B95" s="129">
        <v>101.268</v>
      </c>
    </row>
    <row r="96" spans="1:3" hidden="1" x14ac:dyDescent="0.3">
      <c r="A96" s="128">
        <v>41093</v>
      </c>
      <c r="B96" s="129">
        <v>100.9843</v>
      </c>
    </row>
    <row r="97" spans="1:2" hidden="1" x14ac:dyDescent="0.3">
      <c r="A97" s="128">
        <v>41095</v>
      </c>
      <c r="B97" s="129">
        <v>101.5378</v>
      </c>
    </row>
    <row r="98" spans="1:2" hidden="1" x14ac:dyDescent="0.3">
      <c r="A98" s="128">
        <v>41096</v>
      </c>
      <c r="B98" s="129">
        <v>102.0288</v>
      </c>
    </row>
    <row r="99" spans="1:2" hidden="1" x14ac:dyDescent="0.3">
      <c r="A99" s="128">
        <v>41099</v>
      </c>
      <c r="B99" s="129">
        <v>102.02670000000001</v>
      </c>
    </row>
    <row r="100" spans="1:2" hidden="1" x14ac:dyDescent="0.3">
      <c r="A100" s="128">
        <v>41100</v>
      </c>
      <c r="B100" s="129">
        <v>101.8737</v>
      </c>
    </row>
    <row r="101" spans="1:2" hidden="1" x14ac:dyDescent="0.3">
      <c r="A101" s="128">
        <v>41101</v>
      </c>
      <c r="B101" s="129">
        <v>101.929</v>
      </c>
    </row>
    <row r="102" spans="1:2" hidden="1" x14ac:dyDescent="0.3">
      <c r="A102" s="128">
        <v>41102</v>
      </c>
      <c r="B102" s="129">
        <v>102.2591</v>
      </c>
    </row>
    <row r="103" spans="1:2" hidden="1" x14ac:dyDescent="0.3">
      <c r="A103" s="128">
        <v>41103</v>
      </c>
      <c r="B103" s="129">
        <v>101.895</v>
      </c>
    </row>
    <row r="104" spans="1:2" hidden="1" x14ac:dyDescent="0.3">
      <c r="A104" s="128">
        <v>41106</v>
      </c>
      <c r="B104" s="129">
        <v>101.7199</v>
      </c>
    </row>
    <row r="105" spans="1:2" hidden="1" x14ac:dyDescent="0.3">
      <c r="A105" s="128">
        <v>41107</v>
      </c>
      <c r="B105" s="129">
        <v>101.68170000000001</v>
      </c>
    </row>
    <row r="106" spans="1:2" hidden="1" x14ac:dyDescent="0.3">
      <c r="A106" s="128">
        <v>41108</v>
      </c>
      <c r="B106" s="129">
        <v>101.42100000000001</v>
      </c>
    </row>
    <row r="107" spans="1:2" hidden="1" x14ac:dyDescent="0.3">
      <c r="A107" s="128">
        <v>41109</v>
      </c>
      <c r="B107" s="129">
        <v>101.3719</v>
      </c>
    </row>
    <row r="108" spans="1:2" hidden="1" x14ac:dyDescent="0.3">
      <c r="A108" s="128">
        <v>41110</v>
      </c>
      <c r="B108" s="129">
        <v>101.6909</v>
      </c>
    </row>
    <row r="109" spans="1:2" hidden="1" x14ac:dyDescent="0.3">
      <c r="A109" s="128">
        <v>41113</v>
      </c>
      <c r="B109" s="129">
        <v>102.27849999999999</v>
      </c>
    </row>
    <row r="110" spans="1:2" hidden="1" x14ac:dyDescent="0.3">
      <c r="A110" s="128">
        <v>41114</v>
      </c>
      <c r="B110" s="129">
        <v>102.61669999999999</v>
      </c>
    </row>
    <row r="111" spans="1:2" hidden="1" x14ac:dyDescent="0.3">
      <c r="A111" s="128">
        <v>41115</v>
      </c>
      <c r="B111" s="129">
        <v>102.4038</v>
      </c>
    </row>
    <row r="112" spans="1:2" hidden="1" x14ac:dyDescent="0.3">
      <c r="A112" s="128">
        <v>41116</v>
      </c>
      <c r="B112" s="129">
        <v>101.7149</v>
      </c>
    </row>
    <row r="113" spans="1:2" hidden="1" x14ac:dyDescent="0.3">
      <c r="A113" s="128">
        <v>41117</v>
      </c>
      <c r="B113" s="129">
        <v>101.2814</v>
      </c>
    </row>
    <row r="114" spans="1:2" hidden="1" x14ac:dyDescent="0.3">
      <c r="A114" s="128">
        <v>41120</v>
      </c>
      <c r="B114" s="129">
        <v>101.39490000000001</v>
      </c>
    </row>
    <row r="115" spans="1:2" hidden="1" x14ac:dyDescent="0.3">
      <c r="A115" s="128">
        <v>41121</v>
      </c>
      <c r="B115" s="129">
        <v>101.15649999999999</v>
      </c>
    </row>
    <row r="116" spans="1:2" hidden="1" x14ac:dyDescent="0.3">
      <c r="A116" s="128">
        <v>41122</v>
      </c>
      <c r="B116" s="129">
        <v>101.2042</v>
      </c>
    </row>
    <row r="117" spans="1:2" hidden="1" x14ac:dyDescent="0.3">
      <c r="A117" s="128">
        <v>41123</v>
      </c>
      <c r="B117" s="129">
        <v>101.739</v>
      </c>
    </row>
    <row r="118" spans="1:2" hidden="1" x14ac:dyDescent="0.3">
      <c r="A118" s="128">
        <v>41124</v>
      </c>
      <c r="B118" s="129">
        <v>100.9294</v>
      </c>
    </row>
    <row r="119" spans="1:2" hidden="1" x14ac:dyDescent="0.3">
      <c r="A119" s="128">
        <v>41127</v>
      </c>
      <c r="B119" s="129">
        <v>100.73520000000001</v>
      </c>
    </row>
    <row r="120" spans="1:2" hidden="1" x14ac:dyDescent="0.3">
      <c r="A120" s="128">
        <v>41128</v>
      </c>
      <c r="B120" s="129">
        <v>100.8216</v>
      </c>
    </row>
    <row r="121" spans="1:2" hidden="1" x14ac:dyDescent="0.3">
      <c r="A121" s="128">
        <v>41129</v>
      </c>
      <c r="B121" s="129">
        <v>100.8456</v>
      </c>
    </row>
    <row r="122" spans="1:2" hidden="1" x14ac:dyDescent="0.3">
      <c r="A122" s="128">
        <v>41130</v>
      </c>
      <c r="B122" s="129">
        <v>100.9088</v>
      </c>
    </row>
    <row r="123" spans="1:2" hidden="1" x14ac:dyDescent="0.3">
      <c r="A123" s="128">
        <v>41131</v>
      </c>
      <c r="B123" s="129">
        <v>100.82769999999999</v>
      </c>
    </row>
    <row r="124" spans="1:2" hidden="1" x14ac:dyDescent="0.3">
      <c r="A124" s="128">
        <v>41134</v>
      </c>
      <c r="B124" s="129">
        <v>100.9145</v>
      </c>
    </row>
    <row r="125" spans="1:2" hidden="1" x14ac:dyDescent="0.3">
      <c r="A125" s="128">
        <v>41135</v>
      </c>
      <c r="B125" s="129">
        <v>100.9375</v>
      </c>
    </row>
    <row r="126" spans="1:2" hidden="1" x14ac:dyDescent="0.3">
      <c r="A126" s="128">
        <v>41136</v>
      </c>
      <c r="B126" s="129">
        <v>101.0187</v>
      </c>
    </row>
    <row r="127" spans="1:2" hidden="1" x14ac:dyDescent="0.3">
      <c r="A127" s="128">
        <v>41137</v>
      </c>
      <c r="B127" s="129">
        <v>100.92529999999999</v>
      </c>
    </row>
    <row r="128" spans="1:2" hidden="1" x14ac:dyDescent="0.3">
      <c r="A128" s="128">
        <v>41138</v>
      </c>
      <c r="B128" s="129">
        <v>101.0568</v>
      </c>
    </row>
    <row r="129" spans="1:2" hidden="1" x14ac:dyDescent="0.3">
      <c r="A129" s="128">
        <v>41141</v>
      </c>
      <c r="B129" s="129">
        <v>100.9736</v>
      </c>
    </row>
    <row r="130" spans="1:2" hidden="1" x14ac:dyDescent="0.3">
      <c r="A130" s="128">
        <v>41142</v>
      </c>
      <c r="B130" s="129">
        <v>100.64830000000001</v>
      </c>
    </row>
    <row r="131" spans="1:2" hidden="1" x14ac:dyDescent="0.3">
      <c r="A131" s="128">
        <v>41143</v>
      </c>
      <c r="B131" s="129">
        <v>100.76900000000001</v>
      </c>
    </row>
    <row r="132" spans="1:2" hidden="1" x14ac:dyDescent="0.3">
      <c r="A132" s="128">
        <v>41144</v>
      </c>
      <c r="B132" s="129">
        <v>100.425</v>
      </c>
    </row>
    <row r="133" spans="1:2" hidden="1" x14ac:dyDescent="0.3">
      <c r="A133" s="128">
        <v>41145</v>
      </c>
      <c r="B133" s="129">
        <v>100.601</v>
      </c>
    </row>
    <row r="134" spans="1:2" hidden="1" x14ac:dyDescent="0.3">
      <c r="A134" s="128">
        <v>41148</v>
      </c>
      <c r="B134" s="129">
        <v>100.6481</v>
      </c>
    </row>
    <row r="135" spans="1:2" hidden="1" x14ac:dyDescent="0.3">
      <c r="A135" s="128">
        <v>41149</v>
      </c>
      <c r="B135" s="129">
        <v>100.54519999999999</v>
      </c>
    </row>
    <row r="136" spans="1:2" hidden="1" x14ac:dyDescent="0.3">
      <c r="A136" s="128">
        <v>41150</v>
      </c>
      <c r="B136" s="129">
        <v>100.7349</v>
      </c>
    </row>
    <row r="137" spans="1:2" hidden="1" x14ac:dyDescent="0.3">
      <c r="A137" s="128">
        <v>41151</v>
      </c>
      <c r="B137" s="129">
        <v>100.9716</v>
      </c>
    </row>
    <row r="138" spans="1:2" hidden="1" x14ac:dyDescent="0.3">
      <c r="A138" s="128">
        <v>41152</v>
      </c>
      <c r="B138" s="129">
        <v>100.5155</v>
      </c>
    </row>
    <row r="139" spans="1:2" hidden="1" x14ac:dyDescent="0.3">
      <c r="A139" s="128">
        <v>41156</v>
      </c>
      <c r="B139" s="129">
        <v>100.50149999999999</v>
      </c>
    </row>
    <row r="140" spans="1:2" hidden="1" x14ac:dyDescent="0.3">
      <c r="A140" s="128">
        <v>41157</v>
      </c>
      <c r="B140" s="129">
        <v>100.4661</v>
      </c>
    </row>
    <row r="141" spans="1:2" hidden="1" x14ac:dyDescent="0.3">
      <c r="A141" s="128">
        <v>41158</v>
      </c>
      <c r="B141" s="129">
        <v>100.2385</v>
      </c>
    </row>
    <row r="142" spans="1:2" hidden="1" x14ac:dyDescent="0.3">
      <c r="A142" s="128">
        <v>41159</v>
      </c>
      <c r="B142" s="129">
        <v>99.682500000000005</v>
      </c>
    </row>
    <row r="143" spans="1:2" hidden="1" x14ac:dyDescent="0.3">
      <c r="A143" s="128">
        <v>41162</v>
      </c>
      <c r="B143" s="129">
        <v>99.638599999999997</v>
      </c>
    </row>
    <row r="144" spans="1:2" hidden="1" x14ac:dyDescent="0.3">
      <c r="A144" s="128">
        <v>41163</v>
      </c>
      <c r="B144" s="129">
        <v>99.386899999999997</v>
      </c>
    </row>
    <row r="145" spans="1:3" hidden="1" x14ac:dyDescent="0.3">
      <c r="A145" s="128">
        <v>41164</v>
      </c>
      <c r="B145" s="129">
        <v>99.3626</v>
      </c>
    </row>
    <row r="146" spans="1:3" hidden="1" x14ac:dyDescent="0.3">
      <c r="A146" s="128">
        <v>41165</v>
      </c>
      <c r="B146" s="129">
        <v>99.275099999999995</v>
      </c>
    </row>
    <row r="147" spans="1:3" hidden="1" x14ac:dyDescent="0.3">
      <c r="A147" s="128">
        <v>41166</v>
      </c>
      <c r="B147" s="129">
        <v>98.417299999999997</v>
      </c>
    </row>
    <row r="148" spans="1:3" hidden="1" x14ac:dyDescent="0.3">
      <c r="A148" s="128">
        <v>41169</v>
      </c>
      <c r="B148" s="129">
        <v>98.563299999999998</v>
      </c>
    </row>
    <row r="149" spans="1:3" hidden="1" x14ac:dyDescent="0.3">
      <c r="A149" s="128">
        <v>41170</v>
      </c>
      <c r="B149" s="129">
        <v>98.794899999999998</v>
      </c>
    </row>
    <row r="150" spans="1:3" hidden="1" x14ac:dyDescent="0.3">
      <c r="A150" s="128">
        <v>41171</v>
      </c>
      <c r="B150" s="129">
        <v>98.746300000000005</v>
      </c>
    </row>
    <row r="151" spans="1:3" hidden="1" x14ac:dyDescent="0.3">
      <c r="A151" s="128">
        <v>41172</v>
      </c>
      <c r="B151" s="129">
        <v>99.039500000000004</v>
      </c>
    </row>
    <row r="152" spans="1:3" hidden="1" x14ac:dyDescent="0.3">
      <c r="A152" s="128">
        <v>41173</v>
      </c>
      <c r="B152" s="129">
        <v>98.809399999999997</v>
      </c>
    </row>
    <row r="153" spans="1:3" hidden="1" x14ac:dyDescent="0.3">
      <c r="A153" s="128">
        <v>41176</v>
      </c>
      <c r="B153" s="129">
        <v>99.106099999999998</v>
      </c>
    </row>
    <row r="154" spans="1:3" hidden="1" x14ac:dyDescent="0.3">
      <c r="A154" s="128">
        <v>41177</v>
      </c>
      <c r="B154" s="129">
        <v>98.883200000000002</v>
      </c>
    </row>
    <row r="155" spans="1:3" hidden="1" x14ac:dyDescent="0.3">
      <c r="A155" s="128">
        <v>41178</v>
      </c>
      <c r="B155" s="129">
        <v>99.267700000000005</v>
      </c>
    </row>
    <row r="156" spans="1:3" hidden="1" x14ac:dyDescent="0.3">
      <c r="A156" s="128">
        <v>41179</v>
      </c>
      <c r="B156" s="129">
        <v>99.014099999999999</v>
      </c>
    </row>
    <row r="157" spans="1:3" x14ac:dyDescent="0.3">
      <c r="A157" s="128">
        <v>41180</v>
      </c>
      <c r="B157" s="129">
        <v>99.064499999999995</v>
      </c>
      <c r="C157" s="130">
        <f>AVERAGE(B95:B157)</f>
        <v>100.6744301587302</v>
      </c>
    </row>
    <row r="158" spans="1:3" hidden="1" x14ac:dyDescent="0.3">
      <c r="A158" s="128">
        <v>41183</v>
      </c>
      <c r="B158" s="129">
        <v>98.930599999999998</v>
      </c>
    </row>
    <row r="159" spans="1:3" hidden="1" x14ac:dyDescent="0.3">
      <c r="A159" s="128">
        <v>41184</v>
      </c>
      <c r="B159" s="129">
        <v>98.876199999999997</v>
      </c>
    </row>
    <row r="160" spans="1:3" hidden="1" x14ac:dyDescent="0.3">
      <c r="A160" s="128">
        <v>41185</v>
      </c>
      <c r="B160" s="129">
        <v>99.096900000000005</v>
      </c>
    </row>
    <row r="161" spans="1:2" hidden="1" x14ac:dyDescent="0.3">
      <c r="A161" s="128">
        <v>41186</v>
      </c>
      <c r="B161" s="129">
        <v>98.720600000000005</v>
      </c>
    </row>
    <row r="162" spans="1:2" hidden="1" x14ac:dyDescent="0.3">
      <c r="A162" s="128">
        <v>41187</v>
      </c>
      <c r="B162" s="129">
        <v>98.5214</v>
      </c>
    </row>
    <row r="163" spans="1:2" hidden="1" x14ac:dyDescent="0.3">
      <c r="A163" s="128">
        <v>41191</v>
      </c>
      <c r="B163" s="129">
        <v>99.105500000000006</v>
      </c>
    </row>
    <row r="164" spans="1:2" hidden="1" x14ac:dyDescent="0.3">
      <c r="A164" s="128">
        <v>41192</v>
      </c>
      <c r="B164" s="129">
        <v>99.119</v>
      </c>
    </row>
    <row r="165" spans="1:2" hidden="1" x14ac:dyDescent="0.3">
      <c r="A165" s="128">
        <v>41193</v>
      </c>
      <c r="B165" s="129">
        <v>98.970100000000002</v>
      </c>
    </row>
    <row r="166" spans="1:2" hidden="1" x14ac:dyDescent="0.3">
      <c r="A166" s="128">
        <v>41194</v>
      </c>
      <c r="B166" s="129">
        <v>98.8964</v>
      </c>
    </row>
    <row r="167" spans="1:2" hidden="1" x14ac:dyDescent="0.3">
      <c r="A167" s="128">
        <v>41197</v>
      </c>
      <c r="B167" s="129">
        <v>98.860200000000006</v>
      </c>
    </row>
    <row r="168" spans="1:2" hidden="1" x14ac:dyDescent="0.3">
      <c r="A168" s="128">
        <v>41198</v>
      </c>
      <c r="B168" s="129">
        <v>98.751999999999995</v>
      </c>
    </row>
    <row r="169" spans="1:2" hidden="1" x14ac:dyDescent="0.3">
      <c r="A169" s="128">
        <v>41199</v>
      </c>
      <c r="B169" s="129">
        <v>98.423500000000004</v>
      </c>
    </row>
    <row r="170" spans="1:2" hidden="1" x14ac:dyDescent="0.3">
      <c r="A170" s="128">
        <v>41200</v>
      </c>
      <c r="B170" s="129">
        <v>98.568100000000001</v>
      </c>
    </row>
    <row r="171" spans="1:2" hidden="1" x14ac:dyDescent="0.3">
      <c r="A171" s="128">
        <v>41201</v>
      </c>
      <c r="B171" s="129">
        <v>98.977999999999994</v>
      </c>
    </row>
    <row r="172" spans="1:2" hidden="1" x14ac:dyDescent="0.3">
      <c r="A172" s="128">
        <v>41204</v>
      </c>
      <c r="B172" s="129">
        <v>98.969700000000003</v>
      </c>
    </row>
    <row r="173" spans="1:2" hidden="1" x14ac:dyDescent="0.3">
      <c r="A173" s="128">
        <v>41205</v>
      </c>
      <c r="B173" s="129">
        <v>99.2727</v>
      </c>
    </row>
    <row r="174" spans="1:2" hidden="1" x14ac:dyDescent="0.3">
      <c r="A174" s="128">
        <v>41206</v>
      </c>
      <c r="B174" s="129">
        <v>99.313400000000001</v>
      </c>
    </row>
    <row r="175" spans="1:2" hidden="1" x14ac:dyDescent="0.3">
      <c r="A175" s="128">
        <v>41207</v>
      </c>
      <c r="B175" s="129">
        <v>99.198999999999998</v>
      </c>
    </row>
    <row r="176" spans="1:2" hidden="1" x14ac:dyDescent="0.3">
      <c r="A176" s="128">
        <v>41208</v>
      </c>
      <c r="B176" s="129">
        <v>99.317300000000003</v>
      </c>
    </row>
    <row r="177" spans="1:2" hidden="1" x14ac:dyDescent="0.3">
      <c r="A177" s="128">
        <v>41211</v>
      </c>
      <c r="B177" s="129">
        <v>99.493499999999997</v>
      </c>
    </row>
    <row r="178" spans="1:2" hidden="1" x14ac:dyDescent="0.3">
      <c r="A178" s="128">
        <v>41212</v>
      </c>
      <c r="B178" s="129">
        <v>99.247299999999996</v>
      </c>
    </row>
    <row r="179" spans="1:2" hidden="1" x14ac:dyDescent="0.3">
      <c r="A179" s="128">
        <v>41213</v>
      </c>
      <c r="B179" s="129">
        <v>99.323899999999995</v>
      </c>
    </row>
    <row r="180" spans="1:2" hidden="1" x14ac:dyDescent="0.3">
      <c r="A180" s="128">
        <v>41214</v>
      </c>
      <c r="B180" s="129">
        <v>99.293400000000005</v>
      </c>
    </row>
    <row r="181" spans="1:2" hidden="1" x14ac:dyDescent="0.3">
      <c r="A181" s="128">
        <v>41215</v>
      </c>
      <c r="B181" s="129">
        <v>99.453800000000001</v>
      </c>
    </row>
    <row r="182" spans="1:2" hidden="1" x14ac:dyDescent="0.3">
      <c r="A182" s="128">
        <v>41218</v>
      </c>
      <c r="B182" s="129">
        <v>99.653599999999997</v>
      </c>
    </row>
    <row r="183" spans="1:2" hidden="1" x14ac:dyDescent="0.3">
      <c r="A183" s="128">
        <v>41219</v>
      </c>
      <c r="B183" s="129">
        <v>99.464699999999993</v>
      </c>
    </row>
    <row r="184" spans="1:2" hidden="1" x14ac:dyDescent="0.3">
      <c r="A184" s="128">
        <v>41220</v>
      </c>
      <c r="B184" s="129">
        <v>99.611199999999997</v>
      </c>
    </row>
    <row r="185" spans="1:2" hidden="1" x14ac:dyDescent="0.3">
      <c r="A185" s="128">
        <v>41221</v>
      </c>
      <c r="B185" s="129">
        <v>99.698400000000007</v>
      </c>
    </row>
    <row r="186" spans="1:2" hidden="1" x14ac:dyDescent="0.3">
      <c r="A186" s="128">
        <v>41222</v>
      </c>
      <c r="B186" s="129">
        <v>99.838499999999996</v>
      </c>
    </row>
    <row r="187" spans="1:2" hidden="1" x14ac:dyDescent="0.3">
      <c r="A187" s="128">
        <v>41226</v>
      </c>
      <c r="B187" s="129">
        <v>99.871600000000001</v>
      </c>
    </row>
    <row r="188" spans="1:2" hidden="1" x14ac:dyDescent="0.3">
      <c r="A188" s="128">
        <v>41227</v>
      </c>
      <c r="B188" s="129">
        <v>99.926599999999993</v>
      </c>
    </row>
    <row r="189" spans="1:2" hidden="1" x14ac:dyDescent="0.3">
      <c r="A189" s="128">
        <v>41228</v>
      </c>
      <c r="B189" s="129">
        <v>100.0339</v>
      </c>
    </row>
    <row r="190" spans="1:2" hidden="1" x14ac:dyDescent="0.3">
      <c r="A190" s="128">
        <v>41229</v>
      </c>
      <c r="B190" s="129">
        <v>100.1683</v>
      </c>
    </row>
    <row r="191" spans="1:2" hidden="1" x14ac:dyDescent="0.3">
      <c r="A191" s="128">
        <v>41232</v>
      </c>
      <c r="B191" s="129">
        <v>99.718900000000005</v>
      </c>
    </row>
    <row r="192" spans="1:2" hidden="1" x14ac:dyDescent="0.3">
      <c r="A192" s="128">
        <v>41233</v>
      </c>
      <c r="B192" s="129">
        <v>99.705399999999997</v>
      </c>
    </row>
    <row r="193" spans="1:2" hidden="1" x14ac:dyDescent="0.3">
      <c r="A193" s="128">
        <v>41234</v>
      </c>
      <c r="B193" s="129">
        <v>99.812299999999993</v>
      </c>
    </row>
    <row r="194" spans="1:2" hidden="1" x14ac:dyDescent="0.3">
      <c r="A194" s="128">
        <v>41236</v>
      </c>
      <c r="B194" s="129">
        <v>99.421899999999994</v>
      </c>
    </row>
    <row r="195" spans="1:2" hidden="1" x14ac:dyDescent="0.3">
      <c r="A195" s="128">
        <v>41239</v>
      </c>
      <c r="B195" s="129">
        <v>99.427800000000005</v>
      </c>
    </row>
    <row r="196" spans="1:2" hidden="1" x14ac:dyDescent="0.3">
      <c r="A196" s="128">
        <v>41240</v>
      </c>
      <c r="B196" s="129">
        <v>99.413399999999996</v>
      </c>
    </row>
    <row r="197" spans="1:2" hidden="1" x14ac:dyDescent="0.3">
      <c r="A197" s="128">
        <v>41241</v>
      </c>
      <c r="B197" s="129">
        <v>99.489199999999997</v>
      </c>
    </row>
    <row r="198" spans="1:2" hidden="1" x14ac:dyDescent="0.3">
      <c r="A198" s="128">
        <v>41242</v>
      </c>
      <c r="B198" s="129">
        <v>99.363799999999998</v>
      </c>
    </row>
    <row r="199" spans="1:2" hidden="1" x14ac:dyDescent="0.3">
      <c r="A199" s="128">
        <v>41243</v>
      </c>
      <c r="B199" s="129">
        <v>99.255099999999999</v>
      </c>
    </row>
    <row r="200" spans="1:2" hidden="1" x14ac:dyDescent="0.3">
      <c r="A200" s="128">
        <v>41246</v>
      </c>
      <c r="B200" s="129">
        <v>99.164500000000004</v>
      </c>
    </row>
    <row r="201" spans="1:2" hidden="1" x14ac:dyDescent="0.3">
      <c r="A201" s="128">
        <v>41247</v>
      </c>
      <c r="B201" s="129">
        <v>99.126400000000004</v>
      </c>
    </row>
    <row r="202" spans="1:2" hidden="1" x14ac:dyDescent="0.3">
      <c r="A202" s="128">
        <v>41248</v>
      </c>
      <c r="B202" s="129">
        <v>99.096999999999994</v>
      </c>
    </row>
    <row r="203" spans="1:2" hidden="1" x14ac:dyDescent="0.3">
      <c r="A203" s="128">
        <v>41249</v>
      </c>
      <c r="B203" s="129">
        <v>99.222099999999998</v>
      </c>
    </row>
    <row r="204" spans="1:2" hidden="1" x14ac:dyDescent="0.3">
      <c r="A204" s="128">
        <v>41250</v>
      </c>
      <c r="B204" s="129">
        <v>99.204800000000006</v>
      </c>
    </row>
    <row r="205" spans="1:2" hidden="1" x14ac:dyDescent="0.3">
      <c r="A205" s="128">
        <v>41253</v>
      </c>
      <c r="B205" s="129">
        <v>99.122900000000001</v>
      </c>
    </row>
    <row r="206" spans="1:2" hidden="1" x14ac:dyDescent="0.3">
      <c r="A206" s="128">
        <v>41254</v>
      </c>
      <c r="B206" s="129">
        <v>99.017700000000005</v>
      </c>
    </row>
    <row r="207" spans="1:2" hidden="1" x14ac:dyDescent="0.3">
      <c r="A207" s="128">
        <v>41255</v>
      </c>
      <c r="B207" s="129">
        <v>98.957999999999998</v>
      </c>
    </row>
    <row r="208" spans="1:2" hidden="1" x14ac:dyDescent="0.3">
      <c r="A208" s="128">
        <v>41256</v>
      </c>
      <c r="B208" s="129">
        <v>98.954899999999995</v>
      </c>
    </row>
    <row r="209" spans="1:3" hidden="1" x14ac:dyDescent="0.3">
      <c r="A209" s="128">
        <v>41257</v>
      </c>
      <c r="B209" s="129">
        <v>98.903099999999995</v>
      </c>
    </row>
    <row r="210" spans="1:3" hidden="1" x14ac:dyDescent="0.3">
      <c r="A210" s="128">
        <v>41260</v>
      </c>
      <c r="B210" s="129">
        <v>98.814800000000005</v>
      </c>
    </row>
    <row r="211" spans="1:3" hidden="1" x14ac:dyDescent="0.3">
      <c r="A211" s="128">
        <v>41261</v>
      </c>
      <c r="B211" s="129">
        <v>98.704499999999996</v>
      </c>
    </row>
    <row r="212" spans="1:3" hidden="1" x14ac:dyDescent="0.3">
      <c r="A212" s="128">
        <v>41262</v>
      </c>
      <c r="B212" s="129">
        <v>98.673400000000001</v>
      </c>
    </row>
    <row r="213" spans="1:3" hidden="1" x14ac:dyDescent="0.3">
      <c r="A213" s="128">
        <v>41263</v>
      </c>
      <c r="B213" s="129">
        <v>98.781899999999993</v>
      </c>
    </row>
    <row r="214" spans="1:3" hidden="1" x14ac:dyDescent="0.3">
      <c r="A214" s="128">
        <v>41264</v>
      </c>
      <c r="B214" s="129">
        <v>99.130899999999997</v>
      </c>
    </row>
    <row r="215" spans="1:3" hidden="1" x14ac:dyDescent="0.3">
      <c r="A215" s="128">
        <v>41267</v>
      </c>
      <c r="B215" s="129">
        <v>99.216499999999996</v>
      </c>
    </row>
    <row r="216" spans="1:3" hidden="1" x14ac:dyDescent="0.3">
      <c r="A216" s="128">
        <v>41269</v>
      </c>
      <c r="B216" s="129">
        <v>99.242900000000006</v>
      </c>
    </row>
    <row r="217" spans="1:3" hidden="1" x14ac:dyDescent="0.3">
      <c r="A217" s="128">
        <v>41270</v>
      </c>
      <c r="B217" s="129">
        <v>99.279700000000005</v>
      </c>
    </row>
    <row r="218" spans="1:3" hidden="1" x14ac:dyDescent="0.3">
      <c r="A218" s="128">
        <v>41271</v>
      </c>
      <c r="B218" s="129">
        <v>99.214799999999997</v>
      </c>
    </row>
    <row r="219" spans="1:3" x14ac:dyDescent="0.3">
      <c r="A219" s="128">
        <v>41274</v>
      </c>
      <c r="B219" s="129">
        <v>99.267099999999999</v>
      </c>
      <c r="C219" s="130">
        <f>AVERAGE(B158:B219)</f>
        <v>99.220564516129031</v>
      </c>
    </row>
    <row r="220" spans="1:3" hidden="1" x14ac:dyDescent="0.3">
      <c r="A220" s="128">
        <v>41276</v>
      </c>
      <c r="B220" s="129">
        <v>98.870199999999997</v>
      </c>
    </row>
    <row r="221" spans="1:3" hidden="1" x14ac:dyDescent="0.3">
      <c r="A221" s="128">
        <v>41277</v>
      </c>
      <c r="B221" s="129">
        <v>98.9773</v>
      </c>
    </row>
    <row r="222" spans="1:3" hidden="1" x14ac:dyDescent="0.3">
      <c r="A222" s="128">
        <v>41278</v>
      </c>
      <c r="B222" s="129">
        <v>99.281300000000002</v>
      </c>
    </row>
    <row r="223" spans="1:3" hidden="1" x14ac:dyDescent="0.3">
      <c r="A223" s="128">
        <v>41281</v>
      </c>
      <c r="B223" s="129">
        <v>99.157600000000002</v>
      </c>
    </row>
    <row r="224" spans="1:3" hidden="1" x14ac:dyDescent="0.3">
      <c r="A224" s="128">
        <v>41282</v>
      </c>
      <c r="B224" s="129">
        <v>99.223399999999998</v>
      </c>
    </row>
    <row r="225" spans="1:2" hidden="1" x14ac:dyDescent="0.3">
      <c r="A225" s="128">
        <v>41283</v>
      </c>
      <c r="B225" s="129">
        <v>99.1691</v>
      </c>
    </row>
    <row r="226" spans="1:2" hidden="1" x14ac:dyDescent="0.3">
      <c r="A226" s="128">
        <v>41284</v>
      </c>
      <c r="B226" s="129">
        <v>98.8048</v>
      </c>
    </row>
    <row r="227" spans="1:2" hidden="1" x14ac:dyDescent="0.3">
      <c r="A227" s="128">
        <v>41285</v>
      </c>
      <c r="B227" s="129">
        <v>98.693899999999999</v>
      </c>
    </row>
    <row r="228" spans="1:2" hidden="1" x14ac:dyDescent="0.3">
      <c r="A228" s="128">
        <v>41288</v>
      </c>
      <c r="B228" s="129">
        <v>98.641999999999996</v>
      </c>
    </row>
    <row r="229" spans="1:2" hidden="1" x14ac:dyDescent="0.3">
      <c r="A229" s="128">
        <v>41289</v>
      </c>
      <c r="B229" s="129">
        <v>98.664299999999997</v>
      </c>
    </row>
    <row r="230" spans="1:2" hidden="1" x14ac:dyDescent="0.3">
      <c r="A230" s="128">
        <v>41290</v>
      </c>
      <c r="B230" s="129">
        <v>98.728700000000003</v>
      </c>
    </row>
    <row r="231" spans="1:2" hidden="1" x14ac:dyDescent="0.3">
      <c r="A231" s="128">
        <v>41291</v>
      </c>
      <c r="B231" s="129">
        <v>98.665999999999997</v>
      </c>
    </row>
    <row r="232" spans="1:2" hidden="1" x14ac:dyDescent="0.3">
      <c r="A232" s="128">
        <v>41292</v>
      </c>
      <c r="B232" s="129">
        <v>98.985500000000002</v>
      </c>
    </row>
    <row r="233" spans="1:2" hidden="1" x14ac:dyDescent="0.3">
      <c r="A233" s="128">
        <v>41296</v>
      </c>
      <c r="B233" s="129">
        <v>98.906599999999997</v>
      </c>
    </row>
    <row r="234" spans="1:2" hidden="1" x14ac:dyDescent="0.3">
      <c r="A234" s="128">
        <v>41297</v>
      </c>
      <c r="B234" s="129">
        <v>98.946299999999994</v>
      </c>
    </row>
    <row r="235" spans="1:2" hidden="1" x14ac:dyDescent="0.3">
      <c r="A235" s="128">
        <v>41298</v>
      </c>
      <c r="B235" s="129">
        <v>99.015100000000004</v>
      </c>
    </row>
    <row r="236" spans="1:2" hidden="1" x14ac:dyDescent="0.3">
      <c r="A236" s="128">
        <v>41299</v>
      </c>
      <c r="B236" s="129">
        <v>99.199600000000004</v>
      </c>
    </row>
    <row r="237" spans="1:2" hidden="1" x14ac:dyDescent="0.3">
      <c r="A237" s="128">
        <v>41302</v>
      </c>
      <c r="B237" s="129">
        <v>99.374200000000002</v>
      </c>
    </row>
    <row r="238" spans="1:2" hidden="1" x14ac:dyDescent="0.3">
      <c r="A238" s="128">
        <v>41303</v>
      </c>
      <c r="B238" s="129">
        <v>99.072900000000004</v>
      </c>
    </row>
    <row r="239" spans="1:2" hidden="1" x14ac:dyDescent="0.3">
      <c r="A239" s="128">
        <v>41304</v>
      </c>
      <c r="B239" s="129">
        <v>99.0197</v>
      </c>
    </row>
    <row r="240" spans="1:2" hidden="1" x14ac:dyDescent="0.3">
      <c r="A240" s="128">
        <v>41305</v>
      </c>
      <c r="B240" s="129">
        <v>98.953299999999999</v>
      </c>
    </row>
    <row r="241" spans="1:2" hidden="1" x14ac:dyDescent="0.3">
      <c r="A241" s="128">
        <v>41306</v>
      </c>
      <c r="B241" s="129">
        <v>98.851100000000002</v>
      </c>
    </row>
    <row r="242" spans="1:2" hidden="1" x14ac:dyDescent="0.3">
      <c r="A242" s="128">
        <v>41309</v>
      </c>
      <c r="B242" s="129">
        <v>99.145399999999995</v>
      </c>
    </row>
    <row r="243" spans="1:2" hidden="1" x14ac:dyDescent="0.3">
      <c r="A243" s="128">
        <v>41310</v>
      </c>
      <c r="B243" s="129">
        <v>99.032799999999995</v>
      </c>
    </row>
    <row r="244" spans="1:2" hidden="1" x14ac:dyDescent="0.3">
      <c r="A244" s="128">
        <v>41311</v>
      </c>
      <c r="B244" s="129">
        <v>99.184299999999993</v>
      </c>
    </row>
    <row r="245" spans="1:2" hidden="1" x14ac:dyDescent="0.3">
      <c r="A245" s="128">
        <v>41312</v>
      </c>
      <c r="B245" s="129">
        <v>99.465299999999999</v>
      </c>
    </row>
    <row r="246" spans="1:2" hidden="1" x14ac:dyDescent="0.3">
      <c r="A246" s="128">
        <v>41313</v>
      </c>
      <c r="B246" s="129">
        <v>99.483599999999996</v>
      </c>
    </row>
    <row r="247" spans="1:2" hidden="1" x14ac:dyDescent="0.3">
      <c r="A247" s="128">
        <v>41316</v>
      </c>
      <c r="B247" s="129">
        <v>99.750399999999999</v>
      </c>
    </row>
    <row r="248" spans="1:2" hidden="1" x14ac:dyDescent="0.3">
      <c r="A248" s="128">
        <v>41317</v>
      </c>
      <c r="B248" s="129">
        <v>99.5809</v>
      </c>
    </row>
    <row r="249" spans="1:2" hidden="1" x14ac:dyDescent="0.3">
      <c r="A249" s="128">
        <v>41318</v>
      </c>
      <c r="B249" s="129">
        <v>99.558099999999996</v>
      </c>
    </row>
    <row r="250" spans="1:2" hidden="1" x14ac:dyDescent="0.3">
      <c r="A250" s="128">
        <v>41319</v>
      </c>
      <c r="B250" s="129">
        <v>99.652000000000001</v>
      </c>
    </row>
    <row r="251" spans="1:2" hidden="1" x14ac:dyDescent="0.3">
      <c r="A251" s="128">
        <v>41320</v>
      </c>
      <c r="B251" s="129">
        <v>99.729900000000001</v>
      </c>
    </row>
    <row r="252" spans="1:2" hidden="1" x14ac:dyDescent="0.3">
      <c r="A252" s="128">
        <v>41324</v>
      </c>
      <c r="B252" s="129">
        <v>99.781700000000001</v>
      </c>
    </row>
    <row r="253" spans="1:2" hidden="1" x14ac:dyDescent="0.3">
      <c r="A253" s="128">
        <v>41325</v>
      </c>
      <c r="B253" s="129">
        <v>99.917400000000001</v>
      </c>
    </row>
    <row r="254" spans="1:2" hidden="1" x14ac:dyDescent="0.3">
      <c r="A254" s="128">
        <v>41326</v>
      </c>
      <c r="B254" s="129">
        <v>100.3043</v>
      </c>
    </row>
    <row r="255" spans="1:2" hidden="1" x14ac:dyDescent="0.3">
      <c r="A255" s="128">
        <v>41327</v>
      </c>
      <c r="B255" s="129">
        <v>100.3708</v>
      </c>
    </row>
    <row r="256" spans="1:2" hidden="1" x14ac:dyDescent="0.3">
      <c r="A256" s="128">
        <v>41330</v>
      </c>
      <c r="B256" s="129">
        <v>100.429</v>
      </c>
    </row>
    <row r="257" spans="1:2" hidden="1" x14ac:dyDescent="0.3">
      <c r="A257" s="128">
        <v>41331</v>
      </c>
      <c r="B257" s="129">
        <v>100.65560000000001</v>
      </c>
    </row>
    <row r="258" spans="1:2" hidden="1" x14ac:dyDescent="0.3">
      <c r="A258" s="128">
        <v>41332</v>
      </c>
      <c r="B258" s="129">
        <v>100.4597</v>
      </c>
    </row>
    <row r="259" spans="1:2" hidden="1" x14ac:dyDescent="0.3">
      <c r="A259" s="128">
        <v>41333</v>
      </c>
      <c r="B259" s="129">
        <v>100.5103</v>
      </c>
    </row>
    <row r="260" spans="1:2" hidden="1" x14ac:dyDescent="0.3">
      <c r="A260" s="128">
        <v>41334</v>
      </c>
      <c r="B260" s="129">
        <v>100.8282</v>
      </c>
    </row>
    <row r="261" spans="1:2" hidden="1" x14ac:dyDescent="0.3">
      <c r="A261" s="128">
        <v>41337</v>
      </c>
      <c r="B261" s="129">
        <v>100.8563</v>
      </c>
    </row>
    <row r="262" spans="1:2" hidden="1" x14ac:dyDescent="0.3">
      <c r="A262" s="128">
        <v>41338</v>
      </c>
      <c r="B262" s="129">
        <v>100.7097</v>
      </c>
    </row>
    <row r="263" spans="1:2" hidden="1" x14ac:dyDescent="0.3">
      <c r="A263" s="128">
        <v>41339</v>
      </c>
      <c r="B263" s="129">
        <v>100.8051</v>
      </c>
    </row>
    <row r="264" spans="1:2" hidden="1" x14ac:dyDescent="0.3">
      <c r="A264" s="128">
        <v>41340</v>
      </c>
      <c r="B264" s="129">
        <v>100.75920000000001</v>
      </c>
    </row>
    <row r="265" spans="1:2" hidden="1" x14ac:dyDescent="0.3">
      <c r="A265" s="128">
        <v>41341</v>
      </c>
      <c r="B265" s="129">
        <v>100.834</v>
      </c>
    </row>
    <row r="266" spans="1:2" hidden="1" x14ac:dyDescent="0.3">
      <c r="A266" s="128">
        <v>41344</v>
      </c>
      <c r="B266" s="129">
        <v>100.7491</v>
      </c>
    </row>
    <row r="267" spans="1:2" hidden="1" x14ac:dyDescent="0.3">
      <c r="A267" s="128">
        <v>41345</v>
      </c>
      <c r="B267" s="129">
        <v>100.5911</v>
      </c>
    </row>
    <row r="268" spans="1:2" hidden="1" x14ac:dyDescent="0.3">
      <c r="A268" s="128">
        <v>41346</v>
      </c>
      <c r="B268" s="129">
        <v>100.6824</v>
      </c>
    </row>
    <row r="269" spans="1:2" hidden="1" x14ac:dyDescent="0.3">
      <c r="A269" s="128">
        <v>41347</v>
      </c>
      <c r="B269" s="129">
        <v>100.7032</v>
      </c>
    </row>
    <row r="270" spans="1:2" hidden="1" x14ac:dyDescent="0.3">
      <c r="A270" s="128">
        <v>41348</v>
      </c>
      <c r="B270" s="129">
        <v>100.3728</v>
      </c>
    </row>
    <row r="271" spans="1:2" hidden="1" x14ac:dyDescent="0.3">
      <c r="A271" s="128">
        <v>41351</v>
      </c>
      <c r="B271" s="129">
        <v>100.5899</v>
      </c>
    </row>
    <row r="272" spans="1:2" hidden="1" x14ac:dyDescent="0.3">
      <c r="A272" s="128">
        <v>41352</v>
      </c>
      <c r="B272" s="129">
        <v>100.77119999999999</v>
      </c>
    </row>
    <row r="273" spans="1:3" hidden="1" x14ac:dyDescent="0.3">
      <c r="A273" s="128">
        <v>41353</v>
      </c>
      <c r="B273" s="129">
        <v>100.6559</v>
      </c>
    </row>
    <row r="274" spans="1:3" hidden="1" x14ac:dyDescent="0.3">
      <c r="A274" s="128">
        <v>41354</v>
      </c>
      <c r="B274" s="129">
        <v>100.5869</v>
      </c>
    </row>
    <row r="275" spans="1:3" hidden="1" x14ac:dyDescent="0.3">
      <c r="A275" s="128">
        <v>41355</v>
      </c>
      <c r="B275" s="129">
        <v>100.465</v>
      </c>
    </row>
    <row r="276" spans="1:3" hidden="1" x14ac:dyDescent="0.3">
      <c r="A276" s="128">
        <v>41358</v>
      </c>
      <c r="B276" s="129">
        <v>100.5568</v>
      </c>
    </row>
    <row r="277" spans="1:3" hidden="1" x14ac:dyDescent="0.3">
      <c r="A277" s="128">
        <v>41359</v>
      </c>
      <c r="B277" s="129">
        <v>100.4808</v>
      </c>
    </row>
    <row r="278" spans="1:3" hidden="1" x14ac:dyDescent="0.3">
      <c r="A278" s="128">
        <v>41360</v>
      </c>
      <c r="B278" s="129">
        <v>100.70269999999999</v>
      </c>
    </row>
    <row r="279" spans="1:3" hidden="1" x14ac:dyDescent="0.3">
      <c r="A279" s="128">
        <v>41361</v>
      </c>
      <c r="B279" s="129">
        <v>100.5188</v>
      </c>
    </row>
    <row r="280" spans="1:3" x14ac:dyDescent="0.3">
      <c r="A280" s="128">
        <v>41362</v>
      </c>
      <c r="B280" s="129">
        <v>100.5565</v>
      </c>
      <c r="C280" s="130">
        <f>AVERAGE(B220:B280)</f>
        <v>99.803114754098345</v>
      </c>
    </row>
    <row r="281" spans="1:3" hidden="1" x14ac:dyDescent="0.3">
      <c r="A281" s="128">
        <v>41365</v>
      </c>
      <c r="B281" s="129">
        <v>100.42529999999999</v>
      </c>
    </row>
    <row r="282" spans="1:3" hidden="1" x14ac:dyDescent="0.3">
      <c r="A282" s="128">
        <v>41366</v>
      </c>
      <c r="B282" s="129">
        <v>100.38979999999999</v>
      </c>
    </row>
    <row r="283" spans="1:3" hidden="1" x14ac:dyDescent="0.3">
      <c r="A283" s="128">
        <v>41367</v>
      </c>
      <c r="B283" s="129">
        <v>100.35599999999999</v>
      </c>
    </row>
    <row r="284" spans="1:3" hidden="1" x14ac:dyDescent="0.3">
      <c r="A284" s="128">
        <v>41368</v>
      </c>
      <c r="B284" s="129">
        <v>100.66800000000001</v>
      </c>
    </row>
    <row r="285" spans="1:3" hidden="1" x14ac:dyDescent="0.3">
      <c r="A285" s="128">
        <v>41369</v>
      </c>
      <c r="B285" s="129">
        <v>100.3877</v>
      </c>
    </row>
    <row r="286" spans="1:3" hidden="1" x14ac:dyDescent="0.3">
      <c r="A286" s="128">
        <v>41372</v>
      </c>
      <c r="B286" s="129">
        <v>100.51309999999999</v>
      </c>
    </row>
    <row r="287" spans="1:3" hidden="1" x14ac:dyDescent="0.3">
      <c r="A287" s="128">
        <v>41373</v>
      </c>
      <c r="B287" s="129">
        <v>100.2427</v>
      </c>
    </row>
    <row r="288" spans="1:3" hidden="1" x14ac:dyDescent="0.3">
      <c r="A288" s="128">
        <v>41374</v>
      </c>
      <c r="B288" s="129">
        <v>100.22580000000001</v>
      </c>
    </row>
    <row r="289" spans="1:2" hidden="1" x14ac:dyDescent="0.3">
      <c r="A289" s="128">
        <v>41375</v>
      </c>
      <c r="B289" s="129">
        <v>99.972399999999993</v>
      </c>
    </row>
    <row r="290" spans="1:2" hidden="1" x14ac:dyDescent="0.3">
      <c r="A290" s="128">
        <v>41376</v>
      </c>
      <c r="B290" s="129">
        <v>100.0677</v>
      </c>
    </row>
    <row r="291" spans="1:2" hidden="1" x14ac:dyDescent="0.3">
      <c r="A291" s="128">
        <v>41379</v>
      </c>
      <c r="B291" s="129">
        <v>100.1923</v>
      </c>
    </row>
    <row r="292" spans="1:2" hidden="1" x14ac:dyDescent="0.3">
      <c r="A292" s="128">
        <v>41380</v>
      </c>
      <c r="B292" s="129">
        <v>100.07170000000001</v>
      </c>
    </row>
    <row r="293" spans="1:2" hidden="1" x14ac:dyDescent="0.3">
      <c r="A293" s="128">
        <v>41381</v>
      </c>
      <c r="B293" s="129">
        <v>100.3612</v>
      </c>
    </row>
    <row r="294" spans="1:2" hidden="1" x14ac:dyDescent="0.3">
      <c r="A294" s="128">
        <v>41382</v>
      </c>
      <c r="B294" s="129">
        <v>100.4063</v>
      </c>
    </row>
    <row r="295" spans="1:2" hidden="1" x14ac:dyDescent="0.3">
      <c r="A295" s="128">
        <v>41383</v>
      </c>
      <c r="B295" s="129">
        <v>100.4434</v>
      </c>
    </row>
    <row r="296" spans="1:2" hidden="1" x14ac:dyDescent="0.3">
      <c r="A296" s="128">
        <v>41386</v>
      </c>
      <c r="B296" s="129">
        <v>100.5941</v>
      </c>
    </row>
    <row r="297" spans="1:2" hidden="1" x14ac:dyDescent="0.3">
      <c r="A297" s="128">
        <v>41387</v>
      </c>
      <c r="B297" s="129">
        <v>100.61969999999999</v>
      </c>
    </row>
    <row r="298" spans="1:2" hidden="1" x14ac:dyDescent="0.3">
      <c r="A298" s="128">
        <v>41388</v>
      </c>
      <c r="B298" s="129">
        <v>100.6858</v>
      </c>
    </row>
    <row r="299" spans="1:2" hidden="1" x14ac:dyDescent="0.3">
      <c r="A299" s="128">
        <v>41389</v>
      </c>
      <c r="B299" s="129">
        <v>100.2696</v>
      </c>
    </row>
    <row r="300" spans="1:2" hidden="1" x14ac:dyDescent="0.3">
      <c r="A300" s="128">
        <v>41390</v>
      </c>
      <c r="B300" s="129">
        <v>100.1284</v>
      </c>
    </row>
    <row r="301" spans="1:2" hidden="1" x14ac:dyDescent="0.3">
      <c r="A301" s="128">
        <v>41393</v>
      </c>
      <c r="B301" s="129">
        <v>99.872299999999996</v>
      </c>
    </row>
    <row r="302" spans="1:2" hidden="1" x14ac:dyDescent="0.3">
      <c r="A302" s="128">
        <v>41394</v>
      </c>
      <c r="B302" s="129">
        <v>99.608099999999993</v>
      </c>
    </row>
    <row r="303" spans="1:2" hidden="1" x14ac:dyDescent="0.3">
      <c r="A303" s="128">
        <v>41395</v>
      </c>
      <c r="B303" s="129">
        <v>99.674099999999996</v>
      </c>
    </row>
    <row r="304" spans="1:2" hidden="1" x14ac:dyDescent="0.3">
      <c r="A304" s="128">
        <v>41396</v>
      </c>
      <c r="B304" s="129">
        <v>99.848500000000001</v>
      </c>
    </row>
    <row r="305" spans="1:2" hidden="1" x14ac:dyDescent="0.3">
      <c r="A305" s="128">
        <v>41397</v>
      </c>
      <c r="B305" s="129">
        <v>99.738699999999994</v>
      </c>
    </row>
    <row r="306" spans="1:2" hidden="1" x14ac:dyDescent="0.3">
      <c r="A306" s="128">
        <v>41400</v>
      </c>
      <c r="B306" s="129">
        <v>99.867199999999997</v>
      </c>
    </row>
    <row r="307" spans="1:2" hidden="1" x14ac:dyDescent="0.3">
      <c r="A307" s="128">
        <v>41401</v>
      </c>
      <c r="B307" s="129">
        <v>99.726100000000002</v>
      </c>
    </row>
    <row r="308" spans="1:2" hidden="1" x14ac:dyDescent="0.3">
      <c r="A308" s="128">
        <v>41402</v>
      </c>
      <c r="B308" s="129">
        <v>99.373500000000007</v>
      </c>
    </row>
    <row r="309" spans="1:2" hidden="1" x14ac:dyDescent="0.3">
      <c r="A309" s="128">
        <v>41403</v>
      </c>
      <c r="B309" s="129">
        <v>99.485699999999994</v>
      </c>
    </row>
    <row r="310" spans="1:2" hidden="1" x14ac:dyDescent="0.3">
      <c r="A310" s="128">
        <v>41404</v>
      </c>
      <c r="B310" s="129">
        <v>100.45699999999999</v>
      </c>
    </row>
    <row r="311" spans="1:2" hidden="1" x14ac:dyDescent="0.3">
      <c r="A311" s="128">
        <v>41407</v>
      </c>
      <c r="B311" s="129">
        <v>100.4875</v>
      </c>
    </row>
    <row r="312" spans="1:2" hidden="1" x14ac:dyDescent="0.3">
      <c r="A312" s="128">
        <v>41408</v>
      </c>
      <c r="B312" s="129">
        <v>100.57210000000001</v>
      </c>
    </row>
    <row r="313" spans="1:2" hidden="1" x14ac:dyDescent="0.3">
      <c r="A313" s="128">
        <v>41409</v>
      </c>
      <c r="B313" s="129">
        <v>100.9813</v>
      </c>
    </row>
    <row r="314" spans="1:2" hidden="1" x14ac:dyDescent="0.3">
      <c r="A314" s="128">
        <v>41410</v>
      </c>
      <c r="B314" s="129">
        <v>100.8861</v>
      </c>
    </row>
    <row r="315" spans="1:2" hidden="1" x14ac:dyDescent="0.3">
      <c r="A315" s="128">
        <v>41411</v>
      </c>
      <c r="B315" s="129">
        <v>101.3582</v>
      </c>
    </row>
    <row r="316" spans="1:2" hidden="1" x14ac:dyDescent="0.3">
      <c r="A316" s="128">
        <v>41414</v>
      </c>
      <c r="B316" s="129">
        <v>101.22629999999999</v>
      </c>
    </row>
    <row r="317" spans="1:2" hidden="1" x14ac:dyDescent="0.3">
      <c r="A317" s="128">
        <v>41415</v>
      </c>
      <c r="B317" s="129">
        <v>101.139</v>
      </c>
    </row>
    <row r="318" spans="1:2" hidden="1" x14ac:dyDescent="0.3">
      <c r="A318" s="128">
        <v>41416</v>
      </c>
      <c r="B318" s="129">
        <v>101.4666</v>
      </c>
    </row>
    <row r="319" spans="1:2" hidden="1" x14ac:dyDescent="0.3">
      <c r="A319" s="128">
        <v>41417</v>
      </c>
      <c r="B319" s="129">
        <v>101.3947</v>
      </c>
    </row>
    <row r="320" spans="1:2" hidden="1" x14ac:dyDescent="0.3">
      <c r="A320" s="128">
        <v>41418</v>
      </c>
      <c r="B320" s="129">
        <v>101.4562</v>
      </c>
    </row>
    <row r="321" spans="1:2" hidden="1" x14ac:dyDescent="0.3">
      <c r="A321" s="128">
        <v>41422</v>
      </c>
      <c r="B321" s="129">
        <v>101.7539</v>
      </c>
    </row>
    <row r="322" spans="1:2" hidden="1" x14ac:dyDescent="0.3">
      <c r="A322" s="128">
        <v>41423</v>
      </c>
      <c r="B322" s="129">
        <v>101.7159</v>
      </c>
    </row>
    <row r="323" spans="1:2" hidden="1" x14ac:dyDescent="0.3">
      <c r="A323" s="128">
        <v>41424</v>
      </c>
      <c r="B323" s="129">
        <v>101.62739999999999</v>
      </c>
    </row>
    <row r="324" spans="1:2" hidden="1" x14ac:dyDescent="0.3">
      <c r="A324" s="128">
        <v>41425</v>
      </c>
      <c r="B324" s="129">
        <v>101.82689999999999</v>
      </c>
    </row>
    <row r="325" spans="1:2" hidden="1" x14ac:dyDescent="0.3">
      <c r="A325" s="128">
        <v>41428</v>
      </c>
      <c r="B325" s="129">
        <v>101.3869</v>
      </c>
    </row>
    <row r="326" spans="1:2" hidden="1" x14ac:dyDescent="0.3">
      <c r="A326" s="128">
        <v>41429</v>
      </c>
      <c r="B326" s="129">
        <v>101.5176</v>
      </c>
    </row>
    <row r="327" spans="1:2" hidden="1" x14ac:dyDescent="0.3">
      <c r="A327" s="128">
        <v>41430</v>
      </c>
      <c r="B327" s="129">
        <v>101.4877</v>
      </c>
    </row>
    <row r="328" spans="1:2" hidden="1" x14ac:dyDescent="0.3">
      <c r="A328" s="128">
        <v>41431</v>
      </c>
      <c r="B328" s="129">
        <v>101.0663</v>
      </c>
    </row>
    <row r="329" spans="1:2" hidden="1" x14ac:dyDescent="0.3">
      <c r="A329" s="128">
        <v>41432</v>
      </c>
      <c r="B329" s="129">
        <v>100.8522</v>
      </c>
    </row>
    <row r="330" spans="1:2" hidden="1" x14ac:dyDescent="0.3">
      <c r="A330" s="128">
        <v>41435</v>
      </c>
      <c r="B330" s="129">
        <v>101.258</v>
      </c>
    </row>
    <row r="331" spans="1:2" hidden="1" x14ac:dyDescent="0.3">
      <c r="A331" s="128">
        <v>41436</v>
      </c>
      <c r="B331" s="129">
        <v>101.0789</v>
      </c>
    </row>
    <row r="332" spans="1:2" hidden="1" x14ac:dyDescent="0.3">
      <c r="A332" s="128">
        <v>41437</v>
      </c>
      <c r="B332" s="129">
        <v>100.7483</v>
      </c>
    </row>
    <row r="333" spans="1:2" hidden="1" x14ac:dyDescent="0.3">
      <c r="A333" s="128">
        <v>41438</v>
      </c>
      <c r="B333" s="129">
        <v>100.61020000000001</v>
      </c>
    </row>
    <row r="334" spans="1:2" hidden="1" x14ac:dyDescent="0.3">
      <c r="A334" s="128">
        <v>41439</v>
      </c>
      <c r="B334" s="129">
        <v>100.4331</v>
      </c>
    </row>
    <row r="335" spans="1:2" hidden="1" x14ac:dyDescent="0.3">
      <c r="A335" s="128">
        <v>41442</v>
      </c>
      <c r="B335" s="129">
        <v>100.5793</v>
      </c>
    </row>
    <row r="336" spans="1:2" hidden="1" x14ac:dyDescent="0.3">
      <c r="A336" s="128">
        <v>41443</v>
      </c>
      <c r="B336" s="129">
        <v>100.8035</v>
      </c>
    </row>
    <row r="337" spans="1:3" hidden="1" x14ac:dyDescent="0.3">
      <c r="A337" s="128">
        <v>41444</v>
      </c>
      <c r="B337" s="129">
        <v>100.7389</v>
      </c>
    </row>
    <row r="338" spans="1:3" hidden="1" x14ac:dyDescent="0.3">
      <c r="A338" s="128">
        <v>41445</v>
      </c>
      <c r="B338" s="129">
        <v>102.4098</v>
      </c>
    </row>
    <row r="339" spans="1:3" hidden="1" x14ac:dyDescent="0.3">
      <c r="A339" s="128">
        <v>41446</v>
      </c>
      <c r="B339" s="129">
        <v>102.7028</v>
      </c>
    </row>
    <row r="340" spans="1:3" hidden="1" x14ac:dyDescent="0.3">
      <c r="A340" s="128">
        <v>41449</v>
      </c>
      <c r="B340" s="129">
        <v>102.8686</v>
      </c>
    </row>
    <row r="341" spans="1:3" hidden="1" x14ac:dyDescent="0.3">
      <c r="A341" s="128">
        <v>41450</v>
      </c>
      <c r="B341" s="129">
        <v>102.6056</v>
      </c>
    </row>
    <row r="342" spans="1:3" hidden="1" x14ac:dyDescent="0.3">
      <c r="A342" s="128">
        <v>41451</v>
      </c>
      <c r="B342" s="129">
        <v>102.6665</v>
      </c>
    </row>
    <row r="343" spans="1:3" hidden="1" x14ac:dyDescent="0.3">
      <c r="A343" s="128">
        <v>41452</v>
      </c>
      <c r="B343" s="129">
        <v>102.5044</v>
      </c>
    </row>
    <row r="344" spans="1:3" x14ac:dyDescent="0.3">
      <c r="A344" s="128">
        <v>41453</v>
      </c>
      <c r="B344" s="129">
        <v>102.538</v>
      </c>
      <c r="C344" s="130">
        <f>AVERAGE(B281:B344)</f>
        <v>100.83470156250004</v>
      </c>
    </row>
    <row r="345" spans="1:3" hidden="1" x14ac:dyDescent="0.3">
      <c r="A345" s="128">
        <v>41456</v>
      </c>
      <c r="B345" s="129">
        <v>102.32259999999999</v>
      </c>
    </row>
    <row r="346" spans="1:3" hidden="1" x14ac:dyDescent="0.3">
      <c r="A346" s="128">
        <v>41457</v>
      </c>
      <c r="B346" s="129">
        <v>102.6238</v>
      </c>
    </row>
    <row r="347" spans="1:3" hidden="1" x14ac:dyDescent="0.3">
      <c r="A347" s="128">
        <v>41458</v>
      </c>
      <c r="B347" s="129">
        <v>102.7094</v>
      </c>
    </row>
    <row r="348" spans="1:3" hidden="1" x14ac:dyDescent="0.3">
      <c r="A348" s="128">
        <v>41460</v>
      </c>
      <c r="B348" s="129">
        <v>103.2779</v>
      </c>
    </row>
    <row r="349" spans="1:3" hidden="1" x14ac:dyDescent="0.3">
      <c r="A349" s="128">
        <v>41463</v>
      </c>
      <c r="B349" s="129">
        <v>103.2136</v>
      </c>
    </row>
    <row r="350" spans="1:3" hidden="1" x14ac:dyDescent="0.3">
      <c r="A350" s="128">
        <v>41464</v>
      </c>
      <c r="B350" s="129">
        <v>103.14749999999999</v>
      </c>
    </row>
    <row r="351" spans="1:3" hidden="1" x14ac:dyDescent="0.3">
      <c r="A351" s="128">
        <v>41465</v>
      </c>
      <c r="B351" s="129">
        <v>102.9628</v>
      </c>
    </row>
    <row r="352" spans="1:3" hidden="1" x14ac:dyDescent="0.3">
      <c r="A352" s="128">
        <v>41466</v>
      </c>
      <c r="B352" s="129">
        <v>102.1588</v>
      </c>
    </row>
    <row r="353" spans="1:2" hidden="1" x14ac:dyDescent="0.3">
      <c r="A353" s="128">
        <v>41467</v>
      </c>
      <c r="B353" s="129">
        <v>102.2149</v>
      </c>
    </row>
    <row r="354" spans="1:2" hidden="1" x14ac:dyDescent="0.3">
      <c r="A354" s="128">
        <v>41470</v>
      </c>
      <c r="B354" s="129">
        <v>102.182</v>
      </c>
    </row>
    <row r="355" spans="1:2" hidden="1" x14ac:dyDescent="0.3">
      <c r="A355" s="128">
        <v>41471</v>
      </c>
      <c r="B355" s="129">
        <v>101.7238</v>
      </c>
    </row>
    <row r="356" spans="1:2" hidden="1" x14ac:dyDescent="0.3">
      <c r="A356" s="128">
        <v>41472</v>
      </c>
      <c r="B356" s="129">
        <v>101.7473</v>
      </c>
    </row>
    <row r="357" spans="1:2" hidden="1" x14ac:dyDescent="0.3">
      <c r="A357" s="128">
        <v>41473</v>
      </c>
      <c r="B357" s="129">
        <v>101.9061</v>
      </c>
    </row>
    <row r="358" spans="1:2" hidden="1" x14ac:dyDescent="0.3">
      <c r="A358" s="128">
        <v>41474</v>
      </c>
      <c r="B358" s="129">
        <v>101.70489999999999</v>
      </c>
    </row>
    <row r="359" spans="1:2" hidden="1" x14ac:dyDescent="0.3">
      <c r="A359" s="128">
        <v>41477</v>
      </c>
      <c r="B359" s="129">
        <v>101.4611</v>
      </c>
    </row>
    <row r="360" spans="1:2" hidden="1" x14ac:dyDescent="0.3">
      <c r="A360" s="128">
        <v>41478</v>
      </c>
      <c r="B360" s="129">
        <v>101.4008</v>
      </c>
    </row>
    <row r="361" spans="1:2" hidden="1" x14ac:dyDescent="0.3">
      <c r="A361" s="128">
        <v>41479</v>
      </c>
      <c r="B361" s="129">
        <v>101.5633</v>
      </c>
    </row>
    <row r="362" spans="1:2" hidden="1" x14ac:dyDescent="0.3">
      <c r="A362" s="128">
        <v>41480</v>
      </c>
      <c r="B362" s="129">
        <v>101.54300000000001</v>
      </c>
    </row>
    <row r="363" spans="1:2" hidden="1" x14ac:dyDescent="0.3">
      <c r="A363" s="128">
        <v>41481</v>
      </c>
      <c r="B363" s="129">
        <v>101.42440000000001</v>
      </c>
    </row>
    <row r="364" spans="1:2" hidden="1" x14ac:dyDescent="0.3">
      <c r="A364" s="128">
        <v>41484</v>
      </c>
      <c r="B364" s="129">
        <v>101.42659999999999</v>
      </c>
    </row>
    <row r="365" spans="1:2" hidden="1" x14ac:dyDescent="0.3">
      <c r="A365" s="128">
        <v>41485</v>
      </c>
      <c r="B365" s="129">
        <v>101.6514</v>
      </c>
    </row>
    <row r="366" spans="1:2" hidden="1" x14ac:dyDescent="0.3">
      <c r="A366" s="128">
        <v>41486</v>
      </c>
      <c r="B366" s="129">
        <v>101.82510000000001</v>
      </c>
    </row>
    <row r="367" spans="1:2" hidden="1" x14ac:dyDescent="0.3">
      <c r="A367" s="128">
        <v>41487</v>
      </c>
      <c r="B367" s="129">
        <v>102.0504</v>
      </c>
    </row>
    <row r="368" spans="1:2" hidden="1" x14ac:dyDescent="0.3">
      <c r="A368" s="128">
        <v>41488</v>
      </c>
      <c r="B368" s="129">
        <v>101.8267</v>
      </c>
    </row>
    <row r="369" spans="1:2" hidden="1" x14ac:dyDescent="0.3">
      <c r="A369" s="128">
        <v>41491</v>
      </c>
      <c r="B369" s="129">
        <v>101.7406</v>
      </c>
    </row>
    <row r="370" spans="1:2" hidden="1" x14ac:dyDescent="0.3">
      <c r="A370" s="128">
        <v>41492</v>
      </c>
      <c r="B370" s="129">
        <v>101.5585</v>
      </c>
    </row>
    <row r="371" spans="1:2" hidden="1" x14ac:dyDescent="0.3">
      <c r="A371" s="128">
        <v>41493</v>
      </c>
      <c r="B371" s="129">
        <v>101.51</v>
      </c>
    </row>
    <row r="372" spans="1:2" hidden="1" x14ac:dyDescent="0.3">
      <c r="A372" s="128">
        <v>41494</v>
      </c>
      <c r="B372" s="129">
        <v>101.08969999999999</v>
      </c>
    </row>
    <row r="373" spans="1:2" hidden="1" x14ac:dyDescent="0.3">
      <c r="A373" s="128">
        <v>41495</v>
      </c>
      <c r="B373" s="129">
        <v>101.0887</v>
      </c>
    </row>
    <row r="374" spans="1:2" hidden="1" x14ac:dyDescent="0.3">
      <c r="A374" s="128">
        <v>41498</v>
      </c>
      <c r="B374" s="129">
        <v>101.1704</v>
      </c>
    </row>
    <row r="375" spans="1:2" hidden="1" x14ac:dyDescent="0.3">
      <c r="A375" s="128">
        <v>41499</v>
      </c>
      <c r="B375" s="129">
        <v>101.73609999999999</v>
      </c>
    </row>
    <row r="376" spans="1:2" hidden="1" x14ac:dyDescent="0.3">
      <c r="A376" s="128">
        <v>41500</v>
      </c>
      <c r="B376" s="129">
        <v>101.65049999999999</v>
      </c>
    </row>
    <row r="377" spans="1:2" hidden="1" x14ac:dyDescent="0.3">
      <c r="A377" s="128">
        <v>41501</v>
      </c>
      <c r="B377" s="129">
        <v>101.7715</v>
      </c>
    </row>
    <row r="378" spans="1:2" hidden="1" x14ac:dyDescent="0.3">
      <c r="A378" s="128">
        <v>41502</v>
      </c>
      <c r="B378" s="129">
        <v>101.6917</v>
      </c>
    </row>
    <row r="379" spans="1:2" hidden="1" x14ac:dyDescent="0.3">
      <c r="A379" s="128">
        <v>41505</v>
      </c>
      <c r="B379" s="129">
        <v>101.9552</v>
      </c>
    </row>
    <row r="380" spans="1:2" hidden="1" x14ac:dyDescent="0.3">
      <c r="A380" s="128">
        <v>41506</v>
      </c>
      <c r="B380" s="129">
        <v>101.8468</v>
      </c>
    </row>
    <row r="381" spans="1:2" hidden="1" x14ac:dyDescent="0.3">
      <c r="A381" s="128">
        <v>41507</v>
      </c>
      <c r="B381" s="129">
        <v>102.32980000000001</v>
      </c>
    </row>
    <row r="382" spans="1:2" hidden="1" x14ac:dyDescent="0.3">
      <c r="A382" s="128">
        <v>41508</v>
      </c>
      <c r="B382" s="129">
        <v>102.56</v>
      </c>
    </row>
    <row r="383" spans="1:2" hidden="1" x14ac:dyDescent="0.3">
      <c r="A383" s="128">
        <v>41509</v>
      </c>
      <c r="B383" s="129">
        <v>102.2212</v>
      </c>
    </row>
    <row r="384" spans="1:2" hidden="1" x14ac:dyDescent="0.3">
      <c r="A384" s="128">
        <v>41512</v>
      </c>
      <c r="B384" s="129">
        <v>102.45780000000001</v>
      </c>
    </row>
    <row r="385" spans="1:2" hidden="1" x14ac:dyDescent="0.3">
      <c r="A385" s="128">
        <v>41513</v>
      </c>
      <c r="B385" s="129">
        <v>102.6865</v>
      </c>
    </row>
    <row r="386" spans="1:2" hidden="1" x14ac:dyDescent="0.3">
      <c r="A386" s="128">
        <v>41514</v>
      </c>
      <c r="B386" s="129">
        <v>102.6979</v>
      </c>
    </row>
    <row r="387" spans="1:2" hidden="1" x14ac:dyDescent="0.3">
      <c r="A387" s="128">
        <v>41515</v>
      </c>
      <c r="B387" s="129">
        <v>102.9091</v>
      </c>
    </row>
    <row r="388" spans="1:2" hidden="1" x14ac:dyDescent="0.3">
      <c r="A388" s="128">
        <v>41516</v>
      </c>
      <c r="B388" s="129">
        <v>103.0227</v>
      </c>
    </row>
    <row r="389" spans="1:2" hidden="1" x14ac:dyDescent="0.3">
      <c r="A389" s="128">
        <v>41520</v>
      </c>
      <c r="B389" s="129">
        <v>103.24550000000001</v>
      </c>
    </row>
    <row r="390" spans="1:2" hidden="1" x14ac:dyDescent="0.3">
      <c r="A390" s="128">
        <v>41521</v>
      </c>
      <c r="B390" s="129">
        <v>102.8677</v>
      </c>
    </row>
    <row r="391" spans="1:2" hidden="1" x14ac:dyDescent="0.3">
      <c r="A391" s="128">
        <v>41522</v>
      </c>
      <c r="B391" s="129">
        <v>103.20529999999999</v>
      </c>
    </row>
    <row r="392" spans="1:2" hidden="1" x14ac:dyDescent="0.3">
      <c r="A392" s="128">
        <v>41523</v>
      </c>
      <c r="B392" s="129">
        <v>102.5591</v>
      </c>
    </row>
    <row r="393" spans="1:2" hidden="1" x14ac:dyDescent="0.3">
      <c r="A393" s="128">
        <v>41526</v>
      </c>
      <c r="B393" s="129">
        <v>102.31619999999999</v>
      </c>
    </row>
    <row r="394" spans="1:2" hidden="1" x14ac:dyDescent="0.3">
      <c r="A394" s="128">
        <v>41527</v>
      </c>
      <c r="B394" s="129">
        <v>102.2471</v>
      </c>
    </row>
    <row r="395" spans="1:2" hidden="1" x14ac:dyDescent="0.3">
      <c r="A395" s="128">
        <v>41528</v>
      </c>
      <c r="B395" s="129">
        <v>102.0214</v>
      </c>
    </row>
    <row r="396" spans="1:2" hidden="1" x14ac:dyDescent="0.3">
      <c r="A396" s="128">
        <v>41529</v>
      </c>
      <c r="B396" s="129">
        <v>101.8931</v>
      </c>
    </row>
    <row r="397" spans="1:2" hidden="1" x14ac:dyDescent="0.3">
      <c r="A397" s="128">
        <v>41530</v>
      </c>
      <c r="B397" s="129">
        <v>101.97190000000001</v>
      </c>
    </row>
    <row r="398" spans="1:2" hidden="1" x14ac:dyDescent="0.3">
      <c r="A398" s="128">
        <v>41533</v>
      </c>
      <c r="B398" s="129">
        <v>101.5909</v>
      </c>
    </row>
    <row r="399" spans="1:2" hidden="1" x14ac:dyDescent="0.3">
      <c r="A399" s="128">
        <v>41534</v>
      </c>
      <c r="B399" s="129">
        <v>101.5177</v>
      </c>
    </row>
    <row r="400" spans="1:2" hidden="1" x14ac:dyDescent="0.3">
      <c r="A400" s="128">
        <v>41535</v>
      </c>
      <c r="B400" s="129">
        <v>101.5564</v>
      </c>
    </row>
    <row r="401" spans="1:3" hidden="1" x14ac:dyDescent="0.3">
      <c r="A401" s="128">
        <v>41536</v>
      </c>
      <c r="B401" s="129">
        <v>100.6621</v>
      </c>
    </row>
    <row r="402" spans="1:3" hidden="1" x14ac:dyDescent="0.3">
      <c r="A402" s="128">
        <v>41537</v>
      </c>
      <c r="B402" s="129">
        <v>100.8676</v>
      </c>
    </row>
    <row r="403" spans="1:3" hidden="1" x14ac:dyDescent="0.3">
      <c r="A403" s="128">
        <v>41540</v>
      </c>
      <c r="B403" s="129">
        <v>100.8939</v>
      </c>
    </row>
    <row r="404" spans="1:3" hidden="1" x14ac:dyDescent="0.3">
      <c r="A404" s="128">
        <v>41541</v>
      </c>
      <c r="B404" s="129">
        <v>101.0544</v>
      </c>
    </row>
    <row r="405" spans="1:3" hidden="1" x14ac:dyDescent="0.3">
      <c r="A405" s="128">
        <v>41542</v>
      </c>
      <c r="B405" s="129">
        <v>101.0647</v>
      </c>
    </row>
    <row r="406" spans="1:3" hidden="1" x14ac:dyDescent="0.3">
      <c r="A406" s="128">
        <v>41543</v>
      </c>
      <c r="B406" s="129">
        <v>101.2972</v>
      </c>
    </row>
    <row r="407" spans="1:3" hidden="1" x14ac:dyDescent="0.3">
      <c r="A407" s="128">
        <v>41544</v>
      </c>
      <c r="B407" s="129">
        <v>101.27719999999999</v>
      </c>
    </row>
    <row r="408" spans="1:3" x14ac:dyDescent="0.3">
      <c r="A408" s="128">
        <v>41547</v>
      </c>
      <c r="B408" s="129">
        <v>101.24250000000001</v>
      </c>
      <c r="C408" s="130">
        <f>AVERAGE(B345:B408)</f>
        <v>101.95491875000002</v>
      </c>
    </row>
    <row r="409" spans="1:3" hidden="1" x14ac:dyDescent="0.3">
      <c r="A409" s="128">
        <v>41548</v>
      </c>
      <c r="B409" s="129">
        <v>101.2551</v>
      </c>
    </row>
    <row r="410" spans="1:3" hidden="1" x14ac:dyDescent="0.3">
      <c r="A410" s="128">
        <v>41549</v>
      </c>
      <c r="B410" s="129">
        <v>101.0722</v>
      </c>
    </row>
    <row r="411" spans="1:3" hidden="1" x14ac:dyDescent="0.3">
      <c r="A411" s="128">
        <v>41550</v>
      </c>
      <c r="B411" s="129">
        <v>101.0421</v>
      </c>
    </row>
    <row r="412" spans="1:3" hidden="1" x14ac:dyDescent="0.3">
      <c r="A412" s="128">
        <v>41551</v>
      </c>
      <c r="B412" s="129">
        <v>100.9285</v>
      </c>
    </row>
    <row r="413" spans="1:3" hidden="1" x14ac:dyDescent="0.3">
      <c r="A413" s="128">
        <v>41554</v>
      </c>
      <c r="B413" s="129">
        <v>100.95529999999999</v>
      </c>
    </row>
    <row r="414" spans="1:3" hidden="1" x14ac:dyDescent="0.3">
      <c r="A414" s="128">
        <v>41555</v>
      </c>
      <c r="B414" s="129">
        <v>101.0453</v>
      </c>
    </row>
    <row r="415" spans="1:3" hidden="1" x14ac:dyDescent="0.3">
      <c r="A415" s="128">
        <v>41556</v>
      </c>
      <c r="B415" s="129">
        <v>101.35509999999999</v>
      </c>
    </row>
    <row r="416" spans="1:3" hidden="1" x14ac:dyDescent="0.3">
      <c r="A416" s="128">
        <v>41557</v>
      </c>
      <c r="B416" s="129">
        <v>101.11969999999999</v>
      </c>
    </row>
    <row r="417" spans="1:2" hidden="1" x14ac:dyDescent="0.3">
      <c r="A417" s="128">
        <v>41558</v>
      </c>
      <c r="B417" s="129">
        <v>101.12439999999999</v>
      </c>
    </row>
    <row r="418" spans="1:2" hidden="1" x14ac:dyDescent="0.3">
      <c r="A418" s="128">
        <v>41562</v>
      </c>
      <c r="B418" s="129">
        <v>100.99639999999999</v>
      </c>
    </row>
    <row r="419" spans="1:2" hidden="1" x14ac:dyDescent="0.3">
      <c r="A419" s="128">
        <v>41563</v>
      </c>
      <c r="B419" s="129">
        <v>100.916</v>
      </c>
    </row>
    <row r="420" spans="1:2" hidden="1" x14ac:dyDescent="0.3">
      <c r="A420" s="128">
        <v>41564</v>
      </c>
      <c r="B420" s="129">
        <v>100.2627</v>
      </c>
    </row>
    <row r="421" spans="1:2" hidden="1" x14ac:dyDescent="0.3">
      <c r="A421" s="128">
        <v>41565</v>
      </c>
      <c r="B421" s="129">
        <v>100.2303</v>
      </c>
    </row>
    <row r="422" spans="1:2" hidden="1" x14ac:dyDescent="0.3">
      <c r="A422" s="128">
        <v>41568</v>
      </c>
      <c r="B422" s="129">
        <v>100.48480000000001</v>
      </c>
    </row>
    <row r="423" spans="1:2" hidden="1" x14ac:dyDescent="0.3">
      <c r="A423" s="128">
        <v>41569</v>
      </c>
      <c r="B423" s="129">
        <v>100.19759999999999</v>
      </c>
    </row>
    <row r="424" spans="1:2" hidden="1" x14ac:dyDescent="0.3">
      <c r="A424" s="128">
        <v>41570</v>
      </c>
      <c r="B424" s="129">
        <v>100.2975</v>
      </c>
    </row>
    <row r="425" spans="1:2" hidden="1" x14ac:dyDescent="0.3">
      <c r="A425" s="128">
        <v>41571</v>
      </c>
      <c r="B425" s="129">
        <v>100.3888</v>
      </c>
    </row>
    <row r="426" spans="1:2" hidden="1" x14ac:dyDescent="0.3">
      <c r="A426" s="128">
        <v>41572</v>
      </c>
      <c r="B426" s="129">
        <v>100.3541</v>
      </c>
    </row>
    <row r="427" spans="1:2" hidden="1" x14ac:dyDescent="0.3">
      <c r="A427" s="128">
        <v>41575</v>
      </c>
      <c r="B427" s="129">
        <v>100.38290000000001</v>
      </c>
    </row>
    <row r="428" spans="1:2" hidden="1" x14ac:dyDescent="0.3">
      <c r="A428" s="128">
        <v>41576</v>
      </c>
      <c r="B428" s="129">
        <v>100.5044</v>
      </c>
    </row>
    <row r="429" spans="1:2" hidden="1" x14ac:dyDescent="0.3">
      <c r="A429" s="128">
        <v>41577</v>
      </c>
      <c r="B429" s="129">
        <v>100.5098</v>
      </c>
    </row>
    <row r="430" spans="1:2" hidden="1" x14ac:dyDescent="0.3">
      <c r="A430" s="128">
        <v>41578</v>
      </c>
      <c r="B430" s="129">
        <v>100.9573</v>
      </c>
    </row>
    <row r="431" spans="1:2" hidden="1" x14ac:dyDescent="0.3">
      <c r="A431" s="128">
        <v>41579</v>
      </c>
      <c r="B431" s="129">
        <v>101.3904</v>
      </c>
    </row>
    <row r="432" spans="1:2" hidden="1" x14ac:dyDescent="0.3">
      <c r="A432" s="128">
        <v>41582</v>
      </c>
      <c r="B432" s="129">
        <v>101.1754</v>
      </c>
    </row>
    <row r="433" spans="1:2" hidden="1" x14ac:dyDescent="0.3">
      <c r="A433" s="128">
        <v>41583</v>
      </c>
      <c r="B433" s="129">
        <v>101.4592</v>
      </c>
    </row>
    <row r="434" spans="1:2" hidden="1" x14ac:dyDescent="0.3">
      <c r="A434" s="128">
        <v>41584</v>
      </c>
      <c r="B434" s="129">
        <v>101.3404</v>
      </c>
    </row>
    <row r="435" spans="1:2" hidden="1" x14ac:dyDescent="0.3">
      <c r="A435" s="128">
        <v>41585</v>
      </c>
      <c r="B435" s="129">
        <v>101.646</v>
      </c>
    </row>
    <row r="436" spans="1:2" hidden="1" x14ac:dyDescent="0.3">
      <c r="A436" s="128">
        <v>41586</v>
      </c>
      <c r="B436" s="129">
        <v>101.9044</v>
      </c>
    </row>
    <row r="437" spans="1:2" hidden="1" x14ac:dyDescent="0.3">
      <c r="A437" s="128">
        <v>41590</v>
      </c>
      <c r="B437" s="129">
        <v>102.026</v>
      </c>
    </row>
    <row r="438" spans="1:2" hidden="1" x14ac:dyDescent="0.3">
      <c r="A438" s="128">
        <v>41591</v>
      </c>
      <c r="B438" s="129">
        <v>101.7543</v>
      </c>
    </row>
    <row r="439" spans="1:2" hidden="1" x14ac:dyDescent="0.3">
      <c r="A439" s="128">
        <v>41592</v>
      </c>
      <c r="B439" s="129">
        <v>101.6932</v>
      </c>
    </row>
    <row r="440" spans="1:2" hidden="1" x14ac:dyDescent="0.3">
      <c r="A440" s="128">
        <v>41593</v>
      </c>
      <c r="B440" s="129">
        <v>101.5531</v>
      </c>
    </row>
    <row r="441" spans="1:2" hidden="1" x14ac:dyDescent="0.3">
      <c r="A441" s="128">
        <v>41596</v>
      </c>
      <c r="B441" s="129">
        <v>101.245</v>
      </c>
    </row>
    <row r="442" spans="1:2" hidden="1" x14ac:dyDescent="0.3">
      <c r="A442" s="128">
        <v>41597</v>
      </c>
      <c r="B442" s="129">
        <v>101.3259</v>
      </c>
    </row>
    <row r="443" spans="1:2" hidden="1" x14ac:dyDescent="0.3">
      <c r="A443" s="128">
        <v>41598</v>
      </c>
      <c r="B443" s="129">
        <v>101.529</v>
      </c>
    </row>
    <row r="444" spans="1:2" hidden="1" x14ac:dyDescent="0.3">
      <c r="A444" s="128">
        <v>41599</v>
      </c>
      <c r="B444" s="129">
        <v>101.84910000000001</v>
      </c>
    </row>
    <row r="445" spans="1:2" hidden="1" x14ac:dyDescent="0.3">
      <c r="A445" s="128">
        <v>41600</v>
      </c>
      <c r="B445" s="129">
        <v>101.69889999999999</v>
      </c>
    </row>
    <row r="446" spans="1:2" hidden="1" x14ac:dyDescent="0.3">
      <c r="A446" s="128">
        <v>41603</v>
      </c>
      <c r="B446" s="129">
        <v>101.82599999999999</v>
      </c>
    </row>
    <row r="447" spans="1:2" hidden="1" x14ac:dyDescent="0.3">
      <c r="A447" s="128">
        <v>41604</v>
      </c>
      <c r="B447" s="129">
        <v>101.80970000000001</v>
      </c>
    </row>
    <row r="448" spans="1:2" hidden="1" x14ac:dyDescent="0.3">
      <c r="A448" s="128">
        <v>41605</v>
      </c>
      <c r="B448" s="129">
        <v>101.988</v>
      </c>
    </row>
    <row r="449" spans="1:2" hidden="1" x14ac:dyDescent="0.3">
      <c r="A449" s="128">
        <v>41607</v>
      </c>
      <c r="B449" s="129">
        <v>101.93819999999999</v>
      </c>
    </row>
    <row r="450" spans="1:2" hidden="1" x14ac:dyDescent="0.3">
      <c r="A450" s="128">
        <v>41610</v>
      </c>
      <c r="B450" s="129">
        <v>102.1892</v>
      </c>
    </row>
    <row r="451" spans="1:2" hidden="1" x14ac:dyDescent="0.3">
      <c r="A451" s="128">
        <v>41611</v>
      </c>
      <c r="B451" s="129">
        <v>102.1301</v>
      </c>
    </row>
    <row r="452" spans="1:2" hidden="1" x14ac:dyDescent="0.3">
      <c r="A452" s="128">
        <v>41612</v>
      </c>
      <c r="B452" s="129">
        <v>102.1956</v>
      </c>
    </row>
    <row r="453" spans="1:2" hidden="1" x14ac:dyDescent="0.3">
      <c r="A453" s="128">
        <v>41613</v>
      </c>
      <c r="B453" s="129">
        <v>101.7861</v>
      </c>
    </row>
    <row r="454" spans="1:2" hidden="1" x14ac:dyDescent="0.3">
      <c r="A454" s="128">
        <v>41614</v>
      </c>
      <c r="B454" s="129">
        <v>101.6772</v>
      </c>
    </row>
    <row r="455" spans="1:2" hidden="1" x14ac:dyDescent="0.3">
      <c r="A455" s="128">
        <v>41617</v>
      </c>
      <c r="B455" s="129">
        <v>101.4011</v>
      </c>
    </row>
    <row r="456" spans="1:2" hidden="1" x14ac:dyDescent="0.3">
      <c r="A456" s="128">
        <v>41618</v>
      </c>
      <c r="B456" s="129">
        <v>101.33799999999999</v>
      </c>
    </row>
    <row r="457" spans="1:2" hidden="1" x14ac:dyDescent="0.3">
      <c r="A457" s="128">
        <v>41619</v>
      </c>
      <c r="B457" s="129">
        <v>101.35590000000001</v>
      </c>
    </row>
    <row r="458" spans="1:2" hidden="1" x14ac:dyDescent="0.3">
      <c r="A458" s="128">
        <v>41620</v>
      </c>
      <c r="B458" s="129">
        <v>101.6964</v>
      </c>
    </row>
    <row r="459" spans="1:2" hidden="1" x14ac:dyDescent="0.3">
      <c r="A459" s="128">
        <v>41621</v>
      </c>
      <c r="B459" s="129">
        <v>101.63200000000001</v>
      </c>
    </row>
    <row r="460" spans="1:2" hidden="1" x14ac:dyDescent="0.3">
      <c r="A460" s="128">
        <v>41624</v>
      </c>
      <c r="B460" s="129">
        <v>101.4982</v>
      </c>
    </row>
    <row r="461" spans="1:2" hidden="1" x14ac:dyDescent="0.3">
      <c r="A461" s="128">
        <v>41625</v>
      </c>
      <c r="B461" s="129">
        <v>101.5727</v>
      </c>
    </row>
    <row r="462" spans="1:2" hidden="1" x14ac:dyDescent="0.3">
      <c r="A462" s="128">
        <v>41626</v>
      </c>
      <c r="B462" s="129">
        <v>101.7045</v>
      </c>
    </row>
    <row r="463" spans="1:2" hidden="1" x14ac:dyDescent="0.3">
      <c r="A463" s="128">
        <v>41627</v>
      </c>
      <c r="B463" s="129">
        <v>102.0389</v>
      </c>
    </row>
    <row r="464" spans="1:2" hidden="1" x14ac:dyDescent="0.3">
      <c r="A464" s="128">
        <v>41628</v>
      </c>
      <c r="B464" s="129">
        <v>102.02500000000001</v>
      </c>
    </row>
    <row r="465" spans="1:3" hidden="1" x14ac:dyDescent="0.3">
      <c r="A465" s="128">
        <v>41631</v>
      </c>
      <c r="B465" s="129">
        <v>101.8811</v>
      </c>
    </row>
    <row r="466" spans="1:3" hidden="1" x14ac:dyDescent="0.3">
      <c r="A466" s="128">
        <v>41632</v>
      </c>
      <c r="B466" s="129">
        <v>101.9863</v>
      </c>
    </row>
    <row r="467" spans="1:3" hidden="1" x14ac:dyDescent="0.3">
      <c r="A467" s="128">
        <v>41634</v>
      </c>
      <c r="B467" s="129">
        <v>102.08240000000001</v>
      </c>
    </row>
    <row r="468" spans="1:3" hidden="1" x14ac:dyDescent="0.3">
      <c r="A468" s="128">
        <v>41635</v>
      </c>
      <c r="B468" s="129">
        <v>102.0068</v>
      </c>
    </row>
    <row r="469" spans="1:3" hidden="1" x14ac:dyDescent="0.3">
      <c r="A469" s="128">
        <v>41638</v>
      </c>
      <c r="B469" s="129">
        <v>101.7971</v>
      </c>
    </row>
    <row r="470" spans="1:3" x14ac:dyDescent="0.3">
      <c r="A470" s="128">
        <v>41639</v>
      </c>
      <c r="B470" s="129">
        <v>101.85899999999999</v>
      </c>
      <c r="C470" s="130">
        <f>AVERAGE(B409:B470)</f>
        <v>101.37719516129027</v>
      </c>
    </row>
    <row r="471" spans="1:3" hidden="1" x14ac:dyDescent="0.3">
      <c r="A471" s="128">
        <v>41641</v>
      </c>
      <c r="B471" s="129">
        <v>102.1103</v>
      </c>
    </row>
    <row r="472" spans="1:3" hidden="1" x14ac:dyDescent="0.3">
      <c r="A472" s="128">
        <v>41642</v>
      </c>
      <c r="B472" s="129">
        <v>102.15479999999999</v>
      </c>
    </row>
    <row r="473" spans="1:3" hidden="1" x14ac:dyDescent="0.3">
      <c r="A473" s="128">
        <v>41645</v>
      </c>
      <c r="B473" s="129">
        <v>102.2205</v>
      </c>
    </row>
    <row r="474" spans="1:3" hidden="1" x14ac:dyDescent="0.3">
      <c r="A474" s="128">
        <v>41646</v>
      </c>
      <c r="B474" s="129">
        <v>102.3396</v>
      </c>
    </row>
    <row r="475" spans="1:3" hidden="1" x14ac:dyDescent="0.3">
      <c r="A475" s="128">
        <v>41647</v>
      </c>
      <c r="B475" s="129">
        <v>102.5153</v>
      </c>
    </row>
    <row r="476" spans="1:3" hidden="1" x14ac:dyDescent="0.3">
      <c r="A476" s="128">
        <v>41648</v>
      </c>
      <c r="B476" s="129">
        <v>102.6219</v>
      </c>
    </row>
    <row r="477" spans="1:3" hidden="1" x14ac:dyDescent="0.3">
      <c r="A477" s="128">
        <v>41649</v>
      </c>
      <c r="B477" s="129">
        <v>102.2769</v>
      </c>
    </row>
    <row r="478" spans="1:3" hidden="1" x14ac:dyDescent="0.3">
      <c r="A478" s="128">
        <v>41652</v>
      </c>
      <c r="B478" s="129">
        <v>102.15479999999999</v>
      </c>
    </row>
    <row r="479" spans="1:3" hidden="1" x14ac:dyDescent="0.3">
      <c r="A479" s="128">
        <v>41653</v>
      </c>
      <c r="B479" s="129">
        <v>102.28400000000001</v>
      </c>
    </row>
    <row r="480" spans="1:3" hidden="1" x14ac:dyDescent="0.3">
      <c r="A480" s="128">
        <v>41654</v>
      </c>
      <c r="B480" s="129">
        <v>102.6096</v>
      </c>
    </row>
    <row r="481" spans="1:2" hidden="1" x14ac:dyDescent="0.3">
      <c r="A481" s="128">
        <v>41655</v>
      </c>
      <c r="B481" s="129">
        <v>102.8309</v>
      </c>
    </row>
    <row r="482" spans="1:2" hidden="1" x14ac:dyDescent="0.3">
      <c r="A482" s="128">
        <v>41656</v>
      </c>
      <c r="B482" s="129">
        <v>102.86709999999999</v>
      </c>
    </row>
    <row r="483" spans="1:2" hidden="1" x14ac:dyDescent="0.3">
      <c r="A483" s="128">
        <v>41660</v>
      </c>
      <c r="B483" s="129">
        <v>102.988</v>
      </c>
    </row>
    <row r="484" spans="1:2" hidden="1" x14ac:dyDescent="0.3">
      <c r="A484" s="128">
        <v>41661</v>
      </c>
      <c r="B484" s="129">
        <v>103.1598</v>
      </c>
    </row>
    <row r="485" spans="1:2" hidden="1" x14ac:dyDescent="0.3">
      <c r="A485" s="128">
        <v>41662</v>
      </c>
      <c r="B485" s="129">
        <v>103.17019999999999</v>
      </c>
    </row>
    <row r="486" spans="1:2" hidden="1" x14ac:dyDescent="0.3">
      <c r="A486" s="128">
        <v>41663</v>
      </c>
      <c r="B486" s="129">
        <v>103.1923</v>
      </c>
    </row>
    <row r="487" spans="1:2" hidden="1" x14ac:dyDescent="0.3">
      <c r="A487" s="128">
        <v>41666</v>
      </c>
      <c r="B487" s="129">
        <v>103.2561</v>
      </c>
    </row>
    <row r="488" spans="1:2" hidden="1" x14ac:dyDescent="0.3">
      <c r="A488" s="128">
        <v>41667</v>
      </c>
      <c r="B488" s="129">
        <v>103.2212</v>
      </c>
    </row>
    <row r="489" spans="1:2" hidden="1" x14ac:dyDescent="0.3">
      <c r="A489" s="128">
        <v>41668</v>
      </c>
      <c r="B489" s="129">
        <v>103.20650000000001</v>
      </c>
    </row>
    <row r="490" spans="1:2" hidden="1" x14ac:dyDescent="0.3">
      <c r="A490" s="128">
        <v>41669</v>
      </c>
      <c r="B490" s="129">
        <v>103.47839999999999</v>
      </c>
    </row>
    <row r="491" spans="1:2" hidden="1" x14ac:dyDescent="0.3">
      <c r="A491" s="128">
        <v>41670</v>
      </c>
      <c r="B491" s="129">
        <v>103.5382</v>
      </c>
    </row>
    <row r="492" spans="1:2" hidden="1" x14ac:dyDescent="0.3">
      <c r="A492" s="128">
        <v>41673</v>
      </c>
      <c r="B492" s="129">
        <v>103.6114</v>
      </c>
    </row>
    <row r="493" spans="1:2" hidden="1" x14ac:dyDescent="0.3">
      <c r="A493" s="128">
        <v>41674</v>
      </c>
      <c r="B493" s="129">
        <v>103.3946</v>
      </c>
    </row>
    <row r="494" spans="1:2" hidden="1" x14ac:dyDescent="0.3">
      <c r="A494" s="128">
        <v>41675</v>
      </c>
      <c r="B494" s="129">
        <v>103.36360000000001</v>
      </c>
    </row>
    <row r="495" spans="1:2" hidden="1" x14ac:dyDescent="0.3">
      <c r="A495" s="128">
        <v>41676</v>
      </c>
      <c r="B495" s="129">
        <v>103.0534</v>
      </c>
    </row>
    <row r="496" spans="1:2" hidden="1" x14ac:dyDescent="0.3">
      <c r="A496" s="128">
        <v>41677</v>
      </c>
      <c r="B496" s="129">
        <v>103.0979</v>
      </c>
    </row>
    <row r="497" spans="1:2" hidden="1" x14ac:dyDescent="0.3">
      <c r="A497" s="128">
        <v>41680</v>
      </c>
      <c r="B497" s="129">
        <v>103.0635</v>
      </c>
    </row>
    <row r="498" spans="1:2" hidden="1" x14ac:dyDescent="0.3">
      <c r="A498" s="128">
        <v>41681</v>
      </c>
      <c r="B498" s="129">
        <v>102.9863</v>
      </c>
    </row>
    <row r="499" spans="1:2" hidden="1" x14ac:dyDescent="0.3">
      <c r="A499" s="128">
        <v>41682</v>
      </c>
      <c r="B499" s="129">
        <v>102.97320000000001</v>
      </c>
    </row>
    <row r="500" spans="1:2" hidden="1" x14ac:dyDescent="0.3">
      <c r="A500" s="128">
        <v>41683</v>
      </c>
      <c r="B500" s="129">
        <v>102.8824</v>
      </c>
    </row>
    <row r="501" spans="1:2" hidden="1" x14ac:dyDescent="0.3">
      <c r="A501" s="128">
        <v>41684</v>
      </c>
      <c r="B501" s="129">
        <v>102.63630000000001</v>
      </c>
    </row>
    <row r="502" spans="1:2" hidden="1" x14ac:dyDescent="0.3">
      <c r="A502" s="128">
        <v>41688</v>
      </c>
      <c r="B502" s="129">
        <v>102.5705</v>
      </c>
    </row>
    <row r="503" spans="1:2" hidden="1" x14ac:dyDescent="0.3">
      <c r="A503" s="128">
        <v>41689</v>
      </c>
      <c r="B503" s="129">
        <v>102.76439999999999</v>
      </c>
    </row>
    <row r="504" spans="1:2" hidden="1" x14ac:dyDescent="0.3">
      <c r="A504" s="128">
        <v>41690</v>
      </c>
      <c r="B504" s="129">
        <v>103.0535</v>
      </c>
    </row>
    <row r="505" spans="1:2" hidden="1" x14ac:dyDescent="0.3">
      <c r="A505" s="128">
        <v>41691</v>
      </c>
      <c r="B505" s="129">
        <v>103.02970000000001</v>
      </c>
    </row>
    <row r="506" spans="1:2" hidden="1" x14ac:dyDescent="0.3">
      <c r="A506" s="128">
        <v>41694</v>
      </c>
      <c r="B506" s="129">
        <v>102.80970000000001</v>
      </c>
    </row>
    <row r="507" spans="1:2" hidden="1" x14ac:dyDescent="0.3">
      <c r="A507" s="128">
        <v>41695</v>
      </c>
      <c r="B507" s="129">
        <v>102.91549999999999</v>
      </c>
    </row>
    <row r="508" spans="1:2" hidden="1" x14ac:dyDescent="0.3">
      <c r="A508" s="128">
        <v>41696</v>
      </c>
      <c r="B508" s="129">
        <v>103.212</v>
      </c>
    </row>
    <row r="509" spans="1:2" hidden="1" x14ac:dyDescent="0.3">
      <c r="A509" s="128">
        <v>41697</v>
      </c>
      <c r="B509" s="129">
        <v>103.12220000000001</v>
      </c>
    </row>
    <row r="510" spans="1:2" hidden="1" x14ac:dyDescent="0.3">
      <c r="A510" s="128">
        <v>41698</v>
      </c>
      <c r="B510" s="129">
        <v>102.85550000000001</v>
      </c>
    </row>
    <row r="511" spans="1:2" hidden="1" x14ac:dyDescent="0.3">
      <c r="A511" s="128">
        <v>41701</v>
      </c>
      <c r="B511" s="129">
        <v>103.0763</v>
      </c>
    </row>
    <row r="512" spans="1:2" hidden="1" x14ac:dyDescent="0.3">
      <c r="A512" s="128">
        <v>41702</v>
      </c>
      <c r="B512" s="129">
        <v>103.1185</v>
      </c>
    </row>
    <row r="513" spans="1:2" hidden="1" x14ac:dyDescent="0.3">
      <c r="A513" s="128">
        <v>41703</v>
      </c>
      <c r="B513" s="129">
        <v>102.92440000000001</v>
      </c>
    </row>
    <row r="514" spans="1:2" hidden="1" x14ac:dyDescent="0.3">
      <c r="A514" s="128">
        <v>41704</v>
      </c>
      <c r="B514" s="129">
        <v>102.4346</v>
      </c>
    </row>
    <row r="515" spans="1:2" hidden="1" x14ac:dyDescent="0.3">
      <c r="A515" s="128">
        <v>41705</v>
      </c>
      <c r="B515" s="129">
        <v>102.7033</v>
      </c>
    </row>
    <row r="516" spans="1:2" hidden="1" x14ac:dyDescent="0.3">
      <c r="A516" s="128">
        <v>41708</v>
      </c>
      <c r="B516" s="129">
        <v>102.8321</v>
      </c>
    </row>
    <row r="517" spans="1:2" hidden="1" x14ac:dyDescent="0.3">
      <c r="A517" s="128">
        <v>41709</v>
      </c>
      <c r="B517" s="129">
        <v>102.85129999999999</v>
      </c>
    </row>
    <row r="518" spans="1:2" hidden="1" x14ac:dyDescent="0.3">
      <c r="A518" s="128">
        <v>41710</v>
      </c>
      <c r="B518" s="129">
        <v>102.9306</v>
      </c>
    </row>
    <row r="519" spans="1:2" hidden="1" x14ac:dyDescent="0.3">
      <c r="A519" s="128">
        <v>41711</v>
      </c>
      <c r="B519" s="129">
        <v>102.6533</v>
      </c>
    </row>
    <row r="520" spans="1:2" hidden="1" x14ac:dyDescent="0.3">
      <c r="A520" s="128">
        <v>41712</v>
      </c>
      <c r="B520" s="129">
        <v>102.7204</v>
      </c>
    </row>
    <row r="521" spans="1:2" hidden="1" x14ac:dyDescent="0.3">
      <c r="A521" s="128">
        <v>41715</v>
      </c>
      <c r="B521" s="129">
        <v>102.6943</v>
      </c>
    </row>
    <row r="522" spans="1:2" hidden="1" x14ac:dyDescent="0.3">
      <c r="A522" s="128">
        <v>41716</v>
      </c>
      <c r="B522" s="129">
        <v>102.77200000000001</v>
      </c>
    </row>
    <row r="523" spans="1:2" hidden="1" x14ac:dyDescent="0.3">
      <c r="A523" s="128">
        <v>41717</v>
      </c>
      <c r="B523" s="129">
        <v>102.879</v>
      </c>
    </row>
    <row r="524" spans="1:2" hidden="1" x14ac:dyDescent="0.3">
      <c r="A524" s="128">
        <v>41718</v>
      </c>
      <c r="B524" s="129">
        <v>103.5496</v>
      </c>
    </row>
    <row r="525" spans="1:2" hidden="1" x14ac:dyDescent="0.3">
      <c r="A525" s="128">
        <v>41719</v>
      </c>
      <c r="B525" s="129">
        <v>103.4122</v>
      </c>
    </row>
    <row r="526" spans="1:2" hidden="1" x14ac:dyDescent="0.3">
      <c r="A526" s="128">
        <v>41722</v>
      </c>
      <c r="B526" s="129">
        <v>103.2731</v>
      </c>
    </row>
    <row r="527" spans="1:2" hidden="1" x14ac:dyDescent="0.3">
      <c r="A527" s="128">
        <v>41723</v>
      </c>
      <c r="B527" s="129">
        <v>103.1549</v>
      </c>
    </row>
    <row r="528" spans="1:2" hidden="1" x14ac:dyDescent="0.3">
      <c r="A528" s="128">
        <v>41724</v>
      </c>
      <c r="B528" s="129">
        <v>103.0579</v>
      </c>
    </row>
    <row r="529" spans="1:3" hidden="1" x14ac:dyDescent="0.3">
      <c r="A529" s="128">
        <v>41725</v>
      </c>
      <c r="B529" s="129">
        <v>102.87869999999999</v>
      </c>
    </row>
    <row r="530" spans="1:3" hidden="1" x14ac:dyDescent="0.3">
      <c r="A530" s="128">
        <v>41726</v>
      </c>
      <c r="B530" s="129">
        <v>102.9109</v>
      </c>
    </row>
    <row r="531" spans="1:3" x14ac:dyDescent="0.3">
      <c r="A531" s="128">
        <v>41729</v>
      </c>
      <c r="B531" s="129">
        <v>102.7788</v>
      </c>
      <c r="C531" s="130">
        <f>AVERAGE(B471:B531)</f>
        <v>102.90488852459015</v>
      </c>
    </row>
    <row r="532" spans="1:3" hidden="1" x14ac:dyDescent="0.3">
      <c r="A532" s="128">
        <v>41730</v>
      </c>
      <c r="B532" s="129">
        <v>102.6357</v>
      </c>
    </row>
    <row r="533" spans="1:3" hidden="1" x14ac:dyDescent="0.3">
      <c r="A533" s="128">
        <v>41731</v>
      </c>
      <c r="B533" s="129">
        <v>102.8309</v>
      </c>
    </row>
    <row r="534" spans="1:3" hidden="1" x14ac:dyDescent="0.3">
      <c r="A534" s="128">
        <v>41732</v>
      </c>
      <c r="B534" s="129">
        <v>103.0416</v>
      </c>
    </row>
    <row r="535" spans="1:3" hidden="1" x14ac:dyDescent="0.3">
      <c r="A535" s="128">
        <v>41733</v>
      </c>
      <c r="B535" s="129">
        <v>102.7456</v>
      </c>
    </row>
    <row r="536" spans="1:3" hidden="1" x14ac:dyDescent="0.3">
      <c r="A536" s="128">
        <v>41736</v>
      </c>
      <c r="B536" s="129">
        <v>102.6225</v>
      </c>
    </row>
    <row r="537" spans="1:3" hidden="1" x14ac:dyDescent="0.3">
      <c r="A537" s="128">
        <v>41737</v>
      </c>
      <c r="B537" s="129">
        <v>102.175</v>
      </c>
    </row>
    <row r="538" spans="1:3" hidden="1" x14ac:dyDescent="0.3">
      <c r="A538" s="128">
        <v>41738</v>
      </c>
      <c r="B538" s="129">
        <v>102.1842</v>
      </c>
    </row>
    <row r="539" spans="1:3" hidden="1" x14ac:dyDescent="0.3">
      <c r="A539" s="128">
        <v>41739</v>
      </c>
      <c r="B539" s="129">
        <v>102.0372</v>
      </c>
    </row>
    <row r="540" spans="1:3" hidden="1" x14ac:dyDescent="0.3">
      <c r="A540" s="128">
        <v>41740</v>
      </c>
      <c r="B540" s="129">
        <v>102.15989999999999</v>
      </c>
    </row>
    <row r="541" spans="1:3" hidden="1" x14ac:dyDescent="0.3">
      <c r="A541" s="128">
        <v>41743</v>
      </c>
      <c r="B541" s="129">
        <v>102.34829999999999</v>
      </c>
    </row>
    <row r="542" spans="1:3" hidden="1" x14ac:dyDescent="0.3">
      <c r="A542" s="128">
        <v>41744</v>
      </c>
      <c r="B542" s="129">
        <v>102.4997</v>
      </c>
    </row>
    <row r="543" spans="1:3" hidden="1" x14ac:dyDescent="0.3">
      <c r="A543" s="128">
        <v>41745</v>
      </c>
      <c r="B543" s="129">
        <v>102.4897</v>
      </c>
    </row>
    <row r="544" spans="1:3" hidden="1" x14ac:dyDescent="0.3">
      <c r="A544" s="128">
        <v>41746</v>
      </c>
      <c r="B544" s="129">
        <v>102.4285</v>
      </c>
    </row>
    <row r="545" spans="1:2" hidden="1" x14ac:dyDescent="0.3">
      <c r="A545" s="128">
        <v>41747</v>
      </c>
      <c r="B545" s="129">
        <v>102.4996</v>
      </c>
    </row>
    <row r="546" spans="1:2" hidden="1" x14ac:dyDescent="0.3">
      <c r="A546" s="128">
        <v>41750</v>
      </c>
      <c r="B546" s="129">
        <v>102.5825</v>
      </c>
    </row>
    <row r="547" spans="1:2" hidden="1" x14ac:dyDescent="0.3">
      <c r="A547" s="128">
        <v>41751</v>
      </c>
      <c r="B547" s="129">
        <v>102.6511</v>
      </c>
    </row>
    <row r="548" spans="1:2" hidden="1" x14ac:dyDescent="0.3">
      <c r="A548" s="128">
        <v>41752</v>
      </c>
      <c r="B548" s="129">
        <v>102.71639999999999</v>
      </c>
    </row>
    <row r="549" spans="1:2" hidden="1" x14ac:dyDescent="0.3">
      <c r="A549" s="128">
        <v>41753</v>
      </c>
      <c r="B549" s="129">
        <v>102.7139</v>
      </c>
    </row>
    <row r="550" spans="1:2" hidden="1" x14ac:dyDescent="0.3">
      <c r="A550" s="128">
        <v>41754</v>
      </c>
      <c r="B550" s="129">
        <v>102.7586</v>
      </c>
    </row>
    <row r="551" spans="1:2" hidden="1" x14ac:dyDescent="0.3">
      <c r="A551" s="128">
        <v>41757</v>
      </c>
      <c r="B551" s="129">
        <v>102.7247</v>
      </c>
    </row>
    <row r="552" spans="1:2" hidden="1" x14ac:dyDescent="0.3">
      <c r="A552" s="128">
        <v>41758</v>
      </c>
      <c r="B552" s="129">
        <v>102.6219</v>
      </c>
    </row>
    <row r="553" spans="1:2" hidden="1" x14ac:dyDescent="0.3">
      <c r="A553" s="128">
        <v>41759</v>
      </c>
      <c r="B553" s="129">
        <v>102.4924</v>
      </c>
    </row>
    <row r="554" spans="1:2" hidden="1" x14ac:dyDescent="0.3">
      <c r="A554" s="128">
        <v>41760</v>
      </c>
      <c r="B554" s="129">
        <v>102.47280000000001</v>
      </c>
    </row>
    <row r="555" spans="1:2" hidden="1" x14ac:dyDescent="0.3">
      <c r="A555" s="128">
        <v>41761</v>
      </c>
      <c r="B555" s="129">
        <v>102.41679999999999</v>
      </c>
    </row>
    <row r="556" spans="1:2" hidden="1" x14ac:dyDescent="0.3">
      <c r="A556" s="128">
        <v>41764</v>
      </c>
      <c r="B556" s="129">
        <v>102.3125</v>
      </c>
    </row>
    <row r="557" spans="1:2" hidden="1" x14ac:dyDescent="0.3">
      <c r="A557" s="128">
        <v>41765</v>
      </c>
      <c r="B557" s="129">
        <v>101.9957</v>
      </c>
    </row>
    <row r="558" spans="1:2" hidden="1" x14ac:dyDescent="0.3">
      <c r="A558" s="128">
        <v>41766</v>
      </c>
      <c r="B558" s="129">
        <v>101.9927</v>
      </c>
    </row>
    <row r="559" spans="1:2" hidden="1" x14ac:dyDescent="0.3">
      <c r="A559" s="128">
        <v>41767</v>
      </c>
      <c r="B559" s="129">
        <v>101.91930000000001</v>
      </c>
    </row>
    <row r="560" spans="1:2" hidden="1" x14ac:dyDescent="0.3">
      <c r="A560" s="128">
        <v>41768</v>
      </c>
      <c r="B560" s="129">
        <v>102.2056</v>
      </c>
    </row>
    <row r="561" spans="1:2" hidden="1" x14ac:dyDescent="0.3">
      <c r="A561" s="128">
        <v>41771</v>
      </c>
      <c r="B561" s="129">
        <v>102.2119</v>
      </c>
    </row>
    <row r="562" spans="1:2" hidden="1" x14ac:dyDescent="0.3">
      <c r="A562" s="128">
        <v>41772</v>
      </c>
      <c r="B562" s="129">
        <v>102.2137</v>
      </c>
    </row>
    <row r="563" spans="1:2" hidden="1" x14ac:dyDescent="0.3">
      <c r="A563" s="128">
        <v>41773</v>
      </c>
      <c r="B563" s="129">
        <v>102.1208</v>
      </c>
    </row>
    <row r="564" spans="1:2" hidden="1" x14ac:dyDescent="0.3">
      <c r="A564" s="128">
        <v>41774</v>
      </c>
      <c r="B564" s="129">
        <v>102.2371</v>
      </c>
    </row>
    <row r="565" spans="1:2" hidden="1" x14ac:dyDescent="0.3">
      <c r="A565" s="128">
        <v>41775</v>
      </c>
      <c r="B565" s="129">
        <v>102.1418</v>
      </c>
    </row>
    <row r="566" spans="1:2" hidden="1" x14ac:dyDescent="0.3">
      <c r="A566" s="128">
        <v>41778</v>
      </c>
      <c r="B566" s="129">
        <v>102.0334</v>
      </c>
    </row>
    <row r="567" spans="1:2" hidden="1" x14ac:dyDescent="0.3">
      <c r="A567" s="128">
        <v>41779</v>
      </c>
      <c r="B567" s="129">
        <v>102.2064</v>
      </c>
    </row>
    <row r="568" spans="1:2" hidden="1" x14ac:dyDescent="0.3">
      <c r="A568" s="128">
        <v>41780</v>
      </c>
      <c r="B568" s="129">
        <v>102.28879999999999</v>
      </c>
    </row>
    <row r="569" spans="1:2" hidden="1" x14ac:dyDescent="0.3">
      <c r="A569" s="128">
        <v>41781</v>
      </c>
      <c r="B569" s="129">
        <v>102.2243</v>
      </c>
    </row>
    <row r="570" spans="1:2" hidden="1" x14ac:dyDescent="0.3">
      <c r="A570" s="128">
        <v>41782</v>
      </c>
      <c r="B570" s="129">
        <v>102.2355</v>
      </c>
    </row>
    <row r="571" spans="1:2" hidden="1" x14ac:dyDescent="0.3">
      <c r="A571" s="128">
        <v>41786</v>
      </c>
      <c r="B571" s="129">
        <v>102.3892</v>
      </c>
    </row>
    <row r="572" spans="1:2" hidden="1" x14ac:dyDescent="0.3">
      <c r="A572" s="128">
        <v>41787</v>
      </c>
      <c r="B572" s="129">
        <v>102.42789999999999</v>
      </c>
    </row>
    <row r="573" spans="1:2" hidden="1" x14ac:dyDescent="0.3">
      <c r="A573" s="128">
        <v>41788</v>
      </c>
      <c r="B573" s="129">
        <v>102.2308</v>
      </c>
    </row>
    <row r="574" spans="1:2" hidden="1" x14ac:dyDescent="0.3">
      <c r="A574" s="128">
        <v>41789</v>
      </c>
      <c r="B574" s="129">
        <v>102.31440000000001</v>
      </c>
    </row>
    <row r="575" spans="1:2" hidden="1" x14ac:dyDescent="0.3">
      <c r="A575" s="128">
        <v>41792</v>
      </c>
      <c r="B575" s="129">
        <v>102.55970000000001</v>
      </c>
    </row>
    <row r="576" spans="1:2" hidden="1" x14ac:dyDescent="0.3">
      <c r="A576" s="128">
        <v>41793</v>
      </c>
      <c r="B576" s="129">
        <v>102.61669999999999</v>
      </c>
    </row>
    <row r="577" spans="1:2" hidden="1" x14ac:dyDescent="0.3">
      <c r="A577" s="128">
        <v>41794</v>
      </c>
      <c r="B577" s="129">
        <v>102.6845</v>
      </c>
    </row>
    <row r="578" spans="1:2" hidden="1" x14ac:dyDescent="0.3">
      <c r="A578" s="128">
        <v>41795</v>
      </c>
      <c r="B578" s="129">
        <v>102.532</v>
      </c>
    </row>
    <row r="579" spans="1:2" hidden="1" x14ac:dyDescent="0.3">
      <c r="A579" s="128">
        <v>41796</v>
      </c>
      <c r="B579" s="129">
        <v>102.4483</v>
      </c>
    </row>
    <row r="580" spans="1:2" hidden="1" x14ac:dyDescent="0.3">
      <c r="A580" s="128">
        <v>41799</v>
      </c>
      <c r="B580" s="129">
        <v>102.4897</v>
      </c>
    </row>
    <row r="581" spans="1:2" hidden="1" x14ac:dyDescent="0.3">
      <c r="A581" s="128">
        <v>41800</v>
      </c>
      <c r="B581" s="129">
        <v>102.575</v>
      </c>
    </row>
    <row r="582" spans="1:2" hidden="1" x14ac:dyDescent="0.3">
      <c r="A582" s="128">
        <v>41801</v>
      </c>
      <c r="B582" s="129">
        <v>102.49720000000001</v>
      </c>
    </row>
    <row r="583" spans="1:2" hidden="1" x14ac:dyDescent="0.3">
      <c r="A583" s="128">
        <v>41802</v>
      </c>
      <c r="B583" s="129">
        <v>102.3312</v>
      </c>
    </row>
    <row r="584" spans="1:2" hidden="1" x14ac:dyDescent="0.3">
      <c r="A584" s="128">
        <v>41803</v>
      </c>
      <c r="B584" s="129">
        <v>102.43300000000001</v>
      </c>
    </row>
    <row r="585" spans="1:2" hidden="1" x14ac:dyDescent="0.3">
      <c r="A585" s="128">
        <v>41806</v>
      </c>
      <c r="B585" s="129">
        <v>102.4098</v>
      </c>
    </row>
    <row r="586" spans="1:2" hidden="1" x14ac:dyDescent="0.3">
      <c r="A586" s="128">
        <v>41807</v>
      </c>
      <c r="B586" s="129">
        <v>102.64</v>
      </c>
    </row>
    <row r="587" spans="1:2" hidden="1" x14ac:dyDescent="0.3">
      <c r="A587" s="128">
        <v>41808</v>
      </c>
      <c r="B587" s="129">
        <v>102.6083</v>
      </c>
    </row>
    <row r="588" spans="1:2" hidden="1" x14ac:dyDescent="0.3">
      <c r="A588" s="128">
        <v>41809</v>
      </c>
      <c r="B588" s="129">
        <v>102.3019</v>
      </c>
    </row>
    <row r="589" spans="1:2" hidden="1" x14ac:dyDescent="0.3">
      <c r="A589" s="128">
        <v>41810</v>
      </c>
      <c r="B589" s="129">
        <v>102.3164</v>
      </c>
    </row>
    <row r="590" spans="1:2" hidden="1" x14ac:dyDescent="0.3">
      <c r="A590" s="128">
        <v>41813</v>
      </c>
      <c r="B590" s="129">
        <v>102.1785</v>
      </c>
    </row>
    <row r="591" spans="1:2" hidden="1" x14ac:dyDescent="0.3">
      <c r="A591" s="128">
        <v>41814</v>
      </c>
      <c r="B591" s="129">
        <v>102.2522</v>
      </c>
    </row>
    <row r="592" spans="1:2" hidden="1" x14ac:dyDescent="0.3">
      <c r="A592" s="128">
        <v>41815</v>
      </c>
      <c r="B592" s="129">
        <v>102.1417</v>
      </c>
    </row>
    <row r="593" spans="1:3" hidden="1" x14ac:dyDescent="0.3">
      <c r="A593" s="128">
        <v>41816</v>
      </c>
      <c r="B593" s="129">
        <v>102.09099999999999</v>
      </c>
    </row>
    <row r="594" spans="1:3" hidden="1" x14ac:dyDescent="0.3">
      <c r="A594" s="128">
        <v>41817</v>
      </c>
      <c r="B594" s="129">
        <v>101.9323</v>
      </c>
    </row>
    <row r="595" spans="1:3" x14ac:dyDescent="0.3">
      <c r="A595" s="128">
        <v>41820</v>
      </c>
      <c r="B595" s="129">
        <v>101.72880000000001</v>
      </c>
      <c r="C595" s="130">
        <f>AVERAGE(B532:B595)</f>
        <v>102.37999218750001</v>
      </c>
    </row>
    <row r="596" spans="1:3" hidden="1" x14ac:dyDescent="0.3">
      <c r="A596" s="128">
        <v>41821</v>
      </c>
      <c r="B596" s="129">
        <v>101.6677</v>
      </c>
    </row>
    <row r="597" spans="1:3" hidden="1" x14ac:dyDescent="0.3">
      <c r="A597" s="128">
        <v>41822</v>
      </c>
      <c r="B597" s="129">
        <v>101.7916</v>
      </c>
    </row>
    <row r="598" spans="1:3" hidden="1" x14ac:dyDescent="0.3">
      <c r="A598" s="128">
        <v>41823</v>
      </c>
      <c r="B598" s="129">
        <v>101.86</v>
      </c>
    </row>
    <row r="599" spans="1:3" hidden="1" x14ac:dyDescent="0.3">
      <c r="A599" s="128">
        <v>41827</v>
      </c>
      <c r="B599" s="129">
        <v>101.9126</v>
      </c>
    </row>
    <row r="600" spans="1:3" hidden="1" x14ac:dyDescent="0.3">
      <c r="A600" s="128">
        <v>41828</v>
      </c>
      <c r="B600" s="129">
        <v>101.8434</v>
      </c>
    </row>
    <row r="601" spans="1:3" hidden="1" x14ac:dyDescent="0.3">
      <c r="A601" s="128">
        <v>41829</v>
      </c>
      <c r="B601" s="129">
        <v>101.7409</v>
      </c>
    </row>
    <row r="602" spans="1:3" hidden="1" x14ac:dyDescent="0.3">
      <c r="A602" s="128">
        <v>41830</v>
      </c>
      <c r="B602" s="129">
        <v>101.83</v>
      </c>
    </row>
    <row r="603" spans="1:3" hidden="1" x14ac:dyDescent="0.3">
      <c r="A603" s="128">
        <v>41831</v>
      </c>
      <c r="B603" s="129">
        <v>101.9362</v>
      </c>
    </row>
    <row r="604" spans="1:3" hidden="1" x14ac:dyDescent="0.3">
      <c r="A604" s="128">
        <v>41834</v>
      </c>
      <c r="B604" s="129">
        <v>101.9349</v>
      </c>
    </row>
    <row r="605" spans="1:3" hidden="1" x14ac:dyDescent="0.3">
      <c r="A605" s="128">
        <v>41835</v>
      </c>
      <c r="B605" s="129">
        <v>102.119</v>
      </c>
    </row>
    <row r="606" spans="1:3" hidden="1" x14ac:dyDescent="0.3">
      <c r="A606" s="128">
        <v>41836</v>
      </c>
      <c r="B606" s="129">
        <v>102.13800000000001</v>
      </c>
    </row>
    <row r="607" spans="1:3" hidden="1" x14ac:dyDescent="0.3">
      <c r="A607" s="128">
        <v>41837</v>
      </c>
      <c r="B607" s="129">
        <v>102.2072</v>
      </c>
    </row>
    <row r="608" spans="1:3" hidden="1" x14ac:dyDescent="0.3">
      <c r="A608" s="128">
        <v>41838</v>
      </c>
      <c r="B608" s="129">
        <v>102.212</v>
      </c>
    </row>
    <row r="609" spans="1:2" hidden="1" x14ac:dyDescent="0.3">
      <c r="A609" s="128">
        <v>41841</v>
      </c>
      <c r="B609" s="129">
        <v>102.1521</v>
      </c>
    </row>
    <row r="610" spans="1:2" hidden="1" x14ac:dyDescent="0.3">
      <c r="A610" s="128">
        <v>41842</v>
      </c>
      <c r="B610" s="129">
        <v>102.1596</v>
      </c>
    </row>
    <row r="611" spans="1:2" hidden="1" x14ac:dyDescent="0.3">
      <c r="A611" s="128">
        <v>41843</v>
      </c>
      <c r="B611" s="129">
        <v>102.11020000000001</v>
      </c>
    </row>
    <row r="612" spans="1:2" hidden="1" x14ac:dyDescent="0.3">
      <c r="A612" s="128">
        <v>41844</v>
      </c>
      <c r="B612" s="129">
        <v>102.2007</v>
      </c>
    </row>
    <row r="613" spans="1:2" hidden="1" x14ac:dyDescent="0.3">
      <c r="A613" s="128">
        <v>41845</v>
      </c>
      <c r="B613" s="129">
        <v>102.3342</v>
      </c>
    </row>
    <row r="614" spans="1:2" hidden="1" x14ac:dyDescent="0.3">
      <c r="A614" s="128">
        <v>41848</v>
      </c>
      <c r="B614" s="129">
        <v>102.3416</v>
      </c>
    </row>
    <row r="615" spans="1:2" hidden="1" x14ac:dyDescent="0.3">
      <c r="A615" s="128">
        <v>41849</v>
      </c>
      <c r="B615" s="129">
        <v>102.5414</v>
      </c>
    </row>
    <row r="616" spans="1:2" hidden="1" x14ac:dyDescent="0.3">
      <c r="A616" s="128">
        <v>41850</v>
      </c>
      <c r="B616" s="129">
        <v>102.834</v>
      </c>
    </row>
    <row r="617" spans="1:2" hidden="1" x14ac:dyDescent="0.3">
      <c r="A617" s="128">
        <v>41851</v>
      </c>
      <c r="B617" s="129">
        <v>102.9487</v>
      </c>
    </row>
    <row r="618" spans="1:2" hidden="1" x14ac:dyDescent="0.3">
      <c r="A618" s="128">
        <v>41852</v>
      </c>
      <c r="B618" s="129">
        <v>102.9901</v>
      </c>
    </row>
    <row r="619" spans="1:2" hidden="1" x14ac:dyDescent="0.3">
      <c r="A619" s="128">
        <v>41855</v>
      </c>
      <c r="B619" s="129">
        <v>102.95820000000001</v>
      </c>
    </row>
    <row r="620" spans="1:2" hidden="1" x14ac:dyDescent="0.3">
      <c r="A620" s="128">
        <v>41856</v>
      </c>
      <c r="B620" s="129">
        <v>103.1742</v>
      </c>
    </row>
    <row r="621" spans="1:2" hidden="1" x14ac:dyDescent="0.3">
      <c r="A621" s="128">
        <v>41857</v>
      </c>
      <c r="B621" s="129">
        <v>103.1105</v>
      </c>
    </row>
    <row r="622" spans="1:2" hidden="1" x14ac:dyDescent="0.3">
      <c r="A622" s="128">
        <v>41858</v>
      </c>
      <c r="B622" s="129">
        <v>103.1447</v>
      </c>
    </row>
    <row r="623" spans="1:2" hidden="1" x14ac:dyDescent="0.3">
      <c r="A623" s="128">
        <v>41859</v>
      </c>
      <c r="B623" s="129">
        <v>103.0834</v>
      </c>
    </row>
    <row r="624" spans="1:2" hidden="1" x14ac:dyDescent="0.3">
      <c r="A624" s="128">
        <v>41862</v>
      </c>
      <c r="B624" s="129">
        <v>102.9449</v>
      </c>
    </row>
    <row r="625" spans="1:2" hidden="1" x14ac:dyDescent="0.3">
      <c r="A625" s="128">
        <v>41863</v>
      </c>
      <c r="B625" s="129">
        <v>102.9984</v>
      </c>
    </row>
    <row r="626" spans="1:2" hidden="1" x14ac:dyDescent="0.3">
      <c r="A626" s="128">
        <v>41864</v>
      </c>
      <c r="B626" s="129">
        <v>102.9276</v>
      </c>
    </row>
    <row r="627" spans="1:2" hidden="1" x14ac:dyDescent="0.3">
      <c r="A627" s="128">
        <v>41865</v>
      </c>
      <c r="B627" s="129">
        <v>102.8129</v>
      </c>
    </row>
    <row r="628" spans="1:2" hidden="1" x14ac:dyDescent="0.3">
      <c r="A628" s="128">
        <v>41866</v>
      </c>
      <c r="B628" s="129">
        <v>102.73699999999999</v>
      </c>
    </row>
    <row r="629" spans="1:2" hidden="1" x14ac:dyDescent="0.3">
      <c r="A629" s="128">
        <v>41869</v>
      </c>
      <c r="B629" s="129">
        <v>102.69029999999999</v>
      </c>
    </row>
    <row r="630" spans="1:2" hidden="1" x14ac:dyDescent="0.3">
      <c r="A630" s="128">
        <v>41870</v>
      </c>
      <c r="B630" s="129">
        <v>102.867</v>
      </c>
    </row>
    <row r="631" spans="1:2" hidden="1" x14ac:dyDescent="0.3">
      <c r="A631" s="128">
        <v>41871</v>
      </c>
      <c r="B631" s="129">
        <v>103.0363</v>
      </c>
    </row>
    <row r="632" spans="1:2" hidden="1" x14ac:dyDescent="0.3">
      <c r="A632" s="128">
        <v>41872</v>
      </c>
      <c r="B632" s="129">
        <v>103.12260000000001</v>
      </c>
    </row>
    <row r="633" spans="1:2" hidden="1" x14ac:dyDescent="0.3">
      <c r="A633" s="128">
        <v>41873</v>
      </c>
      <c r="B633" s="129">
        <v>103.24460000000001</v>
      </c>
    </row>
    <row r="634" spans="1:2" hidden="1" x14ac:dyDescent="0.3">
      <c r="A634" s="128">
        <v>41876</v>
      </c>
      <c r="B634" s="129">
        <v>103.3638</v>
      </c>
    </row>
    <row r="635" spans="1:2" hidden="1" x14ac:dyDescent="0.3">
      <c r="A635" s="128">
        <v>41877</v>
      </c>
      <c r="B635" s="129">
        <v>103.30759999999999</v>
      </c>
    </row>
    <row r="636" spans="1:2" hidden="1" x14ac:dyDescent="0.3">
      <c r="A636" s="128">
        <v>41878</v>
      </c>
      <c r="B636" s="129">
        <v>103.1242</v>
      </c>
    </row>
    <row r="637" spans="1:2" hidden="1" x14ac:dyDescent="0.3">
      <c r="A637" s="128">
        <v>41879</v>
      </c>
      <c r="B637" s="129">
        <v>103.1527</v>
      </c>
    </row>
    <row r="638" spans="1:2" hidden="1" x14ac:dyDescent="0.3">
      <c r="A638" s="128">
        <v>41880</v>
      </c>
      <c r="B638" s="129">
        <v>103.18640000000001</v>
      </c>
    </row>
    <row r="639" spans="1:2" hidden="1" x14ac:dyDescent="0.3">
      <c r="A639" s="128">
        <v>41884</v>
      </c>
      <c r="B639" s="129">
        <v>103.5415</v>
      </c>
    </row>
    <row r="640" spans="1:2" hidden="1" x14ac:dyDescent="0.3">
      <c r="A640" s="128">
        <v>41885</v>
      </c>
      <c r="B640" s="129">
        <v>103.3301</v>
      </c>
    </row>
    <row r="641" spans="1:2" hidden="1" x14ac:dyDescent="0.3">
      <c r="A641" s="128">
        <v>41886</v>
      </c>
      <c r="B641" s="129">
        <v>103.72029999999999</v>
      </c>
    </row>
    <row r="642" spans="1:2" hidden="1" x14ac:dyDescent="0.3">
      <c r="A642" s="128">
        <v>41887</v>
      </c>
      <c r="B642" s="129">
        <v>103.6729</v>
      </c>
    </row>
    <row r="643" spans="1:2" hidden="1" x14ac:dyDescent="0.3">
      <c r="A643" s="128">
        <v>41890</v>
      </c>
      <c r="B643" s="129">
        <v>103.8462</v>
      </c>
    </row>
    <row r="644" spans="1:2" hidden="1" x14ac:dyDescent="0.3">
      <c r="A644" s="128">
        <v>41891</v>
      </c>
      <c r="B644" s="129">
        <v>104.31</v>
      </c>
    </row>
    <row r="645" spans="1:2" hidden="1" x14ac:dyDescent="0.3">
      <c r="A645" s="128">
        <v>41892</v>
      </c>
      <c r="B645" s="129">
        <v>104.3013</v>
      </c>
    </row>
    <row r="646" spans="1:2" hidden="1" x14ac:dyDescent="0.3">
      <c r="A646" s="128">
        <v>41893</v>
      </c>
      <c r="B646" s="129">
        <v>104.3625</v>
      </c>
    </row>
    <row r="647" spans="1:2" hidden="1" x14ac:dyDescent="0.3">
      <c r="A647" s="128">
        <v>41894</v>
      </c>
      <c r="B647" s="129">
        <v>104.5256</v>
      </c>
    </row>
    <row r="648" spans="1:2" hidden="1" x14ac:dyDescent="0.3">
      <c r="A648" s="128">
        <v>41897</v>
      </c>
      <c r="B648" s="129">
        <v>104.60509999999999</v>
      </c>
    </row>
    <row r="649" spans="1:2" hidden="1" x14ac:dyDescent="0.3">
      <c r="A649" s="128">
        <v>41898</v>
      </c>
      <c r="B649" s="129">
        <v>104.34520000000001</v>
      </c>
    </row>
    <row r="650" spans="1:2" hidden="1" x14ac:dyDescent="0.3">
      <c r="A650" s="128">
        <v>41899</v>
      </c>
      <c r="B650" s="129">
        <v>104.4092</v>
      </c>
    </row>
    <row r="651" spans="1:2" hidden="1" x14ac:dyDescent="0.3">
      <c r="A651" s="128">
        <v>41900</v>
      </c>
      <c r="B651" s="129">
        <v>104.65009999999999</v>
      </c>
    </row>
    <row r="652" spans="1:2" hidden="1" x14ac:dyDescent="0.3">
      <c r="A652" s="128">
        <v>41901</v>
      </c>
      <c r="B652" s="129">
        <v>104.852</v>
      </c>
    </row>
    <row r="653" spans="1:2" hidden="1" x14ac:dyDescent="0.3">
      <c r="A653" s="128">
        <v>41904</v>
      </c>
      <c r="B653" s="129">
        <v>104.977</v>
      </c>
    </row>
    <row r="654" spans="1:2" hidden="1" x14ac:dyDescent="0.3">
      <c r="A654" s="128">
        <v>41905</v>
      </c>
      <c r="B654" s="129">
        <v>105.01179999999999</v>
      </c>
    </row>
    <row r="655" spans="1:2" hidden="1" x14ac:dyDescent="0.3">
      <c r="A655" s="128">
        <v>41906</v>
      </c>
      <c r="B655" s="129">
        <v>105.14230000000001</v>
      </c>
    </row>
    <row r="656" spans="1:2" hidden="1" x14ac:dyDescent="0.3">
      <c r="A656" s="128">
        <v>41907</v>
      </c>
      <c r="B656" s="129">
        <v>105.3914</v>
      </c>
    </row>
    <row r="657" spans="1:3" hidden="1" x14ac:dyDescent="0.3">
      <c r="A657" s="128">
        <v>41908</v>
      </c>
      <c r="B657" s="129">
        <v>105.70050000000001</v>
      </c>
    </row>
    <row r="658" spans="1:3" hidden="1" x14ac:dyDescent="0.3">
      <c r="A658" s="128">
        <v>41911</v>
      </c>
      <c r="B658" s="129">
        <v>105.8965</v>
      </c>
    </row>
    <row r="659" spans="1:3" x14ac:dyDescent="0.3">
      <c r="A659" s="128">
        <v>41912</v>
      </c>
      <c r="B659" s="129">
        <v>106.0459</v>
      </c>
      <c r="C659" s="130">
        <f>AVERAGE(B596:B659)</f>
        <v>103.24110625</v>
      </c>
    </row>
    <row r="660" spans="1:3" hidden="1" x14ac:dyDescent="0.3">
      <c r="A660" s="128">
        <v>41913</v>
      </c>
      <c r="B660" s="129">
        <v>106.06529999999999</v>
      </c>
    </row>
    <row r="661" spans="1:3" hidden="1" x14ac:dyDescent="0.3">
      <c r="A661" s="128">
        <v>41914</v>
      </c>
      <c r="B661" s="129">
        <v>105.81740000000001</v>
      </c>
    </row>
    <row r="662" spans="1:3" hidden="1" x14ac:dyDescent="0.3">
      <c r="A662" s="128">
        <v>41915</v>
      </c>
      <c r="B662" s="129">
        <v>106.48260000000001</v>
      </c>
    </row>
    <row r="663" spans="1:3" hidden="1" x14ac:dyDescent="0.3">
      <c r="A663" s="128">
        <v>41918</v>
      </c>
      <c r="B663" s="129">
        <v>106.0706</v>
      </c>
    </row>
    <row r="664" spans="1:3" hidden="1" x14ac:dyDescent="0.3">
      <c r="A664" s="128">
        <v>41919</v>
      </c>
      <c r="B664" s="129">
        <v>105.97029999999999</v>
      </c>
    </row>
    <row r="665" spans="1:3" hidden="1" x14ac:dyDescent="0.3">
      <c r="A665" s="128">
        <v>41920</v>
      </c>
      <c r="B665" s="129">
        <v>106.03100000000001</v>
      </c>
    </row>
    <row r="666" spans="1:3" hidden="1" x14ac:dyDescent="0.3">
      <c r="A666" s="128">
        <v>41921</v>
      </c>
      <c r="B666" s="129">
        <v>105.6867</v>
      </c>
    </row>
    <row r="667" spans="1:3" hidden="1" x14ac:dyDescent="0.3">
      <c r="A667" s="128">
        <v>41922</v>
      </c>
      <c r="B667" s="129">
        <v>105.9348</v>
      </c>
    </row>
    <row r="668" spans="1:3" hidden="1" x14ac:dyDescent="0.3">
      <c r="A668" s="128">
        <v>41926</v>
      </c>
      <c r="B668" s="129">
        <v>105.8929</v>
      </c>
    </row>
    <row r="669" spans="1:3" hidden="1" x14ac:dyDescent="0.3">
      <c r="A669" s="128">
        <v>41927</v>
      </c>
      <c r="B669" s="129">
        <v>105.8387</v>
      </c>
    </row>
    <row r="670" spans="1:3" hidden="1" x14ac:dyDescent="0.3">
      <c r="A670" s="128">
        <v>41928</v>
      </c>
      <c r="B670" s="129">
        <v>105.7859</v>
      </c>
    </row>
    <row r="671" spans="1:3" hidden="1" x14ac:dyDescent="0.3">
      <c r="A671" s="128">
        <v>41929</v>
      </c>
      <c r="B671" s="129">
        <v>105.8073</v>
      </c>
    </row>
    <row r="672" spans="1:3" hidden="1" x14ac:dyDescent="0.3">
      <c r="A672" s="128">
        <v>41932</v>
      </c>
      <c r="B672" s="129">
        <v>105.78400000000001</v>
      </c>
    </row>
    <row r="673" spans="1:2" hidden="1" x14ac:dyDescent="0.3">
      <c r="A673" s="128">
        <v>41933</v>
      </c>
      <c r="B673" s="129">
        <v>105.7405</v>
      </c>
    </row>
    <row r="674" spans="1:2" hidden="1" x14ac:dyDescent="0.3">
      <c r="A674" s="128">
        <v>41934</v>
      </c>
      <c r="B674" s="129">
        <v>105.9534</v>
      </c>
    </row>
    <row r="675" spans="1:2" hidden="1" x14ac:dyDescent="0.3">
      <c r="A675" s="128">
        <v>41935</v>
      </c>
      <c r="B675" s="129">
        <v>106.1087</v>
      </c>
    </row>
    <row r="676" spans="1:2" hidden="1" x14ac:dyDescent="0.3">
      <c r="A676" s="128">
        <v>41936</v>
      </c>
      <c r="B676" s="129">
        <v>105.9913</v>
      </c>
    </row>
    <row r="677" spans="1:2" hidden="1" x14ac:dyDescent="0.3">
      <c r="A677" s="128">
        <v>41939</v>
      </c>
      <c r="B677" s="129">
        <v>106.0561</v>
      </c>
    </row>
    <row r="678" spans="1:2" hidden="1" x14ac:dyDescent="0.3">
      <c r="A678" s="128">
        <v>41940</v>
      </c>
      <c r="B678" s="129">
        <v>105.7422</v>
      </c>
    </row>
    <row r="679" spans="1:2" hidden="1" x14ac:dyDescent="0.3">
      <c r="A679" s="128">
        <v>41941</v>
      </c>
      <c r="B679" s="129">
        <v>105.5414</v>
      </c>
    </row>
    <row r="680" spans="1:2" hidden="1" x14ac:dyDescent="0.3">
      <c r="A680" s="128">
        <v>41942</v>
      </c>
      <c r="B680" s="129">
        <v>105.96339999999999</v>
      </c>
    </row>
    <row r="681" spans="1:2" hidden="1" x14ac:dyDescent="0.3">
      <c r="A681" s="128">
        <v>41943</v>
      </c>
      <c r="B681" s="129">
        <v>106.6606</v>
      </c>
    </row>
    <row r="682" spans="1:2" hidden="1" x14ac:dyDescent="0.3">
      <c r="A682" s="128">
        <v>41946</v>
      </c>
      <c r="B682" s="129">
        <v>107.1002</v>
      </c>
    </row>
    <row r="683" spans="1:2" hidden="1" x14ac:dyDescent="0.3">
      <c r="A683" s="128">
        <v>41947</v>
      </c>
      <c r="B683" s="129">
        <v>107.1183</v>
      </c>
    </row>
    <row r="684" spans="1:2" hidden="1" x14ac:dyDescent="0.3">
      <c r="A684" s="128">
        <v>41948</v>
      </c>
      <c r="B684" s="129">
        <v>107.40779999999999</v>
      </c>
    </row>
    <row r="685" spans="1:2" hidden="1" x14ac:dyDescent="0.3">
      <c r="A685" s="128">
        <v>41949</v>
      </c>
      <c r="B685" s="129">
        <v>107.7351</v>
      </c>
    </row>
    <row r="686" spans="1:2" hidden="1" x14ac:dyDescent="0.3">
      <c r="A686" s="128">
        <v>41950</v>
      </c>
      <c r="B686" s="129">
        <v>107.6473</v>
      </c>
    </row>
    <row r="687" spans="1:2" hidden="1" x14ac:dyDescent="0.3">
      <c r="A687" s="128">
        <v>41953</v>
      </c>
      <c r="B687" s="129">
        <v>107.53619999999999</v>
      </c>
    </row>
    <row r="688" spans="1:2" hidden="1" x14ac:dyDescent="0.3">
      <c r="A688" s="128">
        <v>41955</v>
      </c>
      <c r="B688" s="129">
        <v>107.5179</v>
      </c>
    </row>
    <row r="689" spans="1:2" hidden="1" x14ac:dyDescent="0.3">
      <c r="A689" s="128">
        <v>41956</v>
      </c>
      <c r="B689" s="129">
        <v>107.7285</v>
      </c>
    </row>
    <row r="690" spans="1:2" hidden="1" x14ac:dyDescent="0.3">
      <c r="A690" s="128">
        <v>41957</v>
      </c>
      <c r="B690" s="129">
        <v>107.7483</v>
      </c>
    </row>
    <row r="691" spans="1:2" hidden="1" x14ac:dyDescent="0.3">
      <c r="A691" s="128">
        <v>41960</v>
      </c>
      <c r="B691" s="129">
        <v>107.8593</v>
      </c>
    </row>
    <row r="692" spans="1:2" hidden="1" x14ac:dyDescent="0.3">
      <c r="A692" s="128">
        <v>41961</v>
      </c>
      <c r="B692" s="129">
        <v>107.64570000000001</v>
      </c>
    </row>
    <row r="693" spans="1:2" hidden="1" x14ac:dyDescent="0.3">
      <c r="A693" s="128">
        <v>41962</v>
      </c>
      <c r="B693" s="129">
        <v>107.8857</v>
      </c>
    </row>
    <row r="694" spans="1:2" hidden="1" x14ac:dyDescent="0.3">
      <c r="A694" s="128">
        <v>41963</v>
      </c>
      <c r="B694" s="129">
        <v>107.9037</v>
      </c>
    </row>
    <row r="695" spans="1:2" hidden="1" x14ac:dyDescent="0.3">
      <c r="A695" s="128">
        <v>41964</v>
      </c>
      <c r="B695" s="129">
        <v>107.9372</v>
      </c>
    </row>
    <row r="696" spans="1:2" hidden="1" x14ac:dyDescent="0.3">
      <c r="A696" s="128">
        <v>41967</v>
      </c>
      <c r="B696" s="129">
        <v>108.077</v>
      </c>
    </row>
    <row r="697" spans="1:2" hidden="1" x14ac:dyDescent="0.3">
      <c r="A697" s="128">
        <v>41968</v>
      </c>
      <c r="B697" s="129">
        <v>107.9473</v>
      </c>
    </row>
    <row r="698" spans="1:2" hidden="1" x14ac:dyDescent="0.3">
      <c r="A698" s="128">
        <v>41969</v>
      </c>
      <c r="B698" s="129">
        <v>107.8798</v>
      </c>
    </row>
    <row r="699" spans="1:2" hidden="1" x14ac:dyDescent="0.3">
      <c r="A699" s="128">
        <v>41971</v>
      </c>
      <c r="B699" s="129">
        <v>108.792</v>
      </c>
    </row>
    <row r="700" spans="1:2" hidden="1" x14ac:dyDescent="0.3">
      <c r="A700" s="128">
        <v>41974</v>
      </c>
      <c r="B700" s="129">
        <v>108.6889</v>
      </c>
    </row>
    <row r="701" spans="1:2" hidden="1" x14ac:dyDescent="0.3">
      <c r="A701" s="128">
        <v>41975</v>
      </c>
      <c r="B701" s="129">
        <v>109.2679</v>
      </c>
    </row>
    <row r="702" spans="1:2" hidden="1" x14ac:dyDescent="0.3">
      <c r="A702" s="128">
        <v>41976</v>
      </c>
      <c r="B702" s="129">
        <v>109.3944</v>
      </c>
    </row>
    <row r="703" spans="1:2" hidden="1" x14ac:dyDescent="0.3">
      <c r="A703" s="128">
        <v>41977</v>
      </c>
      <c r="B703" s="129">
        <v>109.2371</v>
      </c>
    </row>
    <row r="704" spans="1:2" hidden="1" x14ac:dyDescent="0.3">
      <c r="A704" s="128">
        <v>41978</v>
      </c>
      <c r="B704" s="129">
        <v>109.9212</v>
      </c>
    </row>
    <row r="705" spans="1:2" hidden="1" x14ac:dyDescent="0.3">
      <c r="A705" s="128">
        <v>41981</v>
      </c>
      <c r="B705" s="129">
        <v>110.1698</v>
      </c>
    </row>
    <row r="706" spans="1:2" hidden="1" x14ac:dyDescent="0.3">
      <c r="A706" s="128">
        <v>41982</v>
      </c>
      <c r="B706" s="129">
        <v>109.68689999999999</v>
      </c>
    </row>
    <row r="707" spans="1:2" hidden="1" x14ac:dyDescent="0.3">
      <c r="A707" s="128">
        <v>41983</v>
      </c>
      <c r="B707" s="129">
        <v>109.8901</v>
      </c>
    </row>
    <row r="708" spans="1:2" hidden="1" x14ac:dyDescent="0.3">
      <c r="A708" s="128">
        <v>41984</v>
      </c>
      <c r="B708" s="129">
        <v>110.34139999999999</v>
      </c>
    </row>
    <row r="709" spans="1:2" hidden="1" x14ac:dyDescent="0.3">
      <c r="A709" s="128">
        <v>41985</v>
      </c>
      <c r="B709" s="129">
        <v>110.3087</v>
      </c>
    </row>
    <row r="710" spans="1:2" hidden="1" x14ac:dyDescent="0.3">
      <c r="A710" s="128">
        <v>41988</v>
      </c>
      <c r="B710" s="129">
        <v>110.6752</v>
      </c>
    </row>
    <row r="711" spans="1:2" hidden="1" x14ac:dyDescent="0.3">
      <c r="A711" s="128">
        <v>41989</v>
      </c>
      <c r="B711" s="129">
        <v>110.5547</v>
      </c>
    </row>
    <row r="712" spans="1:2" hidden="1" x14ac:dyDescent="0.3">
      <c r="A712" s="128">
        <v>41990</v>
      </c>
      <c r="B712" s="129">
        <v>110.511</v>
      </c>
    </row>
    <row r="713" spans="1:2" hidden="1" x14ac:dyDescent="0.3">
      <c r="A713" s="128">
        <v>41991</v>
      </c>
      <c r="B713" s="129">
        <v>110.7454</v>
      </c>
    </row>
    <row r="714" spans="1:2" hidden="1" x14ac:dyDescent="0.3">
      <c r="A714" s="128">
        <v>41992</v>
      </c>
      <c r="B714" s="129">
        <v>111.0141</v>
      </c>
    </row>
    <row r="715" spans="1:2" hidden="1" x14ac:dyDescent="0.3">
      <c r="A715" s="128">
        <v>41995</v>
      </c>
      <c r="B715" s="129">
        <v>110.9087</v>
      </c>
    </row>
    <row r="716" spans="1:2" hidden="1" x14ac:dyDescent="0.3">
      <c r="A716" s="128">
        <v>41996</v>
      </c>
      <c r="B716" s="129">
        <v>111.2568</v>
      </c>
    </row>
    <row r="717" spans="1:2" hidden="1" x14ac:dyDescent="0.3">
      <c r="A717" s="128">
        <v>41997</v>
      </c>
      <c r="B717" s="129">
        <v>111.18980000000001</v>
      </c>
    </row>
    <row r="718" spans="1:2" hidden="1" x14ac:dyDescent="0.3">
      <c r="A718" s="128">
        <v>41999</v>
      </c>
      <c r="B718" s="129">
        <v>111.17489999999999</v>
      </c>
    </row>
    <row r="719" spans="1:2" hidden="1" x14ac:dyDescent="0.3">
      <c r="A719" s="128">
        <v>42002</v>
      </c>
      <c r="B719" s="129">
        <v>111.32989999999999</v>
      </c>
    </row>
    <row r="720" spans="1:2" hidden="1" x14ac:dyDescent="0.3">
      <c r="A720" s="128">
        <v>42003</v>
      </c>
      <c r="B720" s="129">
        <v>111.00360000000001</v>
      </c>
    </row>
    <row r="721" spans="1:3" x14ac:dyDescent="0.3">
      <c r="A721" s="128">
        <v>42004</v>
      </c>
      <c r="B721" s="129">
        <v>111.2766</v>
      </c>
      <c r="C721" s="130">
        <f>AVERAGE(B660:B721)</f>
        <v>108.04741129032256</v>
      </c>
    </row>
    <row r="722" spans="1:3" hidden="1" x14ac:dyDescent="0.3">
      <c r="A722" s="128">
        <v>42006</v>
      </c>
      <c r="B722" s="129">
        <v>111.8409</v>
      </c>
    </row>
    <row r="723" spans="1:3" hidden="1" x14ac:dyDescent="0.3">
      <c r="A723" s="128">
        <v>42009</v>
      </c>
      <c r="B723" s="129">
        <v>112.4825</v>
      </c>
    </row>
    <row r="724" spans="1:3" hidden="1" x14ac:dyDescent="0.3">
      <c r="A724" s="128">
        <v>42010</v>
      </c>
      <c r="B724" s="129">
        <v>112.2582</v>
      </c>
    </row>
    <row r="725" spans="1:3" hidden="1" x14ac:dyDescent="0.3">
      <c r="A725" s="128">
        <v>42011</v>
      </c>
      <c r="B725" s="129">
        <v>112.5917</v>
      </c>
    </row>
    <row r="726" spans="1:3" hidden="1" x14ac:dyDescent="0.3">
      <c r="A726" s="128">
        <v>42012</v>
      </c>
      <c r="B726" s="129">
        <v>112.2166</v>
      </c>
    </row>
    <row r="727" spans="1:3" hidden="1" x14ac:dyDescent="0.3">
      <c r="A727" s="128">
        <v>42013</v>
      </c>
      <c r="B727" s="129">
        <v>112.0617</v>
      </c>
    </row>
    <row r="728" spans="1:3" hidden="1" x14ac:dyDescent="0.3">
      <c r="A728" s="128">
        <v>42016</v>
      </c>
      <c r="B728" s="129">
        <v>112.1751</v>
      </c>
    </row>
    <row r="729" spans="1:3" hidden="1" x14ac:dyDescent="0.3">
      <c r="A729" s="128">
        <v>42017</v>
      </c>
      <c r="B729" s="129">
        <v>112.2195</v>
      </c>
    </row>
    <row r="730" spans="1:3" hidden="1" x14ac:dyDescent="0.3">
      <c r="A730" s="128">
        <v>42018</v>
      </c>
      <c r="B730" s="129">
        <v>112.0339</v>
      </c>
    </row>
    <row r="731" spans="1:3" hidden="1" x14ac:dyDescent="0.3">
      <c r="A731" s="128">
        <v>42019</v>
      </c>
      <c r="B731" s="129">
        <v>112.04819999999999</v>
      </c>
    </row>
    <row r="732" spans="1:3" hidden="1" x14ac:dyDescent="0.3">
      <c r="A732" s="128">
        <v>42020</v>
      </c>
      <c r="B732" s="129">
        <v>112.21599999999999</v>
      </c>
    </row>
    <row r="733" spans="1:3" hidden="1" x14ac:dyDescent="0.3">
      <c r="A733" s="128">
        <v>42024</v>
      </c>
      <c r="B733" s="129">
        <v>112.5458</v>
      </c>
    </row>
    <row r="734" spans="1:3" hidden="1" x14ac:dyDescent="0.3">
      <c r="A734" s="128">
        <v>42025</v>
      </c>
      <c r="B734" s="129">
        <v>112.76220000000001</v>
      </c>
    </row>
    <row r="735" spans="1:3" hidden="1" x14ac:dyDescent="0.3">
      <c r="A735" s="128">
        <v>42026</v>
      </c>
      <c r="B735" s="129">
        <v>112.8767</v>
      </c>
    </row>
    <row r="736" spans="1:3" hidden="1" x14ac:dyDescent="0.3">
      <c r="A736" s="128">
        <v>42027</v>
      </c>
      <c r="B736" s="129">
        <v>113.31870000000001</v>
      </c>
    </row>
    <row r="737" spans="1:2" hidden="1" x14ac:dyDescent="0.3">
      <c r="A737" s="128">
        <v>42030</v>
      </c>
      <c r="B737" s="129">
        <v>113.5214</v>
      </c>
    </row>
    <row r="738" spans="1:2" hidden="1" x14ac:dyDescent="0.3">
      <c r="A738" s="128">
        <v>42031</v>
      </c>
      <c r="B738" s="129">
        <v>113.1746</v>
      </c>
    </row>
    <row r="739" spans="1:2" hidden="1" x14ac:dyDescent="0.3">
      <c r="A739" s="128">
        <v>42032</v>
      </c>
      <c r="B739" s="129">
        <v>113.5069</v>
      </c>
    </row>
    <row r="740" spans="1:2" hidden="1" x14ac:dyDescent="0.3">
      <c r="A740" s="128">
        <v>42033</v>
      </c>
      <c r="B740" s="129">
        <v>114.30759999999999</v>
      </c>
    </row>
    <row r="741" spans="1:2" hidden="1" x14ac:dyDescent="0.3">
      <c r="A741" s="128">
        <v>42034</v>
      </c>
      <c r="B741" s="129">
        <v>114.63160000000001</v>
      </c>
    </row>
    <row r="742" spans="1:2" hidden="1" x14ac:dyDescent="0.3">
      <c r="A742" s="128">
        <v>42037</v>
      </c>
      <c r="B742" s="129">
        <v>114.249</v>
      </c>
    </row>
    <row r="743" spans="1:2" hidden="1" x14ac:dyDescent="0.3">
      <c r="A743" s="128">
        <v>42038</v>
      </c>
      <c r="B743" s="129">
        <v>113.62439999999999</v>
      </c>
    </row>
    <row r="744" spans="1:2" hidden="1" x14ac:dyDescent="0.3">
      <c r="A744" s="128">
        <v>42039</v>
      </c>
      <c r="B744" s="129">
        <v>113.797</v>
      </c>
    </row>
    <row r="745" spans="1:2" hidden="1" x14ac:dyDescent="0.3">
      <c r="A745" s="128">
        <v>42040</v>
      </c>
      <c r="B745" s="129">
        <v>113.5214</v>
      </c>
    </row>
    <row r="746" spans="1:2" hidden="1" x14ac:dyDescent="0.3">
      <c r="A746" s="128">
        <v>42041</v>
      </c>
      <c r="B746" s="129">
        <v>114.15600000000001</v>
      </c>
    </row>
    <row r="747" spans="1:2" hidden="1" x14ac:dyDescent="0.3">
      <c r="A747" s="128">
        <v>42044</v>
      </c>
      <c r="B747" s="129">
        <v>114.0069</v>
      </c>
    </row>
    <row r="748" spans="1:2" hidden="1" x14ac:dyDescent="0.3">
      <c r="A748" s="128">
        <v>42045</v>
      </c>
      <c r="B748" s="129">
        <v>114.2997</v>
      </c>
    </row>
    <row r="749" spans="1:2" hidden="1" x14ac:dyDescent="0.3">
      <c r="A749" s="128">
        <v>42046</v>
      </c>
      <c r="B749" s="129">
        <v>114.806</v>
      </c>
    </row>
    <row r="750" spans="1:2" hidden="1" x14ac:dyDescent="0.3">
      <c r="A750" s="128">
        <v>42047</v>
      </c>
      <c r="B750" s="129">
        <v>113.9722</v>
      </c>
    </row>
    <row r="751" spans="1:2" hidden="1" x14ac:dyDescent="0.3">
      <c r="A751" s="128">
        <v>42048</v>
      </c>
      <c r="B751" s="129">
        <v>113.8477</v>
      </c>
    </row>
    <row r="752" spans="1:2" hidden="1" x14ac:dyDescent="0.3">
      <c r="A752" s="128">
        <v>42052</v>
      </c>
      <c r="B752" s="129">
        <v>113.9823</v>
      </c>
    </row>
    <row r="753" spans="1:2" hidden="1" x14ac:dyDescent="0.3">
      <c r="A753" s="128">
        <v>42053</v>
      </c>
      <c r="B753" s="129">
        <v>114.2839</v>
      </c>
    </row>
    <row r="754" spans="1:2" hidden="1" x14ac:dyDescent="0.3">
      <c r="A754" s="128">
        <v>42054</v>
      </c>
      <c r="B754" s="129">
        <v>114.1707</v>
      </c>
    </row>
    <row r="755" spans="1:2" hidden="1" x14ac:dyDescent="0.3">
      <c r="A755" s="128">
        <v>42055</v>
      </c>
      <c r="B755" s="129">
        <v>114.3643</v>
      </c>
    </row>
    <row r="756" spans="1:2" hidden="1" x14ac:dyDescent="0.3">
      <c r="A756" s="128">
        <v>42058</v>
      </c>
      <c r="B756" s="129">
        <v>114.58159999999999</v>
      </c>
    </row>
    <row r="757" spans="1:2" hidden="1" x14ac:dyDescent="0.3">
      <c r="A757" s="128">
        <v>42059</v>
      </c>
      <c r="B757" s="129">
        <v>114.5787</v>
      </c>
    </row>
    <row r="758" spans="1:2" hidden="1" x14ac:dyDescent="0.3">
      <c r="A758" s="128">
        <v>42060</v>
      </c>
      <c r="B758" s="129">
        <v>114.07389999999999</v>
      </c>
    </row>
    <row r="759" spans="1:2" hidden="1" x14ac:dyDescent="0.3">
      <c r="A759" s="128">
        <v>42061</v>
      </c>
      <c r="B759" s="129">
        <v>114.5</v>
      </c>
    </row>
    <row r="760" spans="1:2" hidden="1" x14ac:dyDescent="0.3">
      <c r="A760" s="128">
        <v>42062</v>
      </c>
      <c r="B760" s="129">
        <v>114.62909999999999</v>
      </c>
    </row>
    <row r="761" spans="1:2" hidden="1" x14ac:dyDescent="0.3">
      <c r="A761" s="128">
        <v>42065</v>
      </c>
      <c r="B761" s="129">
        <v>114.8505</v>
      </c>
    </row>
    <row r="762" spans="1:2" hidden="1" x14ac:dyDescent="0.3">
      <c r="A762" s="128">
        <v>42066</v>
      </c>
      <c r="B762" s="129">
        <v>114.58499999999999</v>
      </c>
    </row>
    <row r="763" spans="1:2" hidden="1" x14ac:dyDescent="0.3">
      <c r="A763" s="128">
        <v>42067</v>
      </c>
      <c r="B763" s="129">
        <v>115.15309999999999</v>
      </c>
    </row>
    <row r="764" spans="1:2" hidden="1" x14ac:dyDescent="0.3">
      <c r="A764" s="128">
        <v>42068</v>
      </c>
      <c r="B764" s="129">
        <v>115.47020000000001</v>
      </c>
    </row>
    <row r="765" spans="1:2" hidden="1" x14ac:dyDescent="0.3">
      <c r="A765" s="128">
        <v>42069</v>
      </c>
      <c r="B765" s="129">
        <v>116.40989999999999</v>
      </c>
    </row>
    <row r="766" spans="1:2" hidden="1" x14ac:dyDescent="0.3">
      <c r="A766" s="128">
        <v>42072</v>
      </c>
      <c r="B766" s="129">
        <v>116.50839999999999</v>
      </c>
    </row>
    <row r="767" spans="1:2" hidden="1" x14ac:dyDescent="0.3">
      <c r="A767" s="128">
        <v>42073</v>
      </c>
      <c r="B767" s="129">
        <v>117.1371</v>
      </c>
    </row>
    <row r="768" spans="1:2" hidden="1" x14ac:dyDescent="0.3">
      <c r="A768" s="128">
        <v>42074</v>
      </c>
      <c r="B768" s="129">
        <v>117.5183</v>
      </c>
    </row>
    <row r="769" spans="1:3" hidden="1" x14ac:dyDescent="0.3">
      <c r="A769" s="128">
        <v>42075</v>
      </c>
      <c r="B769" s="129">
        <v>117.1525</v>
      </c>
    </row>
    <row r="770" spans="1:3" hidden="1" x14ac:dyDescent="0.3">
      <c r="A770" s="128">
        <v>42076</v>
      </c>
      <c r="B770" s="129">
        <v>117.886</v>
      </c>
    </row>
    <row r="771" spans="1:3" hidden="1" x14ac:dyDescent="0.3">
      <c r="A771" s="128">
        <v>42079</v>
      </c>
      <c r="B771" s="129">
        <v>117.6169</v>
      </c>
    </row>
    <row r="772" spans="1:3" hidden="1" x14ac:dyDescent="0.3">
      <c r="A772" s="128">
        <v>42080</v>
      </c>
      <c r="B772" s="129">
        <v>117.51779999999999</v>
      </c>
    </row>
    <row r="773" spans="1:3" hidden="1" x14ac:dyDescent="0.3">
      <c r="A773" s="128">
        <v>42081</v>
      </c>
      <c r="B773" s="129">
        <v>117.2884</v>
      </c>
    </row>
    <row r="774" spans="1:3" hidden="1" x14ac:dyDescent="0.3">
      <c r="A774" s="128">
        <v>42082</v>
      </c>
      <c r="B774" s="129">
        <v>117.0176</v>
      </c>
    </row>
    <row r="775" spans="1:3" hidden="1" x14ac:dyDescent="0.3">
      <c r="A775" s="128">
        <v>42083</v>
      </c>
      <c r="B775" s="129">
        <v>116.0377</v>
      </c>
    </row>
    <row r="776" spans="1:3" hidden="1" x14ac:dyDescent="0.3">
      <c r="A776" s="128">
        <v>42086</v>
      </c>
      <c r="B776" s="129">
        <v>115.3673</v>
      </c>
    </row>
    <row r="777" spans="1:3" hidden="1" x14ac:dyDescent="0.3">
      <c r="A777" s="128">
        <v>42087</v>
      </c>
      <c r="B777" s="129">
        <v>115.2651</v>
      </c>
    </row>
    <row r="778" spans="1:3" hidden="1" x14ac:dyDescent="0.3">
      <c r="A778" s="128">
        <v>42088</v>
      </c>
      <c r="B778" s="129">
        <v>115.0968</v>
      </c>
    </row>
    <row r="779" spans="1:3" hidden="1" x14ac:dyDescent="0.3">
      <c r="A779" s="128">
        <v>42089</v>
      </c>
      <c r="B779" s="129">
        <v>115.3858</v>
      </c>
    </row>
    <row r="780" spans="1:3" hidden="1" x14ac:dyDescent="0.3">
      <c r="A780" s="128">
        <v>42090</v>
      </c>
      <c r="B780" s="129">
        <v>115.7286</v>
      </c>
    </row>
    <row r="781" spans="1:3" hidden="1" x14ac:dyDescent="0.3">
      <c r="A781" s="128">
        <v>42093</v>
      </c>
      <c r="B781" s="129">
        <v>116.205</v>
      </c>
    </row>
    <row r="782" spans="1:3" x14ac:dyDescent="0.3">
      <c r="A782" s="128">
        <v>42094</v>
      </c>
      <c r="B782" s="129">
        <v>116.254</v>
      </c>
      <c r="C782" s="130">
        <f>AVERAGE(B722:B782)</f>
        <v>114.4538786885246</v>
      </c>
    </row>
    <row r="783" spans="1:3" hidden="1" x14ac:dyDescent="0.3">
      <c r="A783" s="128">
        <v>42095</v>
      </c>
      <c r="B783" s="129">
        <v>115.8532</v>
      </c>
    </row>
    <row r="784" spans="1:3" hidden="1" x14ac:dyDescent="0.3">
      <c r="A784" s="128">
        <v>42096</v>
      </c>
      <c r="B784" s="129">
        <v>115.44029999999999</v>
      </c>
    </row>
    <row r="785" spans="1:2" hidden="1" x14ac:dyDescent="0.3">
      <c r="A785" s="128">
        <v>42097</v>
      </c>
      <c r="B785" s="129">
        <v>114.6553</v>
      </c>
    </row>
    <row r="786" spans="1:2" hidden="1" x14ac:dyDescent="0.3">
      <c r="A786" s="128">
        <v>42100</v>
      </c>
      <c r="B786" s="129">
        <v>114.539</v>
      </c>
    </row>
    <row r="787" spans="1:2" hidden="1" x14ac:dyDescent="0.3">
      <c r="A787" s="128">
        <v>42101</v>
      </c>
      <c r="B787" s="129">
        <v>115.2054</v>
      </c>
    </row>
    <row r="788" spans="1:2" hidden="1" x14ac:dyDescent="0.3">
      <c r="A788" s="128">
        <v>42102</v>
      </c>
      <c r="B788" s="129">
        <v>115.1771</v>
      </c>
    </row>
    <row r="789" spans="1:2" hidden="1" x14ac:dyDescent="0.3">
      <c r="A789" s="128">
        <v>42103</v>
      </c>
      <c r="B789" s="129">
        <v>115.7487</v>
      </c>
    </row>
    <row r="790" spans="1:2" hidden="1" x14ac:dyDescent="0.3">
      <c r="A790" s="128">
        <v>42104</v>
      </c>
      <c r="B790" s="129">
        <v>116.18640000000001</v>
      </c>
    </row>
    <row r="791" spans="1:2" hidden="1" x14ac:dyDescent="0.3">
      <c r="A791" s="128">
        <v>42107</v>
      </c>
      <c r="B791" s="129">
        <v>116.4913</v>
      </c>
    </row>
    <row r="792" spans="1:2" hidden="1" x14ac:dyDescent="0.3">
      <c r="A792" s="128">
        <v>42108</v>
      </c>
      <c r="B792" s="129">
        <v>115.7834</v>
      </c>
    </row>
    <row r="793" spans="1:2" hidden="1" x14ac:dyDescent="0.3">
      <c r="A793" s="128">
        <v>42109</v>
      </c>
      <c r="B793" s="129">
        <v>115.9014</v>
      </c>
    </row>
    <row r="794" spans="1:2" hidden="1" x14ac:dyDescent="0.3">
      <c r="A794" s="128">
        <v>42110</v>
      </c>
      <c r="B794" s="129">
        <v>115.0004</v>
      </c>
    </row>
    <row r="795" spans="1:2" hidden="1" x14ac:dyDescent="0.3">
      <c r="A795" s="128">
        <v>42111</v>
      </c>
      <c r="B795" s="129">
        <v>115.0753</v>
      </c>
    </row>
    <row r="796" spans="1:2" hidden="1" x14ac:dyDescent="0.3">
      <c r="A796" s="128">
        <v>42114</v>
      </c>
      <c r="B796" s="129">
        <v>115.2598</v>
      </c>
    </row>
    <row r="797" spans="1:2" hidden="1" x14ac:dyDescent="0.3">
      <c r="A797" s="128">
        <v>42115</v>
      </c>
      <c r="B797" s="129">
        <v>115.3335</v>
      </c>
    </row>
    <row r="798" spans="1:2" hidden="1" x14ac:dyDescent="0.3">
      <c r="A798" s="128">
        <v>42116</v>
      </c>
      <c r="B798" s="129">
        <v>115.33450000000001</v>
      </c>
    </row>
    <row r="799" spans="1:2" hidden="1" x14ac:dyDescent="0.3">
      <c r="A799" s="128">
        <v>42117</v>
      </c>
      <c r="B799" s="129">
        <v>114.92059999999999</v>
      </c>
    </row>
    <row r="800" spans="1:2" hidden="1" x14ac:dyDescent="0.3">
      <c r="A800" s="128">
        <v>42118</v>
      </c>
      <c r="B800" s="129">
        <v>114.6486</v>
      </c>
    </row>
    <row r="801" spans="1:2" hidden="1" x14ac:dyDescent="0.3">
      <c r="A801" s="128">
        <v>42121</v>
      </c>
      <c r="B801" s="129">
        <v>114.488</v>
      </c>
    </row>
    <row r="802" spans="1:2" hidden="1" x14ac:dyDescent="0.3">
      <c r="A802" s="128">
        <v>42122</v>
      </c>
      <c r="B802" s="129">
        <v>113.9027</v>
      </c>
    </row>
    <row r="803" spans="1:2" hidden="1" x14ac:dyDescent="0.3">
      <c r="A803" s="128">
        <v>42123</v>
      </c>
      <c r="B803" s="129">
        <v>113.3599</v>
      </c>
    </row>
    <row r="804" spans="1:2" hidden="1" x14ac:dyDescent="0.3">
      <c r="A804" s="128">
        <v>42124</v>
      </c>
      <c r="B804" s="129">
        <v>114.1061</v>
      </c>
    </row>
    <row r="805" spans="1:2" hidden="1" x14ac:dyDescent="0.3">
      <c r="A805" s="128">
        <v>42125</v>
      </c>
      <c r="B805" s="129">
        <v>114.42149999999999</v>
      </c>
    </row>
    <row r="806" spans="1:2" hidden="1" x14ac:dyDescent="0.3">
      <c r="A806" s="128">
        <v>42128</v>
      </c>
      <c r="B806" s="129">
        <v>114.4684</v>
      </c>
    </row>
    <row r="807" spans="1:2" hidden="1" x14ac:dyDescent="0.3">
      <c r="A807" s="128">
        <v>42129</v>
      </c>
      <c r="B807" s="129">
        <v>114.0382</v>
      </c>
    </row>
    <row r="808" spans="1:2" hidden="1" x14ac:dyDescent="0.3">
      <c r="A808" s="128">
        <v>42130</v>
      </c>
      <c r="B808" s="129">
        <v>113.48569999999999</v>
      </c>
    </row>
    <row r="809" spans="1:2" hidden="1" x14ac:dyDescent="0.3">
      <c r="A809" s="128">
        <v>42131</v>
      </c>
      <c r="B809" s="129">
        <v>113.99720000000001</v>
      </c>
    </row>
    <row r="810" spans="1:2" hidden="1" x14ac:dyDescent="0.3">
      <c r="A810" s="128">
        <v>42132</v>
      </c>
      <c r="B810" s="129">
        <v>113.6798</v>
      </c>
    </row>
    <row r="811" spans="1:2" hidden="1" x14ac:dyDescent="0.3">
      <c r="A811" s="128">
        <v>42135</v>
      </c>
      <c r="B811" s="129">
        <v>114.176</v>
      </c>
    </row>
    <row r="812" spans="1:2" hidden="1" x14ac:dyDescent="0.3">
      <c r="A812" s="128">
        <v>42136</v>
      </c>
      <c r="B812" s="129">
        <v>113.7607</v>
      </c>
    </row>
    <row r="813" spans="1:2" hidden="1" x14ac:dyDescent="0.3">
      <c r="A813" s="128">
        <v>42137</v>
      </c>
      <c r="B813" s="129">
        <v>113.21080000000001</v>
      </c>
    </row>
    <row r="814" spans="1:2" hidden="1" x14ac:dyDescent="0.3">
      <c r="A814" s="128">
        <v>42138</v>
      </c>
      <c r="B814" s="129">
        <v>113.0797</v>
      </c>
    </row>
    <row r="815" spans="1:2" hidden="1" x14ac:dyDescent="0.3">
      <c r="A815" s="128">
        <v>42139</v>
      </c>
      <c r="B815" s="129">
        <v>112.84820000000001</v>
      </c>
    </row>
    <row r="816" spans="1:2" hidden="1" x14ac:dyDescent="0.3">
      <c r="A816" s="128">
        <v>42142</v>
      </c>
      <c r="B816" s="129">
        <v>113.40989999999999</v>
      </c>
    </row>
    <row r="817" spans="1:2" hidden="1" x14ac:dyDescent="0.3">
      <c r="A817" s="128">
        <v>42143</v>
      </c>
      <c r="B817" s="129">
        <v>114.1444</v>
      </c>
    </row>
    <row r="818" spans="1:2" hidden="1" x14ac:dyDescent="0.3">
      <c r="A818" s="128">
        <v>42144</v>
      </c>
      <c r="B818" s="129">
        <v>114.37390000000001</v>
      </c>
    </row>
    <row r="819" spans="1:2" hidden="1" x14ac:dyDescent="0.3">
      <c r="A819" s="128">
        <v>42145</v>
      </c>
      <c r="B819" s="129">
        <v>114.1889</v>
      </c>
    </row>
    <row r="820" spans="1:2" hidden="1" x14ac:dyDescent="0.3">
      <c r="A820" s="128">
        <v>42146</v>
      </c>
      <c r="B820" s="129">
        <v>114.6315</v>
      </c>
    </row>
    <row r="821" spans="1:2" hidden="1" x14ac:dyDescent="0.3">
      <c r="A821" s="128">
        <v>42150</v>
      </c>
      <c r="B821" s="129">
        <v>115.5373</v>
      </c>
    </row>
    <row r="822" spans="1:2" hidden="1" x14ac:dyDescent="0.3">
      <c r="A822" s="128">
        <v>42151</v>
      </c>
      <c r="B822" s="129">
        <v>115.7208</v>
      </c>
    </row>
    <row r="823" spans="1:2" hidden="1" x14ac:dyDescent="0.3">
      <c r="A823" s="128">
        <v>42152</v>
      </c>
      <c r="B823" s="129">
        <v>115.7435</v>
      </c>
    </row>
    <row r="824" spans="1:2" hidden="1" x14ac:dyDescent="0.3">
      <c r="A824" s="128">
        <v>42153</v>
      </c>
      <c r="B824" s="129">
        <v>115.5625</v>
      </c>
    </row>
    <row r="825" spans="1:2" hidden="1" x14ac:dyDescent="0.3">
      <c r="A825" s="128">
        <v>42156</v>
      </c>
      <c r="B825" s="129">
        <v>116.05889999999999</v>
      </c>
    </row>
    <row r="826" spans="1:2" hidden="1" x14ac:dyDescent="0.3">
      <c r="A826" s="128">
        <v>42157</v>
      </c>
      <c r="B826" s="129">
        <v>115.3036</v>
      </c>
    </row>
    <row r="827" spans="1:2" hidden="1" x14ac:dyDescent="0.3">
      <c r="A827" s="128">
        <v>42158</v>
      </c>
      <c r="B827" s="129">
        <v>115.0052</v>
      </c>
    </row>
    <row r="828" spans="1:2" hidden="1" x14ac:dyDescent="0.3">
      <c r="A828" s="128">
        <v>42159</v>
      </c>
      <c r="B828" s="129">
        <v>115.3755</v>
      </c>
    </row>
    <row r="829" spans="1:2" hidden="1" x14ac:dyDescent="0.3">
      <c r="A829" s="128">
        <v>42160</v>
      </c>
      <c r="B829" s="129">
        <v>116.048</v>
      </c>
    </row>
    <row r="830" spans="1:2" hidden="1" x14ac:dyDescent="0.3">
      <c r="A830" s="128">
        <v>42163</v>
      </c>
      <c r="B830" s="129">
        <v>115.7034</v>
      </c>
    </row>
    <row r="831" spans="1:2" hidden="1" x14ac:dyDescent="0.3">
      <c r="A831" s="128">
        <v>42164</v>
      </c>
      <c r="B831" s="129">
        <v>115.15949999999999</v>
      </c>
    </row>
    <row r="832" spans="1:2" hidden="1" x14ac:dyDescent="0.3">
      <c r="A832" s="128">
        <v>42165</v>
      </c>
      <c r="B832" s="129">
        <v>114.7231</v>
      </c>
    </row>
    <row r="833" spans="1:3" hidden="1" x14ac:dyDescent="0.3">
      <c r="A833" s="128">
        <v>42166</v>
      </c>
      <c r="B833" s="129">
        <v>115.0179</v>
      </c>
    </row>
    <row r="834" spans="1:3" hidden="1" x14ac:dyDescent="0.3">
      <c r="A834" s="128">
        <v>42167</v>
      </c>
      <c r="B834" s="129">
        <v>114.846</v>
      </c>
    </row>
    <row r="835" spans="1:3" hidden="1" x14ac:dyDescent="0.3">
      <c r="A835" s="128">
        <v>42170</v>
      </c>
      <c r="B835" s="129">
        <v>114.9345</v>
      </c>
    </row>
    <row r="836" spans="1:3" hidden="1" x14ac:dyDescent="0.3">
      <c r="A836" s="128">
        <v>42171</v>
      </c>
      <c r="B836" s="129">
        <v>114.9816</v>
      </c>
    </row>
    <row r="837" spans="1:3" hidden="1" x14ac:dyDescent="0.3">
      <c r="A837" s="128">
        <v>42172</v>
      </c>
      <c r="B837" s="129">
        <v>115.01179999999999</v>
      </c>
    </row>
    <row r="838" spans="1:3" hidden="1" x14ac:dyDescent="0.3">
      <c r="A838" s="128">
        <v>42173</v>
      </c>
      <c r="B838" s="129">
        <v>114.0412</v>
      </c>
    </row>
    <row r="839" spans="1:3" hidden="1" x14ac:dyDescent="0.3">
      <c r="A839" s="128">
        <v>42174</v>
      </c>
      <c r="B839" s="129">
        <v>114.39830000000001</v>
      </c>
    </row>
    <row r="840" spans="1:3" hidden="1" x14ac:dyDescent="0.3">
      <c r="A840" s="128">
        <v>42177</v>
      </c>
      <c r="B840" s="129">
        <v>114.3219</v>
      </c>
    </row>
    <row r="841" spans="1:3" hidden="1" x14ac:dyDescent="0.3">
      <c r="A841" s="128">
        <v>42178</v>
      </c>
      <c r="B841" s="129">
        <v>114.90089999999999</v>
      </c>
    </row>
    <row r="842" spans="1:3" hidden="1" x14ac:dyDescent="0.3">
      <c r="A842" s="128">
        <v>42179</v>
      </c>
      <c r="B842" s="129">
        <v>115.1896</v>
      </c>
    </row>
    <row r="843" spans="1:3" hidden="1" x14ac:dyDescent="0.3">
      <c r="A843" s="128">
        <v>42180</v>
      </c>
      <c r="B843" s="129">
        <v>115.1037</v>
      </c>
    </row>
    <row r="844" spans="1:3" hidden="1" x14ac:dyDescent="0.3">
      <c r="A844" s="128">
        <v>42181</v>
      </c>
      <c r="B844" s="129">
        <v>115.3794</v>
      </c>
    </row>
    <row r="845" spans="1:3" hidden="1" x14ac:dyDescent="0.3">
      <c r="A845" s="128">
        <v>42184</v>
      </c>
      <c r="B845" s="129">
        <v>115.35599999999999</v>
      </c>
    </row>
    <row r="846" spans="1:3" x14ac:dyDescent="0.3">
      <c r="A846" s="128">
        <v>42185</v>
      </c>
      <c r="B846" s="129">
        <v>115.4649</v>
      </c>
      <c r="C846" s="130">
        <f>AVERAGE(B783:B846)</f>
        <v>114.83147968749995</v>
      </c>
    </row>
    <row r="847" spans="1:3" hidden="1" x14ac:dyDescent="0.3">
      <c r="A847" s="128">
        <v>42186</v>
      </c>
      <c r="B847" s="129">
        <v>115.9494</v>
      </c>
    </row>
    <row r="848" spans="1:3" hidden="1" x14ac:dyDescent="0.3">
      <c r="A848" s="128">
        <v>42187</v>
      </c>
      <c r="B848" s="129">
        <v>115.8498</v>
      </c>
    </row>
    <row r="849" spans="1:2" hidden="1" x14ac:dyDescent="0.3">
      <c r="A849" s="128">
        <v>42191</v>
      </c>
      <c r="B849" s="129">
        <v>116.0975</v>
      </c>
    </row>
    <row r="850" spans="1:2" hidden="1" x14ac:dyDescent="0.3">
      <c r="A850" s="128">
        <v>42192</v>
      </c>
      <c r="B850" s="129">
        <v>116.72709999999999</v>
      </c>
    </row>
    <row r="851" spans="1:2" hidden="1" x14ac:dyDescent="0.3">
      <c r="A851" s="128">
        <v>42193</v>
      </c>
      <c r="B851" s="129">
        <v>116.40309999999999</v>
      </c>
    </row>
    <row r="852" spans="1:2" hidden="1" x14ac:dyDescent="0.3">
      <c r="A852" s="128">
        <v>42194</v>
      </c>
      <c r="B852" s="129">
        <v>116.4888</v>
      </c>
    </row>
    <row r="853" spans="1:2" hidden="1" x14ac:dyDescent="0.3">
      <c r="A853" s="128">
        <v>42195</v>
      </c>
      <c r="B853" s="129">
        <v>116.1497</v>
      </c>
    </row>
    <row r="854" spans="1:2" hidden="1" x14ac:dyDescent="0.3">
      <c r="A854" s="128">
        <v>42198</v>
      </c>
      <c r="B854" s="129">
        <v>116.5284</v>
      </c>
    </row>
    <row r="855" spans="1:2" hidden="1" x14ac:dyDescent="0.3">
      <c r="A855" s="128">
        <v>42199</v>
      </c>
      <c r="B855" s="129">
        <v>116.4495</v>
      </c>
    </row>
    <row r="856" spans="1:2" hidden="1" x14ac:dyDescent="0.3">
      <c r="A856" s="128">
        <v>42200</v>
      </c>
      <c r="B856" s="129">
        <v>116.9755</v>
      </c>
    </row>
    <row r="857" spans="1:2" hidden="1" x14ac:dyDescent="0.3">
      <c r="A857" s="128">
        <v>42201</v>
      </c>
      <c r="B857" s="129">
        <v>117.13549999999999</v>
      </c>
    </row>
    <row r="858" spans="1:2" hidden="1" x14ac:dyDescent="0.3">
      <c r="A858" s="128">
        <v>42202</v>
      </c>
      <c r="B858" s="129">
        <v>117.4979</v>
      </c>
    </row>
    <row r="859" spans="1:2" hidden="1" x14ac:dyDescent="0.3">
      <c r="A859" s="128">
        <v>42205</v>
      </c>
      <c r="B859" s="129">
        <v>117.6692</v>
      </c>
    </row>
    <row r="860" spans="1:2" hidden="1" x14ac:dyDescent="0.3">
      <c r="A860" s="128">
        <v>42206</v>
      </c>
      <c r="B860" s="129">
        <v>117.3557</v>
      </c>
    </row>
    <row r="861" spans="1:2" hidden="1" x14ac:dyDescent="0.3">
      <c r="A861" s="128">
        <v>42207</v>
      </c>
      <c r="B861" s="129">
        <v>117.76560000000001</v>
      </c>
    </row>
    <row r="862" spans="1:2" hidden="1" x14ac:dyDescent="0.3">
      <c r="A862" s="128">
        <v>42208</v>
      </c>
      <c r="B862" s="129">
        <v>117.7422</v>
      </c>
    </row>
    <row r="863" spans="1:2" hidden="1" x14ac:dyDescent="0.3">
      <c r="A863" s="128">
        <v>42209</v>
      </c>
      <c r="B863" s="129">
        <v>118.01609999999999</v>
      </c>
    </row>
    <row r="864" spans="1:2" hidden="1" x14ac:dyDescent="0.3">
      <c r="A864" s="128">
        <v>42212</v>
      </c>
      <c r="B864" s="129">
        <v>117.7154</v>
      </c>
    </row>
    <row r="865" spans="1:2" hidden="1" x14ac:dyDescent="0.3">
      <c r="A865" s="128">
        <v>42213</v>
      </c>
      <c r="B865" s="129">
        <v>117.717</v>
      </c>
    </row>
    <row r="866" spans="1:2" hidden="1" x14ac:dyDescent="0.3">
      <c r="A866" s="128">
        <v>42214</v>
      </c>
      <c r="B866" s="129">
        <v>117.6245</v>
      </c>
    </row>
    <row r="867" spans="1:2" hidden="1" x14ac:dyDescent="0.3">
      <c r="A867" s="128">
        <v>42215</v>
      </c>
      <c r="B867" s="129">
        <v>118.476</v>
      </c>
    </row>
    <row r="868" spans="1:2" hidden="1" x14ac:dyDescent="0.3">
      <c r="A868" s="128">
        <v>42216</v>
      </c>
      <c r="B868" s="129">
        <v>117.8293</v>
      </c>
    </row>
    <row r="869" spans="1:2" hidden="1" x14ac:dyDescent="0.3">
      <c r="A869" s="128">
        <v>42219</v>
      </c>
      <c r="B869" s="129">
        <v>118.28279999999999</v>
      </c>
    </row>
    <row r="870" spans="1:2" hidden="1" x14ac:dyDescent="0.3">
      <c r="A870" s="128">
        <v>42220</v>
      </c>
      <c r="B870" s="129">
        <v>118.2884</v>
      </c>
    </row>
    <row r="871" spans="1:2" hidden="1" x14ac:dyDescent="0.3">
      <c r="A871" s="128">
        <v>42221</v>
      </c>
      <c r="B871" s="129">
        <v>118.92959999999999</v>
      </c>
    </row>
    <row r="872" spans="1:2" hidden="1" x14ac:dyDescent="0.3">
      <c r="A872" s="128">
        <v>42222</v>
      </c>
      <c r="B872" s="129">
        <v>118.7988</v>
      </c>
    </row>
    <row r="873" spans="1:2" hidden="1" x14ac:dyDescent="0.3">
      <c r="A873" s="128">
        <v>42223</v>
      </c>
      <c r="B873" s="129">
        <v>118.51090000000001</v>
      </c>
    </row>
    <row r="874" spans="1:2" hidden="1" x14ac:dyDescent="0.3">
      <c r="A874" s="128">
        <v>42226</v>
      </c>
      <c r="B874" s="129">
        <v>118.26779999999999</v>
      </c>
    </row>
    <row r="875" spans="1:2" hidden="1" x14ac:dyDescent="0.3">
      <c r="A875" s="128">
        <v>42227</v>
      </c>
      <c r="B875" s="129">
        <v>119.2148</v>
      </c>
    </row>
    <row r="876" spans="1:2" hidden="1" x14ac:dyDescent="0.3">
      <c r="A876" s="128">
        <v>42228</v>
      </c>
      <c r="B876" s="129">
        <v>118.8466</v>
      </c>
    </row>
    <row r="877" spans="1:2" hidden="1" x14ac:dyDescent="0.3">
      <c r="A877" s="128">
        <v>42229</v>
      </c>
      <c r="B877" s="129">
        <v>119.28</v>
      </c>
    </row>
    <row r="878" spans="1:2" hidden="1" x14ac:dyDescent="0.3">
      <c r="A878" s="128">
        <v>42230</v>
      </c>
      <c r="B878" s="129">
        <v>119.30710000000001</v>
      </c>
    </row>
    <row r="879" spans="1:2" hidden="1" x14ac:dyDescent="0.3">
      <c r="A879" s="128">
        <v>42233</v>
      </c>
      <c r="B879" s="129">
        <v>119.5568</v>
      </c>
    </row>
    <row r="880" spans="1:2" hidden="1" x14ac:dyDescent="0.3">
      <c r="A880" s="128">
        <v>42234</v>
      </c>
      <c r="B880" s="129">
        <v>119.6767</v>
      </c>
    </row>
    <row r="881" spans="1:2" hidden="1" x14ac:dyDescent="0.3">
      <c r="A881" s="128">
        <v>42235</v>
      </c>
      <c r="B881" s="129">
        <v>119.85209999999999</v>
      </c>
    </row>
    <row r="882" spans="1:2" hidden="1" x14ac:dyDescent="0.3">
      <c r="A882" s="128">
        <v>42236</v>
      </c>
      <c r="B882" s="129">
        <v>119.5513</v>
      </c>
    </row>
    <row r="883" spans="1:2" hidden="1" x14ac:dyDescent="0.3">
      <c r="A883" s="128">
        <v>42237</v>
      </c>
      <c r="B883" s="129">
        <v>119.6046</v>
      </c>
    </row>
    <row r="884" spans="1:2" hidden="1" x14ac:dyDescent="0.3">
      <c r="A884" s="128">
        <v>42240</v>
      </c>
      <c r="B884" s="129">
        <v>119.422</v>
      </c>
    </row>
    <row r="885" spans="1:2" hidden="1" x14ac:dyDescent="0.3">
      <c r="A885" s="128">
        <v>42241</v>
      </c>
      <c r="B885" s="129">
        <v>119.8043</v>
      </c>
    </row>
    <row r="886" spans="1:2" hidden="1" x14ac:dyDescent="0.3">
      <c r="A886" s="128">
        <v>42242</v>
      </c>
      <c r="B886" s="129">
        <v>120.009</v>
      </c>
    </row>
    <row r="887" spans="1:2" hidden="1" x14ac:dyDescent="0.3">
      <c r="A887" s="128">
        <v>42243</v>
      </c>
      <c r="B887" s="129">
        <v>119.85769999999999</v>
      </c>
    </row>
    <row r="888" spans="1:2" hidden="1" x14ac:dyDescent="0.3">
      <c r="A888" s="128">
        <v>42244</v>
      </c>
      <c r="B888" s="129">
        <v>120.011</v>
      </c>
    </row>
    <row r="889" spans="1:2" hidden="1" x14ac:dyDescent="0.3">
      <c r="A889" s="128">
        <v>42247</v>
      </c>
      <c r="B889" s="129">
        <v>119.8776</v>
      </c>
    </row>
    <row r="890" spans="1:2" hidden="1" x14ac:dyDescent="0.3">
      <c r="A890" s="128">
        <v>42248</v>
      </c>
      <c r="B890" s="129">
        <v>119.7627</v>
      </c>
    </row>
    <row r="891" spans="1:2" hidden="1" x14ac:dyDescent="0.3">
      <c r="A891" s="128">
        <v>42249</v>
      </c>
      <c r="B891" s="129">
        <v>120.09350000000001</v>
      </c>
    </row>
    <row r="892" spans="1:2" hidden="1" x14ac:dyDescent="0.3">
      <c r="A892" s="128">
        <v>42250</v>
      </c>
      <c r="B892" s="129">
        <v>120.157</v>
      </c>
    </row>
    <row r="893" spans="1:2" hidden="1" x14ac:dyDescent="0.3">
      <c r="A893" s="128">
        <v>42251</v>
      </c>
      <c r="B893" s="129">
        <v>120.4158</v>
      </c>
    </row>
    <row r="894" spans="1:2" hidden="1" x14ac:dyDescent="0.3">
      <c r="A894" s="128">
        <v>42255</v>
      </c>
      <c r="B894" s="129">
        <v>120.1644</v>
      </c>
    </row>
    <row r="895" spans="1:2" hidden="1" x14ac:dyDescent="0.3">
      <c r="A895" s="128">
        <v>42256</v>
      </c>
      <c r="B895" s="129">
        <v>120.3013</v>
      </c>
    </row>
    <row r="896" spans="1:2" hidden="1" x14ac:dyDescent="0.3">
      <c r="A896" s="128">
        <v>42257</v>
      </c>
      <c r="B896" s="129">
        <v>120.0133</v>
      </c>
    </row>
    <row r="897" spans="1:3" hidden="1" x14ac:dyDescent="0.3">
      <c r="A897" s="128">
        <v>42258</v>
      </c>
      <c r="B897" s="129">
        <v>119.9764</v>
      </c>
    </row>
    <row r="898" spans="1:3" hidden="1" x14ac:dyDescent="0.3">
      <c r="A898" s="128">
        <v>42261</v>
      </c>
      <c r="B898" s="129">
        <v>119.85</v>
      </c>
    </row>
    <row r="899" spans="1:3" hidden="1" x14ac:dyDescent="0.3">
      <c r="A899" s="128">
        <v>42262</v>
      </c>
      <c r="B899" s="129">
        <v>119.96729999999999</v>
      </c>
    </row>
    <row r="900" spans="1:3" hidden="1" x14ac:dyDescent="0.3">
      <c r="A900" s="128">
        <v>42263</v>
      </c>
      <c r="B900" s="129">
        <v>119.4328</v>
      </c>
    </row>
    <row r="901" spans="1:3" hidden="1" x14ac:dyDescent="0.3">
      <c r="A901" s="128">
        <v>42264</v>
      </c>
      <c r="B901" s="129">
        <v>119.43</v>
      </c>
    </row>
    <row r="902" spans="1:3" hidden="1" x14ac:dyDescent="0.3">
      <c r="A902" s="128">
        <v>42265</v>
      </c>
      <c r="B902" s="129">
        <v>119.1352</v>
      </c>
    </row>
    <row r="903" spans="1:3" hidden="1" x14ac:dyDescent="0.3">
      <c r="A903" s="128">
        <v>42268</v>
      </c>
      <c r="B903" s="129">
        <v>119.9821</v>
      </c>
    </row>
    <row r="904" spans="1:3" hidden="1" x14ac:dyDescent="0.3">
      <c r="A904" s="128">
        <v>42269</v>
      </c>
      <c r="B904" s="129">
        <v>120.54989999999999</v>
      </c>
    </row>
    <row r="905" spans="1:3" hidden="1" x14ac:dyDescent="0.3">
      <c r="A905" s="128">
        <v>42270</v>
      </c>
      <c r="B905" s="129">
        <v>121.0056</v>
      </c>
    </row>
    <row r="906" spans="1:3" hidden="1" x14ac:dyDescent="0.3">
      <c r="A906" s="128">
        <v>42271</v>
      </c>
      <c r="B906" s="129">
        <v>120.8098</v>
      </c>
    </row>
    <row r="907" spans="1:3" hidden="1" x14ac:dyDescent="0.3">
      <c r="A907" s="128">
        <v>42272</v>
      </c>
      <c r="B907" s="129">
        <v>120.72029999999999</v>
      </c>
    </row>
    <row r="908" spans="1:3" hidden="1" x14ac:dyDescent="0.3">
      <c r="A908" s="128">
        <v>42275</v>
      </c>
      <c r="B908" s="129">
        <v>120.7522</v>
      </c>
    </row>
    <row r="909" spans="1:3" hidden="1" x14ac:dyDescent="0.3">
      <c r="A909" s="128">
        <v>42276</v>
      </c>
      <c r="B909" s="129">
        <v>120.86360000000001</v>
      </c>
    </row>
    <row r="910" spans="1:3" x14ac:dyDescent="0.3">
      <c r="A910" s="128">
        <v>42277</v>
      </c>
      <c r="B910" s="129">
        <v>120.6347</v>
      </c>
      <c r="C910" s="130">
        <f>AVERAGE(B847:B910)</f>
        <v>118.83017187499998</v>
      </c>
    </row>
    <row r="911" spans="1:3" hidden="1" x14ac:dyDescent="0.3">
      <c r="A911" s="128">
        <v>42278</v>
      </c>
      <c r="B911" s="129">
        <v>120.3678</v>
      </c>
    </row>
    <row r="912" spans="1:3" hidden="1" x14ac:dyDescent="0.3">
      <c r="A912" s="128">
        <v>42279</v>
      </c>
      <c r="B912" s="129">
        <v>120.035</v>
      </c>
    </row>
    <row r="913" spans="1:2" hidden="1" x14ac:dyDescent="0.3">
      <c r="A913" s="128">
        <v>42282</v>
      </c>
      <c r="B913" s="129">
        <v>119.73690000000001</v>
      </c>
    </row>
    <row r="914" spans="1:2" hidden="1" x14ac:dyDescent="0.3">
      <c r="A914" s="128">
        <v>42283</v>
      </c>
      <c r="B914" s="129">
        <v>119.4256</v>
      </c>
    </row>
    <row r="915" spans="1:2" hidden="1" x14ac:dyDescent="0.3">
      <c r="A915" s="128">
        <v>42284</v>
      </c>
      <c r="B915" s="129">
        <v>119.0624</v>
      </c>
    </row>
    <row r="916" spans="1:2" hidden="1" x14ac:dyDescent="0.3">
      <c r="A916" s="128">
        <v>42285</v>
      </c>
      <c r="B916" s="129">
        <v>118.8917</v>
      </c>
    </row>
    <row r="917" spans="1:2" hidden="1" x14ac:dyDescent="0.3">
      <c r="A917" s="128">
        <v>42286</v>
      </c>
      <c r="B917" s="129">
        <v>118.28489999999999</v>
      </c>
    </row>
    <row r="918" spans="1:2" hidden="1" x14ac:dyDescent="0.3">
      <c r="A918" s="128">
        <v>42290</v>
      </c>
      <c r="B918" s="129">
        <v>118.6232</v>
      </c>
    </row>
    <row r="919" spans="1:2" hidden="1" x14ac:dyDescent="0.3">
      <c r="A919" s="128">
        <v>42291</v>
      </c>
      <c r="B919" s="129">
        <v>118.3447</v>
      </c>
    </row>
    <row r="920" spans="1:2" hidden="1" x14ac:dyDescent="0.3">
      <c r="A920" s="128">
        <v>42292</v>
      </c>
      <c r="B920" s="129">
        <v>117.83969999999999</v>
      </c>
    </row>
    <row r="921" spans="1:2" hidden="1" x14ac:dyDescent="0.3">
      <c r="A921" s="128">
        <v>42293</v>
      </c>
      <c r="B921" s="129">
        <v>118.2002</v>
      </c>
    </row>
    <row r="922" spans="1:2" hidden="1" x14ac:dyDescent="0.3">
      <c r="A922" s="128">
        <v>42296</v>
      </c>
      <c r="B922" s="129">
        <v>118.6193</v>
      </c>
    </row>
    <row r="923" spans="1:2" hidden="1" x14ac:dyDescent="0.3">
      <c r="A923" s="128">
        <v>42297</v>
      </c>
      <c r="B923" s="129">
        <v>118.5671</v>
      </c>
    </row>
    <row r="924" spans="1:2" hidden="1" x14ac:dyDescent="0.3">
      <c r="A924" s="128">
        <v>42298</v>
      </c>
      <c r="B924" s="129">
        <v>119.0213</v>
      </c>
    </row>
    <row r="925" spans="1:2" hidden="1" x14ac:dyDescent="0.3">
      <c r="A925" s="128">
        <v>42299</v>
      </c>
      <c r="B925" s="129">
        <v>119.2735</v>
      </c>
    </row>
    <row r="926" spans="1:2" hidden="1" x14ac:dyDescent="0.3">
      <c r="A926" s="128">
        <v>42300</v>
      </c>
      <c r="B926" s="129">
        <v>119.6421</v>
      </c>
    </row>
    <row r="927" spans="1:2" hidden="1" x14ac:dyDescent="0.3">
      <c r="A927" s="128">
        <v>42303</v>
      </c>
      <c r="B927" s="129">
        <v>119.42010000000001</v>
      </c>
    </row>
    <row r="928" spans="1:2" hidden="1" x14ac:dyDescent="0.3">
      <c r="A928" s="128">
        <v>42304</v>
      </c>
      <c r="B928" s="129">
        <v>119.7169</v>
      </c>
    </row>
    <row r="929" spans="1:2" hidden="1" x14ac:dyDescent="0.3">
      <c r="A929" s="128">
        <v>42305</v>
      </c>
      <c r="B929" s="129">
        <v>119.4528</v>
      </c>
    </row>
    <row r="930" spans="1:2" hidden="1" x14ac:dyDescent="0.3">
      <c r="A930" s="128">
        <v>42306</v>
      </c>
      <c r="B930" s="129">
        <v>120.05240000000001</v>
      </c>
    </row>
    <row r="931" spans="1:2" hidden="1" x14ac:dyDescent="0.3">
      <c r="A931" s="128">
        <v>42307</v>
      </c>
      <c r="B931" s="129">
        <v>119.4196</v>
      </c>
    </row>
    <row r="932" spans="1:2" hidden="1" x14ac:dyDescent="0.3">
      <c r="A932" s="128">
        <v>42310</v>
      </c>
      <c r="B932" s="129">
        <v>119.4224</v>
      </c>
    </row>
    <row r="933" spans="1:2" hidden="1" x14ac:dyDescent="0.3">
      <c r="A933" s="128">
        <v>42311</v>
      </c>
      <c r="B933" s="129">
        <v>119.4329</v>
      </c>
    </row>
    <row r="934" spans="1:2" hidden="1" x14ac:dyDescent="0.3">
      <c r="A934" s="128">
        <v>42312</v>
      </c>
      <c r="B934" s="129">
        <v>119.9209</v>
      </c>
    </row>
    <row r="935" spans="1:2" hidden="1" x14ac:dyDescent="0.3">
      <c r="A935" s="128">
        <v>42313</v>
      </c>
      <c r="B935" s="129">
        <v>120.0097</v>
      </c>
    </row>
    <row r="936" spans="1:2" hidden="1" x14ac:dyDescent="0.3">
      <c r="A936" s="128">
        <v>42314</v>
      </c>
      <c r="B936" s="129">
        <v>120.9235</v>
      </c>
    </row>
    <row r="937" spans="1:2" hidden="1" x14ac:dyDescent="0.3">
      <c r="A937" s="128">
        <v>42317</v>
      </c>
      <c r="B937" s="129">
        <v>121.1827</v>
      </c>
    </row>
    <row r="938" spans="1:2" hidden="1" x14ac:dyDescent="0.3">
      <c r="A938" s="128">
        <v>42318</v>
      </c>
      <c r="B938" s="129">
        <v>121.2548</v>
      </c>
    </row>
    <row r="939" spans="1:2" hidden="1" x14ac:dyDescent="0.3">
      <c r="A939" s="128">
        <v>42320</v>
      </c>
      <c r="B939" s="129">
        <v>121.10169999999999</v>
      </c>
    </row>
    <row r="940" spans="1:2" hidden="1" x14ac:dyDescent="0.3">
      <c r="A940" s="128">
        <v>42321</v>
      </c>
      <c r="B940" s="129">
        <v>121.3516</v>
      </c>
    </row>
    <row r="941" spans="1:2" hidden="1" x14ac:dyDescent="0.3">
      <c r="A941" s="128">
        <v>42324</v>
      </c>
      <c r="B941" s="129">
        <v>121.53189999999999</v>
      </c>
    </row>
    <row r="942" spans="1:2" hidden="1" x14ac:dyDescent="0.3">
      <c r="A942" s="128">
        <v>42325</v>
      </c>
      <c r="B942" s="129">
        <v>121.6323</v>
      </c>
    </row>
    <row r="943" spans="1:2" hidden="1" x14ac:dyDescent="0.3">
      <c r="A943" s="128">
        <v>42326</v>
      </c>
      <c r="B943" s="129">
        <v>121.6842</v>
      </c>
    </row>
    <row r="944" spans="1:2" hidden="1" x14ac:dyDescent="0.3">
      <c r="A944" s="128">
        <v>42327</v>
      </c>
      <c r="B944" s="129">
        <v>120.88160000000001</v>
      </c>
    </row>
    <row r="945" spans="1:2" hidden="1" x14ac:dyDescent="0.3">
      <c r="A945" s="128">
        <v>42328</v>
      </c>
      <c r="B945" s="129">
        <v>121.054</v>
      </c>
    </row>
    <row r="946" spans="1:2" hidden="1" x14ac:dyDescent="0.3">
      <c r="A946" s="128">
        <v>42331</v>
      </c>
      <c r="B946" s="129">
        <v>121.4104</v>
      </c>
    </row>
    <row r="947" spans="1:2" hidden="1" x14ac:dyDescent="0.3">
      <c r="A947" s="128">
        <v>42332</v>
      </c>
      <c r="B947" s="129">
        <v>121.0324</v>
      </c>
    </row>
    <row r="948" spans="1:2" hidden="1" x14ac:dyDescent="0.3">
      <c r="A948" s="128">
        <v>42333</v>
      </c>
      <c r="B948" s="129">
        <v>121.1514</v>
      </c>
    </row>
    <row r="949" spans="1:2" hidden="1" x14ac:dyDescent="0.3">
      <c r="A949" s="128">
        <v>42335</v>
      </c>
      <c r="B949" s="129">
        <v>121.56950000000001</v>
      </c>
    </row>
    <row r="950" spans="1:2" hidden="1" x14ac:dyDescent="0.3">
      <c r="A950" s="128">
        <v>42338</v>
      </c>
      <c r="B950" s="129">
        <v>121.6117</v>
      </c>
    </row>
    <row r="951" spans="1:2" hidden="1" x14ac:dyDescent="0.3">
      <c r="A951" s="128">
        <v>42339</v>
      </c>
      <c r="B951" s="129">
        <v>121.3858</v>
      </c>
    </row>
    <row r="952" spans="1:2" hidden="1" x14ac:dyDescent="0.3">
      <c r="A952" s="128">
        <v>42340</v>
      </c>
      <c r="B952" s="129">
        <v>121.6395</v>
      </c>
    </row>
    <row r="953" spans="1:2" hidden="1" x14ac:dyDescent="0.3">
      <c r="A953" s="128">
        <v>42341</v>
      </c>
      <c r="B953" s="129">
        <v>120.9325</v>
      </c>
    </row>
    <row r="954" spans="1:2" hidden="1" x14ac:dyDescent="0.3">
      <c r="A954" s="128">
        <v>42342</v>
      </c>
      <c r="B954" s="129">
        <v>120.8503</v>
      </c>
    </row>
    <row r="955" spans="1:2" hidden="1" x14ac:dyDescent="0.3">
      <c r="A955" s="128">
        <v>42345</v>
      </c>
      <c r="B955" s="129">
        <v>121.6648</v>
      </c>
    </row>
    <row r="956" spans="1:2" hidden="1" x14ac:dyDescent="0.3">
      <c r="A956" s="128">
        <v>42346</v>
      </c>
      <c r="B956" s="129">
        <v>121.91800000000001</v>
      </c>
    </row>
    <row r="957" spans="1:2" hidden="1" x14ac:dyDescent="0.3">
      <c r="A957" s="128">
        <v>42347</v>
      </c>
      <c r="B957" s="129">
        <v>121.59610000000001</v>
      </c>
    </row>
    <row r="958" spans="1:2" hidden="1" x14ac:dyDescent="0.3">
      <c r="A958" s="128">
        <v>42348</v>
      </c>
      <c r="B958" s="129">
        <v>121.673</v>
      </c>
    </row>
    <row r="959" spans="1:2" hidden="1" x14ac:dyDescent="0.3">
      <c r="A959" s="128">
        <v>42349</v>
      </c>
      <c r="B959" s="129">
        <v>122.1773</v>
      </c>
    </row>
    <row r="960" spans="1:2" hidden="1" x14ac:dyDescent="0.3">
      <c r="A960" s="128">
        <v>42352</v>
      </c>
      <c r="B960" s="129">
        <v>122.2098</v>
      </c>
    </row>
    <row r="961" spans="1:3" hidden="1" x14ac:dyDescent="0.3">
      <c r="A961" s="128">
        <v>42353</v>
      </c>
      <c r="B961" s="129">
        <v>122.2838</v>
      </c>
    </row>
    <row r="962" spans="1:3" hidden="1" x14ac:dyDescent="0.3">
      <c r="A962" s="128">
        <v>42354</v>
      </c>
      <c r="B962" s="129">
        <v>122.4265</v>
      </c>
    </row>
    <row r="963" spans="1:3" hidden="1" x14ac:dyDescent="0.3">
      <c r="A963" s="128">
        <v>42355</v>
      </c>
      <c r="B963" s="129">
        <v>123.277</v>
      </c>
    </row>
    <row r="964" spans="1:3" hidden="1" x14ac:dyDescent="0.3">
      <c r="A964" s="128">
        <v>42356</v>
      </c>
      <c r="B964" s="129">
        <v>122.721</v>
      </c>
    </row>
    <row r="965" spans="1:3" hidden="1" x14ac:dyDescent="0.3">
      <c r="A965" s="128">
        <v>42359</v>
      </c>
      <c r="B965" s="129">
        <v>122.83459999999999</v>
      </c>
    </row>
    <row r="966" spans="1:3" hidden="1" x14ac:dyDescent="0.3">
      <c r="A966" s="128">
        <v>42360</v>
      </c>
      <c r="B966" s="129">
        <v>122.6157</v>
      </c>
    </row>
    <row r="967" spans="1:3" hidden="1" x14ac:dyDescent="0.3">
      <c r="A967" s="128">
        <v>42361</v>
      </c>
      <c r="B967" s="129">
        <v>122.5626</v>
      </c>
    </row>
    <row r="968" spans="1:3" hidden="1" x14ac:dyDescent="0.3">
      <c r="A968" s="128">
        <v>42362</v>
      </c>
      <c r="B968" s="129">
        <v>122.4696</v>
      </c>
    </row>
    <row r="969" spans="1:3" hidden="1" x14ac:dyDescent="0.3">
      <c r="A969" s="128">
        <v>42366</v>
      </c>
      <c r="B969" s="129">
        <v>122.4847</v>
      </c>
    </row>
    <row r="970" spans="1:3" hidden="1" x14ac:dyDescent="0.3">
      <c r="A970" s="128">
        <v>42367</v>
      </c>
      <c r="B970" s="129">
        <v>122.5988</v>
      </c>
    </row>
    <row r="971" spans="1:3" hidden="1" x14ac:dyDescent="0.3">
      <c r="A971" s="128">
        <v>42368</v>
      </c>
      <c r="B971" s="129">
        <v>122.94580000000001</v>
      </c>
    </row>
    <row r="972" spans="1:3" x14ac:dyDescent="0.3">
      <c r="A972" s="128">
        <v>42369</v>
      </c>
      <c r="B972" s="129">
        <v>122.7709</v>
      </c>
      <c r="C972" s="130">
        <f>AVERAGE(B911:B972)</f>
        <v>120.7773370967742</v>
      </c>
    </row>
    <row r="973" spans="1:3" hidden="1" x14ac:dyDescent="0.3">
      <c r="A973" s="128">
        <v>42373</v>
      </c>
      <c r="B973" s="129">
        <v>123.69289999999999</v>
      </c>
    </row>
    <row r="974" spans="1:3" hidden="1" x14ac:dyDescent="0.3">
      <c r="A974" s="128">
        <v>42374</v>
      </c>
      <c r="B974" s="129">
        <v>123.774</v>
      </c>
    </row>
    <row r="975" spans="1:3" hidden="1" x14ac:dyDescent="0.3">
      <c r="A975" s="128">
        <v>42375</v>
      </c>
      <c r="B975" s="129">
        <v>124.1992</v>
      </c>
    </row>
    <row r="976" spans="1:3" hidden="1" x14ac:dyDescent="0.3">
      <c r="A976" s="128">
        <v>42376</v>
      </c>
      <c r="B976" s="129">
        <v>124.2812</v>
      </c>
    </row>
    <row r="977" spans="1:2" hidden="1" x14ac:dyDescent="0.3">
      <c r="A977" s="128">
        <v>42377</v>
      </c>
      <c r="B977" s="129">
        <v>124.65389999999999</v>
      </c>
    </row>
    <row r="978" spans="1:2" hidden="1" x14ac:dyDescent="0.3">
      <c r="A978" s="128">
        <v>42380</v>
      </c>
      <c r="B978" s="129">
        <v>124.6357</v>
      </c>
    </row>
    <row r="979" spans="1:2" hidden="1" x14ac:dyDescent="0.3">
      <c r="A979" s="128">
        <v>42381</v>
      </c>
      <c r="B979" s="129">
        <v>124.928</v>
      </c>
    </row>
    <row r="980" spans="1:2" hidden="1" x14ac:dyDescent="0.3">
      <c r="A980" s="128">
        <v>42382</v>
      </c>
      <c r="B980" s="129">
        <v>124.7564</v>
      </c>
    </row>
    <row r="981" spans="1:2" hidden="1" x14ac:dyDescent="0.3">
      <c r="A981" s="128">
        <v>42383</v>
      </c>
      <c r="B981" s="129">
        <v>125.0039</v>
      </c>
    </row>
    <row r="982" spans="1:2" hidden="1" x14ac:dyDescent="0.3">
      <c r="A982" s="128">
        <v>42384</v>
      </c>
      <c r="B982" s="129">
        <v>125.3626</v>
      </c>
    </row>
    <row r="983" spans="1:2" hidden="1" x14ac:dyDescent="0.3">
      <c r="A983" s="128">
        <v>42388</v>
      </c>
      <c r="B983" s="129">
        <v>125.4068</v>
      </c>
    </row>
    <row r="984" spans="1:2" hidden="1" x14ac:dyDescent="0.3">
      <c r="A984" s="128">
        <v>42389</v>
      </c>
      <c r="B984" s="129">
        <v>125.98399999999999</v>
      </c>
    </row>
    <row r="985" spans="1:2" hidden="1" x14ac:dyDescent="0.3">
      <c r="A985" s="128">
        <v>42390</v>
      </c>
      <c r="B985" s="129">
        <v>125.6384</v>
      </c>
    </row>
    <row r="986" spans="1:2" hidden="1" x14ac:dyDescent="0.3">
      <c r="A986" s="128">
        <v>42391</v>
      </c>
      <c r="B986" s="129">
        <v>125.37179999999999</v>
      </c>
    </row>
    <row r="987" spans="1:2" hidden="1" x14ac:dyDescent="0.3">
      <c r="A987" s="128">
        <v>42394</v>
      </c>
      <c r="B987" s="129">
        <v>125.62439999999999</v>
      </c>
    </row>
    <row r="988" spans="1:2" hidden="1" x14ac:dyDescent="0.3">
      <c r="A988" s="128">
        <v>42395</v>
      </c>
      <c r="B988" s="129">
        <v>125.2761</v>
      </c>
    </row>
    <row r="989" spans="1:2" hidden="1" x14ac:dyDescent="0.3">
      <c r="A989" s="128">
        <v>42396</v>
      </c>
      <c r="B989" s="129">
        <v>125.1146</v>
      </c>
    </row>
    <row r="990" spans="1:2" hidden="1" x14ac:dyDescent="0.3">
      <c r="A990" s="128">
        <v>42397</v>
      </c>
      <c r="B990" s="129">
        <v>124.8181</v>
      </c>
    </row>
    <row r="991" spans="1:2" hidden="1" x14ac:dyDescent="0.3">
      <c r="A991" s="128">
        <v>42398</v>
      </c>
      <c r="B991" s="129">
        <v>125.13420000000001</v>
      </c>
    </row>
    <row r="992" spans="1:2" hidden="1" x14ac:dyDescent="0.3">
      <c r="A992" s="128">
        <v>42401</v>
      </c>
      <c r="B992" s="129">
        <v>124.93</v>
      </c>
    </row>
    <row r="993" spans="1:2" hidden="1" x14ac:dyDescent="0.3">
      <c r="A993" s="128">
        <v>42402</v>
      </c>
      <c r="B993" s="129">
        <v>125.2043</v>
      </c>
    </row>
    <row r="994" spans="1:2" hidden="1" x14ac:dyDescent="0.3">
      <c r="A994" s="128">
        <v>42403</v>
      </c>
      <c r="B994" s="129">
        <v>124.26519999999999</v>
      </c>
    </row>
    <row r="995" spans="1:2" hidden="1" x14ac:dyDescent="0.3">
      <c r="A995" s="128">
        <v>42404</v>
      </c>
      <c r="B995" s="129">
        <v>123.1948</v>
      </c>
    </row>
    <row r="996" spans="1:2" hidden="1" x14ac:dyDescent="0.3">
      <c r="A996" s="128">
        <v>42405</v>
      </c>
      <c r="B996" s="129">
        <v>123.90860000000001</v>
      </c>
    </row>
    <row r="997" spans="1:2" hidden="1" x14ac:dyDescent="0.3">
      <c r="A997" s="128">
        <v>42408</v>
      </c>
      <c r="B997" s="129">
        <v>124.0496</v>
      </c>
    </row>
    <row r="998" spans="1:2" hidden="1" x14ac:dyDescent="0.3">
      <c r="A998" s="128">
        <v>42409</v>
      </c>
      <c r="B998" s="129">
        <v>123.773</v>
      </c>
    </row>
    <row r="999" spans="1:2" hidden="1" x14ac:dyDescent="0.3">
      <c r="A999" s="128">
        <v>42410</v>
      </c>
      <c r="B999" s="129">
        <v>123.89060000000001</v>
      </c>
    </row>
    <row r="1000" spans="1:2" hidden="1" x14ac:dyDescent="0.3">
      <c r="A1000" s="128">
        <v>42411</v>
      </c>
      <c r="B1000" s="129">
        <v>123.8013</v>
      </c>
    </row>
    <row r="1001" spans="1:2" hidden="1" x14ac:dyDescent="0.3">
      <c r="A1001" s="128">
        <v>42412</v>
      </c>
      <c r="B1001" s="129">
        <v>123.9271</v>
      </c>
    </row>
    <row r="1002" spans="1:2" hidden="1" x14ac:dyDescent="0.3">
      <c r="A1002" s="128">
        <v>42416</v>
      </c>
      <c r="B1002" s="129">
        <v>124.01309999999999</v>
      </c>
    </row>
    <row r="1003" spans="1:2" hidden="1" x14ac:dyDescent="0.3">
      <c r="A1003" s="128">
        <v>42417</v>
      </c>
      <c r="B1003" s="129">
        <v>123.3877</v>
      </c>
    </row>
    <row r="1004" spans="1:2" hidden="1" x14ac:dyDescent="0.3">
      <c r="A1004" s="128">
        <v>42418</v>
      </c>
      <c r="B1004" s="129">
        <v>123.40860000000001</v>
      </c>
    </row>
    <row r="1005" spans="1:2" hidden="1" x14ac:dyDescent="0.3">
      <c r="A1005" s="128">
        <v>42419</v>
      </c>
      <c r="B1005" s="129">
        <v>123.49120000000001</v>
      </c>
    </row>
    <row r="1006" spans="1:2" hidden="1" x14ac:dyDescent="0.3">
      <c r="A1006" s="128">
        <v>42422</v>
      </c>
      <c r="B1006" s="129">
        <v>123.29900000000001</v>
      </c>
    </row>
    <row r="1007" spans="1:2" hidden="1" x14ac:dyDescent="0.3">
      <c r="A1007" s="128">
        <v>42423</v>
      </c>
      <c r="B1007" s="129">
        <v>123.66679999999999</v>
      </c>
    </row>
    <row r="1008" spans="1:2" hidden="1" x14ac:dyDescent="0.3">
      <c r="A1008" s="128">
        <v>42424</v>
      </c>
      <c r="B1008" s="129">
        <v>123.6557</v>
      </c>
    </row>
    <row r="1009" spans="1:2" hidden="1" x14ac:dyDescent="0.3">
      <c r="A1009" s="128">
        <v>42425</v>
      </c>
      <c r="B1009" s="129">
        <v>123.42189999999999</v>
      </c>
    </row>
    <row r="1010" spans="1:2" hidden="1" x14ac:dyDescent="0.3">
      <c r="A1010" s="128">
        <v>42426</v>
      </c>
      <c r="B1010" s="129">
        <v>123.8895</v>
      </c>
    </row>
    <row r="1011" spans="1:2" hidden="1" x14ac:dyDescent="0.3">
      <c r="A1011" s="128">
        <v>42429</v>
      </c>
      <c r="B1011" s="129">
        <v>123.7694</v>
      </c>
    </row>
    <row r="1012" spans="1:2" hidden="1" x14ac:dyDescent="0.3">
      <c r="A1012" s="128">
        <v>42430</v>
      </c>
      <c r="B1012" s="129">
        <v>123.4263</v>
      </c>
    </row>
    <row r="1013" spans="1:2" hidden="1" x14ac:dyDescent="0.3">
      <c r="A1013" s="128">
        <v>42431</v>
      </c>
      <c r="B1013" s="129">
        <v>123.2988</v>
      </c>
    </row>
    <row r="1014" spans="1:2" hidden="1" x14ac:dyDescent="0.3">
      <c r="A1014" s="128">
        <v>42432</v>
      </c>
      <c r="B1014" s="129">
        <v>122.7182</v>
      </c>
    </row>
    <row r="1015" spans="1:2" hidden="1" x14ac:dyDescent="0.3">
      <c r="A1015" s="128">
        <v>42433</v>
      </c>
      <c r="B1015" s="129">
        <v>122.04259999999999</v>
      </c>
    </row>
    <row r="1016" spans="1:2" hidden="1" x14ac:dyDescent="0.3">
      <c r="A1016" s="128">
        <v>42436</v>
      </c>
      <c r="B1016" s="129">
        <v>122.0398</v>
      </c>
    </row>
    <row r="1017" spans="1:2" hidden="1" x14ac:dyDescent="0.3">
      <c r="A1017" s="128">
        <v>42437</v>
      </c>
      <c r="B1017" s="129">
        <v>122.27030000000001</v>
      </c>
    </row>
    <row r="1018" spans="1:2" hidden="1" x14ac:dyDescent="0.3">
      <c r="A1018" s="128">
        <v>42438</v>
      </c>
      <c r="B1018" s="129">
        <v>121.8477</v>
      </c>
    </row>
    <row r="1019" spans="1:2" hidden="1" x14ac:dyDescent="0.3">
      <c r="A1019" s="128">
        <v>42439</v>
      </c>
      <c r="B1019" s="129">
        <v>121.8399</v>
      </c>
    </row>
    <row r="1020" spans="1:2" hidden="1" x14ac:dyDescent="0.3">
      <c r="A1020" s="128">
        <v>42440</v>
      </c>
      <c r="B1020" s="129">
        <v>121.2693</v>
      </c>
    </row>
    <row r="1021" spans="1:2" hidden="1" x14ac:dyDescent="0.3">
      <c r="A1021" s="128">
        <v>42443</v>
      </c>
      <c r="B1021" s="129">
        <v>121.6902</v>
      </c>
    </row>
    <row r="1022" spans="1:2" hidden="1" x14ac:dyDescent="0.3">
      <c r="A1022" s="128">
        <v>42444</v>
      </c>
      <c r="B1022" s="129">
        <v>122.10129999999999</v>
      </c>
    </row>
    <row r="1023" spans="1:2" hidden="1" x14ac:dyDescent="0.3">
      <c r="A1023" s="128">
        <v>42445</v>
      </c>
      <c r="B1023" s="129">
        <v>122.3051</v>
      </c>
    </row>
    <row r="1024" spans="1:2" hidden="1" x14ac:dyDescent="0.3">
      <c r="A1024" s="128">
        <v>42446</v>
      </c>
      <c r="B1024" s="129">
        <v>119.9002</v>
      </c>
    </row>
    <row r="1025" spans="1:3" hidden="1" x14ac:dyDescent="0.3">
      <c r="A1025" s="128">
        <v>42447</v>
      </c>
      <c r="B1025" s="129">
        <v>119.85939999999999</v>
      </c>
    </row>
    <row r="1026" spans="1:3" hidden="1" x14ac:dyDescent="0.3">
      <c r="A1026" s="128">
        <v>42450</v>
      </c>
      <c r="B1026" s="129">
        <v>120.1925</v>
      </c>
    </row>
    <row r="1027" spans="1:3" hidden="1" x14ac:dyDescent="0.3">
      <c r="A1027" s="128">
        <v>42451</v>
      </c>
      <c r="B1027" s="129">
        <v>120.2167</v>
      </c>
    </row>
    <row r="1028" spans="1:3" hidden="1" x14ac:dyDescent="0.3">
      <c r="A1028" s="128">
        <v>42452</v>
      </c>
      <c r="B1028" s="129">
        <v>121.0072</v>
      </c>
    </row>
    <row r="1029" spans="1:3" hidden="1" x14ac:dyDescent="0.3">
      <c r="A1029" s="128">
        <v>42453</v>
      </c>
      <c r="B1029" s="129">
        <v>121.3006</v>
      </c>
    </row>
    <row r="1030" spans="1:3" hidden="1" x14ac:dyDescent="0.3">
      <c r="A1030" s="128">
        <v>42454</v>
      </c>
      <c r="B1030" s="129">
        <v>121.2496</v>
      </c>
    </row>
    <row r="1031" spans="1:3" hidden="1" x14ac:dyDescent="0.3">
      <c r="A1031" s="128">
        <v>42457</v>
      </c>
      <c r="B1031" s="129">
        <v>120.85129999999999</v>
      </c>
    </row>
    <row r="1032" spans="1:3" hidden="1" x14ac:dyDescent="0.3">
      <c r="A1032" s="128">
        <v>42458</v>
      </c>
      <c r="B1032" s="129">
        <v>120.87430000000001</v>
      </c>
    </row>
    <row r="1033" spans="1:3" hidden="1" x14ac:dyDescent="0.3">
      <c r="A1033" s="128">
        <v>42459</v>
      </c>
      <c r="B1033" s="129">
        <v>119.6551</v>
      </c>
    </row>
    <row r="1034" spans="1:3" x14ac:dyDescent="0.3">
      <c r="A1034" s="128">
        <v>42460</v>
      </c>
      <c r="B1034" s="129">
        <v>119.2912</v>
      </c>
      <c r="C1034" s="130">
        <f>AVERAGE(B973:B1034)</f>
        <v>123.25566451612904</v>
      </c>
    </row>
    <row r="1035" spans="1:3" hidden="1" x14ac:dyDescent="0.3">
      <c r="A1035" s="128">
        <v>42461</v>
      </c>
      <c r="B1035" s="129">
        <v>119.703</v>
      </c>
    </row>
    <row r="1036" spans="1:3" hidden="1" x14ac:dyDescent="0.3">
      <c r="A1036" s="128">
        <v>42464</v>
      </c>
      <c r="B1036" s="129">
        <v>119.83499999999999</v>
      </c>
    </row>
    <row r="1037" spans="1:3" hidden="1" x14ac:dyDescent="0.3">
      <c r="A1037" s="128">
        <v>42465</v>
      </c>
      <c r="B1037" s="129">
        <v>120.3716</v>
      </c>
    </row>
    <row r="1038" spans="1:3" hidden="1" x14ac:dyDescent="0.3">
      <c r="A1038" s="128">
        <v>42466</v>
      </c>
      <c r="B1038" s="129">
        <v>119.9539</v>
      </c>
    </row>
    <row r="1039" spans="1:3" hidden="1" x14ac:dyDescent="0.3">
      <c r="A1039" s="128">
        <v>42467</v>
      </c>
      <c r="B1039" s="129">
        <v>120.2687</v>
      </c>
    </row>
    <row r="1040" spans="1:3" hidden="1" x14ac:dyDescent="0.3">
      <c r="A1040" s="128">
        <v>42468</v>
      </c>
      <c r="B1040" s="129">
        <v>119.7988</v>
      </c>
    </row>
    <row r="1041" spans="1:2" hidden="1" x14ac:dyDescent="0.3">
      <c r="A1041" s="128">
        <v>42471</v>
      </c>
      <c r="B1041" s="129">
        <v>119.3462</v>
      </c>
    </row>
    <row r="1042" spans="1:2" hidden="1" x14ac:dyDescent="0.3">
      <c r="A1042" s="128">
        <v>42472</v>
      </c>
      <c r="B1042" s="129">
        <v>119.1878</v>
      </c>
    </row>
    <row r="1043" spans="1:2" hidden="1" x14ac:dyDescent="0.3">
      <c r="A1043" s="128">
        <v>42473</v>
      </c>
      <c r="B1043" s="129">
        <v>119.5343</v>
      </c>
    </row>
    <row r="1044" spans="1:2" hidden="1" x14ac:dyDescent="0.3">
      <c r="A1044" s="128">
        <v>42474</v>
      </c>
      <c r="B1044" s="129">
        <v>119.5583</v>
      </c>
    </row>
    <row r="1045" spans="1:2" hidden="1" x14ac:dyDescent="0.3">
      <c r="A1045" s="128">
        <v>42475</v>
      </c>
      <c r="B1045" s="129">
        <v>119.5789</v>
      </c>
    </row>
    <row r="1046" spans="1:2" hidden="1" x14ac:dyDescent="0.3">
      <c r="A1046" s="128">
        <v>42478</v>
      </c>
      <c r="B1046" s="129">
        <v>119.3827</v>
      </c>
    </row>
    <row r="1047" spans="1:2" hidden="1" x14ac:dyDescent="0.3">
      <c r="A1047" s="128">
        <v>42479</v>
      </c>
      <c r="B1047" s="129">
        <v>118.64060000000001</v>
      </c>
    </row>
    <row r="1048" spans="1:2" hidden="1" x14ac:dyDescent="0.3">
      <c r="A1048" s="128">
        <v>42480</v>
      </c>
      <c r="B1048" s="129">
        <v>118.7623</v>
      </c>
    </row>
    <row r="1049" spans="1:2" hidden="1" x14ac:dyDescent="0.3">
      <c r="A1049" s="128">
        <v>42481</v>
      </c>
      <c r="B1049" s="129">
        <v>119.26609999999999</v>
      </c>
    </row>
    <row r="1050" spans="1:2" hidden="1" x14ac:dyDescent="0.3">
      <c r="A1050" s="128">
        <v>42482</v>
      </c>
      <c r="B1050" s="129">
        <v>119.6956</v>
      </c>
    </row>
    <row r="1051" spans="1:2" hidden="1" x14ac:dyDescent="0.3">
      <c r="A1051" s="128">
        <v>42485</v>
      </c>
      <c r="B1051" s="129">
        <v>119.64870000000001</v>
      </c>
    </row>
    <row r="1052" spans="1:2" hidden="1" x14ac:dyDescent="0.3">
      <c r="A1052" s="128">
        <v>42486</v>
      </c>
      <c r="B1052" s="129">
        <v>119.2174</v>
      </c>
    </row>
    <row r="1053" spans="1:2" hidden="1" x14ac:dyDescent="0.3">
      <c r="A1053" s="128">
        <v>42487</v>
      </c>
      <c r="B1053" s="129">
        <v>119.3103</v>
      </c>
    </row>
    <row r="1054" spans="1:2" hidden="1" x14ac:dyDescent="0.3">
      <c r="A1054" s="128">
        <v>42488</v>
      </c>
      <c r="B1054" s="129">
        <v>118.6206</v>
      </c>
    </row>
    <row r="1055" spans="1:2" hidden="1" x14ac:dyDescent="0.3">
      <c r="A1055" s="128">
        <v>42489</v>
      </c>
      <c r="B1055" s="129">
        <v>118.242</v>
      </c>
    </row>
    <row r="1056" spans="1:2" hidden="1" x14ac:dyDescent="0.3">
      <c r="A1056" s="128">
        <v>42492</v>
      </c>
      <c r="B1056" s="129">
        <v>118.09139999999999</v>
      </c>
    </row>
    <row r="1057" spans="1:2" hidden="1" x14ac:dyDescent="0.3">
      <c r="A1057" s="128">
        <v>42493</v>
      </c>
      <c r="B1057" s="129">
        <v>118.8186</v>
      </c>
    </row>
    <row r="1058" spans="1:2" hidden="1" x14ac:dyDescent="0.3">
      <c r="A1058" s="128">
        <v>42494</v>
      </c>
      <c r="B1058" s="129">
        <v>119.46639999999999</v>
      </c>
    </row>
    <row r="1059" spans="1:2" hidden="1" x14ac:dyDescent="0.3">
      <c r="A1059" s="128">
        <v>42495</v>
      </c>
      <c r="B1059" s="129">
        <v>119.72629999999999</v>
      </c>
    </row>
    <row r="1060" spans="1:2" hidden="1" x14ac:dyDescent="0.3">
      <c r="A1060" s="128">
        <v>42496</v>
      </c>
      <c r="B1060" s="129">
        <v>119.85080000000001</v>
      </c>
    </row>
    <row r="1061" spans="1:2" hidden="1" x14ac:dyDescent="0.3">
      <c r="A1061" s="128">
        <v>42499</v>
      </c>
      <c r="B1061" s="129">
        <v>120.4594</v>
      </c>
    </row>
    <row r="1062" spans="1:2" hidden="1" x14ac:dyDescent="0.3">
      <c r="A1062" s="128">
        <v>42500</v>
      </c>
      <c r="B1062" s="129">
        <v>120.34010000000001</v>
      </c>
    </row>
    <row r="1063" spans="1:2" hidden="1" x14ac:dyDescent="0.3">
      <c r="A1063" s="128">
        <v>42501</v>
      </c>
      <c r="B1063" s="129">
        <v>119.754</v>
      </c>
    </row>
    <row r="1064" spans="1:2" hidden="1" x14ac:dyDescent="0.3">
      <c r="A1064" s="128">
        <v>42502</v>
      </c>
      <c r="B1064" s="129">
        <v>120.2008</v>
      </c>
    </row>
    <row r="1065" spans="1:2" hidden="1" x14ac:dyDescent="0.3">
      <c r="A1065" s="128">
        <v>42503</v>
      </c>
      <c r="B1065" s="129">
        <v>120.78019999999999</v>
      </c>
    </row>
    <row r="1066" spans="1:2" hidden="1" x14ac:dyDescent="0.3">
      <c r="A1066" s="128">
        <v>42506</v>
      </c>
      <c r="B1066" s="129">
        <v>120.6443</v>
      </c>
    </row>
    <row r="1067" spans="1:2" hidden="1" x14ac:dyDescent="0.3">
      <c r="A1067" s="128">
        <v>42507</v>
      </c>
      <c r="B1067" s="129">
        <v>120.6069</v>
      </c>
    </row>
    <row r="1068" spans="1:2" hidden="1" x14ac:dyDescent="0.3">
      <c r="A1068" s="128">
        <v>42508</v>
      </c>
      <c r="B1068" s="129">
        <v>121.101</v>
      </c>
    </row>
    <row r="1069" spans="1:2" hidden="1" x14ac:dyDescent="0.3">
      <c r="A1069" s="128">
        <v>42509</v>
      </c>
      <c r="B1069" s="129">
        <v>121.84439999999999</v>
      </c>
    </row>
    <row r="1070" spans="1:2" hidden="1" x14ac:dyDescent="0.3">
      <c r="A1070" s="128">
        <v>42510</v>
      </c>
      <c r="B1070" s="129">
        <v>121.7846</v>
      </c>
    </row>
    <row r="1071" spans="1:2" hidden="1" x14ac:dyDescent="0.3">
      <c r="A1071" s="128">
        <v>42513</v>
      </c>
      <c r="B1071" s="129">
        <v>121.8813</v>
      </c>
    </row>
    <row r="1072" spans="1:2" hidden="1" x14ac:dyDescent="0.3">
      <c r="A1072" s="128">
        <v>42514</v>
      </c>
      <c r="B1072" s="129">
        <v>121.9091</v>
      </c>
    </row>
    <row r="1073" spans="1:2" hidden="1" x14ac:dyDescent="0.3">
      <c r="A1073" s="128">
        <v>42515</v>
      </c>
      <c r="B1073" s="129">
        <v>121.8107</v>
      </c>
    </row>
    <row r="1074" spans="1:2" hidden="1" x14ac:dyDescent="0.3">
      <c r="A1074" s="128">
        <v>42516</v>
      </c>
      <c r="B1074" s="129">
        <v>121.50830000000001</v>
      </c>
    </row>
    <row r="1075" spans="1:2" hidden="1" x14ac:dyDescent="0.3">
      <c r="A1075" s="128">
        <v>42517</v>
      </c>
      <c r="B1075" s="129">
        <v>121.7016</v>
      </c>
    </row>
    <row r="1076" spans="1:2" hidden="1" x14ac:dyDescent="0.3">
      <c r="A1076" s="128">
        <v>42521</v>
      </c>
      <c r="B1076" s="129">
        <v>122.0814</v>
      </c>
    </row>
    <row r="1077" spans="1:2" hidden="1" x14ac:dyDescent="0.3">
      <c r="A1077" s="128">
        <v>42522</v>
      </c>
      <c r="B1077" s="129">
        <v>122.1022</v>
      </c>
    </row>
    <row r="1078" spans="1:2" hidden="1" x14ac:dyDescent="0.3">
      <c r="A1078" s="128">
        <v>42523</v>
      </c>
      <c r="B1078" s="129">
        <v>122.0993</v>
      </c>
    </row>
    <row r="1079" spans="1:2" hidden="1" x14ac:dyDescent="0.3">
      <c r="A1079" s="128">
        <v>42524</v>
      </c>
      <c r="B1079" s="129">
        <v>121.0335</v>
      </c>
    </row>
    <row r="1080" spans="1:2" hidden="1" x14ac:dyDescent="0.3">
      <c r="A1080" s="128">
        <v>42527</v>
      </c>
      <c r="B1080" s="129">
        <v>120.8005</v>
      </c>
    </row>
    <row r="1081" spans="1:2" hidden="1" x14ac:dyDescent="0.3">
      <c r="A1081" s="128">
        <v>42528</v>
      </c>
      <c r="B1081" s="129">
        <v>120.4166</v>
      </c>
    </row>
    <row r="1082" spans="1:2" hidden="1" x14ac:dyDescent="0.3">
      <c r="A1082" s="128">
        <v>42529</v>
      </c>
      <c r="B1082" s="129">
        <v>119.7398</v>
      </c>
    </row>
    <row r="1083" spans="1:2" hidden="1" x14ac:dyDescent="0.3">
      <c r="A1083" s="128">
        <v>42530</v>
      </c>
      <c r="B1083" s="129">
        <v>120.1674</v>
      </c>
    </row>
    <row r="1084" spans="1:2" hidden="1" x14ac:dyDescent="0.3">
      <c r="A1084" s="128">
        <v>42531</v>
      </c>
      <c r="B1084" s="129">
        <v>120.6748</v>
      </c>
    </row>
    <row r="1085" spans="1:2" hidden="1" x14ac:dyDescent="0.3">
      <c r="A1085" s="128">
        <v>42534</v>
      </c>
      <c r="B1085" s="129">
        <v>121.0971</v>
      </c>
    </row>
    <row r="1086" spans="1:2" hidden="1" x14ac:dyDescent="0.3">
      <c r="A1086" s="128">
        <v>42535</v>
      </c>
      <c r="B1086" s="129">
        <v>121.60120000000001</v>
      </c>
    </row>
    <row r="1087" spans="1:2" hidden="1" x14ac:dyDescent="0.3">
      <c r="A1087" s="128">
        <v>42536</v>
      </c>
      <c r="B1087" s="129">
        <v>121.3468</v>
      </c>
    </row>
    <row r="1088" spans="1:2" hidden="1" x14ac:dyDescent="0.3">
      <c r="A1088" s="128">
        <v>42537</v>
      </c>
      <c r="B1088" s="129">
        <v>121.8135</v>
      </c>
    </row>
    <row r="1089" spans="1:3" hidden="1" x14ac:dyDescent="0.3">
      <c r="A1089" s="128">
        <v>42538</v>
      </c>
      <c r="B1089" s="129">
        <v>121.12520000000001</v>
      </c>
    </row>
    <row r="1090" spans="1:3" hidden="1" x14ac:dyDescent="0.3">
      <c r="A1090" s="128">
        <v>42541</v>
      </c>
      <c r="B1090" s="129">
        <v>120.4602</v>
      </c>
    </row>
    <row r="1091" spans="1:3" hidden="1" x14ac:dyDescent="0.3">
      <c r="A1091" s="128">
        <v>42542</v>
      </c>
      <c r="B1091" s="129">
        <v>120.59829999999999</v>
      </c>
    </row>
    <row r="1092" spans="1:3" hidden="1" x14ac:dyDescent="0.3">
      <c r="A1092" s="128">
        <v>42543</v>
      </c>
      <c r="B1092" s="129">
        <v>120.34350000000001</v>
      </c>
    </row>
    <row r="1093" spans="1:3" hidden="1" x14ac:dyDescent="0.3">
      <c r="A1093" s="128">
        <v>42544</v>
      </c>
      <c r="B1093" s="129">
        <v>119.8338</v>
      </c>
    </row>
    <row r="1094" spans="1:3" hidden="1" x14ac:dyDescent="0.3">
      <c r="A1094" s="128">
        <v>42545</v>
      </c>
      <c r="B1094" s="129">
        <v>121.6726</v>
      </c>
    </row>
    <row r="1095" spans="1:3" hidden="1" x14ac:dyDescent="0.3">
      <c r="A1095" s="128">
        <v>42548</v>
      </c>
      <c r="B1095" s="129">
        <v>122.6726</v>
      </c>
    </row>
    <row r="1096" spans="1:3" hidden="1" x14ac:dyDescent="0.3">
      <c r="A1096" s="128">
        <v>42549</v>
      </c>
      <c r="B1096" s="129">
        <v>122.25790000000001</v>
      </c>
    </row>
    <row r="1097" spans="1:3" hidden="1" x14ac:dyDescent="0.3">
      <c r="A1097" s="128">
        <v>42550</v>
      </c>
      <c r="B1097" s="129">
        <v>121.3413</v>
      </c>
    </row>
    <row r="1098" spans="1:3" x14ac:dyDescent="0.3">
      <c r="A1098" s="128">
        <v>42551</v>
      </c>
      <c r="B1098" s="129">
        <v>121.624</v>
      </c>
      <c r="C1098" s="130">
        <f>AVERAGE(B1035:B1098)</f>
        <v>120.42353906250003</v>
      </c>
    </row>
    <row r="1099" spans="1:3" hidden="1" x14ac:dyDescent="0.3">
      <c r="A1099" s="128">
        <v>42552</v>
      </c>
      <c r="B1099" s="129">
        <v>121.1271</v>
      </c>
    </row>
    <row r="1100" spans="1:3" hidden="1" x14ac:dyDescent="0.3">
      <c r="A1100" s="128">
        <v>42556</v>
      </c>
      <c r="B1100" s="129">
        <v>121.9258</v>
      </c>
    </row>
    <row r="1101" spans="1:3" hidden="1" x14ac:dyDescent="0.3">
      <c r="A1101" s="128">
        <v>42557</v>
      </c>
      <c r="B1101" s="129">
        <v>122.0519</v>
      </c>
    </row>
    <row r="1102" spans="1:3" hidden="1" x14ac:dyDescent="0.3">
      <c r="A1102" s="128">
        <v>42558</v>
      </c>
      <c r="B1102" s="129">
        <v>122.0684</v>
      </c>
    </row>
    <row r="1103" spans="1:3" hidden="1" x14ac:dyDescent="0.3">
      <c r="A1103" s="128">
        <v>42559</v>
      </c>
      <c r="B1103" s="129">
        <v>121.8706</v>
      </c>
    </row>
    <row r="1104" spans="1:3" hidden="1" x14ac:dyDescent="0.3">
      <c r="A1104" s="128">
        <v>42562</v>
      </c>
      <c r="B1104" s="129">
        <v>122.01009999999999</v>
      </c>
    </row>
    <row r="1105" spans="1:2" hidden="1" x14ac:dyDescent="0.3">
      <c r="A1105" s="128">
        <v>42563</v>
      </c>
      <c r="B1105" s="129">
        <v>121.6161</v>
      </c>
    </row>
    <row r="1106" spans="1:2" hidden="1" x14ac:dyDescent="0.3">
      <c r="A1106" s="128">
        <v>42564</v>
      </c>
      <c r="B1106" s="129">
        <v>121.5288</v>
      </c>
    </row>
    <row r="1107" spans="1:2" hidden="1" x14ac:dyDescent="0.3">
      <c r="A1107" s="128">
        <v>42565</v>
      </c>
      <c r="B1107" s="129">
        <v>121.2548</v>
      </c>
    </row>
    <row r="1108" spans="1:2" hidden="1" x14ac:dyDescent="0.3">
      <c r="A1108" s="128">
        <v>42566</v>
      </c>
      <c r="B1108" s="129">
        <v>121.7714</v>
      </c>
    </row>
    <row r="1109" spans="1:2" hidden="1" x14ac:dyDescent="0.3">
      <c r="A1109" s="128">
        <v>42569</v>
      </c>
      <c r="B1109" s="129">
        <v>121.7578</v>
      </c>
    </row>
    <row r="1110" spans="1:2" hidden="1" x14ac:dyDescent="0.3">
      <c r="A1110" s="128">
        <v>42570</v>
      </c>
      <c r="B1110" s="129">
        <v>122.1362</v>
      </c>
    </row>
    <row r="1111" spans="1:2" hidden="1" x14ac:dyDescent="0.3">
      <c r="A1111" s="128">
        <v>42571</v>
      </c>
      <c r="B1111" s="129">
        <v>122.1652</v>
      </c>
    </row>
    <row r="1112" spans="1:2" hidden="1" x14ac:dyDescent="0.3">
      <c r="A1112" s="128">
        <v>42572</v>
      </c>
      <c r="B1112" s="129">
        <v>122.1127</v>
      </c>
    </row>
    <row r="1113" spans="1:2" hidden="1" x14ac:dyDescent="0.3">
      <c r="A1113" s="128">
        <v>42573</v>
      </c>
      <c r="B1113" s="129">
        <v>122.465</v>
      </c>
    </row>
    <row r="1114" spans="1:2" hidden="1" x14ac:dyDescent="0.3">
      <c r="A1114" s="128">
        <v>42576</v>
      </c>
      <c r="B1114" s="129">
        <v>122.681</v>
      </c>
    </row>
    <row r="1115" spans="1:2" hidden="1" x14ac:dyDescent="0.3">
      <c r="A1115" s="128">
        <v>42577</v>
      </c>
      <c r="B1115" s="129">
        <v>122.5485</v>
      </c>
    </row>
    <row r="1116" spans="1:2" hidden="1" x14ac:dyDescent="0.3">
      <c r="A1116" s="128">
        <v>42578</v>
      </c>
      <c r="B1116" s="129">
        <v>122.6998</v>
      </c>
    </row>
    <row r="1117" spans="1:2" hidden="1" x14ac:dyDescent="0.3">
      <c r="A1117" s="128">
        <v>42579</v>
      </c>
      <c r="B1117" s="129">
        <v>122.21729999999999</v>
      </c>
    </row>
    <row r="1118" spans="1:2" hidden="1" x14ac:dyDescent="0.3">
      <c r="A1118" s="128">
        <v>42580</v>
      </c>
      <c r="B1118" s="129">
        <v>121.32250000000001</v>
      </c>
    </row>
    <row r="1119" spans="1:2" hidden="1" x14ac:dyDescent="0.3">
      <c r="A1119" s="128">
        <v>42583</v>
      </c>
      <c r="B1119" s="129">
        <v>121.41589999999999</v>
      </c>
    </row>
    <row r="1120" spans="1:2" hidden="1" x14ac:dyDescent="0.3">
      <c r="A1120" s="128">
        <v>42584</v>
      </c>
      <c r="B1120" s="129">
        <v>121.1434</v>
      </c>
    </row>
    <row r="1121" spans="1:2" hidden="1" x14ac:dyDescent="0.3">
      <c r="A1121" s="128">
        <v>42585</v>
      </c>
      <c r="B1121" s="129">
        <v>121.3934</v>
      </c>
    </row>
    <row r="1122" spans="1:2" hidden="1" x14ac:dyDescent="0.3">
      <c r="A1122" s="128">
        <v>42586</v>
      </c>
      <c r="B1122" s="129">
        <v>121.3385</v>
      </c>
    </row>
    <row r="1123" spans="1:2" hidden="1" x14ac:dyDescent="0.3">
      <c r="A1123" s="128">
        <v>42587</v>
      </c>
      <c r="B1123" s="129">
        <v>121.77670000000001</v>
      </c>
    </row>
    <row r="1124" spans="1:2" hidden="1" x14ac:dyDescent="0.3">
      <c r="A1124" s="128">
        <v>42590</v>
      </c>
      <c r="B1124" s="129">
        <v>121.5492</v>
      </c>
    </row>
    <row r="1125" spans="1:2" hidden="1" x14ac:dyDescent="0.3">
      <c r="A1125" s="128">
        <v>42591</v>
      </c>
      <c r="B1125" s="129">
        <v>121.0973</v>
      </c>
    </row>
    <row r="1126" spans="1:2" hidden="1" x14ac:dyDescent="0.3">
      <c r="A1126" s="128">
        <v>42592</v>
      </c>
      <c r="B1126" s="129">
        <v>120.66289999999999</v>
      </c>
    </row>
    <row r="1127" spans="1:2" hidden="1" x14ac:dyDescent="0.3">
      <c r="A1127" s="128">
        <v>42593</v>
      </c>
      <c r="B1127" s="129">
        <v>120.52</v>
      </c>
    </row>
    <row r="1128" spans="1:2" hidden="1" x14ac:dyDescent="0.3">
      <c r="A1128" s="128">
        <v>42594</v>
      </c>
      <c r="B1128" s="129">
        <v>120.5257</v>
      </c>
    </row>
    <row r="1129" spans="1:2" hidden="1" x14ac:dyDescent="0.3">
      <c r="A1129" s="128">
        <v>42597</v>
      </c>
      <c r="B1129" s="129">
        <v>120.2457</v>
      </c>
    </row>
    <row r="1130" spans="1:2" hidden="1" x14ac:dyDescent="0.3">
      <c r="A1130" s="128">
        <v>42598</v>
      </c>
      <c r="B1130" s="129">
        <v>119.7535</v>
      </c>
    </row>
    <row r="1131" spans="1:2" hidden="1" x14ac:dyDescent="0.3">
      <c r="A1131" s="128">
        <v>42599</v>
      </c>
      <c r="B1131" s="129">
        <v>120.32170000000001</v>
      </c>
    </row>
    <row r="1132" spans="1:2" hidden="1" x14ac:dyDescent="0.3">
      <c r="A1132" s="128">
        <v>42600</v>
      </c>
      <c r="B1132" s="129">
        <v>119.6884</v>
      </c>
    </row>
    <row r="1133" spans="1:2" hidden="1" x14ac:dyDescent="0.3">
      <c r="A1133" s="128">
        <v>42601</v>
      </c>
      <c r="B1133" s="129">
        <v>120.2269</v>
      </c>
    </row>
    <row r="1134" spans="1:2" hidden="1" x14ac:dyDescent="0.3">
      <c r="A1134" s="128">
        <v>42604</v>
      </c>
      <c r="B1134" s="129">
        <v>120.4329</v>
      </c>
    </row>
    <row r="1135" spans="1:2" hidden="1" x14ac:dyDescent="0.3">
      <c r="A1135" s="128">
        <v>42605</v>
      </c>
      <c r="B1135" s="129">
        <v>120.3652</v>
      </c>
    </row>
    <row r="1136" spans="1:2" hidden="1" x14ac:dyDescent="0.3">
      <c r="A1136" s="128">
        <v>42606</v>
      </c>
      <c r="B1136" s="129">
        <v>120.7641</v>
      </c>
    </row>
    <row r="1137" spans="1:2" hidden="1" x14ac:dyDescent="0.3">
      <c r="A1137" s="128">
        <v>42607</v>
      </c>
      <c r="B1137" s="129">
        <v>120.6161</v>
      </c>
    </row>
    <row r="1138" spans="1:2" hidden="1" x14ac:dyDescent="0.3">
      <c r="A1138" s="128">
        <v>42608</v>
      </c>
      <c r="B1138" s="129">
        <v>120.6506</v>
      </c>
    </row>
    <row r="1139" spans="1:2" hidden="1" x14ac:dyDescent="0.3">
      <c r="A1139" s="128">
        <v>42611</v>
      </c>
      <c r="B1139" s="129">
        <v>121.3439</v>
      </c>
    </row>
    <row r="1140" spans="1:2" hidden="1" x14ac:dyDescent="0.3">
      <c r="A1140" s="128">
        <v>42612</v>
      </c>
      <c r="B1140" s="129">
        <v>121.7676</v>
      </c>
    </row>
    <row r="1141" spans="1:2" hidden="1" x14ac:dyDescent="0.3">
      <c r="A1141" s="128">
        <v>42613</v>
      </c>
      <c r="B1141" s="129">
        <v>121.8847</v>
      </c>
    </row>
    <row r="1142" spans="1:2" hidden="1" x14ac:dyDescent="0.3">
      <c r="A1142" s="128">
        <v>42614</v>
      </c>
      <c r="B1142" s="129">
        <v>121.67870000000001</v>
      </c>
    </row>
    <row r="1143" spans="1:2" hidden="1" x14ac:dyDescent="0.3">
      <c r="A1143" s="128">
        <v>42615</v>
      </c>
      <c r="B1143" s="129">
        <v>121.5145</v>
      </c>
    </row>
    <row r="1144" spans="1:2" hidden="1" x14ac:dyDescent="0.3">
      <c r="A1144" s="128">
        <v>42619</v>
      </c>
      <c r="B1144" s="129">
        <v>120.4402</v>
      </c>
    </row>
    <row r="1145" spans="1:2" hidden="1" x14ac:dyDescent="0.3">
      <c r="A1145" s="128">
        <v>42620</v>
      </c>
      <c r="B1145" s="129">
        <v>120.4057</v>
      </c>
    </row>
    <row r="1146" spans="1:2" hidden="1" x14ac:dyDescent="0.3">
      <c r="A1146" s="128">
        <v>42621</v>
      </c>
      <c r="B1146" s="129">
        <v>120.70610000000001</v>
      </c>
    </row>
    <row r="1147" spans="1:2" hidden="1" x14ac:dyDescent="0.3">
      <c r="A1147" s="128">
        <v>42622</v>
      </c>
      <c r="B1147" s="129">
        <v>121.4739</v>
      </c>
    </row>
    <row r="1148" spans="1:2" hidden="1" x14ac:dyDescent="0.3">
      <c r="A1148" s="128">
        <v>42625</v>
      </c>
      <c r="B1148" s="129">
        <v>121.65600000000001</v>
      </c>
    </row>
    <row r="1149" spans="1:2" hidden="1" x14ac:dyDescent="0.3">
      <c r="A1149" s="128">
        <v>42626</v>
      </c>
      <c r="B1149" s="129">
        <v>122.0296</v>
      </c>
    </row>
    <row r="1150" spans="1:2" hidden="1" x14ac:dyDescent="0.3">
      <c r="A1150" s="128">
        <v>42627</v>
      </c>
      <c r="B1150" s="129">
        <v>121.9688</v>
      </c>
    </row>
    <row r="1151" spans="1:2" hidden="1" x14ac:dyDescent="0.3">
      <c r="A1151" s="128">
        <v>42628</v>
      </c>
      <c r="B1151" s="129">
        <v>121.9751</v>
      </c>
    </row>
    <row r="1152" spans="1:2" hidden="1" x14ac:dyDescent="0.3">
      <c r="A1152" s="128">
        <v>42629</v>
      </c>
      <c r="B1152" s="129">
        <v>122.6698</v>
      </c>
    </row>
    <row r="1153" spans="1:3" hidden="1" x14ac:dyDescent="0.3">
      <c r="A1153" s="128">
        <v>42632</v>
      </c>
      <c r="B1153" s="129">
        <v>122.35809999999999</v>
      </c>
    </row>
    <row r="1154" spans="1:3" hidden="1" x14ac:dyDescent="0.3">
      <c r="A1154" s="128">
        <v>42633</v>
      </c>
      <c r="B1154" s="129">
        <v>122.6369</v>
      </c>
    </row>
    <row r="1155" spans="1:3" hidden="1" x14ac:dyDescent="0.3">
      <c r="A1155" s="128">
        <v>42634</v>
      </c>
      <c r="B1155" s="129">
        <v>122.4165</v>
      </c>
    </row>
    <row r="1156" spans="1:3" hidden="1" x14ac:dyDescent="0.3">
      <c r="A1156" s="128">
        <v>42635</v>
      </c>
      <c r="B1156" s="129">
        <v>121.6889</v>
      </c>
    </row>
    <row r="1157" spans="1:3" hidden="1" x14ac:dyDescent="0.3">
      <c r="A1157" s="128">
        <v>42636</v>
      </c>
      <c r="B1157" s="129">
        <v>122.1416</v>
      </c>
    </row>
    <row r="1158" spans="1:3" hidden="1" x14ac:dyDescent="0.3">
      <c r="A1158" s="128">
        <v>42639</v>
      </c>
      <c r="B1158" s="129">
        <v>122.1438</v>
      </c>
    </row>
    <row r="1159" spans="1:3" hidden="1" x14ac:dyDescent="0.3">
      <c r="A1159" s="128">
        <v>42640</v>
      </c>
      <c r="B1159" s="129">
        <v>121.9609</v>
      </c>
    </row>
    <row r="1160" spans="1:3" hidden="1" x14ac:dyDescent="0.3">
      <c r="A1160" s="128">
        <v>42641</v>
      </c>
      <c r="B1160" s="129">
        <v>122.03579999999999</v>
      </c>
    </row>
    <row r="1161" spans="1:3" hidden="1" x14ac:dyDescent="0.3">
      <c r="A1161" s="128">
        <v>42642</v>
      </c>
      <c r="B1161" s="129">
        <v>121.696</v>
      </c>
    </row>
    <row r="1162" spans="1:3" x14ac:dyDescent="0.3">
      <c r="A1162" s="128">
        <v>42643</v>
      </c>
      <c r="B1162" s="129">
        <v>121.6921</v>
      </c>
      <c r="C1162" s="130">
        <f>AVERAGE(B1099:B1162)</f>
        <v>121.50162968749999</v>
      </c>
    </row>
    <row r="1163" spans="1:3" hidden="1" x14ac:dyDescent="0.3">
      <c r="A1163" s="128">
        <v>42646</v>
      </c>
      <c r="B1163" s="129">
        <v>121.89570000000001</v>
      </c>
    </row>
    <row r="1164" spans="1:3" hidden="1" x14ac:dyDescent="0.3">
      <c r="A1164" s="128">
        <v>42647</v>
      </c>
      <c r="B1164" s="129">
        <v>122.0467</v>
      </c>
    </row>
    <row r="1165" spans="1:3" hidden="1" x14ac:dyDescent="0.3">
      <c r="A1165" s="128">
        <v>42648</v>
      </c>
      <c r="B1165" s="129">
        <v>122.1887</v>
      </c>
    </row>
    <row r="1166" spans="1:3" hidden="1" x14ac:dyDescent="0.3">
      <c r="A1166" s="128">
        <v>42649</v>
      </c>
      <c r="B1166" s="129">
        <v>122.38160000000001</v>
      </c>
    </row>
    <row r="1167" spans="1:3" hidden="1" x14ac:dyDescent="0.3">
      <c r="A1167" s="128">
        <v>42650</v>
      </c>
      <c r="B1167" s="129">
        <v>122.6397</v>
      </c>
    </row>
    <row r="1168" spans="1:3" hidden="1" x14ac:dyDescent="0.3">
      <c r="A1168" s="128">
        <v>42654</v>
      </c>
      <c r="B1168" s="129">
        <v>122.8552</v>
      </c>
    </row>
    <row r="1169" spans="1:2" hidden="1" x14ac:dyDescent="0.3">
      <c r="A1169" s="128">
        <v>42655</v>
      </c>
      <c r="B1169" s="129">
        <v>123.1617</v>
      </c>
    </row>
    <row r="1170" spans="1:2" hidden="1" x14ac:dyDescent="0.3">
      <c r="A1170" s="128">
        <v>42656</v>
      </c>
      <c r="B1170" s="129">
        <v>123.0637</v>
      </c>
    </row>
    <row r="1171" spans="1:2" hidden="1" x14ac:dyDescent="0.3">
      <c r="A1171" s="128">
        <v>42657</v>
      </c>
      <c r="B1171" s="129">
        <v>123.15600000000001</v>
      </c>
    </row>
    <row r="1172" spans="1:2" hidden="1" x14ac:dyDescent="0.3">
      <c r="A1172" s="128">
        <v>42660</v>
      </c>
      <c r="B1172" s="129">
        <v>123.0115</v>
      </c>
    </row>
    <row r="1173" spans="1:2" hidden="1" x14ac:dyDescent="0.3">
      <c r="A1173" s="128">
        <v>42661</v>
      </c>
      <c r="B1173" s="129">
        <v>122.58839999999999</v>
      </c>
    </row>
    <row r="1174" spans="1:2" hidden="1" x14ac:dyDescent="0.3">
      <c r="A1174" s="128">
        <v>42662</v>
      </c>
      <c r="B1174" s="129">
        <v>122.4804</v>
      </c>
    </row>
    <row r="1175" spans="1:2" hidden="1" x14ac:dyDescent="0.3">
      <c r="A1175" s="128">
        <v>42663</v>
      </c>
      <c r="B1175" s="129">
        <v>122.84</v>
      </c>
    </row>
    <row r="1176" spans="1:2" hidden="1" x14ac:dyDescent="0.3">
      <c r="A1176" s="128">
        <v>42664</v>
      </c>
      <c r="B1176" s="129">
        <v>123.36369999999999</v>
      </c>
    </row>
    <row r="1177" spans="1:2" hidden="1" x14ac:dyDescent="0.3">
      <c r="A1177" s="128">
        <v>42667</v>
      </c>
      <c r="B1177" s="129">
        <v>123.31399999999999</v>
      </c>
    </row>
    <row r="1178" spans="1:2" hidden="1" x14ac:dyDescent="0.3">
      <c r="A1178" s="128">
        <v>42668</v>
      </c>
      <c r="B1178" s="129">
        <v>123.1234</v>
      </c>
    </row>
    <row r="1179" spans="1:2" hidden="1" x14ac:dyDescent="0.3">
      <c r="A1179" s="128">
        <v>42669</v>
      </c>
      <c r="B1179" s="129">
        <v>123.2764</v>
      </c>
    </row>
    <row r="1180" spans="1:2" hidden="1" x14ac:dyDescent="0.3">
      <c r="A1180" s="128">
        <v>42670</v>
      </c>
      <c r="B1180" s="129">
        <v>123.6923</v>
      </c>
    </row>
    <row r="1181" spans="1:2" hidden="1" x14ac:dyDescent="0.3">
      <c r="A1181" s="128">
        <v>42671</v>
      </c>
      <c r="B1181" s="129">
        <v>123.5783</v>
      </c>
    </row>
    <row r="1182" spans="1:2" hidden="1" x14ac:dyDescent="0.3">
      <c r="A1182" s="128">
        <v>42674</v>
      </c>
      <c r="B1182" s="129">
        <v>123.5141</v>
      </c>
    </row>
    <row r="1183" spans="1:2" hidden="1" x14ac:dyDescent="0.3">
      <c r="A1183" s="128">
        <v>42675</v>
      </c>
      <c r="B1183" s="129">
        <v>123.482</v>
      </c>
    </row>
    <row r="1184" spans="1:2" hidden="1" x14ac:dyDescent="0.3">
      <c r="A1184" s="128">
        <v>42676</v>
      </c>
      <c r="B1184" s="129">
        <v>123.4359</v>
      </c>
    </row>
    <row r="1185" spans="1:2" hidden="1" x14ac:dyDescent="0.3">
      <c r="A1185" s="128">
        <v>42677</v>
      </c>
      <c r="B1185" s="129">
        <v>123.2915</v>
      </c>
    </row>
    <row r="1186" spans="1:2" hidden="1" x14ac:dyDescent="0.3">
      <c r="A1186" s="128">
        <v>42678</v>
      </c>
      <c r="B1186" s="129">
        <v>123.1203</v>
      </c>
    </row>
    <row r="1187" spans="1:2" hidden="1" x14ac:dyDescent="0.3">
      <c r="A1187" s="128">
        <v>42681</v>
      </c>
      <c r="B1187" s="129">
        <v>123.07599999999999</v>
      </c>
    </row>
    <row r="1188" spans="1:2" hidden="1" x14ac:dyDescent="0.3">
      <c r="A1188" s="128">
        <v>42682</v>
      </c>
      <c r="B1188" s="129">
        <v>122.8327</v>
      </c>
    </row>
    <row r="1189" spans="1:2" hidden="1" x14ac:dyDescent="0.3">
      <c r="A1189" s="128">
        <v>42683</v>
      </c>
      <c r="B1189" s="129">
        <v>124.2711</v>
      </c>
    </row>
    <row r="1190" spans="1:2" hidden="1" x14ac:dyDescent="0.3">
      <c r="A1190" s="128">
        <v>42684</v>
      </c>
      <c r="B1190" s="129">
        <v>125.6112</v>
      </c>
    </row>
    <row r="1191" spans="1:2" hidden="1" x14ac:dyDescent="0.3">
      <c r="A1191" s="128">
        <v>42688</v>
      </c>
      <c r="B1191" s="129">
        <v>126.98480000000001</v>
      </c>
    </row>
    <row r="1192" spans="1:2" hidden="1" x14ac:dyDescent="0.3">
      <c r="A1192" s="128">
        <v>42689</v>
      </c>
      <c r="B1192" s="129">
        <v>126.5164</v>
      </c>
    </row>
    <row r="1193" spans="1:2" hidden="1" x14ac:dyDescent="0.3">
      <c r="A1193" s="128">
        <v>42690</v>
      </c>
      <c r="B1193" s="129">
        <v>126.5903</v>
      </c>
    </row>
    <row r="1194" spans="1:2" hidden="1" x14ac:dyDescent="0.3">
      <c r="A1194" s="128">
        <v>42691</v>
      </c>
      <c r="B1194" s="129">
        <v>126.6666</v>
      </c>
    </row>
    <row r="1195" spans="1:2" hidden="1" x14ac:dyDescent="0.3">
      <c r="A1195" s="128">
        <v>42692</v>
      </c>
      <c r="B1195" s="129">
        <v>127.38030000000001</v>
      </c>
    </row>
    <row r="1196" spans="1:2" hidden="1" x14ac:dyDescent="0.3">
      <c r="A1196" s="128">
        <v>42695</v>
      </c>
      <c r="B1196" s="129">
        <v>127.2803</v>
      </c>
    </row>
    <row r="1197" spans="1:2" hidden="1" x14ac:dyDescent="0.3">
      <c r="A1197" s="128">
        <v>42696</v>
      </c>
      <c r="B1197" s="129">
        <v>127.2312</v>
      </c>
    </row>
    <row r="1198" spans="1:2" hidden="1" x14ac:dyDescent="0.3">
      <c r="A1198" s="128">
        <v>42697</v>
      </c>
      <c r="B1198" s="129">
        <v>127.8914</v>
      </c>
    </row>
    <row r="1199" spans="1:2" hidden="1" x14ac:dyDescent="0.3">
      <c r="A1199" s="128">
        <v>42699</v>
      </c>
      <c r="B1199" s="129">
        <v>127.8604</v>
      </c>
    </row>
    <row r="1200" spans="1:2" hidden="1" x14ac:dyDescent="0.3">
      <c r="A1200" s="128">
        <v>42702</v>
      </c>
      <c r="B1200" s="129">
        <v>127.5444</v>
      </c>
    </row>
    <row r="1201" spans="1:2" hidden="1" x14ac:dyDescent="0.3">
      <c r="A1201" s="128">
        <v>42703</v>
      </c>
      <c r="B1201" s="129">
        <v>127.4658</v>
      </c>
    </row>
    <row r="1202" spans="1:2" hidden="1" x14ac:dyDescent="0.3">
      <c r="A1202" s="128">
        <v>42704</v>
      </c>
      <c r="B1202" s="129">
        <v>127.5646</v>
      </c>
    </row>
    <row r="1203" spans="1:2" hidden="1" x14ac:dyDescent="0.3">
      <c r="A1203" s="128">
        <v>42705</v>
      </c>
      <c r="B1203" s="129">
        <v>127.48820000000001</v>
      </c>
    </row>
    <row r="1204" spans="1:2" hidden="1" x14ac:dyDescent="0.3">
      <c r="A1204" s="128">
        <v>42706</v>
      </c>
      <c r="B1204" s="129">
        <v>127.14100000000001</v>
      </c>
    </row>
    <row r="1205" spans="1:2" hidden="1" x14ac:dyDescent="0.3">
      <c r="A1205" s="128">
        <v>42709</v>
      </c>
      <c r="B1205" s="129">
        <v>126.92659999999999</v>
      </c>
    </row>
    <row r="1206" spans="1:2" hidden="1" x14ac:dyDescent="0.3">
      <c r="A1206" s="128">
        <v>42710</v>
      </c>
      <c r="B1206" s="129">
        <v>126.74120000000001</v>
      </c>
    </row>
    <row r="1207" spans="1:2" hidden="1" x14ac:dyDescent="0.3">
      <c r="A1207" s="128">
        <v>42711</v>
      </c>
      <c r="B1207" s="129">
        <v>126.45829999999999</v>
      </c>
    </row>
    <row r="1208" spans="1:2" hidden="1" x14ac:dyDescent="0.3">
      <c r="A1208" s="128">
        <v>42712</v>
      </c>
      <c r="B1208" s="129">
        <v>126.81440000000001</v>
      </c>
    </row>
    <row r="1209" spans="1:2" hidden="1" x14ac:dyDescent="0.3">
      <c r="A1209" s="128">
        <v>42713</v>
      </c>
      <c r="B1209" s="129">
        <v>127.1143</v>
      </c>
    </row>
    <row r="1210" spans="1:2" hidden="1" x14ac:dyDescent="0.3">
      <c r="A1210" s="128">
        <v>42716</v>
      </c>
      <c r="B1210" s="129">
        <v>126.73050000000001</v>
      </c>
    </row>
    <row r="1211" spans="1:2" hidden="1" x14ac:dyDescent="0.3">
      <c r="A1211" s="128">
        <v>42717</v>
      </c>
      <c r="B1211" s="129">
        <v>126.60469999999999</v>
      </c>
    </row>
    <row r="1212" spans="1:2" hidden="1" x14ac:dyDescent="0.3">
      <c r="A1212" s="128">
        <v>42718</v>
      </c>
      <c r="B1212" s="129">
        <v>126.5634</v>
      </c>
    </row>
    <row r="1213" spans="1:2" hidden="1" x14ac:dyDescent="0.3">
      <c r="A1213" s="128">
        <v>42719</v>
      </c>
      <c r="B1213" s="129">
        <v>128.6568</v>
      </c>
    </row>
    <row r="1214" spans="1:2" hidden="1" x14ac:dyDescent="0.3">
      <c r="A1214" s="128">
        <v>42720</v>
      </c>
      <c r="B1214" s="129">
        <v>128.2517</v>
      </c>
    </row>
    <row r="1215" spans="1:2" hidden="1" x14ac:dyDescent="0.3">
      <c r="A1215" s="128">
        <v>42723</v>
      </c>
      <c r="B1215" s="129">
        <v>128.2576</v>
      </c>
    </row>
    <row r="1216" spans="1:2" hidden="1" x14ac:dyDescent="0.3">
      <c r="A1216" s="128">
        <v>42724</v>
      </c>
      <c r="B1216" s="129">
        <v>128.49010000000001</v>
      </c>
    </row>
    <row r="1217" spans="1:3" hidden="1" x14ac:dyDescent="0.3">
      <c r="A1217" s="128">
        <v>42725</v>
      </c>
      <c r="B1217" s="129">
        <v>128.42449999999999</v>
      </c>
    </row>
    <row r="1218" spans="1:3" hidden="1" x14ac:dyDescent="0.3">
      <c r="A1218" s="128">
        <v>42726</v>
      </c>
      <c r="B1218" s="129">
        <v>128.67949999999999</v>
      </c>
    </row>
    <row r="1219" spans="1:3" hidden="1" x14ac:dyDescent="0.3">
      <c r="A1219" s="128">
        <v>42727</v>
      </c>
      <c r="B1219" s="129">
        <v>128.61969999999999</v>
      </c>
    </row>
    <row r="1220" spans="1:3" hidden="1" x14ac:dyDescent="0.3">
      <c r="A1220" s="128">
        <v>42731</v>
      </c>
      <c r="B1220" s="129">
        <v>128.7938</v>
      </c>
    </row>
    <row r="1221" spans="1:3" hidden="1" x14ac:dyDescent="0.3">
      <c r="A1221" s="128">
        <v>42732</v>
      </c>
      <c r="B1221" s="129">
        <v>129.0778</v>
      </c>
    </row>
    <row r="1222" spans="1:3" hidden="1" x14ac:dyDescent="0.3">
      <c r="A1222" s="128">
        <v>42733</v>
      </c>
      <c r="B1222" s="129">
        <v>128.5027</v>
      </c>
    </row>
    <row r="1223" spans="1:3" x14ac:dyDescent="0.3">
      <c r="A1223" s="128">
        <v>42734</v>
      </c>
      <c r="B1223" s="129">
        <v>128.2131</v>
      </c>
      <c r="C1223" s="130">
        <f>AVERAGE(B1163:B1223)</f>
        <v>125.5216163934426</v>
      </c>
    </row>
    <row r="1224" spans="1:3" hidden="1" x14ac:dyDescent="0.3">
      <c r="A1224" s="128">
        <v>42737</v>
      </c>
      <c r="B1224" s="129">
        <v>128.21029999999999</v>
      </c>
    </row>
    <row r="1225" spans="1:3" hidden="1" x14ac:dyDescent="0.3">
      <c r="A1225" s="128">
        <v>42738</v>
      </c>
      <c r="B1225" s="129">
        <v>128.96270000000001</v>
      </c>
    </row>
    <row r="1226" spans="1:3" hidden="1" x14ac:dyDescent="0.3">
      <c r="A1226" s="128">
        <v>42739</v>
      </c>
      <c r="B1226" s="129">
        <v>128.73439999999999</v>
      </c>
    </row>
    <row r="1227" spans="1:3" hidden="1" x14ac:dyDescent="0.3">
      <c r="A1227" s="128">
        <v>42740</v>
      </c>
      <c r="B1227" s="129">
        <v>127.7769</v>
      </c>
    </row>
    <row r="1228" spans="1:3" hidden="1" x14ac:dyDescent="0.3">
      <c r="A1228" s="128">
        <v>42741</v>
      </c>
      <c r="B1228" s="129">
        <v>128.18020000000001</v>
      </c>
    </row>
    <row r="1229" spans="1:3" hidden="1" x14ac:dyDescent="0.3">
      <c r="A1229" s="128">
        <v>42744</v>
      </c>
      <c r="B1229" s="129">
        <v>128.2527</v>
      </c>
    </row>
    <row r="1230" spans="1:3" hidden="1" x14ac:dyDescent="0.3">
      <c r="A1230" s="128">
        <v>42745</v>
      </c>
      <c r="B1230" s="129">
        <v>128.35400000000001</v>
      </c>
    </row>
    <row r="1231" spans="1:3" hidden="1" x14ac:dyDescent="0.3">
      <c r="A1231" s="128">
        <v>42746</v>
      </c>
      <c r="B1231" s="129">
        <v>128.8561</v>
      </c>
    </row>
    <row r="1232" spans="1:3" hidden="1" x14ac:dyDescent="0.3">
      <c r="A1232" s="128">
        <v>42747</v>
      </c>
      <c r="B1232" s="129">
        <v>127.5389</v>
      </c>
    </row>
    <row r="1233" spans="1:2" hidden="1" x14ac:dyDescent="0.3">
      <c r="A1233" s="128">
        <v>42748</v>
      </c>
      <c r="B1233" s="129">
        <v>127.7486</v>
      </c>
    </row>
    <row r="1234" spans="1:2" hidden="1" x14ac:dyDescent="0.3">
      <c r="A1234" s="128">
        <v>42751</v>
      </c>
      <c r="B1234" s="129">
        <v>127.7692</v>
      </c>
    </row>
    <row r="1235" spans="1:2" hidden="1" x14ac:dyDescent="0.3">
      <c r="A1235" s="128">
        <v>42752</v>
      </c>
      <c r="B1235" s="129">
        <v>126.9705</v>
      </c>
    </row>
    <row r="1236" spans="1:2" hidden="1" x14ac:dyDescent="0.3">
      <c r="A1236" s="128">
        <v>42753</v>
      </c>
      <c r="B1236" s="129">
        <v>127.411</v>
      </c>
    </row>
    <row r="1237" spans="1:2" hidden="1" x14ac:dyDescent="0.3">
      <c r="A1237" s="128">
        <v>42754</v>
      </c>
      <c r="B1237" s="129">
        <v>128.06</v>
      </c>
    </row>
    <row r="1238" spans="1:2" hidden="1" x14ac:dyDescent="0.3">
      <c r="A1238" s="128">
        <v>42755</v>
      </c>
      <c r="B1238" s="129">
        <v>128.0386</v>
      </c>
    </row>
    <row r="1239" spans="1:2" hidden="1" x14ac:dyDescent="0.3">
      <c r="A1239" s="128">
        <v>42758</v>
      </c>
      <c r="B1239" s="129">
        <v>126.9517</v>
      </c>
    </row>
    <row r="1240" spans="1:2" hidden="1" x14ac:dyDescent="0.3">
      <c r="A1240" s="128">
        <v>42759</v>
      </c>
      <c r="B1240" s="129">
        <v>126.7655</v>
      </c>
    </row>
    <row r="1241" spans="1:2" hidden="1" x14ac:dyDescent="0.3">
      <c r="A1241" s="128">
        <v>42760</v>
      </c>
      <c r="B1241" s="129">
        <v>126.69799999999999</v>
      </c>
    </row>
    <row r="1242" spans="1:2" hidden="1" x14ac:dyDescent="0.3">
      <c r="A1242" s="128">
        <v>42761</v>
      </c>
      <c r="B1242" s="129">
        <v>127.04510000000001</v>
      </c>
    </row>
    <row r="1243" spans="1:2" hidden="1" x14ac:dyDescent="0.3">
      <c r="A1243" s="128">
        <v>42762</v>
      </c>
      <c r="B1243" s="129">
        <v>126.83710000000001</v>
      </c>
    </row>
    <row r="1244" spans="1:2" hidden="1" x14ac:dyDescent="0.3">
      <c r="A1244" s="128">
        <v>42765</v>
      </c>
      <c r="B1244" s="129">
        <v>126.4712</v>
      </c>
    </row>
    <row r="1245" spans="1:2" hidden="1" x14ac:dyDescent="0.3">
      <c r="A1245" s="128">
        <v>42766</v>
      </c>
      <c r="B1245" s="129">
        <v>125.9632</v>
      </c>
    </row>
    <row r="1246" spans="1:2" hidden="1" x14ac:dyDescent="0.3">
      <c r="A1246" s="128">
        <v>42767</v>
      </c>
      <c r="B1246" s="129">
        <v>126.13590000000001</v>
      </c>
    </row>
    <row r="1247" spans="1:2" hidden="1" x14ac:dyDescent="0.3">
      <c r="A1247" s="128">
        <v>42768</v>
      </c>
      <c r="B1247" s="129">
        <v>125.6026</v>
      </c>
    </row>
    <row r="1248" spans="1:2" hidden="1" x14ac:dyDescent="0.3">
      <c r="A1248" s="128">
        <v>42769</v>
      </c>
      <c r="B1248" s="129">
        <v>125.28270000000001</v>
      </c>
    </row>
    <row r="1249" spans="1:2" hidden="1" x14ac:dyDescent="0.3">
      <c r="A1249" s="128">
        <v>42772</v>
      </c>
      <c r="B1249" s="129">
        <v>125.6922</v>
      </c>
    </row>
    <row r="1250" spans="1:2" hidden="1" x14ac:dyDescent="0.3">
      <c r="A1250" s="128">
        <v>42773</v>
      </c>
      <c r="B1250" s="129">
        <v>126.09990000000001</v>
      </c>
    </row>
    <row r="1251" spans="1:2" hidden="1" x14ac:dyDescent="0.3">
      <c r="A1251" s="128">
        <v>42774</v>
      </c>
      <c r="B1251" s="129">
        <v>125.815</v>
      </c>
    </row>
    <row r="1252" spans="1:2" hidden="1" x14ac:dyDescent="0.3">
      <c r="A1252" s="128">
        <v>42775</v>
      </c>
      <c r="B1252" s="129">
        <v>125.9791</v>
      </c>
    </row>
    <row r="1253" spans="1:2" hidden="1" x14ac:dyDescent="0.3">
      <c r="A1253" s="128">
        <v>42776</v>
      </c>
      <c r="B1253" s="129">
        <v>125.82299999999999</v>
      </c>
    </row>
    <row r="1254" spans="1:2" hidden="1" x14ac:dyDescent="0.3">
      <c r="A1254" s="128">
        <v>42779</v>
      </c>
      <c r="B1254" s="129">
        <v>126.017</v>
      </c>
    </row>
    <row r="1255" spans="1:2" hidden="1" x14ac:dyDescent="0.3">
      <c r="A1255" s="128">
        <v>42780</v>
      </c>
      <c r="B1255" s="129">
        <v>126.0155</v>
      </c>
    </row>
    <row r="1256" spans="1:2" hidden="1" x14ac:dyDescent="0.3">
      <c r="A1256" s="128">
        <v>42781</v>
      </c>
      <c r="B1256" s="129">
        <v>125.83880000000001</v>
      </c>
    </row>
    <row r="1257" spans="1:2" hidden="1" x14ac:dyDescent="0.3">
      <c r="A1257" s="128">
        <v>42782</v>
      </c>
      <c r="B1257" s="129">
        <v>125.6195</v>
      </c>
    </row>
    <row r="1258" spans="1:2" hidden="1" x14ac:dyDescent="0.3">
      <c r="A1258" s="128">
        <v>42783</v>
      </c>
      <c r="B1258" s="129">
        <v>126.0425</v>
      </c>
    </row>
    <row r="1259" spans="1:2" hidden="1" x14ac:dyDescent="0.3">
      <c r="A1259" s="128">
        <v>42786</v>
      </c>
      <c r="B1259" s="129">
        <v>126.0389</v>
      </c>
    </row>
    <row r="1260" spans="1:2" hidden="1" x14ac:dyDescent="0.3">
      <c r="A1260" s="128">
        <v>42787</v>
      </c>
      <c r="B1260" s="129">
        <v>126.23350000000001</v>
      </c>
    </row>
    <row r="1261" spans="1:2" hidden="1" x14ac:dyDescent="0.3">
      <c r="A1261" s="128">
        <v>42788</v>
      </c>
      <c r="B1261" s="129">
        <v>125.83459999999999</v>
      </c>
    </row>
    <row r="1262" spans="1:2" hidden="1" x14ac:dyDescent="0.3">
      <c r="A1262" s="128">
        <v>42789</v>
      </c>
      <c r="B1262" s="129">
        <v>125.24809999999999</v>
      </c>
    </row>
    <row r="1263" spans="1:2" hidden="1" x14ac:dyDescent="0.3">
      <c r="A1263" s="128">
        <v>42790</v>
      </c>
      <c r="B1263" s="129">
        <v>125.41540000000001</v>
      </c>
    </row>
    <row r="1264" spans="1:2" hidden="1" x14ac:dyDescent="0.3">
      <c r="A1264" s="128">
        <v>42793</v>
      </c>
      <c r="B1264" s="129">
        <v>125.2778</v>
      </c>
    </row>
    <row r="1265" spans="1:2" hidden="1" x14ac:dyDescent="0.3">
      <c r="A1265" s="128">
        <v>42794</v>
      </c>
      <c r="B1265" s="129">
        <v>125.5992</v>
      </c>
    </row>
    <row r="1266" spans="1:2" hidden="1" x14ac:dyDescent="0.3">
      <c r="A1266" s="128">
        <v>42795</v>
      </c>
      <c r="B1266" s="129">
        <v>126.044</v>
      </c>
    </row>
    <row r="1267" spans="1:2" hidden="1" x14ac:dyDescent="0.3">
      <c r="A1267" s="128">
        <v>42796</v>
      </c>
      <c r="B1267" s="129">
        <v>126.4661</v>
      </c>
    </row>
    <row r="1268" spans="1:2" hidden="1" x14ac:dyDescent="0.3">
      <c r="A1268" s="128">
        <v>42797</v>
      </c>
      <c r="B1268" s="129">
        <v>126.2717</v>
      </c>
    </row>
    <row r="1269" spans="1:2" hidden="1" x14ac:dyDescent="0.3">
      <c r="A1269" s="128">
        <v>42800</v>
      </c>
      <c r="B1269" s="129">
        <v>126.05459999999999</v>
      </c>
    </row>
    <row r="1270" spans="1:2" hidden="1" x14ac:dyDescent="0.3">
      <c r="A1270" s="128">
        <v>42801</v>
      </c>
      <c r="B1270" s="129">
        <v>126.04689999999999</v>
      </c>
    </row>
    <row r="1271" spans="1:2" hidden="1" x14ac:dyDescent="0.3">
      <c r="A1271" s="128">
        <v>42802</v>
      </c>
      <c r="B1271" s="129">
        <v>126.5172</v>
      </c>
    </row>
    <row r="1272" spans="1:2" hidden="1" x14ac:dyDescent="0.3">
      <c r="A1272" s="128">
        <v>42803</v>
      </c>
      <c r="B1272" s="129">
        <v>126.6562</v>
      </c>
    </row>
    <row r="1273" spans="1:2" hidden="1" x14ac:dyDescent="0.3">
      <c r="A1273" s="128">
        <v>42804</v>
      </c>
      <c r="B1273" s="129">
        <v>126.2568</v>
      </c>
    </row>
  </sheetData>
  <autoFilter ref="A15:C1273" xr:uid="{00000000-0009-0000-0000-000001000000}">
    <filterColumn colId="2">
      <customFilters>
        <customFilter operator="notEqual" val=" "/>
      </custom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Waste Management Earnings Model</vt:lpstr>
      <vt:lpstr>Comps Multiples</vt:lpstr>
      <vt:lpstr>Dollar Index</vt:lpstr>
      <vt:lpstr>'Waste Management Earnings Model'!Print_Area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Owner</dc:creator>
  <cp:lastModifiedBy>Jim</cp:lastModifiedBy>
  <cp:lastPrinted>2019-08-18T19:17:56Z</cp:lastPrinted>
  <dcterms:created xsi:type="dcterms:W3CDTF">2014-10-18T18:34:10Z</dcterms:created>
  <dcterms:modified xsi:type="dcterms:W3CDTF">2019-09-23T22:57:46Z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ies>
</file>